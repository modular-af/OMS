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showInkAnnotation="0" codeName="ThisWorkbook"/>
  <xr:revisionPtr revIDLastSave="0" documentId="13_ncr:1_{129AE391-D3A5-4AC8-A481-A5F8B7F8A144}" xr6:coauthVersionLast="47" xr6:coauthVersionMax="47" xr10:uidLastSave="{00000000-0000-0000-0000-000000000000}"/>
  <bookViews>
    <workbookView xWindow="-120" yWindow="90" windowWidth="29040" windowHeight="15510" tabRatio="720" activeTab="1" xr2:uid="{B76FF02A-1B26-4B39-B0F7-A809FE5DD9E8}"/>
  </bookViews>
  <sheets>
    <sheet name="WARNING NOTE" sheetId="1" r:id="rId1"/>
    <sheet name="Cover" sheetId="2" r:id="rId2"/>
    <sheet name="Abstract" sheetId="3" r:id="rId3"/>
    <sheet name="Rev" sheetId="4" r:id="rId4"/>
    <sheet name="Tier Compliance" sheetId="21" r:id="rId5"/>
    <sheet name="Isolator RQMT Checklist" sheetId="40" r:id="rId6"/>
    <sheet name="Service Contract" sheetId="23" r:id="rId7"/>
    <sheet name="OMS Msgs" sheetId="35" r:id="rId8"/>
    <sheet name="Non-OMS Msgs" sheetId="9" r:id="rId9"/>
    <sheet name="OMS Data Transfer" sheetId="39" r:id="rId10"/>
    <sheet name="Non-OMS Data Transfer" sheetId="11" r:id="rId11"/>
    <sheet name="OMS Special Signals" sheetId="32" r:id="rId12"/>
    <sheet name="Non-OMS Special Signals" sheetId="10" r:id="rId13"/>
    <sheet name="Data Transfer Tables" sheetId="33" r:id="rId14"/>
    <sheet name="Special Signals Tables" sheetId="34" r:id="rId15"/>
  </sheets>
  <definedNames>
    <definedName name="_xlnm._FilterDatabase" localSheetId="5" hidden="1">'Isolator RQMT Checklist'!$A$1:$Q$70</definedName>
    <definedName name="_xlnm._FilterDatabase" localSheetId="7" hidden="1">'OMS Msgs'!$A$4:$BO$716</definedName>
    <definedName name="_xlnm._FilterDatabase" localSheetId="6" hidden="1">'Service Contract'!$A$4:$H$228</definedName>
    <definedName name="_Toc256000163" localSheetId="14">'Special Signals Tables'!#REF!</definedName>
    <definedName name="_Toc256000164" localSheetId="14">'Special Signals Tables'!#REF!</definedName>
    <definedName name="_xlnm.Print_Titles" localSheetId="5">'Isolator RQMT Checklist'!#REF!</definedName>
    <definedName name="_xlnm.Print_Titles" localSheetId="6">'Service Contract'!$4:$4</definedName>
    <definedName name="_xlnm.Print_Titles" localSheetId="4">'Tier Compliance'!#REF!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39" i="32" l="1"/>
  <c r="I38" i="32"/>
  <c r="I30" i="32"/>
  <c r="I29" i="32"/>
  <c r="I28" i="32"/>
  <c r="G39" i="32"/>
  <c r="G38" i="32"/>
  <c r="G30" i="32"/>
  <c r="G29" i="32"/>
  <c r="G28" i="32"/>
  <c r="I7" i="32"/>
  <c r="I8" i="32"/>
  <c r="I9" i="32"/>
  <c r="I10" i="32"/>
  <c r="I11" i="32"/>
  <c r="I12" i="32"/>
  <c r="I13" i="32"/>
  <c r="I14" i="32"/>
  <c r="I15" i="32"/>
  <c r="I16" i="32"/>
  <c r="I17" i="32"/>
  <c r="I18" i="32"/>
  <c r="I19" i="32"/>
  <c r="I20" i="32"/>
  <c r="I6" i="32"/>
  <c r="G7" i="32"/>
  <c r="G8" i="32"/>
  <c r="G9" i="32"/>
  <c r="G10" i="32"/>
  <c r="G11" i="32"/>
  <c r="G12" i="32"/>
  <c r="G13" i="32"/>
  <c r="G14" i="32"/>
  <c r="G15" i="32"/>
  <c r="G16" i="32"/>
  <c r="G17" i="32"/>
  <c r="G18" i="32"/>
  <c r="G19" i="32"/>
  <c r="G20" i="32"/>
  <c r="G6" i="32"/>
  <c r="V6" i="9"/>
  <c r="V7" i="9"/>
  <c r="V8" i="9"/>
  <c r="V9" i="9"/>
  <c r="V10" i="9"/>
  <c r="V11" i="9"/>
  <c r="V12" i="9"/>
  <c r="V13" i="9"/>
  <c r="V14" i="9"/>
  <c r="V5" i="9"/>
  <c r="BJ727" i="35"/>
  <c r="BI727" i="35"/>
  <c r="BA727" i="35"/>
  <c r="AR727" i="35"/>
  <c r="AQ727" i="35"/>
  <c r="BH727" i="35" s="1"/>
  <c r="AP727" i="35"/>
  <c r="AY727" i="35" s="1"/>
  <c r="AO727" i="35"/>
  <c r="AL727" i="35"/>
  <c r="AK727" i="35"/>
  <c r="AM727" i="35" s="1"/>
  <c r="AJ727" i="35"/>
  <c r="AI727" i="35"/>
  <c r="AF727" i="35"/>
  <c r="AC727" i="35"/>
  <c r="AB727" i="35"/>
  <c r="AA727" i="35"/>
  <c r="Z727" i="35"/>
  <c r="Y727" i="35"/>
  <c r="X727" i="35"/>
  <c r="W727" i="35"/>
  <c r="T727" i="35"/>
  <c r="BK727" i="35" s="1"/>
  <c r="O727" i="35"/>
  <c r="N727" i="35"/>
  <c r="M727" i="35"/>
  <c r="L727" i="35"/>
  <c r="K727" i="35"/>
  <c r="J727" i="35"/>
  <c r="I727" i="35"/>
  <c r="H727" i="35"/>
  <c r="BJ726" i="35"/>
  <c r="BI726" i="35"/>
  <c r="BE726" i="35"/>
  <c r="BD726" i="35"/>
  <c r="AZ726" i="35"/>
  <c r="AS726" i="35"/>
  <c r="AR726" i="35"/>
  <c r="AQ726" i="35"/>
  <c r="BH726" i="35" s="1"/>
  <c r="AP726" i="35"/>
  <c r="AX726" i="35" s="1"/>
  <c r="AO726" i="35"/>
  <c r="AM726" i="35"/>
  <c r="AL726" i="35"/>
  <c r="AK726" i="35"/>
  <c r="AJ726" i="35"/>
  <c r="AI726" i="35"/>
  <c r="AF726" i="35"/>
  <c r="AC726" i="35"/>
  <c r="AB726" i="35"/>
  <c r="AA726" i="35"/>
  <c r="Z726" i="35"/>
  <c r="Y726" i="35"/>
  <c r="X726" i="35"/>
  <c r="T726" i="35"/>
  <c r="W726" i="35" s="1"/>
  <c r="O726" i="35"/>
  <c r="N726" i="35"/>
  <c r="M726" i="35"/>
  <c r="L726" i="35"/>
  <c r="K726" i="35"/>
  <c r="J726" i="35"/>
  <c r="I726" i="35"/>
  <c r="H726" i="35"/>
  <c r="BK725" i="35"/>
  <c r="BJ725" i="35"/>
  <c r="BI725" i="35"/>
  <c r="BE725" i="35"/>
  <c r="BD725" i="35"/>
  <c r="BC725" i="35"/>
  <c r="AY725" i="35"/>
  <c r="AX725" i="35"/>
  <c r="AS725" i="35"/>
  <c r="AR725" i="35"/>
  <c r="AQ725" i="35"/>
  <c r="BH725" i="35" s="1"/>
  <c r="AP725" i="35"/>
  <c r="AW725" i="35" s="1"/>
  <c r="AO725" i="35"/>
  <c r="AL725" i="35"/>
  <c r="AK725" i="35"/>
  <c r="AI725" i="35"/>
  <c r="AJ725" i="35" s="1"/>
  <c r="AF725" i="35"/>
  <c r="AC725" i="35"/>
  <c r="AB725" i="35"/>
  <c r="AA725" i="35"/>
  <c r="Z725" i="35"/>
  <c r="Y725" i="35"/>
  <c r="X725" i="35"/>
  <c r="W725" i="35"/>
  <c r="T725" i="35"/>
  <c r="O725" i="35"/>
  <c r="N725" i="35"/>
  <c r="M725" i="35"/>
  <c r="L725" i="35"/>
  <c r="K725" i="35"/>
  <c r="J725" i="35"/>
  <c r="I725" i="35"/>
  <c r="H725" i="35"/>
  <c r="BJ724" i="35"/>
  <c r="BI724" i="35"/>
  <c r="BC724" i="35"/>
  <c r="AX724" i="35"/>
  <c r="AR724" i="35"/>
  <c r="AQ724" i="35"/>
  <c r="BH724" i="35" s="1"/>
  <c r="AP724" i="35"/>
  <c r="AV724" i="35" s="1"/>
  <c r="AO724" i="35"/>
  <c r="AL724" i="35"/>
  <c r="AK724" i="35"/>
  <c r="AM724" i="35" s="1"/>
  <c r="AJ724" i="35"/>
  <c r="AI724" i="35"/>
  <c r="AF724" i="35"/>
  <c r="AC724" i="35"/>
  <c r="AB724" i="35"/>
  <c r="AA724" i="35"/>
  <c r="Z724" i="35"/>
  <c r="Y724" i="35"/>
  <c r="X724" i="35"/>
  <c r="W724" i="35"/>
  <c r="T724" i="35"/>
  <c r="BK724" i="35" s="1"/>
  <c r="O724" i="35"/>
  <c r="N724" i="35"/>
  <c r="M724" i="35"/>
  <c r="L724" i="35"/>
  <c r="K724" i="35"/>
  <c r="J724" i="35"/>
  <c r="I724" i="35"/>
  <c r="H724" i="35"/>
  <c r="BJ723" i="35"/>
  <c r="BI723" i="35"/>
  <c r="AW723" i="35"/>
  <c r="AR723" i="35"/>
  <c r="AQ723" i="35"/>
  <c r="BH723" i="35" s="1"/>
  <c r="AP723" i="35"/>
  <c r="BG723" i="35" s="1"/>
  <c r="AO723" i="35"/>
  <c r="AL723" i="35"/>
  <c r="AM723" i="35" s="1"/>
  <c r="AK723" i="35"/>
  <c r="AJ723" i="35"/>
  <c r="AI723" i="35"/>
  <c r="AF723" i="35"/>
  <c r="AC723" i="35"/>
  <c r="AB723" i="35"/>
  <c r="AA723" i="35"/>
  <c r="Z723" i="35"/>
  <c r="Y723" i="35"/>
  <c r="X723" i="35"/>
  <c r="T723" i="35"/>
  <c r="O723" i="35"/>
  <c r="N723" i="35"/>
  <c r="M723" i="35"/>
  <c r="L723" i="35"/>
  <c r="K723" i="35"/>
  <c r="J723" i="35"/>
  <c r="I723" i="35"/>
  <c r="H723" i="35"/>
  <c r="BJ722" i="35"/>
  <c r="BI722" i="35"/>
  <c r="BH722" i="35"/>
  <c r="BA722" i="35"/>
  <c r="AZ722" i="35"/>
  <c r="AV722" i="35"/>
  <c r="AR722" i="35"/>
  <c r="AQ722" i="35"/>
  <c r="AP722" i="35"/>
  <c r="BF722" i="35" s="1"/>
  <c r="AO722" i="35"/>
  <c r="AM722" i="35"/>
  <c r="AL722" i="35"/>
  <c r="AK722" i="35"/>
  <c r="AI722" i="35"/>
  <c r="AJ722" i="35" s="1"/>
  <c r="AF722" i="35"/>
  <c r="AC722" i="35"/>
  <c r="AB722" i="35"/>
  <c r="AA722" i="35"/>
  <c r="Z722" i="35"/>
  <c r="Y722" i="35"/>
  <c r="X722" i="35"/>
  <c r="W722" i="35"/>
  <c r="T722" i="35"/>
  <c r="BK722" i="35" s="1"/>
  <c r="O722" i="35"/>
  <c r="N722" i="35"/>
  <c r="M722" i="35"/>
  <c r="L722" i="35"/>
  <c r="K722" i="35"/>
  <c r="J722" i="35"/>
  <c r="I722" i="35"/>
  <c r="H722" i="35"/>
  <c r="BK721" i="35"/>
  <c r="BJ721" i="35"/>
  <c r="BI721" i="35"/>
  <c r="BG721" i="35"/>
  <c r="BA721" i="35"/>
  <c r="AZ721" i="35"/>
  <c r="AY721" i="35"/>
  <c r="AU721" i="35"/>
  <c r="AR721" i="35"/>
  <c r="AQ721" i="35"/>
  <c r="BH721" i="35" s="1"/>
  <c r="AP721" i="35"/>
  <c r="BE721" i="35" s="1"/>
  <c r="AO721" i="35"/>
  <c r="AM721" i="35"/>
  <c r="AL721" i="35"/>
  <c r="AK721" i="35"/>
  <c r="AJ721" i="35"/>
  <c r="AI721" i="35"/>
  <c r="AF721" i="35"/>
  <c r="AC721" i="35"/>
  <c r="AB721" i="35"/>
  <c r="AA721" i="35"/>
  <c r="Z721" i="35"/>
  <c r="Y721" i="35"/>
  <c r="X721" i="35"/>
  <c r="T721" i="35"/>
  <c r="W721" i="35" s="1"/>
  <c r="O721" i="35"/>
  <c r="N721" i="35"/>
  <c r="M721" i="35"/>
  <c r="L721" i="35"/>
  <c r="K721" i="35"/>
  <c r="J721" i="35"/>
  <c r="I721" i="35"/>
  <c r="H721" i="35"/>
  <c r="BK720" i="35"/>
  <c r="BJ720" i="35"/>
  <c r="BI720" i="35"/>
  <c r="BF720" i="35"/>
  <c r="BA720" i="35"/>
  <c r="AZ720" i="35"/>
  <c r="AY720" i="35"/>
  <c r="AX720" i="35"/>
  <c r="AT720" i="35"/>
  <c r="AR720" i="35"/>
  <c r="AQ720" i="35"/>
  <c r="BH720" i="35" s="1"/>
  <c r="AP720" i="35"/>
  <c r="BD720" i="35" s="1"/>
  <c r="AO720" i="35"/>
  <c r="AL720" i="35"/>
  <c r="AK720" i="35"/>
  <c r="AM720" i="35" s="1"/>
  <c r="AI720" i="35"/>
  <c r="AJ720" i="35" s="1"/>
  <c r="AF720" i="35"/>
  <c r="AC720" i="35"/>
  <c r="AB720" i="35"/>
  <c r="AA720" i="35"/>
  <c r="Z720" i="35"/>
  <c r="Y720" i="35"/>
  <c r="X720" i="35"/>
  <c r="W720" i="35"/>
  <c r="T720" i="35"/>
  <c r="O720" i="35"/>
  <c r="N720" i="35"/>
  <c r="M720" i="35"/>
  <c r="L720" i="35"/>
  <c r="K720" i="35"/>
  <c r="J720" i="35"/>
  <c r="I720" i="35"/>
  <c r="H720" i="35"/>
  <c r="BJ719" i="35"/>
  <c r="BI719" i="35"/>
  <c r="BE719" i="35"/>
  <c r="BD719" i="35"/>
  <c r="AZ719" i="35"/>
  <c r="AY719" i="35"/>
  <c r="AX719" i="35"/>
  <c r="AW719" i="35"/>
  <c r="AS719" i="35"/>
  <c r="AR719" i="35"/>
  <c r="AQ719" i="35"/>
  <c r="BH719" i="35" s="1"/>
  <c r="AP719" i="35"/>
  <c r="BC719" i="35" s="1"/>
  <c r="AO719" i="35"/>
  <c r="AL719" i="35"/>
  <c r="AK719" i="35"/>
  <c r="AM719" i="35" s="1"/>
  <c r="AJ719" i="35"/>
  <c r="AI719" i="35"/>
  <c r="AF719" i="35"/>
  <c r="AC719" i="35"/>
  <c r="AB719" i="35"/>
  <c r="AA719" i="35"/>
  <c r="Z719" i="35"/>
  <c r="Y719" i="35"/>
  <c r="X719" i="35"/>
  <c r="W719" i="35"/>
  <c r="T719" i="35"/>
  <c r="BK719" i="35" s="1"/>
  <c r="O719" i="35"/>
  <c r="N719" i="35"/>
  <c r="M719" i="35"/>
  <c r="L719" i="35"/>
  <c r="K719" i="35"/>
  <c r="J719" i="35"/>
  <c r="I719" i="35"/>
  <c r="H719" i="35"/>
  <c r="BJ718" i="35"/>
  <c r="BI718" i="35"/>
  <c r="BH718" i="35"/>
  <c r="BD718" i="35"/>
  <c r="BC718" i="35"/>
  <c r="BA718" i="35"/>
  <c r="AZ718" i="35"/>
  <c r="AY718" i="35"/>
  <c r="AX718" i="35"/>
  <c r="AW718" i="35"/>
  <c r="AV718" i="35"/>
  <c r="AR718" i="35"/>
  <c r="AQ718" i="35"/>
  <c r="AP718" i="35"/>
  <c r="BB718" i="35" s="1"/>
  <c r="AO718" i="35"/>
  <c r="AL718" i="35"/>
  <c r="AK718" i="35"/>
  <c r="AM718" i="35" s="1"/>
  <c r="AJ718" i="35"/>
  <c r="AI718" i="35"/>
  <c r="AF718" i="35"/>
  <c r="AC718" i="35"/>
  <c r="AB718" i="35"/>
  <c r="AA718" i="35"/>
  <c r="Z718" i="35"/>
  <c r="Y718" i="35"/>
  <c r="X718" i="35"/>
  <c r="T718" i="35"/>
  <c r="BK718" i="35" s="1"/>
  <c r="O718" i="35"/>
  <c r="N718" i="35"/>
  <c r="M718" i="35"/>
  <c r="L718" i="35"/>
  <c r="K718" i="35"/>
  <c r="J718" i="35"/>
  <c r="I718" i="35"/>
  <c r="H718" i="35"/>
  <c r="BJ717" i="35"/>
  <c r="BI717" i="35"/>
  <c r="BG717" i="35"/>
  <c r="BC717" i="35"/>
  <c r="AX717" i="35"/>
  <c r="AW717" i="35"/>
  <c r="AV717" i="35"/>
  <c r="AU717" i="35"/>
  <c r="AR717" i="35"/>
  <c r="AQ717" i="35"/>
  <c r="BH717" i="35" s="1"/>
  <c r="AP717" i="35"/>
  <c r="BA717" i="35" s="1"/>
  <c r="AO717" i="35"/>
  <c r="AL717" i="35"/>
  <c r="AK717" i="35"/>
  <c r="AM717" i="35" s="1"/>
  <c r="AI717" i="35"/>
  <c r="AJ717" i="35" s="1"/>
  <c r="AF717" i="35"/>
  <c r="AC717" i="35"/>
  <c r="AB717" i="35"/>
  <c r="AA717" i="35"/>
  <c r="Z717" i="35"/>
  <c r="Y717" i="35"/>
  <c r="X717" i="35"/>
  <c r="T717" i="35"/>
  <c r="BK717" i="35" s="1"/>
  <c r="O717" i="35"/>
  <c r="N717" i="35"/>
  <c r="M717" i="35"/>
  <c r="L717" i="35"/>
  <c r="K717" i="35"/>
  <c r="J717" i="35"/>
  <c r="I717" i="35"/>
  <c r="H717" i="35"/>
  <c r="BJ716" i="35"/>
  <c r="BI716" i="35"/>
  <c r="BH716" i="35"/>
  <c r="AR716" i="35"/>
  <c r="AQ716" i="35"/>
  <c r="AP716" i="35"/>
  <c r="AO716" i="35"/>
  <c r="AL716" i="35"/>
  <c r="AK716" i="35"/>
  <c r="AM716" i="35" s="1"/>
  <c r="AI716" i="35"/>
  <c r="AJ716" i="35" s="1"/>
  <c r="AF716" i="35"/>
  <c r="AC716" i="35"/>
  <c r="AB716" i="35"/>
  <c r="AA716" i="35"/>
  <c r="Z716" i="35"/>
  <c r="Y716" i="35"/>
  <c r="X716" i="35"/>
  <c r="T716" i="35"/>
  <c r="BK716" i="35" s="1"/>
  <c r="O716" i="35"/>
  <c r="N716" i="35"/>
  <c r="M716" i="35"/>
  <c r="L716" i="35"/>
  <c r="K716" i="35"/>
  <c r="J716" i="35"/>
  <c r="I716" i="35"/>
  <c r="H716" i="35"/>
  <c r="BJ715" i="35"/>
  <c r="BI715" i="35"/>
  <c r="BH715" i="35"/>
  <c r="BG715" i="35"/>
  <c r="BF715" i="35"/>
  <c r="BE715" i="35"/>
  <c r="BD715" i="35"/>
  <c r="BC715" i="35"/>
  <c r="BA715" i="35"/>
  <c r="AZ715" i="35"/>
  <c r="AY715" i="35"/>
  <c r="AX715" i="35"/>
  <c r="AW715" i="35"/>
  <c r="AV715" i="35"/>
  <c r="AU715" i="35"/>
  <c r="AT715" i="35"/>
  <c r="AS715" i="35"/>
  <c r="AR715" i="35"/>
  <c r="AQ715" i="35"/>
  <c r="AP715" i="35"/>
  <c r="BB715" i="35" s="1"/>
  <c r="AO715" i="35"/>
  <c r="AL715" i="35"/>
  <c r="AK715" i="35"/>
  <c r="AM715" i="35" s="1"/>
  <c r="AI715" i="35"/>
  <c r="AJ715" i="35" s="1"/>
  <c r="AF715" i="35"/>
  <c r="AC715" i="35"/>
  <c r="AB715" i="35"/>
  <c r="AA715" i="35"/>
  <c r="Z715" i="35"/>
  <c r="Y715" i="35"/>
  <c r="X715" i="35"/>
  <c r="W715" i="35"/>
  <c r="T715" i="35"/>
  <c r="BK715" i="35" s="1"/>
  <c r="O715" i="35"/>
  <c r="N715" i="35"/>
  <c r="M715" i="35"/>
  <c r="L715" i="35"/>
  <c r="K715" i="35"/>
  <c r="J715" i="35"/>
  <c r="I715" i="35"/>
  <c r="H715" i="35"/>
  <c r="BJ714" i="35"/>
  <c r="BI714" i="35"/>
  <c r="BG714" i="35"/>
  <c r="BF714" i="35"/>
  <c r="BE714" i="35"/>
  <c r="BD714" i="35"/>
  <c r="BC714" i="35"/>
  <c r="AZ714" i="35"/>
  <c r="AY714" i="35"/>
  <c r="AW714" i="35"/>
  <c r="AU714" i="35"/>
  <c r="AT714" i="35"/>
  <c r="AS714" i="35"/>
  <c r="AR714" i="35"/>
  <c r="AQ714" i="35"/>
  <c r="BH714" i="35" s="1"/>
  <c r="AP714" i="35"/>
  <c r="AX714" i="35" s="1"/>
  <c r="AO714" i="35"/>
  <c r="AM714" i="35"/>
  <c r="AL714" i="35"/>
  <c r="AK714" i="35"/>
  <c r="AJ714" i="35"/>
  <c r="AI714" i="35"/>
  <c r="AF714" i="35"/>
  <c r="AC714" i="35"/>
  <c r="AB714" i="35"/>
  <c r="AA714" i="35"/>
  <c r="Z714" i="35"/>
  <c r="Y714" i="35"/>
  <c r="X714" i="35"/>
  <c r="T714" i="35"/>
  <c r="W714" i="35" s="1"/>
  <c r="O714" i="35"/>
  <c r="N714" i="35"/>
  <c r="M714" i="35"/>
  <c r="L714" i="35"/>
  <c r="K714" i="35"/>
  <c r="J714" i="35"/>
  <c r="I714" i="35"/>
  <c r="H714" i="35"/>
  <c r="BK713" i="35"/>
  <c r="BJ713" i="35"/>
  <c r="BI713" i="35"/>
  <c r="BF713" i="35"/>
  <c r="BE713" i="35"/>
  <c r="BD713" i="35"/>
  <c r="BC713" i="35"/>
  <c r="AY713" i="35"/>
  <c r="AT713" i="35"/>
  <c r="AS713" i="35"/>
  <c r="AR713" i="35"/>
  <c r="AQ713" i="35"/>
  <c r="BH713" i="35" s="1"/>
  <c r="AP713" i="35"/>
  <c r="AW713" i="35" s="1"/>
  <c r="AO713" i="35"/>
  <c r="AL713" i="35"/>
  <c r="AK713" i="35"/>
  <c r="AI713" i="35"/>
  <c r="AJ713" i="35" s="1"/>
  <c r="AF713" i="35"/>
  <c r="AC713" i="35"/>
  <c r="AB713" i="35"/>
  <c r="AA713" i="35"/>
  <c r="Z713" i="35"/>
  <c r="Y713" i="35"/>
  <c r="X713" i="35"/>
  <c r="W713" i="35"/>
  <c r="T713" i="35"/>
  <c r="O713" i="35"/>
  <c r="N713" i="35"/>
  <c r="M713" i="35"/>
  <c r="L713" i="35"/>
  <c r="K713" i="35"/>
  <c r="J713" i="35"/>
  <c r="I713" i="35"/>
  <c r="H713" i="35"/>
  <c r="BJ712" i="35"/>
  <c r="BI712" i="35"/>
  <c r="BC712" i="35"/>
  <c r="AX712" i="35"/>
  <c r="AR712" i="35"/>
  <c r="AQ712" i="35"/>
  <c r="BH712" i="35" s="1"/>
  <c r="AP712" i="35"/>
  <c r="AV712" i="35" s="1"/>
  <c r="AO712" i="35"/>
  <c r="AL712" i="35"/>
  <c r="AK712" i="35"/>
  <c r="AM712" i="35" s="1"/>
  <c r="AJ712" i="35"/>
  <c r="AI712" i="35"/>
  <c r="AF712" i="35"/>
  <c r="AC712" i="35"/>
  <c r="AB712" i="35"/>
  <c r="AA712" i="35"/>
  <c r="Z712" i="35"/>
  <c r="Y712" i="35"/>
  <c r="X712" i="35"/>
  <c r="W712" i="35"/>
  <c r="T712" i="35"/>
  <c r="BK712" i="35" s="1"/>
  <c r="O712" i="35"/>
  <c r="N712" i="35"/>
  <c r="M712" i="35"/>
  <c r="L712" i="35"/>
  <c r="K712" i="35"/>
  <c r="J712" i="35"/>
  <c r="I712" i="35"/>
  <c r="H712" i="35"/>
  <c r="BJ711" i="35"/>
  <c r="BI711" i="35"/>
  <c r="AW711" i="35"/>
  <c r="AR711" i="35"/>
  <c r="AQ711" i="35"/>
  <c r="BH711" i="35" s="1"/>
  <c r="AP711" i="35"/>
  <c r="BG711" i="35" s="1"/>
  <c r="AO711" i="35"/>
  <c r="AM711" i="35"/>
  <c r="AL711" i="35"/>
  <c r="AK711" i="35"/>
  <c r="AJ711" i="35"/>
  <c r="AI711" i="35"/>
  <c r="AF711" i="35"/>
  <c r="AC711" i="35"/>
  <c r="AB711" i="35"/>
  <c r="AA711" i="35"/>
  <c r="Z711" i="35"/>
  <c r="Y711" i="35"/>
  <c r="X711" i="35"/>
  <c r="T711" i="35"/>
  <c r="O711" i="35"/>
  <c r="N711" i="35"/>
  <c r="M711" i="35"/>
  <c r="L711" i="35"/>
  <c r="K711" i="35"/>
  <c r="J711" i="35"/>
  <c r="I711" i="35"/>
  <c r="H711" i="35"/>
  <c r="BK710" i="35"/>
  <c r="BJ710" i="35"/>
  <c r="BI710" i="35"/>
  <c r="BH710" i="35"/>
  <c r="BA710" i="35"/>
  <c r="AZ710" i="35"/>
  <c r="AV710" i="35"/>
  <c r="AR710" i="35"/>
  <c r="AQ710" i="35"/>
  <c r="AP710" i="35"/>
  <c r="BF710" i="35" s="1"/>
  <c r="AO710" i="35"/>
  <c r="AM710" i="35"/>
  <c r="AL710" i="35"/>
  <c r="AK710" i="35"/>
  <c r="AI710" i="35"/>
  <c r="AJ710" i="35" s="1"/>
  <c r="AF710" i="35"/>
  <c r="AC710" i="35"/>
  <c r="AB710" i="35"/>
  <c r="AA710" i="35"/>
  <c r="Z710" i="35"/>
  <c r="Y710" i="35"/>
  <c r="X710" i="35"/>
  <c r="W710" i="35"/>
  <c r="T710" i="35"/>
  <c r="O710" i="35"/>
  <c r="N710" i="35"/>
  <c r="M710" i="35"/>
  <c r="L710" i="35"/>
  <c r="K710" i="35"/>
  <c r="J710" i="35"/>
  <c r="I710" i="35"/>
  <c r="H710" i="35"/>
  <c r="BK709" i="35"/>
  <c r="BJ709" i="35"/>
  <c r="BI709" i="35"/>
  <c r="BG709" i="35"/>
  <c r="AZ709" i="35"/>
  <c r="AY709" i="35"/>
  <c r="AU709" i="35"/>
  <c r="AR709" i="35"/>
  <c r="AQ709" i="35"/>
  <c r="BH709" i="35" s="1"/>
  <c r="AP709" i="35"/>
  <c r="BE709" i="35" s="1"/>
  <c r="AO709" i="35"/>
  <c r="AM709" i="35"/>
  <c r="AL709" i="35"/>
  <c r="AK709" i="35"/>
  <c r="AJ709" i="35"/>
  <c r="AI709" i="35"/>
  <c r="AF709" i="35"/>
  <c r="AC709" i="35"/>
  <c r="AB709" i="35"/>
  <c r="AA709" i="35"/>
  <c r="Z709" i="35"/>
  <c r="Y709" i="35"/>
  <c r="X709" i="35"/>
  <c r="W709" i="35"/>
  <c r="T709" i="35"/>
  <c r="O709" i="35"/>
  <c r="N709" i="35"/>
  <c r="M709" i="35"/>
  <c r="L709" i="35"/>
  <c r="K709" i="35"/>
  <c r="J709" i="35"/>
  <c r="I709" i="35"/>
  <c r="H709" i="35"/>
  <c r="BK708" i="35"/>
  <c r="BJ708" i="35"/>
  <c r="BI708" i="35"/>
  <c r="BF708" i="35"/>
  <c r="BE708" i="35"/>
  <c r="BD708" i="35"/>
  <c r="BC708" i="35"/>
  <c r="BA708" i="35"/>
  <c r="AZ708" i="35"/>
  <c r="AY708" i="35"/>
  <c r="AX708" i="35"/>
  <c r="AW708" i="35"/>
  <c r="AT708" i="35"/>
  <c r="AS708" i="35"/>
  <c r="AR708" i="35"/>
  <c r="AQ708" i="35"/>
  <c r="BH708" i="35" s="1"/>
  <c r="AP708" i="35"/>
  <c r="BB708" i="35" s="1"/>
  <c r="AO708" i="35"/>
  <c r="AL708" i="35"/>
  <c r="AK708" i="35"/>
  <c r="AM708" i="35" s="1"/>
  <c r="AJ708" i="35"/>
  <c r="AI708" i="35"/>
  <c r="AF708" i="35"/>
  <c r="AC708" i="35"/>
  <c r="AB708" i="35"/>
  <c r="AA708" i="35"/>
  <c r="Z708" i="35"/>
  <c r="Y708" i="35"/>
  <c r="X708" i="35"/>
  <c r="W708" i="35"/>
  <c r="T708" i="35"/>
  <c r="O708" i="35"/>
  <c r="N708" i="35"/>
  <c r="M708" i="35"/>
  <c r="L708" i="35"/>
  <c r="K708" i="35"/>
  <c r="J708" i="35"/>
  <c r="I708" i="35"/>
  <c r="H708" i="35"/>
  <c r="BJ707" i="35"/>
  <c r="BI707" i="35"/>
  <c r="BH707" i="35"/>
  <c r="BE707" i="35"/>
  <c r="AZ707" i="35"/>
  <c r="AY707" i="35"/>
  <c r="AX707" i="35"/>
  <c r="AW707" i="35"/>
  <c r="AS707" i="35"/>
  <c r="AR707" i="35"/>
  <c r="AQ707" i="35"/>
  <c r="AP707" i="35"/>
  <c r="BC707" i="35" s="1"/>
  <c r="AO707" i="35"/>
  <c r="AL707" i="35"/>
  <c r="AK707" i="35"/>
  <c r="AM707" i="35" s="1"/>
  <c r="AJ707" i="35"/>
  <c r="AI707" i="35"/>
  <c r="AF707" i="35"/>
  <c r="AC707" i="35"/>
  <c r="AB707" i="35"/>
  <c r="AA707" i="35"/>
  <c r="Z707" i="35"/>
  <c r="Y707" i="35"/>
  <c r="X707" i="35"/>
  <c r="W707" i="35"/>
  <c r="T707" i="35"/>
  <c r="BK707" i="35" s="1"/>
  <c r="O707" i="35"/>
  <c r="N707" i="35"/>
  <c r="M707" i="35"/>
  <c r="L707" i="35"/>
  <c r="K707" i="35"/>
  <c r="J707" i="35"/>
  <c r="I707" i="35"/>
  <c r="H707" i="35"/>
  <c r="BJ706" i="35"/>
  <c r="BI706" i="35"/>
  <c r="BH706" i="35"/>
  <c r="BG706" i="35"/>
  <c r="BD706" i="35"/>
  <c r="BC706" i="35"/>
  <c r="BA706" i="35"/>
  <c r="AY706" i="35"/>
  <c r="AX706" i="35"/>
  <c r="AW706" i="35"/>
  <c r="AV706" i="35"/>
  <c r="AU706" i="35"/>
  <c r="AR706" i="35"/>
  <c r="AQ706" i="35"/>
  <c r="AP706" i="35"/>
  <c r="BB706" i="35" s="1"/>
  <c r="AO706" i="35"/>
  <c r="AL706" i="35"/>
  <c r="AK706" i="35"/>
  <c r="AM706" i="35" s="1"/>
  <c r="AJ706" i="35"/>
  <c r="AI706" i="35"/>
  <c r="AF706" i="35"/>
  <c r="AC706" i="35"/>
  <c r="AB706" i="35"/>
  <c r="AA706" i="35"/>
  <c r="Z706" i="35"/>
  <c r="Y706" i="35"/>
  <c r="X706" i="35"/>
  <c r="T706" i="35"/>
  <c r="BK706" i="35" s="1"/>
  <c r="O706" i="35"/>
  <c r="N706" i="35"/>
  <c r="M706" i="35"/>
  <c r="L706" i="35"/>
  <c r="K706" i="35"/>
  <c r="J706" i="35"/>
  <c r="I706" i="35"/>
  <c r="H706" i="35"/>
  <c r="BJ705" i="35"/>
  <c r="BI705" i="35"/>
  <c r="BG705" i="35"/>
  <c r="BC705" i="35"/>
  <c r="AZ705" i="35"/>
  <c r="AX705" i="35"/>
  <c r="AW705" i="35"/>
  <c r="AV705" i="35"/>
  <c r="AU705" i="35"/>
  <c r="AR705" i="35"/>
  <c r="AQ705" i="35"/>
  <c r="BH705" i="35" s="1"/>
  <c r="AP705" i="35"/>
  <c r="BA705" i="35" s="1"/>
  <c r="AO705" i="35"/>
  <c r="AL705" i="35"/>
  <c r="AK705" i="35"/>
  <c r="AM705" i="35" s="1"/>
  <c r="AI705" i="35"/>
  <c r="AJ705" i="35" s="1"/>
  <c r="AF705" i="35"/>
  <c r="AC705" i="35"/>
  <c r="AB705" i="35"/>
  <c r="AA705" i="35"/>
  <c r="Z705" i="35"/>
  <c r="Y705" i="35"/>
  <c r="X705" i="35"/>
  <c r="W705" i="35"/>
  <c r="T705" i="35"/>
  <c r="BK705" i="35" s="1"/>
  <c r="O705" i="35"/>
  <c r="N705" i="35"/>
  <c r="M705" i="35"/>
  <c r="L705" i="35"/>
  <c r="K705" i="35"/>
  <c r="J705" i="35"/>
  <c r="I705" i="35"/>
  <c r="H705" i="35"/>
  <c r="BJ704" i="35"/>
  <c r="BI704" i="35"/>
  <c r="BH704" i="35"/>
  <c r="BB704" i="35"/>
  <c r="AR704" i="35"/>
  <c r="AQ704" i="35"/>
  <c r="AP704" i="35"/>
  <c r="AO704" i="35"/>
  <c r="AL704" i="35"/>
  <c r="AK704" i="35"/>
  <c r="AM704" i="35" s="1"/>
  <c r="AJ704" i="35"/>
  <c r="AI704" i="35"/>
  <c r="AF704" i="35"/>
  <c r="AC704" i="35"/>
  <c r="AB704" i="35"/>
  <c r="AA704" i="35"/>
  <c r="Z704" i="35"/>
  <c r="Y704" i="35"/>
  <c r="X704" i="35"/>
  <c r="T704" i="35"/>
  <c r="BK704" i="35" s="1"/>
  <c r="O704" i="35"/>
  <c r="N704" i="35"/>
  <c r="M704" i="35"/>
  <c r="L704" i="35"/>
  <c r="K704" i="35"/>
  <c r="J704" i="35"/>
  <c r="I704" i="35"/>
  <c r="H704" i="35"/>
  <c r="BJ703" i="35"/>
  <c r="BI703" i="35"/>
  <c r="BH703" i="35"/>
  <c r="BG703" i="35"/>
  <c r="BF703" i="35"/>
  <c r="BE703" i="35"/>
  <c r="BD703" i="35"/>
  <c r="BC703" i="35"/>
  <c r="BA703" i="35"/>
  <c r="AZ703" i="35"/>
  <c r="AX703" i="35"/>
  <c r="AV703" i="35"/>
  <c r="AU703" i="35"/>
  <c r="AT703" i="35"/>
  <c r="AS703" i="35"/>
  <c r="AR703" i="35"/>
  <c r="AQ703" i="35"/>
  <c r="AP703" i="35"/>
  <c r="AY703" i="35" s="1"/>
  <c r="AO703" i="35"/>
  <c r="AL703" i="35"/>
  <c r="AK703" i="35"/>
  <c r="AM703" i="35" s="1"/>
  <c r="AI703" i="35"/>
  <c r="AJ703" i="35" s="1"/>
  <c r="AF703" i="35"/>
  <c r="AC703" i="35"/>
  <c r="AB703" i="35"/>
  <c r="AA703" i="35"/>
  <c r="Z703" i="35"/>
  <c r="Y703" i="35"/>
  <c r="X703" i="35"/>
  <c r="W703" i="35"/>
  <c r="T703" i="35"/>
  <c r="BK703" i="35" s="1"/>
  <c r="O703" i="35"/>
  <c r="N703" i="35"/>
  <c r="M703" i="35"/>
  <c r="L703" i="35"/>
  <c r="K703" i="35"/>
  <c r="J703" i="35"/>
  <c r="I703" i="35"/>
  <c r="H703" i="35"/>
  <c r="BJ702" i="35"/>
  <c r="BI702" i="35"/>
  <c r="BG702" i="35"/>
  <c r="BF702" i="35"/>
  <c r="BE702" i="35"/>
  <c r="BD702" i="35"/>
  <c r="BC702" i="35"/>
  <c r="AZ702" i="35"/>
  <c r="AW702" i="35"/>
  <c r="AU702" i="35"/>
  <c r="AT702" i="35"/>
  <c r="AS702" i="35"/>
  <c r="AR702" i="35"/>
  <c r="AQ702" i="35"/>
  <c r="BH702" i="35" s="1"/>
  <c r="AP702" i="35"/>
  <c r="AX702" i="35" s="1"/>
  <c r="AO702" i="35"/>
  <c r="AM702" i="35"/>
  <c r="AL702" i="35"/>
  <c r="AK702" i="35"/>
  <c r="AJ702" i="35"/>
  <c r="AI702" i="35"/>
  <c r="AF702" i="35"/>
  <c r="AC702" i="35"/>
  <c r="AB702" i="35"/>
  <c r="AA702" i="35"/>
  <c r="Z702" i="35"/>
  <c r="Y702" i="35"/>
  <c r="X702" i="35"/>
  <c r="T702" i="35"/>
  <c r="W702" i="35" s="1"/>
  <c r="O702" i="35"/>
  <c r="N702" i="35"/>
  <c r="M702" i="35"/>
  <c r="L702" i="35"/>
  <c r="K702" i="35"/>
  <c r="J702" i="35"/>
  <c r="I702" i="35"/>
  <c r="H702" i="35"/>
  <c r="BK701" i="35"/>
  <c r="BJ701" i="35"/>
  <c r="BI701" i="35"/>
  <c r="BF701" i="35"/>
  <c r="BE701" i="35"/>
  <c r="BD701" i="35"/>
  <c r="BC701" i="35"/>
  <c r="AY701" i="35"/>
  <c r="AV701" i="35"/>
  <c r="AT701" i="35"/>
  <c r="AS701" i="35"/>
  <c r="AR701" i="35"/>
  <c r="AQ701" i="35"/>
  <c r="BH701" i="35" s="1"/>
  <c r="AP701" i="35"/>
  <c r="AW701" i="35" s="1"/>
  <c r="AO701" i="35"/>
  <c r="AL701" i="35"/>
  <c r="AK701" i="35"/>
  <c r="AM701" i="35" s="1"/>
  <c r="AI701" i="35"/>
  <c r="AJ701" i="35" s="1"/>
  <c r="AF701" i="35"/>
  <c r="AC701" i="35"/>
  <c r="AB701" i="35"/>
  <c r="AA701" i="35"/>
  <c r="Z701" i="35"/>
  <c r="Y701" i="35"/>
  <c r="X701" i="35"/>
  <c r="W701" i="35"/>
  <c r="T701" i="35"/>
  <c r="O701" i="35"/>
  <c r="N701" i="35"/>
  <c r="M701" i="35"/>
  <c r="L701" i="35"/>
  <c r="K701" i="35"/>
  <c r="J701" i="35"/>
  <c r="I701" i="35"/>
  <c r="H701" i="35"/>
  <c r="BJ700" i="35"/>
  <c r="BI700" i="35"/>
  <c r="BC700" i="35"/>
  <c r="AX700" i="35"/>
  <c r="AR700" i="35"/>
  <c r="AQ700" i="35"/>
  <c r="BH700" i="35" s="1"/>
  <c r="AP700" i="35"/>
  <c r="AV700" i="35" s="1"/>
  <c r="AO700" i="35"/>
  <c r="AL700" i="35"/>
  <c r="AK700" i="35"/>
  <c r="AM700" i="35" s="1"/>
  <c r="AJ700" i="35"/>
  <c r="AI700" i="35"/>
  <c r="AF700" i="35"/>
  <c r="AC700" i="35"/>
  <c r="AB700" i="35"/>
  <c r="AA700" i="35"/>
  <c r="Z700" i="35"/>
  <c r="Y700" i="35"/>
  <c r="X700" i="35"/>
  <c r="W700" i="35"/>
  <c r="T700" i="35"/>
  <c r="BK700" i="35" s="1"/>
  <c r="O700" i="35"/>
  <c r="N700" i="35"/>
  <c r="M700" i="35"/>
  <c r="L700" i="35"/>
  <c r="K700" i="35"/>
  <c r="J700" i="35"/>
  <c r="I700" i="35"/>
  <c r="H700" i="35"/>
  <c r="BJ699" i="35"/>
  <c r="BI699" i="35"/>
  <c r="AW699" i="35"/>
  <c r="AR699" i="35"/>
  <c r="AQ699" i="35"/>
  <c r="BH699" i="35" s="1"/>
  <c r="AP699" i="35"/>
  <c r="BG699" i="35" s="1"/>
  <c r="AO699" i="35"/>
  <c r="AM699" i="35"/>
  <c r="AL699" i="35"/>
  <c r="AK699" i="35"/>
  <c r="AJ699" i="35"/>
  <c r="AI699" i="35"/>
  <c r="AF699" i="35"/>
  <c r="AC699" i="35"/>
  <c r="AB699" i="35"/>
  <c r="AA699" i="35"/>
  <c r="Z699" i="35"/>
  <c r="Y699" i="35"/>
  <c r="X699" i="35"/>
  <c r="T699" i="35"/>
  <c r="O699" i="35"/>
  <c r="N699" i="35"/>
  <c r="M699" i="35"/>
  <c r="L699" i="35"/>
  <c r="K699" i="35"/>
  <c r="J699" i="35"/>
  <c r="I699" i="35"/>
  <c r="H699" i="35"/>
  <c r="BK698" i="35"/>
  <c r="BJ698" i="35"/>
  <c r="BI698" i="35"/>
  <c r="BH698" i="35"/>
  <c r="BC698" i="35"/>
  <c r="BA698" i="35"/>
  <c r="AZ698" i="35"/>
  <c r="AV698" i="35"/>
  <c r="AR698" i="35"/>
  <c r="AQ698" i="35"/>
  <c r="AP698" i="35"/>
  <c r="BF698" i="35" s="1"/>
  <c r="AO698" i="35"/>
  <c r="AM698" i="35"/>
  <c r="AL698" i="35"/>
  <c r="AK698" i="35"/>
  <c r="AI698" i="35"/>
  <c r="AJ698" i="35" s="1"/>
  <c r="AF698" i="35"/>
  <c r="AC698" i="35"/>
  <c r="AB698" i="35"/>
  <c r="AA698" i="35"/>
  <c r="Z698" i="35"/>
  <c r="Y698" i="35"/>
  <c r="X698" i="35"/>
  <c r="W698" i="35"/>
  <c r="T698" i="35"/>
  <c r="O698" i="35"/>
  <c r="N698" i="35"/>
  <c r="M698" i="35"/>
  <c r="L698" i="35"/>
  <c r="K698" i="35"/>
  <c r="J698" i="35"/>
  <c r="I698" i="35"/>
  <c r="H698" i="35"/>
  <c r="BK697" i="35"/>
  <c r="BJ697" i="35"/>
  <c r="BI697" i="35"/>
  <c r="BG697" i="35"/>
  <c r="AZ697" i="35"/>
  <c r="AY697" i="35"/>
  <c r="AU697" i="35"/>
  <c r="AR697" i="35"/>
  <c r="AQ697" i="35"/>
  <c r="BH697" i="35" s="1"/>
  <c r="AP697" i="35"/>
  <c r="BE697" i="35" s="1"/>
  <c r="AO697" i="35"/>
  <c r="AM697" i="35"/>
  <c r="AL697" i="35"/>
  <c r="AK697" i="35"/>
  <c r="AJ697" i="35"/>
  <c r="AI697" i="35"/>
  <c r="AF697" i="35"/>
  <c r="AC697" i="35"/>
  <c r="AB697" i="35"/>
  <c r="AA697" i="35"/>
  <c r="Z697" i="35"/>
  <c r="Y697" i="35"/>
  <c r="X697" i="35"/>
  <c r="W697" i="35"/>
  <c r="T697" i="35"/>
  <c r="O697" i="35"/>
  <c r="N697" i="35"/>
  <c r="M697" i="35"/>
  <c r="L697" i="35"/>
  <c r="K697" i="35"/>
  <c r="J697" i="35"/>
  <c r="I697" i="35"/>
  <c r="H697" i="35"/>
  <c r="BK696" i="35"/>
  <c r="BJ696" i="35"/>
  <c r="BI696" i="35"/>
  <c r="BF696" i="35"/>
  <c r="BE696" i="35"/>
  <c r="BC696" i="35"/>
  <c r="BA696" i="35"/>
  <c r="AZ696" i="35"/>
  <c r="AY696" i="35"/>
  <c r="AX696" i="35"/>
  <c r="AW696" i="35"/>
  <c r="AV696" i="35"/>
  <c r="AT696" i="35"/>
  <c r="AS696" i="35"/>
  <c r="AR696" i="35"/>
  <c r="AQ696" i="35"/>
  <c r="BH696" i="35" s="1"/>
  <c r="AP696" i="35"/>
  <c r="BD696" i="35" s="1"/>
  <c r="AO696" i="35"/>
  <c r="AL696" i="35"/>
  <c r="AK696" i="35"/>
  <c r="AM696" i="35" s="1"/>
  <c r="AJ696" i="35"/>
  <c r="AI696" i="35"/>
  <c r="AF696" i="35"/>
  <c r="AC696" i="35"/>
  <c r="AB696" i="35"/>
  <c r="AA696" i="35"/>
  <c r="Z696" i="35"/>
  <c r="Y696" i="35"/>
  <c r="X696" i="35"/>
  <c r="W696" i="35"/>
  <c r="T696" i="35"/>
  <c r="O696" i="35"/>
  <c r="N696" i="35"/>
  <c r="M696" i="35"/>
  <c r="L696" i="35"/>
  <c r="K696" i="35"/>
  <c r="J696" i="35"/>
  <c r="I696" i="35"/>
  <c r="H696" i="35"/>
  <c r="BJ695" i="35"/>
  <c r="BI695" i="35"/>
  <c r="BH695" i="35"/>
  <c r="BE695" i="35"/>
  <c r="AZ695" i="35"/>
  <c r="AX695" i="35"/>
  <c r="AW695" i="35"/>
  <c r="AS695" i="35"/>
  <c r="AR695" i="35"/>
  <c r="AQ695" i="35"/>
  <c r="AP695" i="35"/>
  <c r="BC695" i="35" s="1"/>
  <c r="AO695" i="35"/>
  <c r="AL695" i="35"/>
  <c r="AK695" i="35"/>
  <c r="AM695" i="35" s="1"/>
  <c r="AJ695" i="35"/>
  <c r="AI695" i="35"/>
  <c r="AF695" i="35"/>
  <c r="AC695" i="35"/>
  <c r="AB695" i="35"/>
  <c r="AA695" i="35"/>
  <c r="Z695" i="35"/>
  <c r="Y695" i="35"/>
  <c r="X695" i="35"/>
  <c r="W695" i="35"/>
  <c r="T695" i="35"/>
  <c r="BK695" i="35" s="1"/>
  <c r="O695" i="35"/>
  <c r="N695" i="35"/>
  <c r="M695" i="35"/>
  <c r="L695" i="35"/>
  <c r="K695" i="35"/>
  <c r="J695" i="35"/>
  <c r="I695" i="35"/>
  <c r="H695" i="35"/>
  <c r="BJ694" i="35"/>
  <c r="BI694" i="35"/>
  <c r="BH694" i="35"/>
  <c r="BG694" i="35"/>
  <c r="BF694" i="35"/>
  <c r="BD694" i="35"/>
  <c r="BC694" i="35"/>
  <c r="BA694" i="35"/>
  <c r="AY694" i="35"/>
  <c r="AX694" i="35"/>
  <c r="AW694" i="35"/>
  <c r="AV694" i="35"/>
  <c r="AU694" i="35"/>
  <c r="AT694" i="35"/>
  <c r="AS694" i="35"/>
  <c r="AR694" i="35"/>
  <c r="AQ694" i="35"/>
  <c r="AP694" i="35"/>
  <c r="BB694" i="35" s="1"/>
  <c r="AO694" i="35"/>
  <c r="AL694" i="35"/>
  <c r="AK694" i="35"/>
  <c r="AM694" i="35" s="1"/>
  <c r="AJ694" i="35"/>
  <c r="AI694" i="35"/>
  <c r="AF694" i="35"/>
  <c r="AC694" i="35"/>
  <c r="AB694" i="35"/>
  <c r="AA694" i="35"/>
  <c r="Z694" i="35"/>
  <c r="Y694" i="35"/>
  <c r="X694" i="35"/>
  <c r="T694" i="35"/>
  <c r="O694" i="35"/>
  <c r="N694" i="35"/>
  <c r="M694" i="35"/>
  <c r="L694" i="35"/>
  <c r="K694" i="35"/>
  <c r="J694" i="35"/>
  <c r="I694" i="35"/>
  <c r="H694" i="35"/>
  <c r="BJ693" i="35"/>
  <c r="BI693" i="35"/>
  <c r="BH693" i="35"/>
  <c r="BG693" i="35"/>
  <c r="BE693" i="35"/>
  <c r="BC693" i="35"/>
  <c r="AZ693" i="35"/>
  <c r="AX693" i="35"/>
  <c r="AW693" i="35"/>
  <c r="AV693" i="35"/>
  <c r="AU693" i="35"/>
  <c r="AS693" i="35"/>
  <c r="AR693" i="35"/>
  <c r="AQ693" i="35"/>
  <c r="AP693" i="35"/>
  <c r="BA693" i="35" s="1"/>
  <c r="AO693" i="35"/>
  <c r="AL693" i="35"/>
  <c r="AK693" i="35"/>
  <c r="AM693" i="35" s="1"/>
  <c r="AI693" i="35"/>
  <c r="AJ693" i="35" s="1"/>
  <c r="AF693" i="35"/>
  <c r="AC693" i="35"/>
  <c r="AB693" i="35"/>
  <c r="AA693" i="35"/>
  <c r="Z693" i="35"/>
  <c r="Y693" i="35"/>
  <c r="X693" i="35"/>
  <c r="W693" i="35"/>
  <c r="T693" i="35"/>
  <c r="BK693" i="35" s="1"/>
  <c r="O693" i="35"/>
  <c r="N693" i="35"/>
  <c r="M693" i="35"/>
  <c r="L693" i="35"/>
  <c r="K693" i="35"/>
  <c r="J693" i="35"/>
  <c r="I693" i="35"/>
  <c r="H693" i="35"/>
  <c r="BJ692" i="35"/>
  <c r="BI692" i="35"/>
  <c r="BH692" i="35"/>
  <c r="AR692" i="35"/>
  <c r="AQ692" i="35"/>
  <c r="AP692" i="35"/>
  <c r="AO692" i="35"/>
  <c r="AL692" i="35"/>
  <c r="AK692" i="35"/>
  <c r="AM692" i="35" s="1"/>
  <c r="AJ692" i="35"/>
  <c r="AI692" i="35"/>
  <c r="AF692" i="35"/>
  <c r="AC692" i="35"/>
  <c r="AB692" i="35"/>
  <c r="AA692" i="35"/>
  <c r="Z692" i="35"/>
  <c r="Y692" i="35"/>
  <c r="X692" i="35"/>
  <c r="T692" i="35"/>
  <c r="BK692" i="35" s="1"/>
  <c r="O692" i="35"/>
  <c r="N692" i="35"/>
  <c r="M692" i="35"/>
  <c r="L692" i="35"/>
  <c r="K692" i="35"/>
  <c r="J692" i="35"/>
  <c r="I692" i="35"/>
  <c r="H692" i="35"/>
  <c r="BJ691" i="35"/>
  <c r="BI691" i="35"/>
  <c r="BH691" i="35"/>
  <c r="BG691" i="35"/>
  <c r="BF691" i="35"/>
  <c r="BE691" i="35"/>
  <c r="BD691" i="35"/>
  <c r="BC691" i="35"/>
  <c r="BA691" i="35"/>
  <c r="AZ691" i="35"/>
  <c r="AX691" i="35"/>
  <c r="AV691" i="35"/>
  <c r="AU691" i="35"/>
  <c r="AT691" i="35"/>
  <c r="AS691" i="35"/>
  <c r="AR691" i="35"/>
  <c r="AQ691" i="35"/>
  <c r="AP691" i="35"/>
  <c r="AY691" i="35" s="1"/>
  <c r="AO691" i="35"/>
  <c r="AL691" i="35"/>
  <c r="AK691" i="35"/>
  <c r="AM691" i="35" s="1"/>
  <c r="AI691" i="35"/>
  <c r="AJ691" i="35" s="1"/>
  <c r="AF691" i="35"/>
  <c r="AC691" i="35"/>
  <c r="AB691" i="35"/>
  <c r="AA691" i="35"/>
  <c r="Z691" i="35"/>
  <c r="Y691" i="35"/>
  <c r="X691" i="35"/>
  <c r="W691" i="35"/>
  <c r="T691" i="35"/>
  <c r="BK691" i="35" s="1"/>
  <c r="O691" i="35"/>
  <c r="N691" i="35"/>
  <c r="M691" i="35"/>
  <c r="L691" i="35"/>
  <c r="K691" i="35"/>
  <c r="J691" i="35"/>
  <c r="I691" i="35"/>
  <c r="H691" i="35"/>
  <c r="BJ690" i="35"/>
  <c r="BI690" i="35"/>
  <c r="BG690" i="35"/>
  <c r="BE690" i="35"/>
  <c r="BD690" i="35"/>
  <c r="AZ690" i="35"/>
  <c r="AW690" i="35"/>
  <c r="AU690" i="35"/>
  <c r="AS690" i="35"/>
  <c r="AR690" i="35"/>
  <c r="AQ690" i="35"/>
  <c r="BH690" i="35" s="1"/>
  <c r="AP690" i="35"/>
  <c r="AX690" i="35" s="1"/>
  <c r="AO690" i="35"/>
  <c r="AM690" i="35"/>
  <c r="AL690" i="35"/>
  <c r="AK690" i="35"/>
  <c r="AJ690" i="35"/>
  <c r="AI690" i="35"/>
  <c r="AF690" i="35"/>
  <c r="AC690" i="35"/>
  <c r="AB690" i="35"/>
  <c r="AA690" i="35"/>
  <c r="Z690" i="35"/>
  <c r="Y690" i="35"/>
  <c r="X690" i="35"/>
  <c r="T690" i="35"/>
  <c r="W690" i="35" s="1"/>
  <c r="O690" i="35"/>
  <c r="N690" i="35"/>
  <c r="M690" i="35"/>
  <c r="L690" i="35"/>
  <c r="K690" i="35"/>
  <c r="J690" i="35"/>
  <c r="I690" i="35"/>
  <c r="H690" i="35"/>
  <c r="BK689" i="35"/>
  <c r="BJ689" i="35"/>
  <c r="BI689" i="35"/>
  <c r="BF689" i="35"/>
  <c r="BE689" i="35"/>
  <c r="BD689" i="35"/>
  <c r="BC689" i="35"/>
  <c r="BA689" i="35"/>
  <c r="AY689" i="35"/>
  <c r="AV689" i="35"/>
  <c r="AT689" i="35"/>
  <c r="AS689" i="35"/>
  <c r="AR689" i="35"/>
  <c r="AQ689" i="35"/>
  <c r="BH689" i="35" s="1"/>
  <c r="AP689" i="35"/>
  <c r="AW689" i="35" s="1"/>
  <c r="AO689" i="35"/>
  <c r="AL689" i="35"/>
  <c r="AK689" i="35"/>
  <c r="AM689" i="35" s="1"/>
  <c r="AI689" i="35"/>
  <c r="AJ689" i="35" s="1"/>
  <c r="AF689" i="35"/>
  <c r="AC689" i="35"/>
  <c r="AB689" i="35"/>
  <c r="AA689" i="35"/>
  <c r="Z689" i="35"/>
  <c r="Y689" i="35"/>
  <c r="X689" i="35"/>
  <c r="W689" i="35"/>
  <c r="T689" i="35"/>
  <c r="O689" i="35"/>
  <c r="N689" i="35"/>
  <c r="M689" i="35"/>
  <c r="L689" i="35"/>
  <c r="K689" i="35"/>
  <c r="J689" i="35"/>
  <c r="I689" i="35"/>
  <c r="H689" i="35"/>
  <c r="BJ688" i="35"/>
  <c r="BI688" i="35"/>
  <c r="BC688" i="35"/>
  <c r="AX688" i="35"/>
  <c r="AR688" i="35"/>
  <c r="AQ688" i="35"/>
  <c r="BH688" i="35" s="1"/>
  <c r="AP688" i="35"/>
  <c r="AV688" i="35" s="1"/>
  <c r="AO688" i="35"/>
  <c r="AL688" i="35"/>
  <c r="AK688" i="35"/>
  <c r="AM688" i="35" s="1"/>
  <c r="AJ688" i="35"/>
  <c r="AI688" i="35"/>
  <c r="AF688" i="35"/>
  <c r="AC688" i="35"/>
  <c r="AB688" i="35"/>
  <c r="AA688" i="35"/>
  <c r="Z688" i="35"/>
  <c r="Y688" i="35"/>
  <c r="X688" i="35"/>
  <c r="W688" i="35"/>
  <c r="T688" i="35"/>
  <c r="BK688" i="35" s="1"/>
  <c r="O688" i="35"/>
  <c r="N688" i="35"/>
  <c r="M688" i="35"/>
  <c r="L688" i="35"/>
  <c r="K688" i="35"/>
  <c r="J688" i="35"/>
  <c r="I688" i="35"/>
  <c r="H688" i="35"/>
  <c r="BJ687" i="35"/>
  <c r="BI687" i="35"/>
  <c r="AR687" i="35"/>
  <c r="AQ687" i="35"/>
  <c r="BH687" i="35" s="1"/>
  <c r="AP687" i="35"/>
  <c r="AO687" i="35"/>
  <c r="AL687" i="35"/>
  <c r="AM687" i="35" s="1"/>
  <c r="AK687" i="35"/>
  <c r="AJ687" i="35"/>
  <c r="AI687" i="35"/>
  <c r="AF687" i="35"/>
  <c r="AC687" i="35"/>
  <c r="AB687" i="35"/>
  <c r="AA687" i="35"/>
  <c r="Z687" i="35"/>
  <c r="Y687" i="35"/>
  <c r="X687" i="35"/>
  <c r="T687" i="35"/>
  <c r="O687" i="35"/>
  <c r="N687" i="35"/>
  <c r="M687" i="35"/>
  <c r="L687" i="35"/>
  <c r="K687" i="35"/>
  <c r="J687" i="35"/>
  <c r="I687" i="35"/>
  <c r="H687" i="35"/>
  <c r="BK686" i="35"/>
  <c r="BJ686" i="35"/>
  <c r="BI686" i="35"/>
  <c r="BE686" i="35"/>
  <c r="BC686" i="35"/>
  <c r="BA686" i="35"/>
  <c r="AZ686" i="35"/>
  <c r="AV686" i="35"/>
  <c r="AS686" i="35"/>
  <c r="AR686" i="35"/>
  <c r="AQ686" i="35"/>
  <c r="BH686" i="35" s="1"/>
  <c r="AP686" i="35"/>
  <c r="BF686" i="35" s="1"/>
  <c r="AO686" i="35"/>
  <c r="AM686" i="35"/>
  <c r="AL686" i="35"/>
  <c r="AK686" i="35"/>
  <c r="AI686" i="35"/>
  <c r="AJ686" i="35" s="1"/>
  <c r="AF686" i="35"/>
  <c r="AC686" i="35"/>
  <c r="AB686" i="35"/>
  <c r="AA686" i="35"/>
  <c r="Z686" i="35"/>
  <c r="Y686" i="35"/>
  <c r="X686" i="35"/>
  <c r="W686" i="35"/>
  <c r="T686" i="35"/>
  <c r="O686" i="35"/>
  <c r="N686" i="35"/>
  <c r="M686" i="35"/>
  <c r="L686" i="35"/>
  <c r="K686" i="35"/>
  <c r="J686" i="35"/>
  <c r="I686" i="35"/>
  <c r="H686" i="35"/>
  <c r="BK685" i="35"/>
  <c r="BJ685" i="35"/>
  <c r="BI685" i="35"/>
  <c r="AZ685" i="35"/>
  <c r="AR685" i="35"/>
  <c r="AQ685" i="35"/>
  <c r="BH685" i="35" s="1"/>
  <c r="AP685" i="35"/>
  <c r="BG685" i="35" s="1"/>
  <c r="AO685" i="35"/>
  <c r="AL685" i="35"/>
  <c r="AM685" i="35" s="1"/>
  <c r="AK685" i="35"/>
  <c r="AJ685" i="35"/>
  <c r="AI685" i="35"/>
  <c r="AF685" i="35"/>
  <c r="AC685" i="35"/>
  <c r="AB685" i="35"/>
  <c r="AA685" i="35"/>
  <c r="Z685" i="35"/>
  <c r="Y685" i="35"/>
  <c r="X685" i="35"/>
  <c r="T685" i="35"/>
  <c r="W685" i="35" s="1"/>
  <c r="O685" i="35"/>
  <c r="N685" i="35"/>
  <c r="M685" i="35"/>
  <c r="L685" i="35"/>
  <c r="K685" i="35"/>
  <c r="J685" i="35"/>
  <c r="I685" i="35"/>
  <c r="H685" i="35"/>
  <c r="BK684" i="35"/>
  <c r="BJ684" i="35"/>
  <c r="BI684" i="35"/>
  <c r="BF684" i="35"/>
  <c r="BC684" i="35"/>
  <c r="BA684" i="35"/>
  <c r="AZ684" i="35"/>
  <c r="AY684" i="35"/>
  <c r="AX684" i="35"/>
  <c r="AW684" i="35"/>
  <c r="AV684" i="35"/>
  <c r="AT684" i="35"/>
  <c r="AR684" i="35"/>
  <c r="AQ684" i="35"/>
  <c r="BH684" i="35" s="1"/>
  <c r="AP684" i="35"/>
  <c r="BD684" i="35" s="1"/>
  <c r="AO684" i="35"/>
  <c r="AM684" i="35"/>
  <c r="AL684" i="35"/>
  <c r="AK684" i="35"/>
  <c r="AI684" i="35"/>
  <c r="AJ684" i="35" s="1"/>
  <c r="AF684" i="35"/>
  <c r="AC684" i="35"/>
  <c r="AB684" i="35"/>
  <c r="AA684" i="35"/>
  <c r="Z684" i="35"/>
  <c r="Y684" i="35"/>
  <c r="X684" i="35"/>
  <c r="W684" i="35"/>
  <c r="T684" i="35"/>
  <c r="O684" i="35"/>
  <c r="N684" i="35"/>
  <c r="M684" i="35"/>
  <c r="L684" i="35"/>
  <c r="K684" i="35"/>
  <c r="J684" i="35"/>
  <c r="I684" i="35"/>
  <c r="H684" i="35"/>
  <c r="BK683" i="35"/>
  <c r="BJ683" i="35"/>
  <c r="BI683" i="35"/>
  <c r="BH683" i="35"/>
  <c r="BB683" i="35"/>
  <c r="AW683" i="35"/>
  <c r="AU683" i="35"/>
  <c r="AR683" i="35"/>
  <c r="AQ683" i="35"/>
  <c r="AP683" i="35"/>
  <c r="AO683" i="35"/>
  <c r="AL683" i="35"/>
  <c r="AK683" i="35"/>
  <c r="AM683" i="35" s="1"/>
  <c r="AJ683" i="35"/>
  <c r="AI683" i="35"/>
  <c r="AF683" i="35"/>
  <c r="AC683" i="35"/>
  <c r="AB683" i="35"/>
  <c r="AA683" i="35"/>
  <c r="Z683" i="35"/>
  <c r="Y683" i="35"/>
  <c r="X683" i="35"/>
  <c r="W683" i="35"/>
  <c r="T683" i="35"/>
  <c r="O683" i="35"/>
  <c r="N683" i="35"/>
  <c r="M683" i="35"/>
  <c r="L683" i="35"/>
  <c r="K683" i="35"/>
  <c r="J683" i="35"/>
  <c r="I683" i="35"/>
  <c r="H683" i="35"/>
  <c r="BJ682" i="35"/>
  <c r="BI682" i="35"/>
  <c r="BH682" i="35"/>
  <c r="BG682" i="35"/>
  <c r="BF682" i="35"/>
  <c r="BD682" i="35"/>
  <c r="BA682" i="35"/>
  <c r="AY682" i="35"/>
  <c r="AX682" i="35"/>
  <c r="AW682" i="35"/>
  <c r="AV682" i="35"/>
  <c r="AU682" i="35"/>
  <c r="AT682" i="35"/>
  <c r="AS682" i="35"/>
  <c r="AR682" i="35"/>
  <c r="AQ682" i="35"/>
  <c r="AP682" i="35"/>
  <c r="BB682" i="35" s="1"/>
  <c r="AO682" i="35"/>
  <c r="AL682" i="35"/>
  <c r="AK682" i="35"/>
  <c r="AI682" i="35"/>
  <c r="AJ682" i="35" s="1"/>
  <c r="AF682" i="35"/>
  <c r="AC682" i="35"/>
  <c r="AB682" i="35"/>
  <c r="AA682" i="35"/>
  <c r="Z682" i="35"/>
  <c r="Y682" i="35"/>
  <c r="X682" i="35"/>
  <c r="W682" i="35"/>
  <c r="T682" i="35"/>
  <c r="BK682" i="35" s="1"/>
  <c r="O682" i="35"/>
  <c r="N682" i="35"/>
  <c r="M682" i="35"/>
  <c r="L682" i="35"/>
  <c r="K682" i="35"/>
  <c r="J682" i="35"/>
  <c r="I682" i="35"/>
  <c r="H682" i="35"/>
  <c r="BJ681" i="35"/>
  <c r="BI681" i="35"/>
  <c r="BG681" i="35"/>
  <c r="BF681" i="35"/>
  <c r="BE681" i="35"/>
  <c r="BD681" i="35"/>
  <c r="BC681" i="35"/>
  <c r="AZ681" i="35"/>
  <c r="AX681" i="35"/>
  <c r="AW681" i="35"/>
  <c r="AV681" i="35"/>
  <c r="AU681" i="35"/>
  <c r="AT681" i="35"/>
  <c r="AS681" i="35"/>
  <c r="AR681" i="35"/>
  <c r="AQ681" i="35"/>
  <c r="BH681" i="35" s="1"/>
  <c r="AP681" i="35"/>
  <c r="BA681" i="35" s="1"/>
  <c r="AO681" i="35"/>
  <c r="AL681" i="35"/>
  <c r="AK681" i="35"/>
  <c r="AM681" i="35" s="1"/>
  <c r="AI681" i="35"/>
  <c r="AJ681" i="35" s="1"/>
  <c r="AF681" i="35"/>
  <c r="AC681" i="35"/>
  <c r="AB681" i="35"/>
  <c r="AA681" i="35"/>
  <c r="Z681" i="35"/>
  <c r="Y681" i="35"/>
  <c r="X681" i="35"/>
  <c r="W681" i="35"/>
  <c r="T681" i="35"/>
  <c r="BK681" i="35" s="1"/>
  <c r="O681" i="35"/>
  <c r="N681" i="35"/>
  <c r="M681" i="35"/>
  <c r="L681" i="35"/>
  <c r="K681" i="35"/>
  <c r="J681" i="35"/>
  <c r="I681" i="35"/>
  <c r="H681" i="35"/>
  <c r="BJ680" i="35"/>
  <c r="BI680" i="35"/>
  <c r="AY680" i="35"/>
  <c r="AR680" i="35"/>
  <c r="AQ680" i="35"/>
  <c r="BH680" i="35" s="1"/>
  <c r="AP680" i="35"/>
  <c r="BD680" i="35" s="1"/>
  <c r="AO680" i="35"/>
  <c r="AL680" i="35"/>
  <c r="AM680" i="35" s="1"/>
  <c r="AK680" i="35"/>
  <c r="AJ680" i="35"/>
  <c r="AI680" i="35"/>
  <c r="AF680" i="35"/>
  <c r="AC680" i="35"/>
  <c r="AB680" i="35"/>
  <c r="AA680" i="35"/>
  <c r="Z680" i="35"/>
  <c r="Y680" i="35"/>
  <c r="X680" i="35"/>
  <c r="W680" i="35"/>
  <c r="T680" i="35"/>
  <c r="BK680" i="35" s="1"/>
  <c r="O680" i="35"/>
  <c r="N680" i="35"/>
  <c r="M680" i="35"/>
  <c r="L680" i="35"/>
  <c r="K680" i="35"/>
  <c r="J680" i="35"/>
  <c r="I680" i="35"/>
  <c r="H680" i="35"/>
  <c r="BJ679" i="35"/>
  <c r="BI679" i="35"/>
  <c r="BH679" i="35"/>
  <c r="BE679" i="35"/>
  <c r="BA679" i="35"/>
  <c r="AZ679" i="35"/>
  <c r="AX679" i="35"/>
  <c r="AW679" i="35"/>
  <c r="AS679" i="35"/>
  <c r="AR679" i="35"/>
  <c r="AQ679" i="35"/>
  <c r="AP679" i="35"/>
  <c r="BG679" i="35" s="1"/>
  <c r="AO679" i="35"/>
  <c r="AL679" i="35"/>
  <c r="AK679" i="35"/>
  <c r="AM679" i="35" s="1"/>
  <c r="AJ679" i="35"/>
  <c r="AI679" i="35"/>
  <c r="AF679" i="35"/>
  <c r="AC679" i="35"/>
  <c r="AB679" i="35"/>
  <c r="AA679" i="35"/>
  <c r="Z679" i="35"/>
  <c r="Y679" i="35"/>
  <c r="X679" i="35"/>
  <c r="T679" i="35"/>
  <c r="O679" i="35"/>
  <c r="N679" i="35"/>
  <c r="M679" i="35"/>
  <c r="L679" i="35"/>
  <c r="K679" i="35"/>
  <c r="J679" i="35"/>
  <c r="I679" i="35"/>
  <c r="H679" i="35"/>
  <c r="BJ678" i="35"/>
  <c r="BI678" i="35"/>
  <c r="BH678" i="35"/>
  <c r="BG678" i="35"/>
  <c r="BF678" i="35"/>
  <c r="BD678" i="35"/>
  <c r="BC678" i="35"/>
  <c r="BA678" i="35"/>
  <c r="AZ678" i="35"/>
  <c r="AY678" i="35"/>
  <c r="AX678" i="35"/>
  <c r="AW678" i="35"/>
  <c r="AV678" i="35"/>
  <c r="AU678" i="35"/>
  <c r="AT678" i="35"/>
  <c r="AR678" i="35"/>
  <c r="AQ678" i="35"/>
  <c r="AP678" i="35"/>
  <c r="BE678" i="35" s="1"/>
  <c r="AO678" i="35"/>
  <c r="AM678" i="35"/>
  <c r="AL678" i="35"/>
  <c r="AK678" i="35"/>
  <c r="AI678" i="35"/>
  <c r="AJ678" i="35" s="1"/>
  <c r="AF678" i="35"/>
  <c r="AC678" i="35"/>
  <c r="AB678" i="35"/>
  <c r="AA678" i="35"/>
  <c r="Z678" i="35"/>
  <c r="Y678" i="35"/>
  <c r="X678" i="35"/>
  <c r="T678" i="35"/>
  <c r="BK678" i="35" s="1"/>
  <c r="O678" i="35"/>
  <c r="N678" i="35"/>
  <c r="M678" i="35"/>
  <c r="L678" i="35"/>
  <c r="K678" i="35"/>
  <c r="J678" i="35"/>
  <c r="I678" i="35"/>
  <c r="H678" i="35"/>
  <c r="BK677" i="35"/>
  <c r="BJ677" i="35"/>
  <c r="BI677" i="35"/>
  <c r="BG677" i="35"/>
  <c r="BF677" i="35"/>
  <c r="BE677" i="35"/>
  <c r="BC677" i="35"/>
  <c r="AZ677" i="35"/>
  <c r="AY677" i="35"/>
  <c r="AX677" i="35"/>
  <c r="AW677" i="35"/>
  <c r="AV677" i="35"/>
  <c r="AU677" i="35"/>
  <c r="AT677" i="35"/>
  <c r="AS677" i="35"/>
  <c r="AR677" i="35"/>
  <c r="AQ677" i="35"/>
  <c r="BH677" i="35" s="1"/>
  <c r="AP677" i="35"/>
  <c r="BD677" i="35" s="1"/>
  <c r="AO677" i="35"/>
  <c r="AL677" i="35"/>
  <c r="AK677" i="35"/>
  <c r="AM677" i="35" s="1"/>
  <c r="AI677" i="35"/>
  <c r="AJ677" i="35" s="1"/>
  <c r="AF677" i="35"/>
  <c r="AC677" i="35"/>
  <c r="AB677" i="35"/>
  <c r="AA677" i="35"/>
  <c r="Z677" i="35"/>
  <c r="Y677" i="35"/>
  <c r="X677" i="35"/>
  <c r="W677" i="35"/>
  <c r="T677" i="35"/>
  <c r="O677" i="35"/>
  <c r="N677" i="35"/>
  <c r="M677" i="35"/>
  <c r="L677" i="35"/>
  <c r="K677" i="35"/>
  <c r="J677" i="35"/>
  <c r="I677" i="35"/>
  <c r="H677" i="35"/>
  <c r="BJ676" i="35"/>
  <c r="BI676" i="35"/>
  <c r="BH676" i="35"/>
  <c r="BF676" i="35"/>
  <c r="AT676" i="35"/>
  <c r="AR676" i="35"/>
  <c r="AQ676" i="35"/>
  <c r="AP676" i="35"/>
  <c r="BD676" i="35" s="1"/>
  <c r="AO676" i="35"/>
  <c r="AL676" i="35"/>
  <c r="AK676" i="35"/>
  <c r="AM676" i="35" s="1"/>
  <c r="AJ676" i="35"/>
  <c r="AI676" i="35"/>
  <c r="AF676" i="35"/>
  <c r="AC676" i="35"/>
  <c r="AB676" i="35"/>
  <c r="AA676" i="35"/>
  <c r="Z676" i="35"/>
  <c r="Y676" i="35"/>
  <c r="X676" i="35"/>
  <c r="W676" i="35"/>
  <c r="T676" i="35"/>
  <c r="BK676" i="35" s="1"/>
  <c r="O676" i="35"/>
  <c r="N676" i="35"/>
  <c r="M676" i="35"/>
  <c r="L676" i="35"/>
  <c r="K676" i="35"/>
  <c r="J676" i="35"/>
  <c r="I676" i="35"/>
  <c r="H676" i="35"/>
  <c r="BJ675" i="35"/>
  <c r="BI675" i="35"/>
  <c r="BH675" i="35"/>
  <c r="BF675" i="35"/>
  <c r="BE675" i="35"/>
  <c r="BD675" i="35"/>
  <c r="BC675" i="35"/>
  <c r="BA675" i="35"/>
  <c r="AX675" i="35"/>
  <c r="AW675" i="35"/>
  <c r="AV675" i="35"/>
  <c r="AT675" i="35"/>
  <c r="AS675" i="35"/>
  <c r="AR675" i="35"/>
  <c r="AQ675" i="35"/>
  <c r="AP675" i="35"/>
  <c r="BB675" i="35" s="1"/>
  <c r="AO675" i="35"/>
  <c r="AL675" i="35"/>
  <c r="AK675" i="35"/>
  <c r="AM675" i="35" s="1"/>
  <c r="AJ675" i="35"/>
  <c r="AI675" i="35"/>
  <c r="AF675" i="35"/>
  <c r="AC675" i="35"/>
  <c r="AB675" i="35"/>
  <c r="AA675" i="35"/>
  <c r="Z675" i="35"/>
  <c r="Y675" i="35"/>
  <c r="X675" i="35"/>
  <c r="T675" i="35"/>
  <c r="BK675" i="35" s="1"/>
  <c r="O675" i="35"/>
  <c r="N675" i="35"/>
  <c r="M675" i="35"/>
  <c r="L675" i="35"/>
  <c r="K675" i="35"/>
  <c r="J675" i="35"/>
  <c r="I675" i="35"/>
  <c r="H675" i="35"/>
  <c r="BJ674" i="35"/>
  <c r="BI674" i="35"/>
  <c r="BH674" i="35"/>
  <c r="BG674" i="35"/>
  <c r="BE674" i="35"/>
  <c r="BD674" i="35"/>
  <c r="BC674" i="35"/>
  <c r="AZ674" i="35"/>
  <c r="AV674" i="35"/>
  <c r="AU674" i="35"/>
  <c r="AS674" i="35"/>
  <c r="AR674" i="35"/>
  <c r="AQ674" i="35"/>
  <c r="AP674" i="35"/>
  <c r="BB674" i="35" s="1"/>
  <c r="AO674" i="35"/>
  <c r="AM674" i="35"/>
  <c r="AL674" i="35"/>
  <c r="AK674" i="35"/>
  <c r="AI674" i="35"/>
  <c r="AJ674" i="35" s="1"/>
  <c r="AF674" i="35"/>
  <c r="AC674" i="35"/>
  <c r="AB674" i="35"/>
  <c r="AA674" i="35"/>
  <c r="Z674" i="35"/>
  <c r="Y674" i="35"/>
  <c r="X674" i="35"/>
  <c r="T674" i="35"/>
  <c r="BK674" i="35" s="1"/>
  <c r="O674" i="35"/>
  <c r="N674" i="35"/>
  <c r="M674" i="35"/>
  <c r="L674" i="35"/>
  <c r="K674" i="35"/>
  <c r="J674" i="35"/>
  <c r="I674" i="35"/>
  <c r="H674" i="35"/>
  <c r="BK673" i="35"/>
  <c r="BJ673" i="35"/>
  <c r="BI673" i="35"/>
  <c r="BG673" i="35"/>
  <c r="BF673" i="35"/>
  <c r="BD673" i="35"/>
  <c r="BC673" i="35"/>
  <c r="AY673" i="35"/>
  <c r="AU673" i="35"/>
  <c r="AT673" i="35"/>
  <c r="AR673" i="35"/>
  <c r="AQ673" i="35"/>
  <c r="BH673" i="35" s="1"/>
  <c r="AP673" i="35"/>
  <c r="BA673" i="35" s="1"/>
  <c r="AO673" i="35"/>
  <c r="AL673" i="35"/>
  <c r="AM673" i="35" s="1"/>
  <c r="AK673" i="35"/>
  <c r="AI673" i="35"/>
  <c r="AJ673" i="35" s="1"/>
  <c r="AF673" i="35"/>
  <c r="AC673" i="35"/>
  <c r="AB673" i="35"/>
  <c r="AA673" i="35"/>
  <c r="Z673" i="35"/>
  <c r="Y673" i="35"/>
  <c r="X673" i="35"/>
  <c r="T673" i="35"/>
  <c r="W673" i="35" s="1"/>
  <c r="O673" i="35"/>
  <c r="N673" i="35"/>
  <c r="M673" i="35"/>
  <c r="L673" i="35"/>
  <c r="K673" i="35"/>
  <c r="J673" i="35"/>
  <c r="I673" i="35"/>
  <c r="H673" i="35"/>
  <c r="BJ672" i="35"/>
  <c r="BI672" i="35"/>
  <c r="BB672" i="35"/>
  <c r="AR672" i="35"/>
  <c r="AQ672" i="35"/>
  <c r="BH672" i="35" s="1"/>
  <c r="AP672" i="35"/>
  <c r="AO672" i="35"/>
  <c r="AL672" i="35"/>
  <c r="AK672" i="35"/>
  <c r="AM672" i="35" s="1"/>
  <c r="AJ672" i="35"/>
  <c r="AI672" i="35"/>
  <c r="AF672" i="35"/>
  <c r="AC672" i="35"/>
  <c r="AB672" i="35"/>
  <c r="AA672" i="35"/>
  <c r="Z672" i="35"/>
  <c r="Y672" i="35"/>
  <c r="X672" i="35"/>
  <c r="W672" i="35"/>
  <c r="T672" i="35"/>
  <c r="BK672" i="35" s="1"/>
  <c r="O672" i="35"/>
  <c r="N672" i="35"/>
  <c r="M672" i="35"/>
  <c r="L672" i="35"/>
  <c r="K672" i="35"/>
  <c r="J672" i="35"/>
  <c r="I672" i="35"/>
  <c r="H672" i="35"/>
  <c r="BJ671" i="35"/>
  <c r="BI671" i="35"/>
  <c r="BA671" i="35"/>
  <c r="AR671" i="35"/>
  <c r="AQ671" i="35"/>
  <c r="BH671" i="35" s="1"/>
  <c r="AP671" i="35"/>
  <c r="AY671" i="35" s="1"/>
  <c r="AO671" i="35"/>
  <c r="AM671" i="35"/>
  <c r="AL671" i="35"/>
  <c r="AK671" i="35"/>
  <c r="AJ671" i="35"/>
  <c r="AI671" i="35"/>
  <c r="AF671" i="35"/>
  <c r="AC671" i="35"/>
  <c r="AB671" i="35"/>
  <c r="AA671" i="35"/>
  <c r="Z671" i="35"/>
  <c r="Y671" i="35"/>
  <c r="X671" i="35"/>
  <c r="T671" i="35"/>
  <c r="BK671" i="35" s="1"/>
  <c r="O671" i="35"/>
  <c r="N671" i="35"/>
  <c r="M671" i="35"/>
  <c r="L671" i="35"/>
  <c r="K671" i="35"/>
  <c r="J671" i="35"/>
  <c r="I671" i="35"/>
  <c r="H671" i="35"/>
  <c r="BK670" i="35"/>
  <c r="BJ670" i="35"/>
  <c r="BI670" i="35"/>
  <c r="BH670" i="35"/>
  <c r="BD670" i="35"/>
  <c r="BC670" i="35"/>
  <c r="BA670" i="35"/>
  <c r="AZ670" i="35"/>
  <c r="AY670" i="35"/>
  <c r="AV670" i="35"/>
  <c r="AR670" i="35"/>
  <c r="AQ670" i="35"/>
  <c r="AP670" i="35"/>
  <c r="AX670" i="35" s="1"/>
  <c r="AO670" i="35"/>
  <c r="AM670" i="35"/>
  <c r="AL670" i="35"/>
  <c r="AK670" i="35"/>
  <c r="AI670" i="35"/>
  <c r="AJ670" i="35" s="1"/>
  <c r="AF670" i="35"/>
  <c r="AC670" i="35"/>
  <c r="AB670" i="35"/>
  <c r="AA670" i="35"/>
  <c r="Z670" i="35"/>
  <c r="Y670" i="35"/>
  <c r="X670" i="35"/>
  <c r="W670" i="35"/>
  <c r="T670" i="35"/>
  <c r="O670" i="35"/>
  <c r="N670" i="35"/>
  <c r="M670" i="35"/>
  <c r="L670" i="35"/>
  <c r="K670" i="35"/>
  <c r="J670" i="35"/>
  <c r="I670" i="35"/>
  <c r="H670" i="35"/>
  <c r="BK669" i="35"/>
  <c r="BJ669" i="35"/>
  <c r="BI669" i="35"/>
  <c r="BG669" i="35"/>
  <c r="BC669" i="35"/>
  <c r="AZ669" i="35"/>
  <c r="AY669" i="35"/>
  <c r="AU669" i="35"/>
  <c r="AR669" i="35"/>
  <c r="AQ669" i="35"/>
  <c r="BH669" i="35" s="1"/>
  <c r="AP669" i="35"/>
  <c r="AW669" i="35" s="1"/>
  <c r="AO669" i="35"/>
  <c r="AL669" i="35"/>
  <c r="AM669" i="35" s="1"/>
  <c r="AK669" i="35"/>
  <c r="AJ669" i="35"/>
  <c r="AI669" i="35"/>
  <c r="AF669" i="35"/>
  <c r="AC669" i="35"/>
  <c r="AB669" i="35"/>
  <c r="AA669" i="35"/>
  <c r="Z669" i="35"/>
  <c r="Y669" i="35"/>
  <c r="X669" i="35"/>
  <c r="W669" i="35"/>
  <c r="T669" i="35"/>
  <c r="O669" i="35"/>
  <c r="N669" i="35"/>
  <c r="M669" i="35"/>
  <c r="L669" i="35"/>
  <c r="K669" i="35"/>
  <c r="J669" i="35"/>
  <c r="I669" i="35"/>
  <c r="H669" i="35"/>
  <c r="BK668" i="35"/>
  <c r="BJ668" i="35"/>
  <c r="BI668" i="35"/>
  <c r="AY668" i="35"/>
  <c r="AX668" i="35"/>
  <c r="AR668" i="35"/>
  <c r="AQ668" i="35"/>
  <c r="BH668" i="35" s="1"/>
  <c r="AP668" i="35"/>
  <c r="AV668" i="35" s="1"/>
  <c r="AO668" i="35"/>
  <c r="AL668" i="35"/>
  <c r="AK668" i="35"/>
  <c r="AM668" i="35" s="1"/>
  <c r="AJ668" i="35"/>
  <c r="AI668" i="35"/>
  <c r="AF668" i="35"/>
  <c r="AC668" i="35"/>
  <c r="AB668" i="35"/>
  <c r="AA668" i="35"/>
  <c r="Z668" i="35"/>
  <c r="Y668" i="35"/>
  <c r="X668" i="35"/>
  <c r="W668" i="35"/>
  <c r="T668" i="35"/>
  <c r="O668" i="35"/>
  <c r="N668" i="35"/>
  <c r="M668" i="35"/>
  <c r="L668" i="35"/>
  <c r="K668" i="35"/>
  <c r="J668" i="35"/>
  <c r="I668" i="35"/>
  <c r="H668" i="35"/>
  <c r="BJ667" i="35"/>
  <c r="BI667" i="35"/>
  <c r="BH667" i="35"/>
  <c r="BE667" i="35"/>
  <c r="BA667" i="35"/>
  <c r="AZ667" i="35"/>
  <c r="AX667" i="35"/>
  <c r="AW667" i="35"/>
  <c r="AV667" i="35"/>
  <c r="AS667" i="35"/>
  <c r="AR667" i="35"/>
  <c r="AQ667" i="35"/>
  <c r="AP667" i="35"/>
  <c r="BG667" i="35" s="1"/>
  <c r="AO667" i="35"/>
  <c r="AL667" i="35"/>
  <c r="AK667" i="35"/>
  <c r="AM667" i="35" s="1"/>
  <c r="AJ667" i="35"/>
  <c r="AI667" i="35"/>
  <c r="AF667" i="35"/>
  <c r="AC667" i="35"/>
  <c r="AB667" i="35"/>
  <c r="AA667" i="35"/>
  <c r="Z667" i="35"/>
  <c r="Y667" i="35"/>
  <c r="X667" i="35"/>
  <c r="T667" i="35"/>
  <c r="O667" i="35"/>
  <c r="N667" i="35"/>
  <c r="M667" i="35"/>
  <c r="L667" i="35"/>
  <c r="K667" i="35"/>
  <c r="J667" i="35"/>
  <c r="I667" i="35"/>
  <c r="H667" i="35"/>
  <c r="BJ666" i="35"/>
  <c r="BI666" i="35"/>
  <c r="BH666" i="35"/>
  <c r="BG666" i="35"/>
  <c r="BE666" i="35"/>
  <c r="BD666" i="35"/>
  <c r="BA666" i="35"/>
  <c r="AZ666" i="35"/>
  <c r="AY666" i="35"/>
  <c r="AW666" i="35"/>
  <c r="AV666" i="35"/>
  <c r="AU666" i="35"/>
  <c r="AS666" i="35"/>
  <c r="AR666" i="35"/>
  <c r="AQ666" i="35"/>
  <c r="AP666" i="35"/>
  <c r="BF666" i="35" s="1"/>
  <c r="AO666" i="35"/>
  <c r="AM666" i="35"/>
  <c r="AL666" i="35"/>
  <c r="AK666" i="35"/>
  <c r="AI666" i="35"/>
  <c r="AJ666" i="35" s="1"/>
  <c r="AF666" i="35"/>
  <c r="AC666" i="35"/>
  <c r="AB666" i="35"/>
  <c r="AA666" i="35"/>
  <c r="Z666" i="35"/>
  <c r="Y666" i="35"/>
  <c r="X666" i="35"/>
  <c r="T666" i="35"/>
  <c r="BK666" i="35" s="1"/>
  <c r="O666" i="35"/>
  <c r="N666" i="35"/>
  <c r="M666" i="35"/>
  <c r="L666" i="35"/>
  <c r="K666" i="35"/>
  <c r="J666" i="35"/>
  <c r="I666" i="35"/>
  <c r="H666" i="35"/>
  <c r="BK665" i="35"/>
  <c r="BJ665" i="35"/>
  <c r="BI665" i="35"/>
  <c r="BG665" i="35"/>
  <c r="BF665" i="35"/>
  <c r="BD665" i="35"/>
  <c r="BC665" i="35"/>
  <c r="AZ665" i="35"/>
  <c r="AY665" i="35"/>
  <c r="AX665" i="35"/>
  <c r="AV665" i="35"/>
  <c r="AU665" i="35"/>
  <c r="AT665" i="35"/>
  <c r="AR665" i="35"/>
  <c r="AQ665" i="35"/>
  <c r="BH665" i="35" s="1"/>
  <c r="AP665" i="35"/>
  <c r="BE665" i="35" s="1"/>
  <c r="AO665" i="35"/>
  <c r="AL665" i="35"/>
  <c r="AK665" i="35"/>
  <c r="AM665" i="35" s="1"/>
  <c r="AI665" i="35"/>
  <c r="AJ665" i="35" s="1"/>
  <c r="AF665" i="35"/>
  <c r="AC665" i="35"/>
  <c r="AB665" i="35"/>
  <c r="AA665" i="35"/>
  <c r="Z665" i="35"/>
  <c r="Y665" i="35"/>
  <c r="X665" i="35"/>
  <c r="W665" i="35"/>
  <c r="T665" i="35"/>
  <c r="O665" i="35"/>
  <c r="N665" i="35"/>
  <c r="M665" i="35"/>
  <c r="L665" i="35"/>
  <c r="K665" i="35"/>
  <c r="J665" i="35"/>
  <c r="I665" i="35"/>
  <c r="H665" i="35"/>
  <c r="BJ664" i="35"/>
  <c r="BI664" i="35"/>
  <c r="BF664" i="35"/>
  <c r="AT664" i="35"/>
  <c r="AR664" i="35"/>
  <c r="AQ664" i="35"/>
  <c r="BH664" i="35" s="1"/>
  <c r="AP664" i="35"/>
  <c r="BD664" i="35" s="1"/>
  <c r="AO664" i="35"/>
  <c r="AL664" i="35"/>
  <c r="AK664" i="35"/>
  <c r="AM664" i="35" s="1"/>
  <c r="AJ664" i="35"/>
  <c r="AI664" i="35"/>
  <c r="AF664" i="35"/>
  <c r="AC664" i="35"/>
  <c r="AB664" i="35"/>
  <c r="AA664" i="35"/>
  <c r="Z664" i="35"/>
  <c r="Y664" i="35"/>
  <c r="X664" i="35"/>
  <c r="W664" i="35"/>
  <c r="T664" i="35"/>
  <c r="BK664" i="35" s="1"/>
  <c r="O664" i="35"/>
  <c r="N664" i="35"/>
  <c r="M664" i="35"/>
  <c r="L664" i="35"/>
  <c r="K664" i="35"/>
  <c r="J664" i="35"/>
  <c r="I664" i="35"/>
  <c r="H664" i="35"/>
  <c r="BJ663" i="35"/>
  <c r="BI663" i="35"/>
  <c r="BH663" i="35"/>
  <c r="BF663" i="35"/>
  <c r="BE663" i="35"/>
  <c r="BD663" i="35"/>
  <c r="BA663" i="35"/>
  <c r="AW663" i="35"/>
  <c r="AV663" i="35"/>
  <c r="AT663" i="35"/>
  <c r="AS663" i="35"/>
  <c r="AR663" i="35"/>
  <c r="AQ663" i="35"/>
  <c r="AP663" i="35"/>
  <c r="BC663" i="35" s="1"/>
  <c r="AO663" i="35"/>
  <c r="AL663" i="35"/>
  <c r="AK663" i="35"/>
  <c r="AM663" i="35" s="1"/>
  <c r="AJ663" i="35"/>
  <c r="AI663" i="35"/>
  <c r="AF663" i="35"/>
  <c r="AC663" i="35"/>
  <c r="AB663" i="35"/>
  <c r="AA663" i="35"/>
  <c r="Z663" i="35"/>
  <c r="Y663" i="35"/>
  <c r="X663" i="35"/>
  <c r="T663" i="35"/>
  <c r="BK663" i="35" s="1"/>
  <c r="O663" i="35"/>
  <c r="N663" i="35"/>
  <c r="M663" i="35"/>
  <c r="L663" i="35"/>
  <c r="K663" i="35"/>
  <c r="J663" i="35"/>
  <c r="I663" i="35"/>
  <c r="H663" i="35"/>
  <c r="BJ662" i="35"/>
  <c r="BI662" i="35"/>
  <c r="BH662" i="35"/>
  <c r="BG662" i="35"/>
  <c r="BE662" i="35"/>
  <c r="BD662" i="35"/>
  <c r="BC662" i="35"/>
  <c r="BA662" i="35"/>
  <c r="AZ662" i="35"/>
  <c r="AV662" i="35"/>
  <c r="AU662" i="35"/>
  <c r="AS662" i="35"/>
  <c r="AR662" i="35"/>
  <c r="AQ662" i="35"/>
  <c r="AP662" i="35"/>
  <c r="BB662" i="35" s="1"/>
  <c r="AO662" i="35"/>
  <c r="AM662" i="35"/>
  <c r="AL662" i="35"/>
  <c r="AK662" i="35"/>
  <c r="AI662" i="35"/>
  <c r="AJ662" i="35" s="1"/>
  <c r="AF662" i="35"/>
  <c r="AC662" i="35"/>
  <c r="AB662" i="35"/>
  <c r="AA662" i="35"/>
  <c r="Z662" i="35"/>
  <c r="Y662" i="35"/>
  <c r="X662" i="35"/>
  <c r="T662" i="35"/>
  <c r="BK662" i="35" s="1"/>
  <c r="O662" i="35"/>
  <c r="N662" i="35"/>
  <c r="M662" i="35"/>
  <c r="L662" i="35"/>
  <c r="K662" i="35"/>
  <c r="J662" i="35"/>
  <c r="I662" i="35"/>
  <c r="H662" i="35"/>
  <c r="BK661" i="35"/>
  <c r="BJ661" i="35"/>
  <c r="BI661" i="35"/>
  <c r="BG661" i="35"/>
  <c r="BD661" i="35"/>
  <c r="BC661" i="35"/>
  <c r="AY661" i="35"/>
  <c r="AU661" i="35"/>
  <c r="AR661" i="35"/>
  <c r="AQ661" i="35"/>
  <c r="BH661" i="35" s="1"/>
  <c r="AP661" i="35"/>
  <c r="BA661" i="35" s="1"/>
  <c r="AO661" i="35"/>
  <c r="AL661" i="35"/>
  <c r="AM661" i="35" s="1"/>
  <c r="AK661" i="35"/>
  <c r="AI661" i="35"/>
  <c r="AJ661" i="35" s="1"/>
  <c r="AF661" i="35"/>
  <c r="AC661" i="35"/>
  <c r="AB661" i="35"/>
  <c r="AA661" i="35"/>
  <c r="Z661" i="35"/>
  <c r="Y661" i="35"/>
  <c r="X661" i="35"/>
  <c r="T661" i="35"/>
  <c r="W661" i="35" s="1"/>
  <c r="O661" i="35"/>
  <c r="N661" i="35"/>
  <c r="M661" i="35"/>
  <c r="L661" i="35"/>
  <c r="K661" i="35"/>
  <c r="J661" i="35"/>
  <c r="I661" i="35"/>
  <c r="H661" i="35"/>
  <c r="BJ660" i="35"/>
  <c r="BI660" i="35"/>
  <c r="AR660" i="35"/>
  <c r="AQ660" i="35"/>
  <c r="BH660" i="35" s="1"/>
  <c r="AP660" i="35"/>
  <c r="AO660" i="35"/>
  <c r="AL660" i="35"/>
  <c r="AK660" i="35"/>
  <c r="AM660" i="35" s="1"/>
  <c r="AI660" i="35"/>
  <c r="AJ660" i="35" s="1"/>
  <c r="AF660" i="35"/>
  <c r="AC660" i="35"/>
  <c r="AB660" i="35"/>
  <c r="AA660" i="35"/>
  <c r="Z660" i="35"/>
  <c r="Y660" i="35"/>
  <c r="X660" i="35"/>
  <c r="W660" i="35"/>
  <c r="T660" i="35"/>
  <c r="BK660" i="35" s="1"/>
  <c r="O660" i="35"/>
  <c r="N660" i="35"/>
  <c r="M660" i="35"/>
  <c r="L660" i="35"/>
  <c r="K660" i="35"/>
  <c r="J660" i="35"/>
  <c r="I660" i="35"/>
  <c r="H660" i="35"/>
  <c r="BJ659" i="35"/>
  <c r="BI659" i="35"/>
  <c r="BA659" i="35"/>
  <c r="AW659" i="35"/>
  <c r="AR659" i="35"/>
  <c r="AQ659" i="35"/>
  <c r="BH659" i="35" s="1"/>
  <c r="AP659" i="35"/>
  <c r="AY659" i="35" s="1"/>
  <c r="AO659" i="35"/>
  <c r="AM659" i="35"/>
  <c r="AL659" i="35"/>
  <c r="AK659" i="35"/>
  <c r="AJ659" i="35"/>
  <c r="AI659" i="35"/>
  <c r="AF659" i="35"/>
  <c r="AC659" i="35"/>
  <c r="AB659" i="35"/>
  <c r="AA659" i="35"/>
  <c r="Z659" i="35"/>
  <c r="Y659" i="35"/>
  <c r="X659" i="35"/>
  <c r="T659" i="35"/>
  <c r="BK659" i="35" s="1"/>
  <c r="O659" i="35"/>
  <c r="N659" i="35"/>
  <c r="M659" i="35"/>
  <c r="L659" i="35"/>
  <c r="K659" i="35"/>
  <c r="J659" i="35"/>
  <c r="I659" i="35"/>
  <c r="H659" i="35"/>
  <c r="BK658" i="35"/>
  <c r="BJ658" i="35"/>
  <c r="BI658" i="35"/>
  <c r="BH658" i="35"/>
  <c r="BD658" i="35"/>
  <c r="BC658" i="35"/>
  <c r="BA658" i="35"/>
  <c r="AZ658" i="35"/>
  <c r="AY658" i="35"/>
  <c r="AV658" i="35"/>
  <c r="AR658" i="35"/>
  <c r="AQ658" i="35"/>
  <c r="AP658" i="35"/>
  <c r="AX658" i="35" s="1"/>
  <c r="AO658" i="35"/>
  <c r="AM658" i="35"/>
  <c r="AL658" i="35"/>
  <c r="AK658" i="35"/>
  <c r="AI658" i="35"/>
  <c r="AJ658" i="35" s="1"/>
  <c r="AF658" i="35"/>
  <c r="AC658" i="35"/>
  <c r="AB658" i="35"/>
  <c r="AA658" i="35"/>
  <c r="Z658" i="35"/>
  <c r="Y658" i="35"/>
  <c r="X658" i="35"/>
  <c r="T658" i="35"/>
  <c r="W658" i="35" s="1"/>
  <c r="O658" i="35"/>
  <c r="N658" i="35"/>
  <c r="M658" i="35"/>
  <c r="L658" i="35"/>
  <c r="K658" i="35"/>
  <c r="J658" i="35"/>
  <c r="I658" i="35"/>
  <c r="H658" i="35"/>
  <c r="BK657" i="35"/>
  <c r="BJ657" i="35"/>
  <c r="BI657" i="35"/>
  <c r="BG657" i="35"/>
  <c r="BC657" i="35"/>
  <c r="AZ657" i="35"/>
  <c r="AY657" i="35"/>
  <c r="AX657" i="35"/>
  <c r="AU657" i="35"/>
  <c r="AR657" i="35"/>
  <c r="AQ657" i="35"/>
  <c r="BH657" i="35" s="1"/>
  <c r="AP657" i="35"/>
  <c r="AW657" i="35" s="1"/>
  <c r="AO657" i="35"/>
  <c r="AL657" i="35"/>
  <c r="AM657" i="35" s="1"/>
  <c r="AK657" i="35"/>
  <c r="AI657" i="35"/>
  <c r="AJ657" i="35" s="1"/>
  <c r="AF657" i="35"/>
  <c r="AC657" i="35"/>
  <c r="AB657" i="35"/>
  <c r="AA657" i="35"/>
  <c r="Z657" i="35"/>
  <c r="Y657" i="35"/>
  <c r="X657" i="35"/>
  <c r="W657" i="35"/>
  <c r="T657" i="35"/>
  <c r="O657" i="35"/>
  <c r="N657" i="35"/>
  <c r="M657" i="35"/>
  <c r="L657" i="35"/>
  <c r="K657" i="35"/>
  <c r="J657" i="35"/>
  <c r="I657" i="35"/>
  <c r="H657" i="35"/>
  <c r="BK656" i="35"/>
  <c r="BJ656" i="35"/>
  <c r="BI656" i="35"/>
  <c r="BF656" i="35"/>
  <c r="AY656" i="35"/>
  <c r="AX656" i="35"/>
  <c r="AT656" i="35"/>
  <c r="AR656" i="35"/>
  <c r="AQ656" i="35"/>
  <c r="BH656" i="35" s="1"/>
  <c r="AP656" i="35"/>
  <c r="AV656" i="35" s="1"/>
  <c r="AO656" i="35"/>
  <c r="AL656" i="35"/>
  <c r="AK656" i="35"/>
  <c r="AM656" i="35" s="1"/>
  <c r="AJ656" i="35"/>
  <c r="AI656" i="35"/>
  <c r="AF656" i="35"/>
  <c r="AC656" i="35"/>
  <c r="AB656" i="35"/>
  <c r="AA656" i="35"/>
  <c r="Z656" i="35"/>
  <c r="Y656" i="35"/>
  <c r="X656" i="35"/>
  <c r="W656" i="35"/>
  <c r="T656" i="35"/>
  <c r="O656" i="35"/>
  <c r="N656" i="35"/>
  <c r="M656" i="35"/>
  <c r="L656" i="35"/>
  <c r="K656" i="35"/>
  <c r="J656" i="35"/>
  <c r="I656" i="35"/>
  <c r="H656" i="35"/>
  <c r="BJ655" i="35"/>
  <c r="BI655" i="35"/>
  <c r="BH655" i="35"/>
  <c r="BE655" i="35"/>
  <c r="BA655" i="35"/>
  <c r="AZ655" i="35"/>
  <c r="AY655" i="35"/>
  <c r="AX655" i="35"/>
  <c r="AW655" i="35"/>
  <c r="AV655" i="35"/>
  <c r="AS655" i="35"/>
  <c r="AR655" i="35"/>
  <c r="AQ655" i="35"/>
  <c r="AP655" i="35"/>
  <c r="BG655" i="35" s="1"/>
  <c r="AO655" i="35"/>
  <c r="AL655" i="35"/>
  <c r="AK655" i="35"/>
  <c r="AM655" i="35" s="1"/>
  <c r="AJ655" i="35"/>
  <c r="AI655" i="35"/>
  <c r="AF655" i="35"/>
  <c r="AC655" i="35"/>
  <c r="AB655" i="35"/>
  <c r="AA655" i="35"/>
  <c r="Z655" i="35"/>
  <c r="Y655" i="35"/>
  <c r="X655" i="35"/>
  <c r="T655" i="35"/>
  <c r="O655" i="35"/>
  <c r="N655" i="35"/>
  <c r="M655" i="35"/>
  <c r="L655" i="35"/>
  <c r="K655" i="35"/>
  <c r="J655" i="35"/>
  <c r="I655" i="35"/>
  <c r="H655" i="35"/>
  <c r="BJ654" i="35"/>
  <c r="BI654" i="35"/>
  <c r="BH654" i="35"/>
  <c r="BG654" i="35"/>
  <c r="BE654" i="35"/>
  <c r="BD654" i="35"/>
  <c r="AZ654" i="35"/>
  <c r="AY654" i="35"/>
  <c r="AX654" i="35"/>
  <c r="AW654" i="35"/>
  <c r="AV654" i="35"/>
  <c r="AU654" i="35"/>
  <c r="AS654" i="35"/>
  <c r="AR654" i="35"/>
  <c r="AQ654" i="35"/>
  <c r="AP654" i="35"/>
  <c r="BF654" i="35" s="1"/>
  <c r="AO654" i="35"/>
  <c r="AM654" i="35"/>
  <c r="AL654" i="35"/>
  <c r="AK654" i="35"/>
  <c r="AI654" i="35"/>
  <c r="AJ654" i="35" s="1"/>
  <c r="AF654" i="35"/>
  <c r="AC654" i="35"/>
  <c r="AB654" i="35"/>
  <c r="AA654" i="35"/>
  <c r="Z654" i="35"/>
  <c r="Y654" i="35"/>
  <c r="X654" i="35"/>
  <c r="T654" i="35"/>
  <c r="BK654" i="35" s="1"/>
  <c r="O654" i="35"/>
  <c r="N654" i="35"/>
  <c r="M654" i="35"/>
  <c r="L654" i="35"/>
  <c r="K654" i="35"/>
  <c r="J654" i="35"/>
  <c r="I654" i="35"/>
  <c r="H654" i="35"/>
  <c r="BK653" i="35"/>
  <c r="BJ653" i="35"/>
  <c r="BI653" i="35"/>
  <c r="BG653" i="35"/>
  <c r="BF653" i="35"/>
  <c r="BD653" i="35"/>
  <c r="BC653" i="35"/>
  <c r="AY653" i="35"/>
  <c r="AX653" i="35"/>
  <c r="AV653" i="35"/>
  <c r="AU653" i="35"/>
  <c r="AT653" i="35"/>
  <c r="AR653" i="35"/>
  <c r="AQ653" i="35"/>
  <c r="BH653" i="35" s="1"/>
  <c r="AP653" i="35"/>
  <c r="BE653" i="35" s="1"/>
  <c r="AO653" i="35"/>
  <c r="AL653" i="35"/>
  <c r="AK653" i="35"/>
  <c r="AM653" i="35" s="1"/>
  <c r="AI653" i="35"/>
  <c r="AJ653" i="35" s="1"/>
  <c r="AF653" i="35"/>
  <c r="AC653" i="35"/>
  <c r="AB653" i="35"/>
  <c r="AA653" i="35"/>
  <c r="Z653" i="35"/>
  <c r="Y653" i="35"/>
  <c r="X653" i="35"/>
  <c r="W653" i="35"/>
  <c r="T653" i="35"/>
  <c r="O653" i="35"/>
  <c r="N653" i="35"/>
  <c r="M653" i="35"/>
  <c r="L653" i="35"/>
  <c r="K653" i="35"/>
  <c r="J653" i="35"/>
  <c r="I653" i="35"/>
  <c r="H653" i="35"/>
  <c r="BJ652" i="35"/>
  <c r="BI652" i="35"/>
  <c r="BF652" i="35"/>
  <c r="BB652" i="35"/>
  <c r="AU652" i="35"/>
  <c r="AR652" i="35"/>
  <c r="AQ652" i="35"/>
  <c r="BH652" i="35" s="1"/>
  <c r="AP652" i="35"/>
  <c r="BG652" i="35" s="1"/>
  <c r="AO652" i="35"/>
  <c r="AL652" i="35"/>
  <c r="AK652" i="35"/>
  <c r="AM652" i="35" s="1"/>
  <c r="AJ652" i="35"/>
  <c r="AI652" i="35"/>
  <c r="AF652" i="35"/>
  <c r="AC652" i="35"/>
  <c r="AB652" i="35"/>
  <c r="AA652" i="35"/>
  <c r="Z652" i="35"/>
  <c r="Y652" i="35"/>
  <c r="X652" i="35"/>
  <c r="W652" i="35"/>
  <c r="T652" i="35"/>
  <c r="BK652" i="35" s="1"/>
  <c r="O652" i="35"/>
  <c r="N652" i="35"/>
  <c r="M652" i="35"/>
  <c r="L652" i="35"/>
  <c r="K652" i="35"/>
  <c r="J652" i="35"/>
  <c r="I652" i="35"/>
  <c r="H652" i="35"/>
  <c r="BJ651" i="35"/>
  <c r="BI651" i="35"/>
  <c r="BH651" i="35"/>
  <c r="BF651" i="35"/>
  <c r="BE651" i="35"/>
  <c r="BD651" i="35"/>
  <c r="BA651" i="35"/>
  <c r="AW651" i="35"/>
  <c r="AV651" i="35"/>
  <c r="AT651" i="35"/>
  <c r="AS651" i="35"/>
  <c r="AR651" i="35"/>
  <c r="AQ651" i="35"/>
  <c r="AP651" i="35"/>
  <c r="BC651" i="35" s="1"/>
  <c r="AO651" i="35"/>
  <c r="AL651" i="35"/>
  <c r="AK651" i="35"/>
  <c r="AM651" i="35" s="1"/>
  <c r="AJ651" i="35"/>
  <c r="AI651" i="35"/>
  <c r="AF651" i="35"/>
  <c r="AC651" i="35"/>
  <c r="AB651" i="35"/>
  <c r="AA651" i="35"/>
  <c r="Z651" i="35"/>
  <c r="Y651" i="35"/>
  <c r="X651" i="35"/>
  <c r="T651" i="35"/>
  <c r="O651" i="35"/>
  <c r="N651" i="35"/>
  <c r="M651" i="35"/>
  <c r="L651" i="35"/>
  <c r="K651" i="35"/>
  <c r="J651" i="35"/>
  <c r="I651" i="35"/>
  <c r="H651" i="35"/>
  <c r="BJ650" i="35"/>
  <c r="BI650" i="35"/>
  <c r="BH650" i="35"/>
  <c r="BG650" i="35"/>
  <c r="BE650" i="35"/>
  <c r="BD650" i="35"/>
  <c r="BC650" i="35"/>
  <c r="BA650" i="35"/>
  <c r="AZ650" i="35"/>
  <c r="AV650" i="35"/>
  <c r="AU650" i="35"/>
  <c r="AS650" i="35"/>
  <c r="AR650" i="35"/>
  <c r="AQ650" i="35"/>
  <c r="AP650" i="35"/>
  <c r="BB650" i="35" s="1"/>
  <c r="AO650" i="35"/>
  <c r="AM650" i="35"/>
  <c r="AL650" i="35"/>
  <c r="AK650" i="35"/>
  <c r="AI650" i="35"/>
  <c r="AJ650" i="35" s="1"/>
  <c r="AF650" i="35"/>
  <c r="AC650" i="35"/>
  <c r="AB650" i="35"/>
  <c r="AA650" i="35"/>
  <c r="Z650" i="35"/>
  <c r="Y650" i="35"/>
  <c r="X650" i="35"/>
  <c r="T650" i="35"/>
  <c r="BK650" i="35" s="1"/>
  <c r="O650" i="35"/>
  <c r="N650" i="35"/>
  <c r="M650" i="35"/>
  <c r="L650" i="35"/>
  <c r="K650" i="35"/>
  <c r="J650" i="35"/>
  <c r="I650" i="35"/>
  <c r="H650" i="35"/>
  <c r="BK649" i="35"/>
  <c r="BJ649" i="35"/>
  <c r="BI649" i="35"/>
  <c r="BG649" i="35"/>
  <c r="BD649" i="35"/>
  <c r="BC649" i="35"/>
  <c r="AY649" i="35"/>
  <c r="AU649" i="35"/>
  <c r="AR649" i="35"/>
  <c r="AQ649" i="35"/>
  <c r="BH649" i="35" s="1"/>
  <c r="AP649" i="35"/>
  <c r="BA649" i="35" s="1"/>
  <c r="AO649" i="35"/>
  <c r="AL649" i="35"/>
  <c r="AM649" i="35" s="1"/>
  <c r="AK649" i="35"/>
  <c r="AI649" i="35"/>
  <c r="AJ649" i="35" s="1"/>
  <c r="AF649" i="35"/>
  <c r="AC649" i="35"/>
  <c r="AB649" i="35"/>
  <c r="AA649" i="35"/>
  <c r="Z649" i="35"/>
  <c r="Y649" i="35"/>
  <c r="X649" i="35"/>
  <c r="W649" i="35"/>
  <c r="T649" i="35"/>
  <c r="O649" i="35"/>
  <c r="N649" i="35"/>
  <c r="M649" i="35"/>
  <c r="L649" i="35"/>
  <c r="K649" i="35"/>
  <c r="J649" i="35"/>
  <c r="I649" i="35"/>
  <c r="H649" i="35"/>
  <c r="BJ648" i="35"/>
  <c r="BI648" i="35"/>
  <c r="AR648" i="35"/>
  <c r="AQ648" i="35"/>
  <c r="BH648" i="35" s="1"/>
  <c r="AP648" i="35"/>
  <c r="AO648" i="35"/>
  <c r="AL648" i="35"/>
  <c r="AK648" i="35"/>
  <c r="AM648" i="35" s="1"/>
  <c r="AI648" i="35"/>
  <c r="AJ648" i="35" s="1"/>
  <c r="AF648" i="35"/>
  <c r="AC648" i="35"/>
  <c r="AB648" i="35"/>
  <c r="AA648" i="35"/>
  <c r="Z648" i="35"/>
  <c r="Y648" i="35"/>
  <c r="X648" i="35"/>
  <c r="W648" i="35"/>
  <c r="T648" i="35"/>
  <c r="BK648" i="35" s="1"/>
  <c r="O648" i="35"/>
  <c r="N648" i="35"/>
  <c r="M648" i="35"/>
  <c r="L648" i="35"/>
  <c r="K648" i="35"/>
  <c r="J648" i="35"/>
  <c r="I648" i="35"/>
  <c r="H648" i="35"/>
  <c r="BJ647" i="35"/>
  <c r="BI647" i="35"/>
  <c r="BE647" i="35"/>
  <c r="AR647" i="35"/>
  <c r="AQ647" i="35"/>
  <c r="BH647" i="35" s="1"/>
  <c r="AP647" i="35"/>
  <c r="AO647" i="35"/>
  <c r="AM647" i="35"/>
  <c r="AL647" i="35"/>
  <c r="AK647" i="35"/>
  <c r="AJ647" i="35"/>
  <c r="AI647" i="35"/>
  <c r="AF647" i="35"/>
  <c r="AC647" i="35"/>
  <c r="AB647" i="35"/>
  <c r="AA647" i="35"/>
  <c r="Z647" i="35"/>
  <c r="Y647" i="35"/>
  <c r="X647" i="35"/>
  <c r="T647" i="35"/>
  <c r="O647" i="35"/>
  <c r="N647" i="35"/>
  <c r="M647" i="35"/>
  <c r="L647" i="35"/>
  <c r="K647" i="35"/>
  <c r="J647" i="35"/>
  <c r="I647" i="35"/>
  <c r="H647" i="35"/>
  <c r="BK646" i="35"/>
  <c r="BJ646" i="35"/>
  <c r="BI646" i="35"/>
  <c r="BH646" i="35"/>
  <c r="BD646" i="35"/>
  <c r="BC646" i="35"/>
  <c r="BA646" i="35"/>
  <c r="AZ646" i="35"/>
  <c r="AY646" i="35"/>
  <c r="AV646" i="35"/>
  <c r="AR646" i="35"/>
  <c r="AQ646" i="35"/>
  <c r="AP646" i="35"/>
  <c r="AX646" i="35" s="1"/>
  <c r="AO646" i="35"/>
  <c r="AM646" i="35"/>
  <c r="AL646" i="35"/>
  <c r="AK646" i="35"/>
  <c r="AI646" i="35"/>
  <c r="AJ646" i="35" s="1"/>
  <c r="AF646" i="35"/>
  <c r="AC646" i="35"/>
  <c r="AB646" i="35"/>
  <c r="AA646" i="35"/>
  <c r="Z646" i="35"/>
  <c r="Y646" i="35"/>
  <c r="X646" i="35"/>
  <c r="T646" i="35"/>
  <c r="W646" i="35" s="1"/>
  <c r="O646" i="35"/>
  <c r="N646" i="35"/>
  <c r="M646" i="35"/>
  <c r="L646" i="35"/>
  <c r="K646" i="35"/>
  <c r="J646" i="35"/>
  <c r="I646" i="35"/>
  <c r="H646" i="35"/>
  <c r="BK645" i="35"/>
  <c r="BJ645" i="35"/>
  <c r="BI645" i="35"/>
  <c r="BG645" i="35"/>
  <c r="BC645" i="35"/>
  <c r="AZ645" i="35"/>
  <c r="AY645" i="35"/>
  <c r="AX645" i="35"/>
  <c r="AU645" i="35"/>
  <c r="AR645" i="35"/>
  <c r="AQ645" i="35"/>
  <c r="BH645" i="35" s="1"/>
  <c r="AP645" i="35"/>
  <c r="AW645" i="35" s="1"/>
  <c r="AO645" i="35"/>
  <c r="AL645" i="35"/>
  <c r="AK645" i="35"/>
  <c r="AM645" i="35" s="1"/>
  <c r="AJ645" i="35"/>
  <c r="AI645" i="35"/>
  <c r="AF645" i="35"/>
  <c r="AC645" i="35"/>
  <c r="AB645" i="35"/>
  <c r="AA645" i="35"/>
  <c r="Z645" i="35"/>
  <c r="Y645" i="35"/>
  <c r="X645" i="35"/>
  <c r="W645" i="35"/>
  <c r="T645" i="35"/>
  <c r="O645" i="35"/>
  <c r="N645" i="35"/>
  <c r="M645" i="35"/>
  <c r="L645" i="35"/>
  <c r="K645" i="35"/>
  <c r="J645" i="35"/>
  <c r="I645" i="35"/>
  <c r="H645" i="35"/>
  <c r="BK644" i="35"/>
  <c r="BJ644" i="35"/>
  <c r="BI644" i="35"/>
  <c r="BB644" i="35"/>
  <c r="AX644" i="35"/>
  <c r="AW644" i="35"/>
  <c r="AT644" i="35"/>
  <c r="AR644" i="35"/>
  <c r="AQ644" i="35"/>
  <c r="BH644" i="35" s="1"/>
  <c r="AP644" i="35"/>
  <c r="BF644" i="35" s="1"/>
  <c r="AO644" i="35"/>
  <c r="AL644" i="35"/>
  <c r="AK644" i="35"/>
  <c r="AJ644" i="35"/>
  <c r="AI644" i="35"/>
  <c r="AF644" i="35"/>
  <c r="AC644" i="35"/>
  <c r="AB644" i="35"/>
  <c r="AA644" i="35"/>
  <c r="Z644" i="35"/>
  <c r="Y644" i="35"/>
  <c r="X644" i="35"/>
  <c r="W644" i="35"/>
  <c r="T644" i="35"/>
  <c r="O644" i="35"/>
  <c r="N644" i="35"/>
  <c r="M644" i="35"/>
  <c r="L644" i="35"/>
  <c r="K644" i="35"/>
  <c r="J644" i="35"/>
  <c r="I644" i="35"/>
  <c r="H644" i="35"/>
  <c r="BJ643" i="35"/>
  <c r="BI643" i="35"/>
  <c r="BH643" i="35"/>
  <c r="BE643" i="35"/>
  <c r="BA643" i="35"/>
  <c r="AZ643" i="35"/>
  <c r="AX643" i="35"/>
  <c r="AW643" i="35"/>
  <c r="AV643" i="35"/>
  <c r="AS643" i="35"/>
  <c r="AR643" i="35"/>
  <c r="AQ643" i="35"/>
  <c r="AP643" i="35"/>
  <c r="BG643" i="35" s="1"/>
  <c r="AO643" i="35"/>
  <c r="AL643" i="35"/>
  <c r="AK643" i="35"/>
  <c r="AM643" i="35" s="1"/>
  <c r="AJ643" i="35"/>
  <c r="AI643" i="35"/>
  <c r="AF643" i="35"/>
  <c r="AC643" i="35"/>
  <c r="AB643" i="35"/>
  <c r="AA643" i="35"/>
  <c r="Z643" i="35"/>
  <c r="Y643" i="35"/>
  <c r="X643" i="35"/>
  <c r="T643" i="35"/>
  <c r="BK643" i="35" s="1"/>
  <c r="O643" i="35"/>
  <c r="N643" i="35"/>
  <c r="M643" i="35"/>
  <c r="L643" i="35"/>
  <c r="K643" i="35"/>
  <c r="J643" i="35"/>
  <c r="I643" i="35"/>
  <c r="H643" i="35"/>
  <c r="BJ642" i="35"/>
  <c r="BI642" i="35"/>
  <c r="BH642" i="35"/>
  <c r="BG642" i="35"/>
  <c r="BD642" i="35"/>
  <c r="AZ642" i="35"/>
  <c r="AY642" i="35"/>
  <c r="AW642" i="35"/>
  <c r="AV642" i="35"/>
  <c r="AU642" i="35"/>
  <c r="AS642" i="35"/>
  <c r="AR642" i="35"/>
  <c r="AQ642" i="35"/>
  <c r="AP642" i="35"/>
  <c r="BF642" i="35" s="1"/>
  <c r="AO642" i="35"/>
  <c r="AM642" i="35"/>
  <c r="AL642" i="35"/>
  <c r="AK642" i="35"/>
  <c r="AJ642" i="35"/>
  <c r="AI642" i="35"/>
  <c r="AF642" i="35"/>
  <c r="AC642" i="35"/>
  <c r="AB642" i="35"/>
  <c r="AA642" i="35"/>
  <c r="Z642" i="35"/>
  <c r="Y642" i="35"/>
  <c r="X642" i="35"/>
  <c r="T642" i="35"/>
  <c r="W642" i="35" s="1"/>
  <c r="O642" i="35"/>
  <c r="N642" i="35"/>
  <c r="M642" i="35"/>
  <c r="L642" i="35"/>
  <c r="K642" i="35"/>
  <c r="J642" i="35"/>
  <c r="I642" i="35"/>
  <c r="H642" i="35"/>
  <c r="BK641" i="35"/>
  <c r="BJ641" i="35"/>
  <c r="BI641" i="35"/>
  <c r="BH641" i="35"/>
  <c r="BG641" i="35"/>
  <c r="BF641" i="35"/>
  <c r="BD641" i="35"/>
  <c r="BC641" i="35"/>
  <c r="AZ641" i="35"/>
  <c r="AY641" i="35"/>
  <c r="AX641" i="35"/>
  <c r="AV641" i="35"/>
  <c r="AU641" i="35"/>
  <c r="AT641" i="35"/>
  <c r="AS641" i="35"/>
  <c r="AR641" i="35"/>
  <c r="AQ641" i="35"/>
  <c r="AP641" i="35"/>
  <c r="BE641" i="35" s="1"/>
  <c r="AO641" i="35"/>
  <c r="AL641" i="35"/>
  <c r="AK641" i="35"/>
  <c r="AI641" i="35"/>
  <c r="AJ641" i="35" s="1"/>
  <c r="AF641" i="35"/>
  <c r="AC641" i="35"/>
  <c r="AB641" i="35"/>
  <c r="AA641" i="35"/>
  <c r="Z641" i="35"/>
  <c r="Y641" i="35"/>
  <c r="X641" i="35"/>
  <c r="W641" i="35"/>
  <c r="T641" i="35"/>
  <c r="O641" i="35"/>
  <c r="N641" i="35"/>
  <c r="M641" i="35"/>
  <c r="L641" i="35"/>
  <c r="K641" i="35"/>
  <c r="J641" i="35"/>
  <c r="I641" i="35"/>
  <c r="H641" i="35"/>
  <c r="BJ640" i="35"/>
  <c r="BI640" i="35"/>
  <c r="BG640" i="35"/>
  <c r="AR640" i="35"/>
  <c r="AQ640" i="35"/>
  <c r="BH640" i="35" s="1"/>
  <c r="AP640" i="35"/>
  <c r="BF640" i="35" s="1"/>
  <c r="AO640" i="35"/>
  <c r="AL640" i="35"/>
  <c r="AK640" i="35"/>
  <c r="AM640" i="35" s="1"/>
  <c r="AJ640" i="35"/>
  <c r="AI640" i="35"/>
  <c r="AF640" i="35"/>
  <c r="AC640" i="35"/>
  <c r="AB640" i="35"/>
  <c r="AA640" i="35"/>
  <c r="Z640" i="35"/>
  <c r="Y640" i="35"/>
  <c r="X640" i="35"/>
  <c r="W640" i="35"/>
  <c r="T640" i="35"/>
  <c r="BK640" i="35" s="1"/>
  <c r="O640" i="35"/>
  <c r="N640" i="35"/>
  <c r="M640" i="35"/>
  <c r="L640" i="35"/>
  <c r="K640" i="35"/>
  <c r="J640" i="35"/>
  <c r="I640" i="35"/>
  <c r="H640" i="35"/>
  <c r="BJ639" i="35"/>
  <c r="BI639" i="35"/>
  <c r="BH639" i="35"/>
  <c r="BF639" i="35"/>
  <c r="BE639" i="35"/>
  <c r="BD639" i="35"/>
  <c r="BA639" i="35"/>
  <c r="AW639" i="35"/>
  <c r="AV639" i="35"/>
  <c r="AT639" i="35"/>
  <c r="AS639" i="35"/>
  <c r="AR639" i="35"/>
  <c r="AQ639" i="35"/>
  <c r="AP639" i="35"/>
  <c r="BC639" i="35" s="1"/>
  <c r="AO639" i="35"/>
  <c r="AL639" i="35"/>
  <c r="AK639" i="35"/>
  <c r="AM639" i="35" s="1"/>
  <c r="AJ639" i="35"/>
  <c r="AI639" i="35"/>
  <c r="AF639" i="35"/>
  <c r="AC639" i="35"/>
  <c r="AB639" i="35"/>
  <c r="AA639" i="35"/>
  <c r="Z639" i="35"/>
  <c r="Y639" i="35"/>
  <c r="X639" i="35"/>
  <c r="T639" i="35"/>
  <c r="O639" i="35"/>
  <c r="N639" i="35"/>
  <c r="M639" i="35"/>
  <c r="L639" i="35"/>
  <c r="K639" i="35"/>
  <c r="J639" i="35"/>
  <c r="I639" i="35"/>
  <c r="H639" i="35"/>
  <c r="BJ638" i="35"/>
  <c r="BI638" i="35"/>
  <c r="BG638" i="35"/>
  <c r="BE638" i="35"/>
  <c r="BD638" i="35"/>
  <c r="BC638" i="35"/>
  <c r="AZ638" i="35"/>
  <c r="AV638" i="35"/>
  <c r="AU638" i="35"/>
  <c r="AS638" i="35"/>
  <c r="AR638" i="35"/>
  <c r="AQ638" i="35"/>
  <c r="BH638" i="35" s="1"/>
  <c r="AP638" i="35"/>
  <c r="BB638" i="35" s="1"/>
  <c r="AO638" i="35"/>
  <c r="AM638" i="35"/>
  <c r="AL638" i="35"/>
  <c r="AK638" i="35"/>
  <c r="AI638" i="35"/>
  <c r="AJ638" i="35" s="1"/>
  <c r="AF638" i="35"/>
  <c r="AC638" i="35"/>
  <c r="AB638" i="35"/>
  <c r="AA638" i="35"/>
  <c r="Z638" i="35"/>
  <c r="Y638" i="35"/>
  <c r="X638" i="35"/>
  <c r="T638" i="35"/>
  <c r="BK638" i="35" s="1"/>
  <c r="O638" i="35"/>
  <c r="N638" i="35"/>
  <c r="M638" i="35"/>
  <c r="L638" i="35"/>
  <c r="K638" i="35"/>
  <c r="J638" i="35"/>
  <c r="I638" i="35"/>
  <c r="H638" i="35"/>
  <c r="BK637" i="35"/>
  <c r="BJ637" i="35"/>
  <c r="BI637" i="35"/>
  <c r="BG637" i="35"/>
  <c r="BF637" i="35"/>
  <c r="BB637" i="35"/>
  <c r="AY637" i="35"/>
  <c r="AU637" i="35"/>
  <c r="AT637" i="35"/>
  <c r="AR637" i="35"/>
  <c r="AQ637" i="35"/>
  <c r="BH637" i="35" s="1"/>
  <c r="AP637" i="35"/>
  <c r="BD637" i="35" s="1"/>
  <c r="AO637" i="35"/>
  <c r="AL637" i="35"/>
  <c r="AK637" i="35"/>
  <c r="AM637" i="35" s="1"/>
  <c r="AI637" i="35"/>
  <c r="AJ637" i="35" s="1"/>
  <c r="AF637" i="35"/>
  <c r="AC637" i="35"/>
  <c r="AB637" i="35"/>
  <c r="AA637" i="35"/>
  <c r="Z637" i="35"/>
  <c r="Y637" i="35"/>
  <c r="X637" i="35"/>
  <c r="T637" i="35"/>
  <c r="W637" i="35" s="1"/>
  <c r="O637" i="35"/>
  <c r="N637" i="35"/>
  <c r="M637" i="35"/>
  <c r="L637" i="35"/>
  <c r="K637" i="35"/>
  <c r="J637" i="35"/>
  <c r="I637" i="35"/>
  <c r="H637" i="35"/>
  <c r="BJ636" i="35"/>
  <c r="BI636" i="35"/>
  <c r="BC636" i="35"/>
  <c r="AT636" i="35"/>
  <c r="AR636" i="35"/>
  <c r="AQ636" i="35"/>
  <c r="BH636" i="35" s="1"/>
  <c r="AP636" i="35"/>
  <c r="AO636" i="35"/>
  <c r="AL636" i="35"/>
  <c r="AK636" i="35"/>
  <c r="AM636" i="35" s="1"/>
  <c r="AJ636" i="35"/>
  <c r="AI636" i="35"/>
  <c r="AF636" i="35"/>
  <c r="AC636" i="35"/>
  <c r="AB636" i="35"/>
  <c r="AA636" i="35"/>
  <c r="Z636" i="35"/>
  <c r="Y636" i="35"/>
  <c r="X636" i="35"/>
  <c r="W636" i="35"/>
  <c r="T636" i="35"/>
  <c r="BK636" i="35" s="1"/>
  <c r="O636" i="35"/>
  <c r="N636" i="35"/>
  <c r="M636" i="35"/>
  <c r="L636" i="35"/>
  <c r="K636" i="35"/>
  <c r="J636" i="35"/>
  <c r="I636" i="35"/>
  <c r="H636" i="35"/>
  <c r="BJ635" i="35"/>
  <c r="BI635" i="35"/>
  <c r="AR635" i="35"/>
  <c r="AQ635" i="35"/>
  <c r="BH635" i="35" s="1"/>
  <c r="AP635" i="35"/>
  <c r="AO635" i="35"/>
  <c r="AL635" i="35"/>
  <c r="AK635" i="35"/>
  <c r="AM635" i="35" s="1"/>
  <c r="AJ635" i="35"/>
  <c r="AI635" i="35"/>
  <c r="AF635" i="35"/>
  <c r="AC635" i="35"/>
  <c r="AB635" i="35"/>
  <c r="AA635" i="35"/>
  <c r="Z635" i="35"/>
  <c r="Y635" i="35"/>
  <c r="X635" i="35"/>
  <c r="T635" i="35"/>
  <c r="BK635" i="35" s="1"/>
  <c r="O635" i="35"/>
  <c r="N635" i="35"/>
  <c r="M635" i="35"/>
  <c r="L635" i="35"/>
  <c r="K635" i="35"/>
  <c r="J635" i="35"/>
  <c r="I635" i="35"/>
  <c r="H635" i="35"/>
  <c r="BJ634" i="35"/>
  <c r="BI634" i="35"/>
  <c r="BH634" i="35"/>
  <c r="BA634" i="35"/>
  <c r="AV634" i="35"/>
  <c r="AR634" i="35"/>
  <c r="AQ634" i="35"/>
  <c r="AP634" i="35"/>
  <c r="AY634" i="35" s="1"/>
  <c r="AO634" i="35"/>
  <c r="AM634" i="35"/>
  <c r="AL634" i="35"/>
  <c r="AK634" i="35"/>
  <c r="AI634" i="35"/>
  <c r="AJ634" i="35" s="1"/>
  <c r="AF634" i="35"/>
  <c r="AC634" i="35"/>
  <c r="AB634" i="35"/>
  <c r="AA634" i="35"/>
  <c r="Z634" i="35"/>
  <c r="Y634" i="35"/>
  <c r="X634" i="35"/>
  <c r="T634" i="35"/>
  <c r="BK634" i="35" s="1"/>
  <c r="O634" i="35"/>
  <c r="N634" i="35"/>
  <c r="M634" i="35"/>
  <c r="L634" i="35"/>
  <c r="K634" i="35"/>
  <c r="J634" i="35"/>
  <c r="I634" i="35"/>
  <c r="H634" i="35"/>
  <c r="BK633" i="35"/>
  <c r="BJ633" i="35"/>
  <c r="BI633" i="35"/>
  <c r="BG633" i="35"/>
  <c r="BD633" i="35"/>
  <c r="BC633" i="35"/>
  <c r="BA633" i="35"/>
  <c r="AZ633" i="35"/>
  <c r="AY633" i="35"/>
  <c r="AV633" i="35"/>
  <c r="AU633" i="35"/>
  <c r="AR633" i="35"/>
  <c r="AQ633" i="35"/>
  <c r="BH633" i="35" s="1"/>
  <c r="AP633" i="35"/>
  <c r="AX633" i="35" s="1"/>
  <c r="AO633" i="35"/>
  <c r="AM633" i="35"/>
  <c r="AL633" i="35"/>
  <c r="AK633" i="35"/>
  <c r="AI633" i="35"/>
  <c r="AJ633" i="35" s="1"/>
  <c r="AF633" i="35"/>
  <c r="AC633" i="35"/>
  <c r="AB633" i="35"/>
  <c r="AA633" i="35"/>
  <c r="Z633" i="35"/>
  <c r="Y633" i="35"/>
  <c r="X633" i="35"/>
  <c r="W633" i="35"/>
  <c r="T633" i="35"/>
  <c r="O633" i="35"/>
  <c r="N633" i="35"/>
  <c r="M633" i="35"/>
  <c r="L633" i="35"/>
  <c r="K633" i="35"/>
  <c r="J633" i="35"/>
  <c r="I633" i="35"/>
  <c r="H633" i="35"/>
  <c r="BK632" i="35"/>
  <c r="BJ632" i="35"/>
  <c r="BI632" i="35"/>
  <c r="BF632" i="35"/>
  <c r="AZ632" i="35"/>
  <c r="AY632" i="35"/>
  <c r="AT632" i="35"/>
  <c r="AR632" i="35"/>
  <c r="AQ632" i="35"/>
  <c r="BH632" i="35" s="1"/>
  <c r="AP632" i="35"/>
  <c r="AW632" i="35" s="1"/>
  <c r="AO632" i="35"/>
  <c r="AL632" i="35"/>
  <c r="AM632" i="35" s="1"/>
  <c r="AK632" i="35"/>
  <c r="AJ632" i="35"/>
  <c r="AI632" i="35"/>
  <c r="AF632" i="35"/>
  <c r="AC632" i="35"/>
  <c r="AB632" i="35"/>
  <c r="AA632" i="35"/>
  <c r="Z632" i="35"/>
  <c r="Y632" i="35"/>
  <c r="X632" i="35"/>
  <c r="W632" i="35"/>
  <c r="T632" i="35"/>
  <c r="O632" i="35"/>
  <c r="N632" i="35"/>
  <c r="M632" i="35"/>
  <c r="L632" i="35"/>
  <c r="K632" i="35"/>
  <c r="J632" i="35"/>
  <c r="I632" i="35"/>
  <c r="H632" i="35"/>
  <c r="BK631" i="35"/>
  <c r="BJ631" i="35"/>
  <c r="BI631" i="35"/>
  <c r="BE631" i="35"/>
  <c r="BA631" i="35"/>
  <c r="AY631" i="35"/>
  <c r="AX631" i="35"/>
  <c r="AW631" i="35"/>
  <c r="AS631" i="35"/>
  <c r="AR631" i="35"/>
  <c r="AQ631" i="35"/>
  <c r="BH631" i="35" s="1"/>
  <c r="AP631" i="35"/>
  <c r="AV631" i="35" s="1"/>
  <c r="AO631" i="35"/>
  <c r="AL631" i="35"/>
  <c r="AK631" i="35"/>
  <c r="AM631" i="35" s="1"/>
  <c r="AJ631" i="35"/>
  <c r="AI631" i="35"/>
  <c r="AF631" i="35"/>
  <c r="AC631" i="35"/>
  <c r="AB631" i="35"/>
  <c r="AA631" i="35"/>
  <c r="Z631" i="35"/>
  <c r="Y631" i="35"/>
  <c r="X631" i="35"/>
  <c r="W631" i="35"/>
  <c r="T631" i="35"/>
  <c r="O631" i="35"/>
  <c r="N631" i="35"/>
  <c r="M631" i="35"/>
  <c r="L631" i="35"/>
  <c r="K631" i="35"/>
  <c r="J631" i="35"/>
  <c r="I631" i="35"/>
  <c r="H631" i="35"/>
  <c r="BJ630" i="35"/>
  <c r="BI630" i="35"/>
  <c r="BH630" i="35"/>
  <c r="BE630" i="35"/>
  <c r="BD630" i="35"/>
  <c r="BC630" i="35"/>
  <c r="BA630" i="35"/>
  <c r="AZ630" i="35"/>
  <c r="AY630" i="35"/>
  <c r="AX630" i="35"/>
  <c r="AW630" i="35"/>
  <c r="AV630" i="35"/>
  <c r="AS630" i="35"/>
  <c r="AR630" i="35"/>
  <c r="AQ630" i="35"/>
  <c r="AP630" i="35"/>
  <c r="BG630" i="35" s="1"/>
  <c r="AO630" i="35"/>
  <c r="AL630" i="35"/>
  <c r="AK630" i="35"/>
  <c r="AM630" i="35" s="1"/>
  <c r="AJ630" i="35"/>
  <c r="AI630" i="35"/>
  <c r="AF630" i="35"/>
  <c r="AC630" i="35"/>
  <c r="AB630" i="35"/>
  <c r="AA630" i="35"/>
  <c r="Z630" i="35"/>
  <c r="Y630" i="35"/>
  <c r="X630" i="35"/>
  <c r="T630" i="35"/>
  <c r="O630" i="35"/>
  <c r="N630" i="35"/>
  <c r="M630" i="35"/>
  <c r="L630" i="35"/>
  <c r="K630" i="35"/>
  <c r="J630" i="35"/>
  <c r="I630" i="35"/>
  <c r="H630" i="35"/>
  <c r="BJ629" i="35"/>
  <c r="BI629" i="35"/>
  <c r="BH629" i="35"/>
  <c r="BG629" i="35"/>
  <c r="BD629" i="35"/>
  <c r="BC629" i="35"/>
  <c r="AZ629" i="35"/>
  <c r="AY629" i="35"/>
  <c r="AX629" i="35"/>
  <c r="AW629" i="35"/>
  <c r="AV629" i="35"/>
  <c r="AU629" i="35"/>
  <c r="AR629" i="35"/>
  <c r="AQ629" i="35"/>
  <c r="AP629" i="35"/>
  <c r="BF629" i="35" s="1"/>
  <c r="AO629" i="35"/>
  <c r="AL629" i="35"/>
  <c r="AM629" i="35" s="1"/>
  <c r="AK629" i="35"/>
  <c r="AI629" i="35"/>
  <c r="AJ629" i="35" s="1"/>
  <c r="AF629" i="35"/>
  <c r="AC629" i="35"/>
  <c r="AB629" i="35"/>
  <c r="AA629" i="35"/>
  <c r="Z629" i="35"/>
  <c r="Y629" i="35"/>
  <c r="X629" i="35"/>
  <c r="T629" i="35"/>
  <c r="BK629" i="35" s="1"/>
  <c r="O629" i="35"/>
  <c r="N629" i="35"/>
  <c r="M629" i="35"/>
  <c r="L629" i="35"/>
  <c r="K629" i="35"/>
  <c r="J629" i="35"/>
  <c r="I629" i="35"/>
  <c r="H629" i="35"/>
  <c r="BK628" i="35"/>
  <c r="BJ628" i="35"/>
  <c r="BI628" i="35"/>
  <c r="BH628" i="35"/>
  <c r="BG628" i="35"/>
  <c r="AU628" i="35"/>
  <c r="AR628" i="35"/>
  <c r="AQ628" i="35"/>
  <c r="AP628" i="35"/>
  <c r="BE628" i="35" s="1"/>
  <c r="AO628" i="35"/>
  <c r="AL628" i="35"/>
  <c r="AK628" i="35"/>
  <c r="AM628" i="35" s="1"/>
  <c r="AI628" i="35"/>
  <c r="AJ628" i="35" s="1"/>
  <c r="AF628" i="35"/>
  <c r="AC628" i="35"/>
  <c r="AB628" i="35"/>
  <c r="AA628" i="35"/>
  <c r="Z628" i="35"/>
  <c r="Y628" i="35"/>
  <c r="X628" i="35"/>
  <c r="W628" i="35"/>
  <c r="T628" i="35"/>
  <c r="O628" i="35"/>
  <c r="N628" i="35"/>
  <c r="M628" i="35"/>
  <c r="L628" i="35"/>
  <c r="K628" i="35"/>
  <c r="J628" i="35"/>
  <c r="I628" i="35"/>
  <c r="H628" i="35"/>
  <c r="BJ627" i="35"/>
  <c r="BI627" i="35"/>
  <c r="BH627" i="35"/>
  <c r="BG627" i="35"/>
  <c r="BF627" i="35"/>
  <c r="BE627" i="35"/>
  <c r="BA627" i="35"/>
  <c r="AW627" i="35"/>
  <c r="AU627" i="35"/>
  <c r="AT627" i="35"/>
  <c r="AS627" i="35"/>
  <c r="AR627" i="35"/>
  <c r="AQ627" i="35"/>
  <c r="AP627" i="35"/>
  <c r="BD627" i="35" s="1"/>
  <c r="AO627" i="35"/>
  <c r="AL627" i="35"/>
  <c r="AK627" i="35"/>
  <c r="AM627" i="35" s="1"/>
  <c r="AJ627" i="35"/>
  <c r="AI627" i="35"/>
  <c r="AF627" i="35"/>
  <c r="AC627" i="35"/>
  <c r="AB627" i="35"/>
  <c r="AA627" i="35"/>
  <c r="Z627" i="35"/>
  <c r="Y627" i="35"/>
  <c r="X627" i="35"/>
  <c r="T627" i="35"/>
  <c r="BK627" i="35" s="1"/>
  <c r="O627" i="35"/>
  <c r="N627" i="35"/>
  <c r="M627" i="35"/>
  <c r="L627" i="35"/>
  <c r="K627" i="35"/>
  <c r="J627" i="35"/>
  <c r="I627" i="35"/>
  <c r="H627" i="35"/>
  <c r="BJ626" i="35"/>
  <c r="BI626" i="35"/>
  <c r="BH626" i="35"/>
  <c r="BG626" i="35"/>
  <c r="BF626" i="35"/>
  <c r="BE626" i="35"/>
  <c r="BD626" i="35"/>
  <c r="BA626" i="35"/>
  <c r="AZ626" i="35"/>
  <c r="AW626" i="35"/>
  <c r="AV626" i="35"/>
  <c r="AU626" i="35"/>
  <c r="AT626" i="35"/>
  <c r="AS626" i="35"/>
  <c r="AR626" i="35"/>
  <c r="AQ626" i="35"/>
  <c r="AP626" i="35"/>
  <c r="BC626" i="35" s="1"/>
  <c r="AO626" i="35"/>
  <c r="AM626" i="35"/>
  <c r="AL626" i="35"/>
  <c r="AK626" i="35"/>
  <c r="AI626" i="35"/>
  <c r="AJ626" i="35" s="1"/>
  <c r="AF626" i="35"/>
  <c r="AC626" i="35"/>
  <c r="AB626" i="35"/>
  <c r="AA626" i="35"/>
  <c r="Z626" i="35"/>
  <c r="Y626" i="35"/>
  <c r="X626" i="35"/>
  <c r="T626" i="35"/>
  <c r="BK626" i="35" s="1"/>
  <c r="O626" i="35"/>
  <c r="N626" i="35"/>
  <c r="M626" i="35"/>
  <c r="L626" i="35"/>
  <c r="K626" i="35"/>
  <c r="J626" i="35"/>
  <c r="I626" i="35"/>
  <c r="H626" i="35"/>
  <c r="BK625" i="35"/>
  <c r="BJ625" i="35"/>
  <c r="BI625" i="35"/>
  <c r="BG625" i="35"/>
  <c r="BF625" i="35"/>
  <c r="BE625" i="35"/>
  <c r="BD625" i="35"/>
  <c r="BC625" i="35"/>
  <c r="BA625" i="35"/>
  <c r="AZ625" i="35"/>
  <c r="AY625" i="35"/>
  <c r="AV625" i="35"/>
  <c r="AU625" i="35"/>
  <c r="AT625" i="35"/>
  <c r="AS625" i="35"/>
  <c r="AR625" i="35"/>
  <c r="AQ625" i="35"/>
  <c r="BH625" i="35" s="1"/>
  <c r="AP625" i="35"/>
  <c r="BB625" i="35" s="1"/>
  <c r="AO625" i="35"/>
  <c r="AL625" i="35"/>
  <c r="AM625" i="35" s="1"/>
  <c r="AK625" i="35"/>
  <c r="AI625" i="35"/>
  <c r="AJ625" i="35" s="1"/>
  <c r="AF625" i="35"/>
  <c r="AC625" i="35"/>
  <c r="AB625" i="35"/>
  <c r="AA625" i="35"/>
  <c r="Z625" i="35"/>
  <c r="Y625" i="35"/>
  <c r="X625" i="35"/>
  <c r="T625" i="35"/>
  <c r="W625" i="35" s="1"/>
  <c r="O625" i="35"/>
  <c r="N625" i="35"/>
  <c r="M625" i="35"/>
  <c r="L625" i="35"/>
  <c r="K625" i="35"/>
  <c r="J625" i="35"/>
  <c r="I625" i="35"/>
  <c r="H625" i="35"/>
  <c r="BK624" i="35"/>
  <c r="BJ624" i="35"/>
  <c r="BI624" i="35"/>
  <c r="BF624" i="35"/>
  <c r="BD624" i="35"/>
  <c r="BC624" i="35"/>
  <c r="AX624" i="35"/>
  <c r="AT624" i="35"/>
  <c r="AR624" i="35"/>
  <c r="AQ624" i="35"/>
  <c r="BH624" i="35" s="1"/>
  <c r="AP624" i="35"/>
  <c r="BA624" i="35" s="1"/>
  <c r="AO624" i="35"/>
  <c r="AL624" i="35"/>
  <c r="AK624" i="35"/>
  <c r="AM624" i="35" s="1"/>
  <c r="AI624" i="35"/>
  <c r="AJ624" i="35" s="1"/>
  <c r="AF624" i="35"/>
  <c r="AC624" i="35"/>
  <c r="AB624" i="35"/>
  <c r="AA624" i="35"/>
  <c r="Z624" i="35"/>
  <c r="Y624" i="35"/>
  <c r="X624" i="35"/>
  <c r="W624" i="35"/>
  <c r="T624" i="35"/>
  <c r="O624" i="35"/>
  <c r="N624" i="35"/>
  <c r="M624" i="35"/>
  <c r="L624" i="35"/>
  <c r="K624" i="35"/>
  <c r="J624" i="35"/>
  <c r="I624" i="35"/>
  <c r="H624" i="35"/>
  <c r="BJ623" i="35"/>
  <c r="BI623" i="35"/>
  <c r="BB623" i="35"/>
  <c r="AR623" i="35"/>
  <c r="AQ623" i="35"/>
  <c r="BH623" i="35" s="1"/>
  <c r="AP623" i="35"/>
  <c r="AO623" i="35"/>
  <c r="AL623" i="35"/>
  <c r="AK623" i="35"/>
  <c r="AM623" i="35" s="1"/>
  <c r="AJ623" i="35"/>
  <c r="AI623" i="35"/>
  <c r="AF623" i="35"/>
  <c r="AC623" i="35"/>
  <c r="AB623" i="35"/>
  <c r="AA623" i="35"/>
  <c r="Z623" i="35"/>
  <c r="Y623" i="35"/>
  <c r="X623" i="35"/>
  <c r="T623" i="35"/>
  <c r="BK623" i="35" s="1"/>
  <c r="O623" i="35"/>
  <c r="N623" i="35"/>
  <c r="M623" i="35"/>
  <c r="L623" i="35"/>
  <c r="K623" i="35"/>
  <c r="J623" i="35"/>
  <c r="I623" i="35"/>
  <c r="H623" i="35"/>
  <c r="BJ622" i="35"/>
  <c r="BI622" i="35"/>
  <c r="BH622" i="35"/>
  <c r="BA622" i="35"/>
  <c r="AV622" i="35"/>
  <c r="AR622" i="35"/>
  <c r="AQ622" i="35"/>
  <c r="AP622" i="35"/>
  <c r="AY622" i="35" s="1"/>
  <c r="AO622" i="35"/>
  <c r="AM622" i="35"/>
  <c r="AL622" i="35"/>
  <c r="AK622" i="35"/>
  <c r="AI622" i="35"/>
  <c r="AJ622" i="35" s="1"/>
  <c r="AF622" i="35"/>
  <c r="AC622" i="35"/>
  <c r="AB622" i="35"/>
  <c r="AA622" i="35"/>
  <c r="Z622" i="35"/>
  <c r="Y622" i="35"/>
  <c r="X622" i="35"/>
  <c r="T622" i="35"/>
  <c r="BK622" i="35" s="1"/>
  <c r="O622" i="35"/>
  <c r="N622" i="35"/>
  <c r="M622" i="35"/>
  <c r="L622" i="35"/>
  <c r="K622" i="35"/>
  <c r="J622" i="35"/>
  <c r="I622" i="35"/>
  <c r="H622" i="35"/>
  <c r="BK621" i="35"/>
  <c r="BJ621" i="35"/>
  <c r="BI621" i="35"/>
  <c r="BG621" i="35"/>
  <c r="BD621" i="35"/>
  <c r="BC621" i="35"/>
  <c r="BA621" i="35"/>
  <c r="AZ621" i="35"/>
  <c r="AY621" i="35"/>
  <c r="AV621" i="35"/>
  <c r="AU621" i="35"/>
  <c r="AR621" i="35"/>
  <c r="AQ621" i="35"/>
  <c r="BH621" i="35" s="1"/>
  <c r="AP621" i="35"/>
  <c r="AX621" i="35" s="1"/>
  <c r="AO621" i="35"/>
  <c r="AM621" i="35"/>
  <c r="AL621" i="35"/>
  <c r="AK621" i="35"/>
  <c r="AI621" i="35"/>
  <c r="AJ621" i="35" s="1"/>
  <c r="AF621" i="35"/>
  <c r="AC621" i="35"/>
  <c r="AB621" i="35"/>
  <c r="AA621" i="35"/>
  <c r="Z621" i="35"/>
  <c r="Y621" i="35"/>
  <c r="X621" i="35"/>
  <c r="T621" i="35"/>
  <c r="W621" i="35" s="1"/>
  <c r="O621" i="35"/>
  <c r="N621" i="35"/>
  <c r="M621" i="35"/>
  <c r="L621" i="35"/>
  <c r="K621" i="35"/>
  <c r="J621" i="35"/>
  <c r="I621" i="35"/>
  <c r="H621" i="35"/>
  <c r="BK620" i="35"/>
  <c r="BJ620" i="35"/>
  <c r="BI620" i="35"/>
  <c r="BF620" i="35"/>
  <c r="AZ620" i="35"/>
  <c r="AY620" i="35"/>
  <c r="AT620" i="35"/>
  <c r="AR620" i="35"/>
  <c r="AQ620" i="35"/>
  <c r="BH620" i="35" s="1"/>
  <c r="AP620" i="35"/>
  <c r="AW620" i="35" s="1"/>
  <c r="AO620" i="35"/>
  <c r="AL620" i="35"/>
  <c r="AM620" i="35" s="1"/>
  <c r="AK620" i="35"/>
  <c r="AI620" i="35"/>
  <c r="AJ620" i="35" s="1"/>
  <c r="AF620" i="35"/>
  <c r="AC620" i="35"/>
  <c r="AB620" i="35"/>
  <c r="AA620" i="35"/>
  <c r="Z620" i="35"/>
  <c r="Y620" i="35"/>
  <c r="X620" i="35"/>
  <c r="W620" i="35"/>
  <c r="T620" i="35"/>
  <c r="O620" i="35"/>
  <c r="N620" i="35"/>
  <c r="M620" i="35"/>
  <c r="L620" i="35"/>
  <c r="K620" i="35"/>
  <c r="J620" i="35"/>
  <c r="I620" i="35"/>
  <c r="H620" i="35"/>
  <c r="BK619" i="35"/>
  <c r="BJ619" i="35"/>
  <c r="BI619" i="35"/>
  <c r="BF619" i="35"/>
  <c r="BE619" i="35"/>
  <c r="BA619" i="35"/>
  <c r="AY619" i="35"/>
  <c r="AX619" i="35"/>
  <c r="AW619" i="35"/>
  <c r="AT619" i="35"/>
  <c r="AS619" i="35"/>
  <c r="AR619" i="35"/>
  <c r="AQ619" i="35"/>
  <c r="BH619" i="35" s="1"/>
  <c r="AP619" i="35"/>
  <c r="AV619" i="35" s="1"/>
  <c r="AO619" i="35"/>
  <c r="AL619" i="35"/>
  <c r="AK619" i="35"/>
  <c r="AM619" i="35" s="1"/>
  <c r="AJ619" i="35"/>
  <c r="AI619" i="35"/>
  <c r="AF619" i="35"/>
  <c r="AC619" i="35"/>
  <c r="AB619" i="35"/>
  <c r="AA619" i="35"/>
  <c r="Z619" i="35"/>
  <c r="Y619" i="35"/>
  <c r="X619" i="35"/>
  <c r="W619" i="35"/>
  <c r="T619" i="35"/>
  <c r="O619" i="35"/>
  <c r="N619" i="35"/>
  <c r="M619" i="35"/>
  <c r="L619" i="35"/>
  <c r="K619" i="35"/>
  <c r="J619" i="35"/>
  <c r="I619" i="35"/>
  <c r="H619" i="35"/>
  <c r="BJ618" i="35"/>
  <c r="BI618" i="35"/>
  <c r="BH618" i="35"/>
  <c r="BE618" i="35"/>
  <c r="BD618" i="35"/>
  <c r="BA618" i="35"/>
  <c r="AZ618" i="35"/>
  <c r="AY618" i="35"/>
  <c r="AX618" i="35"/>
  <c r="AW618" i="35"/>
  <c r="AV618" i="35"/>
  <c r="AS618" i="35"/>
  <c r="AR618" i="35"/>
  <c r="AQ618" i="35"/>
  <c r="AP618" i="35"/>
  <c r="BG618" i="35" s="1"/>
  <c r="AO618" i="35"/>
  <c r="AL618" i="35"/>
  <c r="AK618" i="35"/>
  <c r="AM618" i="35" s="1"/>
  <c r="AJ618" i="35"/>
  <c r="AI618" i="35"/>
  <c r="AF618" i="35"/>
  <c r="AC618" i="35"/>
  <c r="AB618" i="35"/>
  <c r="AA618" i="35"/>
  <c r="Z618" i="35"/>
  <c r="Y618" i="35"/>
  <c r="X618" i="35"/>
  <c r="T618" i="35"/>
  <c r="O618" i="35"/>
  <c r="N618" i="35"/>
  <c r="M618" i="35"/>
  <c r="L618" i="35"/>
  <c r="K618" i="35"/>
  <c r="J618" i="35"/>
  <c r="I618" i="35"/>
  <c r="H618" i="35"/>
  <c r="BJ617" i="35"/>
  <c r="BI617" i="35"/>
  <c r="BH617" i="35"/>
  <c r="BG617" i="35"/>
  <c r="BD617" i="35"/>
  <c r="BC617" i="35"/>
  <c r="AZ617" i="35"/>
  <c r="AY617" i="35"/>
  <c r="AX617" i="35"/>
  <c r="AW617" i="35"/>
  <c r="AV617" i="35"/>
  <c r="AU617" i="35"/>
  <c r="AR617" i="35"/>
  <c r="AQ617" i="35"/>
  <c r="AP617" i="35"/>
  <c r="BF617" i="35" s="1"/>
  <c r="AO617" i="35"/>
  <c r="AL617" i="35"/>
  <c r="AM617" i="35" s="1"/>
  <c r="AK617" i="35"/>
  <c r="AI617" i="35"/>
  <c r="AJ617" i="35" s="1"/>
  <c r="AF617" i="35"/>
  <c r="AC617" i="35"/>
  <c r="AB617" i="35"/>
  <c r="AA617" i="35"/>
  <c r="Z617" i="35"/>
  <c r="Y617" i="35"/>
  <c r="X617" i="35"/>
  <c r="T617" i="35"/>
  <c r="BK617" i="35" s="1"/>
  <c r="O617" i="35"/>
  <c r="N617" i="35"/>
  <c r="M617" i="35"/>
  <c r="L617" i="35"/>
  <c r="K617" i="35"/>
  <c r="J617" i="35"/>
  <c r="I617" i="35"/>
  <c r="H617" i="35"/>
  <c r="BK616" i="35"/>
  <c r="BJ616" i="35"/>
  <c r="BI616" i="35"/>
  <c r="BH616" i="35"/>
  <c r="BG616" i="35"/>
  <c r="BB616" i="35"/>
  <c r="AU616" i="35"/>
  <c r="AR616" i="35"/>
  <c r="AQ616" i="35"/>
  <c r="AP616" i="35"/>
  <c r="AO616" i="35"/>
  <c r="AL616" i="35"/>
  <c r="AK616" i="35"/>
  <c r="AM616" i="35" s="1"/>
  <c r="AI616" i="35"/>
  <c r="AJ616" i="35" s="1"/>
  <c r="AF616" i="35"/>
  <c r="AC616" i="35"/>
  <c r="AB616" i="35"/>
  <c r="AA616" i="35"/>
  <c r="Z616" i="35"/>
  <c r="Y616" i="35"/>
  <c r="X616" i="35"/>
  <c r="W616" i="35"/>
  <c r="T616" i="35"/>
  <c r="O616" i="35"/>
  <c r="N616" i="35"/>
  <c r="M616" i="35"/>
  <c r="L616" i="35"/>
  <c r="K616" i="35"/>
  <c r="J616" i="35"/>
  <c r="I616" i="35"/>
  <c r="H616" i="35"/>
  <c r="BJ615" i="35"/>
  <c r="BI615" i="35"/>
  <c r="BH615" i="35"/>
  <c r="BG615" i="35"/>
  <c r="BF615" i="35"/>
  <c r="BE615" i="35"/>
  <c r="BA615" i="35"/>
  <c r="AW615" i="35"/>
  <c r="AU615" i="35"/>
  <c r="AT615" i="35"/>
  <c r="AS615" i="35"/>
  <c r="AR615" i="35"/>
  <c r="AQ615" i="35"/>
  <c r="AP615" i="35"/>
  <c r="BD615" i="35" s="1"/>
  <c r="AO615" i="35"/>
  <c r="AL615" i="35"/>
  <c r="AK615" i="35"/>
  <c r="AM615" i="35" s="1"/>
  <c r="AJ615" i="35"/>
  <c r="AI615" i="35"/>
  <c r="AF615" i="35"/>
  <c r="AC615" i="35"/>
  <c r="AB615" i="35"/>
  <c r="AA615" i="35"/>
  <c r="Z615" i="35"/>
  <c r="Y615" i="35"/>
  <c r="X615" i="35"/>
  <c r="T615" i="35"/>
  <c r="BK615" i="35" s="1"/>
  <c r="O615" i="35"/>
  <c r="N615" i="35"/>
  <c r="M615" i="35"/>
  <c r="L615" i="35"/>
  <c r="K615" i="35"/>
  <c r="J615" i="35"/>
  <c r="I615" i="35"/>
  <c r="H615" i="35"/>
  <c r="BJ614" i="35"/>
  <c r="BI614" i="35"/>
  <c r="BH614" i="35"/>
  <c r="BG614" i="35"/>
  <c r="BF614" i="35"/>
  <c r="BE614" i="35"/>
  <c r="BD614" i="35"/>
  <c r="BA614" i="35"/>
  <c r="AZ614" i="35"/>
  <c r="AW614" i="35"/>
  <c r="AV614" i="35"/>
  <c r="AU614" i="35"/>
  <c r="AT614" i="35"/>
  <c r="AS614" i="35"/>
  <c r="AR614" i="35"/>
  <c r="AQ614" i="35"/>
  <c r="AP614" i="35"/>
  <c r="BC614" i="35" s="1"/>
  <c r="AO614" i="35"/>
  <c r="AM614" i="35"/>
  <c r="AL614" i="35"/>
  <c r="AK614" i="35"/>
  <c r="AI614" i="35"/>
  <c r="AJ614" i="35" s="1"/>
  <c r="AF614" i="35"/>
  <c r="AC614" i="35"/>
  <c r="AB614" i="35"/>
  <c r="AA614" i="35"/>
  <c r="Z614" i="35"/>
  <c r="Y614" i="35"/>
  <c r="X614" i="35"/>
  <c r="T614" i="35"/>
  <c r="BK614" i="35" s="1"/>
  <c r="O614" i="35"/>
  <c r="N614" i="35"/>
  <c r="M614" i="35"/>
  <c r="L614" i="35"/>
  <c r="K614" i="35"/>
  <c r="J614" i="35"/>
  <c r="I614" i="35"/>
  <c r="H614" i="35"/>
  <c r="BK613" i="35"/>
  <c r="BJ613" i="35"/>
  <c r="BI613" i="35"/>
  <c r="BG613" i="35"/>
  <c r="BF613" i="35"/>
  <c r="BE613" i="35"/>
  <c r="BD613" i="35"/>
  <c r="BC613" i="35"/>
  <c r="AZ613" i="35"/>
  <c r="AY613" i="35"/>
  <c r="AV613" i="35"/>
  <c r="AU613" i="35"/>
  <c r="AT613" i="35"/>
  <c r="AS613" i="35"/>
  <c r="AR613" i="35"/>
  <c r="AQ613" i="35"/>
  <c r="BH613" i="35" s="1"/>
  <c r="AP613" i="35"/>
  <c r="BB613" i="35" s="1"/>
  <c r="AO613" i="35"/>
  <c r="AL613" i="35"/>
  <c r="AM613" i="35" s="1"/>
  <c r="AK613" i="35"/>
  <c r="AI613" i="35"/>
  <c r="AJ613" i="35" s="1"/>
  <c r="AF613" i="35"/>
  <c r="AC613" i="35"/>
  <c r="AB613" i="35"/>
  <c r="AA613" i="35"/>
  <c r="Z613" i="35"/>
  <c r="Y613" i="35"/>
  <c r="X613" i="35"/>
  <c r="T613" i="35"/>
  <c r="W613" i="35" s="1"/>
  <c r="O613" i="35"/>
  <c r="N613" i="35"/>
  <c r="M613" i="35"/>
  <c r="L613" i="35"/>
  <c r="K613" i="35"/>
  <c r="J613" i="35"/>
  <c r="I613" i="35"/>
  <c r="H613" i="35"/>
  <c r="BK612" i="35"/>
  <c r="BJ612" i="35"/>
  <c r="BI612" i="35"/>
  <c r="BD612" i="35"/>
  <c r="BC612" i="35"/>
  <c r="AX612" i="35"/>
  <c r="AR612" i="35"/>
  <c r="AQ612" i="35"/>
  <c r="BH612" i="35" s="1"/>
  <c r="AP612" i="35"/>
  <c r="BA612" i="35" s="1"/>
  <c r="AO612" i="35"/>
  <c r="AL612" i="35"/>
  <c r="AK612" i="35"/>
  <c r="AM612" i="35" s="1"/>
  <c r="AI612" i="35"/>
  <c r="AJ612" i="35" s="1"/>
  <c r="AF612" i="35"/>
  <c r="AC612" i="35"/>
  <c r="AB612" i="35"/>
  <c r="AA612" i="35"/>
  <c r="Z612" i="35"/>
  <c r="Y612" i="35"/>
  <c r="X612" i="35"/>
  <c r="W612" i="35"/>
  <c r="T612" i="35"/>
  <c r="O612" i="35"/>
  <c r="N612" i="35"/>
  <c r="M612" i="35"/>
  <c r="L612" i="35"/>
  <c r="K612" i="35"/>
  <c r="J612" i="35"/>
  <c r="I612" i="35"/>
  <c r="H612" i="35"/>
  <c r="BJ611" i="35"/>
  <c r="BI611" i="35"/>
  <c r="AW611" i="35"/>
  <c r="AR611" i="35"/>
  <c r="AQ611" i="35"/>
  <c r="BH611" i="35" s="1"/>
  <c r="AP611" i="35"/>
  <c r="AO611" i="35"/>
  <c r="AL611" i="35"/>
  <c r="AK611" i="35"/>
  <c r="AM611" i="35" s="1"/>
  <c r="AJ611" i="35"/>
  <c r="AI611" i="35"/>
  <c r="AF611" i="35"/>
  <c r="AC611" i="35"/>
  <c r="AB611" i="35"/>
  <c r="AA611" i="35"/>
  <c r="Z611" i="35"/>
  <c r="Y611" i="35"/>
  <c r="X611" i="35"/>
  <c r="T611" i="35"/>
  <c r="O611" i="35"/>
  <c r="N611" i="35"/>
  <c r="M611" i="35"/>
  <c r="L611" i="35"/>
  <c r="K611" i="35"/>
  <c r="J611" i="35"/>
  <c r="I611" i="35"/>
  <c r="H611" i="35"/>
  <c r="BJ610" i="35"/>
  <c r="BI610" i="35"/>
  <c r="BH610" i="35"/>
  <c r="BB610" i="35"/>
  <c r="BA610" i="35"/>
  <c r="AV610" i="35"/>
  <c r="AR610" i="35"/>
  <c r="AQ610" i="35"/>
  <c r="AP610" i="35"/>
  <c r="AO610" i="35"/>
  <c r="AM610" i="35"/>
  <c r="AL610" i="35"/>
  <c r="AK610" i="35"/>
  <c r="AI610" i="35"/>
  <c r="AJ610" i="35" s="1"/>
  <c r="AF610" i="35"/>
  <c r="AC610" i="35"/>
  <c r="AB610" i="35"/>
  <c r="AA610" i="35"/>
  <c r="Z610" i="35"/>
  <c r="Y610" i="35"/>
  <c r="X610" i="35"/>
  <c r="T610" i="35"/>
  <c r="BK610" i="35" s="1"/>
  <c r="O610" i="35"/>
  <c r="N610" i="35"/>
  <c r="M610" i="35"/>
  <c r="L610" i="35"/>
  <c r="K610" i="35"/>
  <c r="J610" i="35"/>
  <c r="I610" i="35"/>
  <c r="H610" i="35"/>
  <c r="BK609" i="35"/>
  <c r="BJ609" i="35"/>
  <c r="BI609" i="35"/>
  <c r="BG609" i="35"/>
  <c r="BD609" i="35"/>
  <c r="BC609" i="35"/>
  <c r="BA609" i="35"/>
  <c r="AZ609" i="35"/>
  <c r="AY609" i="35"/>
  <c r="AV609" i="35"/>
  <c r="AU609" i="35"/>
  <c r="AR609" i="35"/>
  <c r="AQ609" i="35"/>
  <c r="BH609" i="35" s="1"/>
  <c r="AP609" i="35"/>
  <c r="AX609" i="35" s="1"/>
  <c r="AO609" i="35"/>
  <c r="AM609" i="35"/>
  <c r="AL609" i="35"/>
  <c r="AK609" i="35"/>
  <c r="AI609" i="35"/>
  <c r="AJ609" i="35" s="1"/>
  <c r="AF609" i="35"/>
  <c r="AC609" i="35"/>
  <c r="AB609" i="35"/>
  <c r="AA609" i="35"/>
  <c r="Z609" i="35"/>
  <c r="Y609" i="35"/>
  <c r="X609" i="35"/>
  <c r="T609" i="35"/>
  <c r="W609" i="35" s="1"/>
  <c r="O609" i="35"/>
  <c r="N609" i="35"/>
  <c r="M609" i="35"/>
  <c r="L609" i="35"/>
  <c r="K609" i="35"/>
  <c r="J609" i="35"/>
  <c r="I609" i="35"/>
  <c r="H609" i="35"/>
  <c r="BK608" i="35"/>
  <c r="BJ608" i="35"/>
  <c r="BI608" i="35"/>
  <c r="AT608" i="35"/>
  <c r="AR608" i="35"/>
  <c r="AQ608" i="35"/>
  <c r="BH608" i="35" s="1"/>
  <c r="AP608" i="35"/>
  <c r="AO608" i="35"/>
  <c r="AM608" i="35"/>
  <c r="AL608" i="35"/>
  <c r="AK608" i="35"/>
  <c r="AI608" i="35"/>
  <c r="AJ608" i="35" s="1"/>
  <c r="AF608" i="35"/>
  <c r="AC608" i="35"/>
  <c r="AB608" i="35"/>
  <c r="AA608" i="35"/>
  <c r="Z608" i="35"/>
  <c r="Y608" i="35"/>
  <c r="X608" i="35"/>
  <c r="W608" i="35"/>
  <c r="T608" i="35"/>
  <c r="O608" i="35"/>
  <c r="N608" i="35"/>
  <c r="M608" i="35"/>
  <c r="L608" i="35"/>
  <c r="K608" i="35"/>
  <c r="J608" i="35"/>
  <c r="I608" i="35"/>
  <c r="H608" i="35"/>
  <c r="BK607" i="35"/>
  <c r="BJ607" i="35"/>
  <c r="BI607" i="35"/>
  <c r="BF607" i="35"/>
  <c r="BE607" i="35"/>
  <c r="BA607" i="35"/>
  <c r="AY607" i="35"/>
  <c r="AX607" i="35"/>
  <c r="AW607" i="35"/>
  <c r="AT607" i="35"/>
  <c r="AS607" i="35"/>
  <c r="AR607" i="35"/>
  <c r="AQ607" i="35"/>
  <c r="BH607" i="35" s="1"/>
  <c r="AP607" i="35"/>
  <c r="AV607" i="35" s="1"/>
  <c r="AO607" i="35"/>
  <c r="AL607" i="35"/>
  <c r="AK607" i="35"/>
  <c r="AJ607" i="35"/>
  <c r="AI607" i="35"/>
  <c r="AF607" i="35"/>
  <c r="AC607" i="35"/>
  <c r="AB607" i="35"/>
  <c r="AA607" i="35"/>
  <c r="Z607" i="35"/>
  <c r="Y607" i="35"/>
  <c r="X607" i="35"/>
  <c r="W607" i="35"/>
  <c r="T607" i="35"/>
  <c r="O607" i="35"/>
  <c r="N607" i="35"/>
  <c r="M607" i="35"/>
  <c r="L607" i="35"/>
  <c r="K607" i="35"/>
  <c r="J607" i="35"/>
  <c r="I607" i="35"/>
  <c r="H607" i="35"/>
  <c r="BJ606" i="35"/>
  <c r="BI606" i="35"/>
  <c r="BH606" i="35"/>
  <c r="BE606" i="35"/>
  <c r="BD606" i="35"/>
  <c r="BA606" i="35"/>
  <c r="AZ606" i="35"/>
  <c r="AY606" i="35"/>
  <c r="AX606" i="35"/>
  <c r="AW606" i="35"/>
  <c r="AV606" i="35"/>
  <c r="AS606" i="35"/>
  <c r="AR606" i="35"/>
  <c r="AQ606" i="35"/>
  <c r="AP606" i="35"/>
  <c r="BG606" i="35" s="1"/>
  <c r="AO606" i="35"/>
  <c r="AL606" i="35"/>
  <c r="AK606" i="35"/>
  <c r="AM606" i="35" s="1"/>
  <c r="AI606" i="35"/>
  <c r="AJ606" i="35" s="1"/>
  <c r="AF606" i="35"/>
  <c r="AC606" i="35"/>
  <c r="AB606" i="35"/>
  <c r="AA606" i="35"/>
  <c r="Z606" i="35"/>
  <c r="Y606" i="35"/>
  <c r="X606" i="35"/>
  <c r="W606" i="35"/>
  <c r="T606" i="35"/>
  <c r="BK606" i="35" s="1"/>
  <c r="O606" i="35"/>
  <c r="N606" i="35"/>
  <c r="M606" i="35"/>
  <c r="L606" i="35"/>
  <c r="K606" i="35"/>
  <c r="J606" i="35"/>
  <c r="I606" i="35"/>
  <c r="H606" i="35"/>
  <c r="BK605" i="35"/>
  <c r="BJ605" i="35"/>
  <c r="BI605" i="35"/>
  <c r="BG605" i="35"/>
  <c r="BD605" i="35"/>
  <c r="BC605" i="35"/>
  <c r="AZ605" i="35"/>
  <c r="AY605" i="35"/>
  <c r="AX605" i="35"/>
  <c r="AW605" i="35"/>
  <c r="AV605" i="35"/>
  <c r="AU605" i="35"/>
  <c r="AR605" i="35"/>
  <c r="AQ605" i="35"/>
  <c r="BH605" i="35" s="1"/>
  <c r="AP605" i="35"/>
  <c r="BF605" i="35" s="1"/>
  <c r="AO605" i="35"/>
  <c r="AL605" i="35"/>
  <c r="AM605" i="35" s="1"/>
  <c r="AK605" i="35"/>
  <c r="AI605" i="35"/>
  <c r="AJ605" i="35" s="1"/>
  <c r="AF605" i="35"/>
  <c r="AC605" i="35"/>
  <c r="AB605" i="35"/>
  <c r="AA605" i="35"/>
  <c r="Z605" i="35"/>
  <c r="Y605" i="35"/>
  <c r="X605" i="35"/>
  <c r="T605" i="35"/>
  <c r="W605" i="35" s="1"/>
  <c r="O605" i="35"/>
  <c r="N605" i="35"/>
  <c r="M605" i="35"/>
  <c r="L605" i="35"/>
  <c r="K605" i="35"/>
  <c r="J605" i="35"/>
  <c r="I605" i="35"/>
  <c r="H605" i="35"/>
  <c r="BK604" i="35"/>
  <c r="BJ604" i="35"/>
  <c r="BI604" i="35"/>
  <c r="BH604" i="35"/>
  <c r="BF604" i="35"/>
  <c r="AX604" i="35"/>
  <c r="AV604" i="35"/>
  <c r="AU604" i="35"/>
  <c r="AT604" i="35"/>
  <c r="AR604" i="35"/>
  <c r="AQ604" i="35"/>
  <c r="AP604" i="35"/>
  <c r="BG604" i="35" s="1"/>
  <c r="AO604" i="35"/>
  <c r="AL604" i="35"/>
  <c r="AK604" i="35"/>
  <c r="AM604" i="35" s="1"/>
  <c r="AI604" i="35"/>
  <c r="AJ604" i="35" s="1"/>
  <c r="AF604" i="35"/>
  <c r="AC604" i="35"/>
  <c r="AB604" i="35"/>
  <c r="AA604" i="35"/>
  <c r="Z604" i="35"/>
  <c r="Y604" i="35"/>
  <c r="X604" i="35"/>
  <c r="W604" i="35"/>
  <c r="T604" i="35"/>
  <c r="O604" i="35"/>
  <c r="N604" i="35"/>
  <c r="M604" i="35"/>
  <c r="L604" i="35"/>
  <c r="K604" i="35"/>
  <c r="J604" i="35"/>
  <c r="I604" i="35"/>
  <c r="H604" i="35"/>
  <c r="BJ603" i="35"/>
  <c r="BI603" i="35"/>
  <c r="BH603" i="35"/>
  <c r="BG603" i="35"/>
  <c r="BF603" i="35"/>
  <c r="BE603" i="35"/>
  <c r="BA603" i="35"/>
  <c r="AW603" i="35"/>
  <c r="AU603" i="35"/>
  <c r="AT603" i="35"/>
  <c r="AS603" i="35"/>
  <c r="AR603" i="35"/>
  <c r="AQ603" i="35"/>
  <c r="AP603" i="35"/>
  <c r="BD603" i="35" s="1"/>
  <c r="AO603" i="35"/>
  <c r="AL603" i="35"/>
  <c r="AK603" i="35"/>
  <c r="AM603" i="35" s="1"/>
  <c r="AJ603" i="35"/>
  <c r="AI603" i="35"/>
  <c r="AF603" i="35"/>
  <c r="AC603" i="35"/>
  <c r="AB603" i="35"/>
  <c r="AA603" i="35"/>
  <c r="Z603" i="35"/>
  <c r="Y603" i="35"/>
  <c r="X603" i="35"/>
  <c r="T603" i="35"/>
  <c r="O603" i="35"/>
  <c r="N603" i="35"/>
  <c r="M603" i="35"/>
  <c r="L603" i="35"/>
  <c r="K603" i="35"/>
  <c r="J603" i="35"/>
  <c r="I603" i="35"/>
  <c r="H603" i="35"/>
  <c r="BJ602" i="35"/>
  <c r="BI602" i="35"/>
  <c r="BH602" i="35"/>
  <c r="BG602" i="35"/>
  <c r="BF602" i="35"/>
  <c r="BE602" i="35"/>
  <c r="BD602" i="35"/>
  <c r="BC602" i="35"/>
  <c r="BA602" i="35"/>
  <c r="AZ602" i="35"/>
  <c r="AW602" i="35"/>
  <c r="AV602" i="35"/>
  <c r="AU602" i="35"/>
  <c r="AT602" i="35"/>
  <c r="AS602" i="35"/>
  <c r="AR602" i="35"/>
  <c r="AQ602" i="35"/>
  <c r="AP602" i="35"/>
  <c r="BB602" i="35" s="1"/>
  <c r="AO602" i="35"/>
  <c r="AM602" i="35"/>
  <c r="AL602" i="35"/>
  <c r="AK602" i="35"/>
  <c r="AI602" i="35"/>
  <c r="AJ602" i="35" s="1"/>
  <c r="AF602" i="35"/>
  <c r="AC602" i="35"/>
  <c r="AB602" i="35"/>
  <c r="AA602" i="35"/>
  <c r="Z602" i="35"/>
  <c r="Y602" i="35"/>
  <c r="X602" i="35"/>
  <c r="T602" i="35"/>
  <c r="BK602" i="35" s="1"/>
  <c r="O602" i="35"/>
  <c r="N602" i="35"/>
  <c r="M602" i="35"/>
  <c r="L602" i="35"/>
  <c r="K602" i="35"/>
  <c r="J602" i="35"/>
  <c r="I602" i="35"/>
  <c r="H602" i="35"/>
  <c r="BK601" i="35"/>
  <c r="BJ601" i="35"/>
  <c r="BI601" i="35"/>
  <c r="BG601" i="35"/>
  <c r="BF601" i="35"/>
  <c r="BE601" i="35"/>
  <c r="BD601" i="35"/>
  <c r="BC601" i="35"/>
  <c r="AZ601" i="35"/>
  <c r="AY601" i="35"/>
  <c r="AV601" i="35"/>
  <c r="AU601" i="35"/>
  <c r="AT601" i="35"/>
  <c r="AS601" i="35"/>
  <c r="AR601" i="35"/>
  <c r="AQ601" i="35"/>
  <c r="BH601" i="35" s="1"/>
  <c r="AP601" i="35"/>
  <c r="BB601" i="35" s="1"/>
  <c r="AO601" i="35"/>
  <c r="AL601" i="35"/>
  <c r="AM601" i="35" s="1"/>
  <c r="AK601" i="35"/>
  <c r="AI601" i="35"/>
  <c r="AJ601" i="35" s="1"/>
  <c r="AF601" i="35"/>
  <c r="AC601" i="35"/>
  <c r="AB601" i="35"/>
  <c r="AA601" i="35"/>
  <c r="Z601" i="35"/>
  <c r="Y601" i="35"/>
  <c r="X601" i="35"/>
  <c r="T601" i="35"/>
  <c r="W601" i="35" s="1"/>
  <c r="O601" i="35"/>
  <c r="N601" i="35"/>
  <c r="M601" i="35"/>
  <c r="L601" i="35"/>
  <c r="K601" i="35"/>
  <c r="J601" i="35"/>
  <c r="I601" i="35"/>
  <c r="H601" i="35"/>
  <c r="BK600" i="35"/>
  <c r="BJ600" i="35"/>
  <c r="BI600" i="35"/>
  <c r="AR600" i="35"/>
  <c r="AQ600" i="35"/>
  <c r="BH600" i="35" s="1"/>
  <c r="AP600" i="35"/>
  <c r="AO600" i="35"/>
  <c r="AL600" i="35"/>
  <c r="AK600" i="35"/>
  <c r="AI600" i="35"/>
  <c r="AJ600" i="35" s="1"/>
  <c r="AF600" i="35"/>
  <c r="AC600" i="35"/>
  <c r="AB600" i="35"/>
  <c r="AA600" i="35"/>
  <c r="Z600" i="35"/>
  <c r="Y600" i="35"/>
  <c r="X600" i="35"/>
  <c r="W600" i="35"/>
  <c r="T600" i="35"/>
  <c r="O600" i="35"/>
  <c r="N600" i="35"/>
  <c r="M600" i="35"/>
  <c r="L600" i="35"/>
  <c r="K600" i="35"/>
  <c r="J600" i="35"/>
  <c r="I600" i="35"/>
  <c r="H600" i="35"/>
  <c r="BJ599" i="35"/>
  <c r="BI599" i="35"/>
  <c r="BE599" i="35"/>
  <c r="BC599" i="35"/>
  <c r="AW599" i="35"/>
  <c r="AR599" i="35"/>
  <c r="AQ599" i="35"/>
  <c r="BH599" i="35" s="1"/>
  <c r="AP599" i="35"/>
  <c r="AO599" i="35"/>
  <c r="AL599" i="35"/>
  <c r="AK599" i="35"/>
  <c r="AM599" i="35" s="1"/>
  <c r="AJ599" i="35"/>
  <c r="AI599" i="35"/>
  <c r="AF599" i="35"/>
  <c r="AC599" i="35"/>
  <c r="AB599" i="35"/>
  <c r="AA599" i="35"/>
  <c r="Z599" i="35"/>
  <c r="Y599" i="35"/>
  <c r="X599" i="35"/>
  <c r="T599" i="35"/>
  <c r="BK599" i="35" s="1"/>
  <c r="O599" i="35"/>
  <c r="N599" i="35"/>
  <c r="M599" i="35"/>
  <c r="L599" i="35"/>
  <c r="K599" i="35"/>
  <c r="J599" i="35"/>
  <c r="I599" i="35"/>
  <c r="H599" i="35"/>
  <c r="BJ598" i="35"/>
  <c r="BI598" i="35"/>
  <c r="BH598" i="35"/>
  <c r="BD598" i="35"/>
  <c r="BB598" i="35"/>
  <c r="AZ598" i="35"/>
  <c r="AV598" i="35"/>
  <c r="AR598" i="35"/>
  <c r="AQ598" i="35"/>
  <c r="AP598" i="35"/>
  <c r="AO598" i="35"/>
  <c r="AM598" i="35"/>
  <c r="AL598" i="35"/>
  <c r="AK598" i="35"/>
  <c r="AJ598" i="35"/>
  <c r="AI598" i="35"/>
  <c r="AF598" i="35"/>
  <c r="AC598" i="35"/>
  <c r="AB598" i="35"/>
  <c r="AA598" i="35"/>
  <c r="Z598" i="35"/>
  <c r="Y598" i="35"/>
  <c r="X598" i="35"/>
  <c r="T598" i="35"/>
  <c r="O598" i="35"/>
  <c r="N598" i="35"/>
  <c r="M598" i="35"/>
  <c r="L598" i="35"/>
  <c r="K598" i="35"/>
  <c r="J598" i="35"/>
  <c r="I598" i="35"/>
  <c r="H598" i="35"/>
  <c r="BK597" i="35"/>
  <c r="BJ597" i="35"/>
  <c r="BI597" i="35"/>
  <c r="BH597" i="35"/>
  <c r="BG597" i="35"/>
  <c r="BD597" i="35"/>
  <c r="BC597" i="35"/>
  <c r="BA597" i="35"/>
  <c r="AZ597" i="35"/>
  <c r="AY597" i="35"/>
  <c r="AV597" i="35"/>
  <c r="AU597" i="35"/>
  <c r="AR597" i="35"/>
  <c r="AQ597" i="35"/>
  <c r="AP597" i="35"/>
  <c r="AX597" i="35" s="1"/>
  <c r="AO597" i="35"/>
  <c r="AM597" i="35"/>
  <c r="AL597" i="35"/>
  <c r="AK597" i="35"/>
  <c r="AI597" i="35"/>
  <c r="AJ597" i="35" s="1"/>
  <c r="AF597" i="35"/>
  <c r="AC597" i="35"/>
  <c r="AB597" i="35"/>
  <c r="AA597" i="35"/>
  <c r="Z597" i="35"/>
  <c r="Y597" i="35"/>
  <c r="X597" i="35"/>
  <c r="T597" i="35"/>
  <c r="W597" i="35" s="1"/>
  <c r="O597" i="35"/>
  <c r="N597" i="35"/>
  <c r="M597" i="35"/>
  <c r="L597" i="35"/>
  <c r="K597" i="35"/>
  <c r="J597" i="35"/>
  <c r="I597" i="35"/>
  <c r="H597" i="35"/>
  <c r="BK596" i="35"/>
  <c r="BJ596" i="35"/>
  <c r="BI596" i="35"/>
  <c r="BF596" i="35"/>
  <c r="BC596" i="35"/>
  <c r="BB596" i="35"/>
  <c r="AU596" i="35"/>
  <c r="AR596" i="35"/>
  <c r="AQ596" i="35"/>
  <c r="BH596" i="35" s="1"/>
  <c r="AP596" i="35"/>
  <c r="BG596" i="35" s="1"/>
  <c r="AO596" i="35"/>
  <c r="AM596" i="35"/>
  <c r="AL596" i="35"/>
  <c r="AK596" i="35"/>
  <c r="AI596" i="35"/>
  <c r="AJ596" i="35" s="1"/>
  <c r="AF596" i="35"/>
  <c r="AC596" i="35"/>
  <c r="AB596" i="35"/>
  <c r="AA596" i="35"/>
  <c r="Z596" i="35"/>
  <c r="Y596" i="35"/>
  <c r="X596" i="35"/>
  <c r="W596" i="35"/>
  <c r="T596" i="35"/>
  <c r="O596" i="35"/>
  <c r="N596" i="35"/>
  <c r="M596" i="35"/>
  <c r="L596" i="35"/>
  <c r="K596" i="35"/>
  <c r="J596" i="35"/>
  <c r="I596" i="35"/>
  <c r="H596" i="35"/>
  <c r="BJ595" i="35"/>
  <c r="BI595" i="35"/>
  <c r="AR595" i="35"/>
  <c r="AQ595" i="35"/>
  <c r="BH595" i="35" s="1"/>
  <c r="AP595" i="35"/>
  <c r="AO595" i="35"/>
  <c r="AL595" i="35"/>
  <c r="AK595" i="35"/>
  <c r="AM595" i="35" s="1"/>
  <c r="AJ595" i="35"/>
  <c r="AI595" i="35"/>
  <c r="AF595" i="35"/>
  <c r="AC595" i="35"/>
  <c r="AB595" i="35"/>
  <c r="AA595" i="35"/>
  <c r="Z595" i="35"/>
  <c r="Y595" i="35"/>
  <c r="X595" i="35"/>
  <c r="T595" i="35"/>
  <c r="W595" i="35" s="1"/>
  <c r="O595" i="35"/>
  <c r="N595" i="35"/>
  <c r="M595" i="35"/>
  <c r="L595" i="35"/>
  <c r="K595" i="35"/>
  <c r="J595" i="35"/>
  <c r="I595" i="35"/>
  <c r="H595" i="35"/>
  <c r="BJ594" i="35"/>
  <c r="BI594" i="35"/>
  <c r="BH594" i="35"/>
  <c r="AX594" i="35"/>
  <c r="AW594" i="35"/>
  <c r="AV594" i="35"/>
  <c r="AR594" i="35"/>
  <c r="AQ594" i="35"/>
  <c r="AP594" i="35"/>
  <c r="BE594" i="35" s="1"/>
  <c r="AO594" i="35"/>
  <c r="AL594" i="35"/>
  <c r="AK594" i="35"/>
  <c r="AM594" i="35" s="1"/>
  <c r="AI594" i="35"/>
  <c r="AJ594" i="35" s="1"/>
  <c r="AF594" i="35"/>
  <c r="AC594" i="35"/>
  <c r="AB594" i="35"/>
  <c r="AA594" i="35"/>
  <c r="Z594" i="35"/>
  <c r="Y594" i="35"/>
  <c r="X594" i="35"/>
  <c r="T594" i="35"/>
  <c r="BK594" i="35" s="1"/>
  <c r="O594" i="35"/>
  <c r="N594" i="35"/>
  <c r="M594" i="35"/>
  <c r="L594" i="35"/>
  <c r="K594" i="35"/>
  <c r="J594" i="35"/>
  <c r="I594" i="35"/>
  <c r="H594" i="35"/>
  <c r="BJ593" i="35"/>
  <c r="BI593" i="35"/>
  <c r="BE593" i="35"/>
  <c r="BD593" i="35"/>
  <c r="AR593" i="35"/>
  <c r="AQ593" i="35"/>
  <c r="BH593" i="35" s="1"/>
  <c r="AP593" i="35"/>
  <c r="AO593" i="35"/>
  <c r="AL593" i="35"/>
  <c r="AK593" i="35"/>
  <c r="AM593" i="35" s="1"/>
  <c r="AI593" i="35"/>
  <c r="AJ593" i="35" s="1"/>
  <c r="AF593" i="35"/>
  <c r="AC593" i="35"/>
  <c r="AB593" i="35"/>
  <c r="AA593" i="35"/>
  <c r="Z593" i="35"/>
  <c r="Y593" i="35"/>
  <c r="X593" i="35"/>
  <c r="W593" i="35"/>
  <c r="T593" i="35"/>
  <c r="BK593" i="35" s="1"/>
  <c r="O593" i="35"/>
  <c r="N593" i="35"/>
  <c r="M593" i="35"/>
  <c r="L593" i="35"/>
  <c r="K593" i="35"/>
  <c r="J593" i="35"/>
  <c r="I593" i="35"/>
  <c r="H593" i="35"/>
  <c r="BJ592" i="35"/>
  <c r="BI592" i="35"/>
  <c r="AR592" i="35"/>
  <c r="AQ592" i="35"/>
  <c r="BH592" i="35" s="1"/>
  <c r="AP592" i="35"/>
  <c r="AO592" i="35"/>
  <c r="AL592" i="35"/>
  <c r="AK592" i="35"/>
  <c r="AM592" i="35" s="1"/>
  <c r="AJ592" i="35"/>
  <c r="AI592" i="35"/>
  <c r="AF592" i="35"/>
  <c r="AC592" i="35"/>
  <c r="AB592" i="35"/>
  <c r="AA592" i="35"/>
  <c r="Z592" i="35"/>
  <c r="Y592" i="35"/>
  <c r="X592" i="35"/>
  <c r="T592" i="35"/>
  <c r="BK592" i="35" s="1"/>
  <c r="O592" i="35"/>
  <c r="N592" i="35"/>
  <c r="M592" i="35"/>
  <c r="L592" i="35"/>
  <c r="K592" i="35"/>
  <c r="J592" i="35"/>
  <c r="I592" i="35"/>
  <c r="H592" i="35"/>
  <c r="BJ591" i="35"/>
  <c r="BI591" i="35"/>
  <c r="BH591" i="35"/>
  <c r="BB591" i="35"/>
  <c r="BA591" i="35"/>
  <c r="AR591" i="35"/>
  <c r="AQ591" i="35"/>
  <c r="AP591" i="35"/>
  <c r="AO591" i="35"/>
  <c r="AM591" i="35"/>
  <c r="AL591" i="35"/>
  <c r="AK591" i="35"/>
  <c r="AI591" i="35"/>
  <c r="AJ591" i="35" s="1"/>
  <c r="AF591" i="35"/>
  <c r="AC591" i="35"/>
  <c r="AB591" i="35"/>
  <c r="AA591" i="35"/>
  <c r="Z591" i="35"/>
  <c r="Y591" i="35"/>
  <c r="X591" i="35"/>
  <c r="W591" i="35"/>
  <c r="T591" i="35"/>
  <c r="BK591" i="35" s="1"/>
  <c r="O591" i="35"/>
  <c r="N591" i="35"/>
  <c r="M591" i="35"/>
  <c r="L591" i="35"/>
  <c r="K591" i="35"/>
  <c r="J591" i="35"/>
  <c r="I591" i="35"/>
  <c r="H591" i="35"/>
  <c r="BK590" i="35"/>
  <c r="BJ590" i="35"/>
  <c r="BI590" i="35"/>
  <c r="BG590" i="35"/>
  <c r="BE590" i="35"/>
  <c r="BC590" i="35"/>
  <c r="BA590" i="35"/>
  <c r="AZ590" i="35"/>
  <c r="AY590" i="35"/>
  <c r="AU590" i="35"/>
  <c r="AS590" i="35"/>
  <c r="AR590" i="35"/>
  <c r="AQ590" i="35"/>
  <c r="BH590" i="35" s="1"/>
  <c r="AP590" i="35"/>
  <c r="AX590" i="35" s="1"/>
  <c r="AO590" i="35"/>
  <c r="AM590" i="35"/>
  <c r="AL590" i="35"/>
  <c r="AK590" i="35"/>
  <c r="AJ590" i="35"/>
  <c r="AI590" i="35"/>
  <c r="AF590" i="35"/>
  <c r="AC590" i="35"/>
  <c r="AB590" i="35"/>
  <c r="AA590" i="35"/>
  <c r="Z590" i="35"/>
  <c r="Y590" i="35"/>
  <c r="X590" i="35"/>
  <c r="T590" i="35"/>
  <c r="W590" i="35" s="1"/>
  <c r="O590" i="35"/>
  <c r="N590" i="35"/>
  <c r="M590" i="35"/>
  <c r="L590" i="35"/>
  <c r="K590" i="35"/>
  <c r="J590" i="35"/>
  <c r="I590" i="35"/>
  <c r="H590" i="35"/>
  <c r="BK589" i="35"/>
  <c r="BJ589" i="35"/>
  <c r="BI589" i="35"/>
  <c r="BF589" i="35"/>
  <c r="AZ589" i="35"/>
  <c r="AY589" i="35"/>
  <c r="AX589" i="35"/>
  <c r="AT589" i="35"/>
  <c r="AR589" i="35"/>
  <c r="AQ589" i="35"/>
  <c r="BH589" i="35" s="1"/>
  <c r="AP589" i="35"/>
  <c r="AW589" i="35" s="1"/>
  <c r="AO589" i="35"/>
  <c r="AL589" i="35"/>
  <c r="AM589" i="35" s="1"/>
  <c r="AK589" i="35"/>
  <c r="AI589" i="35"/>
  <c r="AJ589" i="35" s="1"/>
  <c r="AF589" i="35"/>
  <c r="AC589" i="35"/>
  <c r="AB589" i="35"/>
  <c r="AA589" i="35"/>
  <c r="Z589" i="35"/>
  <c r="Y589" i="35"/>
  <c r="X589" i="35"/>
  <c r="W589" i="35"/>
  <c r="T589" i="35"/>
  <c r="O589" i="35"/>
  <c r="N589" i="35"/>
  <c r="M589" i="35"/>
  <c r="L589" i="35"/>
  <c r="K589" i="35"/>
  <c r="J589" i="35"/>
  <c r="I589" i="35"/>
  <c r="H589" i="35"/>
  <c r="BK588" i="35"/>
  <c r="BJ588" i="35"/>
  <c r="BI588" i="35"/>
  <c r="BE588" i="35"/>
  <c r="BC588" i="35"/>
  <c r="BA588" i="35"/>
  <c r="AZ588" i="35"/>
  <c r="AY588" i="35"/>
  <c r="AX588" i="35"/>
  <c r="AW588" i="35"/>
  <c r="AS588" i="35"/>
  <c r="AR588" i="35"/>
  <c r="AQ588" i="35"/>
  <c r="BH588" i="35" s="1"/>
  <c r="AP588" i="35"/>
  <c r="AV588" i="35" s="1"/>
  <c r="AO588" i="35"/>
  <c r="AL588" i="35"/>
  <c r="AK588" i="35"/>
  <c r="AM588" i="35" s="1"/>
  <c r="AJ588" i="35"/>
  <c r="AI588" i="35"/>
  <c r="AF588" i="35"/>
  <c r="AC588" i="35"/>
  <c r="AB588" i="35"/>
  <c r="AA588" i="35"/>
  <c r="Z588" i="35"/>
  <c r="Y588" i="35"/>
  <c r="X588" i="35"/>
  <c r="W588" i="35"/>
  <c r="T588" i="35"/>
  <c r="O588" i="35"/>
  <c r="N588" i="35"/>
  <c r="M588" i="35"/>
  <c r="L588" i="35"/>
  <c r="K588" i="35"/>
  <c r="J588" i="35"/>
  <c r="I588" i="35"/>
  <c r="H588" i="35"/>
  <c r="BJ587" i="35"/>
  <c r="BI587" i="35"/>
  <c r="BH587" i="35"/>
  <c r="BD587" i="35"/>
  <c r="AZ587" i="35"/>
  <c r="AX587" i="35"/>
  <c r="AW587" i="35"/>
  <c r="AV587" i="35"/>
  <c r="AR587" i="35"/>
  <c r="AQ587" i="35"/>
  <c r="AP587" i="35"/>
  <c r="BG587" i="35" s="1"/>
  <c r="AO587" i="35"/>
  <c r="AL587" i="35"/>
  <c r="AK587" i="35"/>
  <c r="AM587" i="35" s="1"/>
  <c r="AJ587" i="35"/>
  <c r="AI587" i="35"/>
  <c r="AF587" i="35"/>
  <c r="AC587" i="35"/>
  <c r="AB587" i="35"/>
  <c r="AA587" i="35"/>
  <c r="Z587" i="35"/>
  <c r="Y587" i="35"/>
  <c r="X587" i="35"/>
  <c r="T587" i="35"/>
  <c r="BK587" i="35" s="1"/>
  <c r="O587" i="35"/>
  <c r="N587" i="35"/>
  <c r="M587" i="35"/>
  <c r="L587" i="35"/>
  <c r="K587" i="35"/>
  <c r="J587" i="35"/>
  <c r="I587" i="35"/>
  <c r="H587" i="35"/>
  <c r="BJ586" i="35"/>
  <c r="BI586" i="35"/>
  <c r="BH586" i="35"/>
  <c r="BG586" i="35"/>
  <c r="BC586" i="35"/>
  <c r="BA586" i="35"/>
  <c r="AZ586" i="35"/>
  <c r="AY586" i="35"/>
  <c r="AX586" i="35"/>
  <c r="AW586" i="35"/>
  <c r="AV586" i="35"/>
  <c r="AU586" i="35"/>
  <c r="AR586" i="35"/>
  <c r="AQ586" i="35"/>
  <c r="AP586" i="35"/>
  <c r="BF586" i="35" s="1"/>
  <c r="AO586" i="35"/>
  <c r="AL586" i="35"/>
  <c r="AK586" i="35"/>
  <c r="AM586" i="35" s="1"/>
  <c r="AI586" i="35"/>
  <c r="AJ586" i="35" s="1"/>
  <c r="AF586" i="35"/>
  <c r="AC586" i="35"/>
  <c r="AB586" i="35"/>
  <c r="AA586" i="35"/>
  <c r="Z586" i="35"/>
  <c r="Y586" i="35"/>
  <c r="X586" i="35"/>
  <c r="T586" i="35"/>
  <c r="O586" i="35"/>
  <c r="N586" i="35"/>
  <c r="M586" i="35"/>
  <c r="L586" i="35"/>
  <c r="K586" i="35"/>
  <c r="J586" i="35"/>
  <c r="I586" i="35"/>
  <c r="H586" i="35"/>
  <c r="BJ585" i="35"/>
  <c r="BI585" i="35"/>
  <c r="BH585" i="35"/>
  <c r="BG585" i="35"/>
  <c r="AV585" i="35"/>
  <c r="AU585" i="35"/>
  <c r="AR585" i="35"/>
  <c r="AQ585" i="35"/>
  <c r="AP585" i="35"/>
  <c r="BE585" i="35" s="1"/>
  <c r="AO585" i="35"/>
  <c r="AL585" i="35"/>
  <c r="AK585" i="35"/>
  <c r="AM585" i="35" s="1"/>
  <c r="AI585" i="35"/>
  <c r="AJ585" i="35" s="1"/>
  <c r="AF585" i="35"/>
  <c r="AC585" i="35"/>
  <c r="AB585" i="35"/>
  <c r="AA585" i="35"/>
  <c r="Z585" i="35"/>
  <c r="Y585" i="35"/>
  <c r="X585" i="35"/>
  <c r="W585" i="35"/>
  <c r="T585" i="35"/>
  <c r="BK585" i="35" s="1"/>
  <c r="O585" i="35"/>
  <c r="N585" i="35"/>
  <c r="M585" i="35"/>
  <c r="L585" i="35"/>
  <c r="K585" i="35"/>
  <c r="J585" i="35"/>
  <c r="I585" i="35"/>
  <c r="H585" i="35"/>
  <c r="BJ584" i="35"/>
  <c r="BI584" i="35"/>
  <c r="BH584" i="35"/>
  <c r="BG584" i="35"/>
  <c r="BF584" i="35"/>
  <c r="BE584" i="35"/>
  <c r="BA584" i="35"/>
  <c r="AZ584" i="35"/>
  <c r="AY584" i="35"/>
  <c r="AX584" i="35"/>
  <c r="AW584" i="35"/>
  <c r="AV584" i="35"/>
  <c r="AU584" i="35"/>
  <c r="AT584" i="35"/>
  <c r="AS584" i="35"/>
  <c r="AR584" i="35"/>
  <c r="AQ584" i="35"/>
  <c r="AP584" i="35"/>
  <c r="BD584" i="35" s="1"/>
  <c r="AO584" i="35"/>
  <c r="AL584" i="35"/>
  <c r="AK584" i="35"/>
  <c r="AM584" i="35" s="1"/>
  <c r="AJ584" i="35"/>
  <c r="AI584" i="35"/>
  <c r="AF584" i="35"/>
  <c r="AC584" i="35"/>
  <c r="AB584" i="35"/>
  <c r="AA584" i="35"/>
  <c r="Z584" i="35"/>
  <c r="Y584" i="35"/>
  <c r="X584" i="35"/>
  <c r="T584" i="35"/>
  <c r="BK584" i="35" s="1"/>
  <c r="O584" i="35"/>
  <c r="N584" i="35"/>
  <c r="M584" i="35"/>
  <c r="L584" i="35"/>
  <c r="K584" i="35"/>
  <c r="J584" i="35"/>
  <c r="I584" i="35"/>
  <c r="H584" i="35"/>
  <c r="BJ583" i="35"/>
  <c r="BI583" i="35"/>
  <c r="BH583" i="35"/>
  <c r="BG583" i="35"/>
  <c r="BF583" i="35"/>
  <c r="BE583" i="35"/>
  <c r="BD583" i="35"/>
  <c r="AZ583" i="35"/>
  <c r="AY583" i="35"/>
  <c r="AX583" i="35"/>
  <c r="AW583" i="35"/>
  <c r="AV583" i="35"/>
  <c r="AU583" i="35"/>
  <c r="AT583" i="35"/>
  <c r="AS583" i="35"/>
  <c r="AR583" i="35"/>
  <c r="AQ583" i="35"/>
  <c r="AP583" i="35"/>
  <c r="BC583" i="35" s="1"/>
  <c r="AO583" i="35"/>
  <c r="AM583" i="35"/>
  <c r="AL583" i="35"/>
  <c r="AK583" i="35"/>
  <c r="AI583" i="35"/>
  <c r="AJ583" i="35" s="1"/>
  <c r="AF583" i="35"/>
  <c r="AC583" i="35"/>
  <c r="AB583" i="35"/>
  <c r="AA583" i="35"/>
  <c r="Z583" i="35"/>
  <c r="Y583" i="35"/>
  <c r="X583" i="35"/>
  <c r="W583" i="35"/>
  <c r="T583" i="35"/>
  <c r="BK583" i="35" s="1"/>
  <c r="O583" i="35"/>
  <c r="N583" i="35"/>
  <c r="M583" i="35"/>
  <c r="L583" i="35"/>
  <c r="K583" i="35"/>
  <c r="J583" i="35"/>
  <c r="I583" i="35"/>
  <c r="H583" i="35"/>
  <c r="BK582" i="35"/>
  <c r="BJ582" i="35"/>
  <c r="BI582" i="35"/>
  <c r="BG582" i="35"/>
  <c r="BF582" i="35"/>
  <c r="BE582" i="35"/>
  <c r="BD582" i="35"/>
  <c r="BC582" i="35"/>
  <c r="AY582" i="35"/>
  <c r="AX582" i="35"/>
  <c r="AW582" i="35"/>
  <c r="AV582" i="35"/>
  <c r="AU582" i="35"/>
  <c r="AT582" i="35"/>
  <c r="AS582" i="35"/>
  <c r="AR582" i="35"/>
  <c r="AQ582" i="35"/>
  <c r="BH582" i="35" s="1"/>
  <c r="AP582" i="35"/>
  <c r="BB582" i="35" s="1"/>
  <c r="AO582" i="35"/>
  <c r="AL582" i="35"/>
  <c r="AK582" i="35"/>
  <c r="AM582" i="35" s="1"/>
  <c r="AJ582" i="35"/>
  <c r="AI582" i="35"/>
  <c r="AF582" i="35"/>
  <c r="AC582" i="35"/>
  <c r="AB582" i="35"/>
  <c r="AA582" i="35"/>
  <c r="Z582" i="35"/>
  <c r="Y582" i="35"/>
  <c r="X582" i="35"/>
  <c r="T582" i="35"/>
  <c r="W582" i="35" s="1"/>
  <c r="O582" i="35"/>
  <c r="N582" i="35"/>
  <c r="M582" i="35"/>
  <c r="L582" i="35"/>
  <c r="K582" i="35"/>
  <c r="J582" i="35"/>
  <c r="I582" i="35"/>
  <c r="H582" i="35"/>
  <c r="BJ581" i="35"/>
  <c r="BI581" i="35"/>
  <c r="BD581" i="35"/>
  <c r="BC581" i="35"/>
  <c r="AR581" i="35"/>
  <c r="AQ581" i="35"/>
  <c r="BH581" i="35" s="1"/>
  <c r="AP581" i="35"/>
  <c r="BA581" i="35" s="1"/>
  <c r="AO581" i="35"/>
  <c r="AL581" i="35"/>
  <c r="AK581" i="35"/>
  <c r="AM581" i="35" s="1"/>
  <c r="AI581" i="35"/>
  <c r="AJ581" i="35" s="1"/>
  <c r="AF581" i="35"/>
  <c r="AC581" i="35"/>
  <c r="AB581" i="35"/>
  <c r="AA581" i="35"/>
  <c r="Z581" i="35"/>
  <c r="Y581" i="35"/>
  <c r="X581" i="35"/>
  <c r="W581" i="35"/>
  <c r="T581" i="35"/>
  <c r="BK581" i="35" s="1"/>
  <c r="O581" i="35"/>
  <c r="N581" i="35"/>
  <c r="M581" i="35"/>
  <c r="L581" i="35"/>
  <c r="K581" i="35"/>
  <c r="J581" i="35"/>
  <c r="I581" i="35"/>
  <c r="H581" i="35"/>
  <c r="BJ580" i="35"/>
  <c r="BI580" i="35"/>
  <c r="BC580" i="35"/>
  <c r="BB580" i="35"/>
  <c r="AR580" i="35"/>
  <c r="AQ580" i="35"/>
  <c r="BH580" i="35" s="1"/>
  <c r="AP580" i="35"/>
  <c r="AO580" i="35"/>
  <c r="AL580" i="35"/>
  <c r="AK580" i="35"/>
  <c r="AM580" i="35" s="1"/>
  <c r="AJ580" i="35"/>
  <c r="AI580" i="35"/>
  <c r="AF580" i="35"/>
  <c r="AC580" i="35"/>
  <c r="AB580" i="35"/>
  <c r="AA580" i="35"/>
  <c r="Z580" i="35"/>
  <c r="Y580" i="35"/>
  <c r="X580" i="35"/>
  <c r="T580" i="35"/>
  <c r="BK580" i="35" s="1"/>
  <c r="O580" i="35"/>
  <c r="N580" i="35"/>
  <c r="M580" i="35"/>
  <c r="L580" i="35"/>
  <c r="K580" i="35"/>
  <c r="J580" i="35"/>
  <c r="I580" i="35"/>
  <c r="H580" i="35"/>
  <c r="BJ579" i="35"/>
  <c r="BI579" i="35"/>
  <c r="BH579" i="35"/>
  <c r="AR579" i="35"/>
  <c r="AQ579" i="35"/>
  <c r="AP579" i="35"/>
  <c r="AO579" i="35"/>
  <c r="AM579" i="35"/>
  <c r="AL579" i="35"/>
  <c r="AK579" i="35"/>
  <c r="AI579" i="35"/>
  <c r="AJ579" i="35" s="1"/>
  <c r="AF579" i="35"/>
  <c r="AC579" i="35"/>
  <c r="AB579" i="35"/>
  <c r="AA579" i="35"/>
  <c r="Z579" i="35"/>
  <c r="Y579" i="35"/>
  <c r="X579" i="35"/>
  <c r="T579" i="35"/>
  <c r="BK579" i="35" s="1"/>
  <c r="O579" i="35"/>
  <c r="N579" i="35"/>
  <c r="M579" i="35"/>
  <c r="L579" i="35"/>
  <c r="K579" i="35"/>
  <c r="J579" i="35"/>
  <c r="I579" i="35"/>
  <c r="H579" i="35"/>
  <c r="BK578" i="35"/>
  <c r="BJ578" i="35"/>
  <c r="BI578" i="35"/>
  <c r="BG578" i="35"/>
  <c r="BE578" i="35"/>
  <c r="BC578" i="35"/>
  <c r="BA578" i="35"/>
  <c r="AZ578" i="35"/>
  <c r="AY578" i="35"/>
  <c r="AU578" i="35"/>
  <c r="AS578" i="35"/>
  <c r="AR578" i="35"/>
  <c r="AQ578" i="35"/>
  <c r="BH578" i="35" s="1"/>
  <c r="AP578" i="35"/>
  <c r="AX578" i="35" s="1"/>
  <c r="AO578" i="35"/>
  <c r="AM578" i="35"/>
  <c r="AL578" i="35"/>
  <c r="AK578" i="35"/>
  <c r="AI578" i="35"/>
  <c r="AJ578" i="35" s="1"/>
  <c r="AF578" i="35"/>
  <c r="AC578" i="35"/>
  <c r="AB578" i="35"/>
  <c r="AA578" i="35"/>
  <c r="Z578" i="35"/>
  <c r="Y578" i="35"/>
  <c r="X578" i="35"/>
  <c r="T578" i="35"/>
  <c r="W578" i="35" s="1"/>
  <c r="O578" i="35"/>
  <c r="N578" i="35"/>
  <c r="M578" i="35"/>
  <c r="L578" i="35"/>
  <c r="K578" i="35"/>
  <c r="J578" i="35"/>
  <c r="I578" i="35"/>
  <c r="H578" i="35"/>
  <c r="BK577" i="35"/>
  <c r="BJ577" i="35"/>
  <c r="BI577" i="35"/>
  <c r="BF577" i="35"/>
  <c r="BD577" i="35"/>
  <c r="AZ577" i="35"/>
  <c r="AY577" i="35"/>
  <c r="AX577" i="35"/>
  <c r="AT577" i="35"/>
  <c r="AR577" i="35"/>
  <c r="AQ577" i="35"/>
  <c r="BH577" i="35" s="1"/>
  <c r="AP577" i="35"/>
  <c r="AW577" i="35" s="1"/>
  <c r="AO577" i="35"/>
  <c r="AL577" i="35"/>
  <c r="AM577" i="35" s="1"/>
  <c r="AK577" i="35"/>
  <c r="AI577" i="35"/>
  <c r="AJ577" i="35" s="1"/>
  <c r="AF577" i="35"/>
  <c r="AC577" i="35"/>
  <c r="AB577" i="35"/>
  <c r="AA577" i="35"/>
  <c r="Z577" i="35"/>
  <c r="Y577" i="35"/>
  <c r="X577" i="35"/>
  <c r="W577" i="35"/>
  <c r="T577" i="35"/>
  <c r="O577" i="35"/>
  <c r="N577" i="35"/>
  <c r="M577" i="35"/>
  <c r="L577" i="35"/>
  <c r="K577" i="35"/>
  <c r="J577" i="35"/>
  <c r="I577" i="35"/>
  <c r="H577" i="35"/>
  <c r="BK576" i="35"/>
  <c r="BJ576" i="35"/>
  <c r="BI576" i="35"/>
  <c r="BE576" i="35"/>
  <c r="BC576" i="35"/>
  <c r="BA576" i="35"/>
  <c r="AZ576" i="35"/>
  <c r="AY576" i="35"/>
  <c r="AX576" i="35"/>
  <c r="AW576" i="35"/>
  <c r="AS576" i="35"/>
  <c r="AR576" i="35"/>
  <c r="AQ576" i="35"/>
  <c r="BH576" i="35" s="1"/>
  <c r="AP576" i="35"/>
  <c r="AV576" i="35" s="1"/>
  <c r="AO576" i="35"/>
  <c r="AL576" i="35"/>
  <c r="AK576" i="35"/>
  <c r="AM576" i="35" s="1"/>
  <c r="AJ576" i="35"/>
  <c r="AI576" i="35"/>
  <c r="AF576" i="35"/>
  <c r="AC576" i="35"/>
  <c r="AB576" i="35"/>
  <c r="AA576" i="35"/>
  <c r="Z576" i="35"/>
  <c r="Y576" i="35"/>
  <c r="X576" i="35"/>
  <c r="W576" i="35"/>
  <c r="T576" i="35"/>
  <c r="O576" i="35"/>
  <c r="N576" i="35"/>
  <c r="M576" i="35"/>
  <c r="L576" i="35"/>
  <c r="K576" i="35"/>
  <c r="J576" i="35"/>
  <c r="I576" i="35"/>
  <c r="H576" i="35"/>
  <c r="BJ575" i="35"/>
  <c r="BI575" i="35"/>
  <c r="BH575" i="35"/>
  <c r="BD575" i="35"/>
  <c r="AX575" i="35"/>
  <c r="AW575" i="35"/>
  <c r="AV575" i="35"/>
  <c r="AR575" i="35"/>
  <c r="AQ575" i="35"/>
  <c r="AP575" i="35"/>
  <c r="BG575" i="35" s="1"/>
  <c r="AO575" i="35"/>
  <c r="AL575" i="35"/>
  <c r="AK575" i="35"/>
  <c r="AM575" i="35" s="1"/>
  <c r="AJ575" i="35"/>
  <c r="AI575" i="35"/>
  <c r="AF575" i="35"/>
  <c r="AC575" i="35"/>
  <c r="AB575" i="35"/>
  <c r="AA575" i="35"/>
  <c r="Z575" i="35"/>
  <c r="Y575" i="35"/>
  <c r="X575" i="35"/>
  <c r="W575" i="35"/>
  <c r="T575" i="35"/>
  <c r="BK575" i="35" s="1"/>
  <c r="O575" i="35"/>
  <c r="N575" i="35"/>
  <c r="M575" i="35"/>
  <c r="L575" i="35"/>
  <c r="K575" i="35"/>
  <c r="J575" i="35"/>
  <c r="I575" i="35"/>
  <c r="H575" i="35"/>
  <c r="BJ574" i="35"/>
  <c r="BI574" i="35"/>
  <c r="BH574" i="35"/>
  <c r="BG574" i="35"/>
  <c r="BC574" i="35"/>
  <c r="BA574" i="35"/>
  <c r="AZ574" i="35"/>
  <c r="AY574" i="35"/>
  <c r="AX574" i="35"/>
  <c r="AW574" i="35"/>
  <c r="AV574" i="35"/>
  <c r="AU574" i="35"/>
  <c r="AR574" i="35"/>
  <c r="AQ574" i="35"/>
  <c r="AP574" i="35"/>
  <c r="BF574" i="35" s="1"/>
  <c r="AO574" i="35"/>
  <c r="AL574" i="35"/>
  <c r="AK574" i="35"/>
  <c r="AM574" i="35" s="1"/>
  <c r="AI574" i="35"/>
  <c r="AJ574" i="35" s="1"/>
  <c r="AF574" i="35"/>
  <c r="AC574" i="35"/>
  <c r="AB574" i="35"/>
  <c r="AA574" i="35"/>
  <c r="Z574" i="35"/>
  <c r="Y574" i="35"/>
  <c r="X574" i="35"/>
  <c r="T574" i="35"/>
  <c r="O574" i="35"/>
  <c r="N574" i="35"/>
  <c r="M574" i="35"/>
  <c r="L574" i="35"/>
  <c r="K574" i="35"/>
  <c r="J574" i="35"/>
  <c r="I574" i="35"/>
  <c r="H574" i="35"/>
  <c r="BJ573" i="35"/>
  <c r="BI573" i="35"/>
  <c r="BH573" i="35"/>
  <c r="BG573" i="35"/>
  <c r="BF573" i="35"/>
  <c r="AV573" i="35"/>
  <c r="AU573" i="35"/>
  <c r="AT573" i="35"/>
  <c r="AR573" i="35"/>
  <c r="AQ573" i="35"/>
  <c r="AP573" i="35"/>
  <c r="BE573" i="35" s="1"/>
  <c r="AO573" i="35"/>
  <c r="AM573" i="35"/>
  <c r="AL573" i="35"/>
  <c r="AK573" i="35"/>
  <c r="AI573" i="35"/>
  <c r="AJ573" i="35" s="1"/>
  <c r="AF573" i="35"/>
  <c r="AC573" i="35"/>
  <c r="AB573" i="35"/>
  <c r="AA573" i="35"/>
  <c r="Z573" i="35"/>
  <c r="Y573" i="35"/>
  <c r="X573" i="35"/>
  <c r="W573" i="35"/>
  <c r="T573" i="35"/>
  <c r="BK573" i="35" s="1"/>
  <c r="O573" i="35"/>
  <c r="N573" i="35"/>
  <c r="M573" i="35"/>
  <c r="L573" i="35"/>
  <c r="K573" i="35"/>
  <c r="J573" i="35"/>
  <c r="I573" i="35"/>
  <c r="H573" i="35"/>
  <c r="BJ572" i="35"/>
  <c r="BI572" i="35"/>
  <c r="BH572" i="35"/>
  <c r="BG572" i="35"/>
  <c r="BF572" i="35"/>
  <c r="BE572" i="35"/>
  <c r="BA572" i="35"/>
  <c r="AY572" i="35"/>
  <c r="AW572" i="35"/>
  <c r="AV572" i="35"/>
  <c r="AU572" i="35"/>
  <c r="AT572" i="35"/>
  <c r="AS572" i="35"/>
  <c r="AR572" i="35"/>
  <c r="AQ572" i="35"/>
  <c r="AP572" i="35"/>
  <c r="BD572" i="35" s="1"/>
  <c r="AO572" i="35"/>
  <c r="AL572" i="35"/>
  <c r="AK572" i="35"/>
  <c r="AM572" i="35" s="1"/>
  <c r="AJ572" i="35"/>
  <c r="AI572" i="35"/>
  <c r="AF572" i="35"/>
  <c r="AC572" i="35"/>
  <c r="AB572" i="35"/>
  <c r="AA572" i="35"/>
  <c r="Z572" i="35"/>
  <c r="Y572" i="35"/>
  <c r="X572" i="35"/>
  <c r="T572" i="35"/>
  <c r="BK572" i="35" s="1"/>
  <c r="O572" i="35"/>
  <c r="N572" i="35"/>
  <c r="M572" i="35"/>
  <c r="L572" i="35"/>
  <c r="K572" i="35"/>
  <c r="J572" i="35"/>
  <c r="I572" i="35"/>
  <c r="H572" i="35"/>
  <c r="BJ571" i="35"/>
  <c r="BI571" i="35"/>
  <c r="BH571" i="35"/>
  <c r="BG571" i="35"/>
  <c r="BF571" i="35"/>
  <c r="BE571" i="35"/>
  <c r="BD571" i="35"/>
  <c r="AZ571" i="35"/>
  <c r="AX571" i="35"/>
  <c r="AV571" i="35"/>
  <c r="AU571" i="35"/>
  <c r="AT571" i="35"/>
  <c r="AS571" i="35"/>
  <c r="AR571" i="35"/>
  <c r="AQ571" i="35"/>
  <c r="AP571" i="35"/>
  <c r="BC571" i="35" s="1"/>
  <c r="AO571" i="35"/>
  <c r="AM571" i="35"/>
  <c r="AL571" i="35"/>
  <c r="AK571" i="35"/>
  <c r="AI571" i="35"/>
  <c r="AJ571" i="35" s="1"/>
  <c r="AF571" i="35"/>
  <c r="AC571" i="35"/>
  <c r="AB571" i="35"/>
  <c r="AA571" i="35"/>
  <c r="Z571" i="35"/>
  <c r="Y571" i="35"/>
  <c r="X571" i="35"/>
  <c r="W571" i="35"/>
  <c r="T571" i="35"/>
  <c r="BK571" i="35" s="1"/>
  <c r="O571" i="35"/>
  <c r="N571" i="35"/>
  <c r="M571" i="35"/>
  <c r="L571" i="35"/>
  <c r="K571" i="35"/>
  <c r="J571" i="35"/>
  <c r="I571" i="35"/>
  <c r="H571" i="35"/>
  <c r="BK570" i="35"/>
  <c r="BJ570" i="35"/>
  <c r="BI570" i="35"/>
  <c r="BG570" i="35"/>
  <c r="BF570" i="35"/>
  <c r="BE570" i="35"/>
  <c r="BD570" i="35"/>
  <c r="BC570" i="35"/>
  <c r="AY570" i="35"/>
  <c r="AW570" i="35"/>
  <c r="AU570" i="35"/>
  <c r="AT570" i="35"/>
  <c r="AS570" i="35"/>
  <c r="AR570" i="35"/>
  <c r="AQ570" i="35"/>
  <c r="BH570" i="35" s="1"/>
  <c r="AP570" i="35"/>
  <c r="BB570" i="35" s="1"/>
  <c r="AO570" i="35"/>
  <c r="AL570" i="35"/>
  <c r="AK570" i="35"/>
  <c r="AJ570" i="35"/>
  <c r="AI570" i="35"/>
  <c r="AF570" i="35"/>
  <c r="AC570" i="35"/>
  <c r="AB570" i="35"/>
  <c r="AA570" i="35"/>
  <c r="Z570" i="35"/>
  <c r="Y570" i="35"/>
  <c r="X570" i="35"/>
  <c r="T570" i="35"/>
  <c r="W570" i="35" s="1"/>
  <c r="O570" i="35"/>
  <c r="N570" i="35"/>
  <c r="M570" i="35"/>
  <c r="L570" i="35"/>
  <c r="K570" i="35"/>
  <c r="J570" i="35"/>
  <c r="I570" i="35"/>
  <c r="H570" i="35"/>
  <c r="BJ569" i="35"/>
  <c r="BI569" i="35"/>
  <c r="BC569" i="35"/>
  <c r="AR569" i="35"/>
  <c r="AQ569" i="35"/>
  <c r="BH569" i="35" s="1"/>
  <c r="AP569" i="35"/>
  <c r="AO569" i="35"/>
  <c r="AL569" i="35"/>
  <c r="AK569" i="35"/>
  <c r="AM569" i="35" s="1"/>
  <c r="AI569" i="35"/>
  <c r="AJ569" i="35" s="1"/>
  <c r="AF569" i="35"/>
  <c r="AC569" i="35"/>
  <c r="AB569" i="35"/>
  <c r="AA569" i="35"/>
  <c r="Z569" i="35"/>
  <c r="Y569" i="35"/>
  <c r="X569" i="35"/>
  <c r="W569" i="35"/>
  <c r="T569" i="35"/>
  <c r="BK569" i="35" s="1"/>
  <c r="O569" i="35"/>
  <c r="N569" i="35"/>
  <c r="M569" i="35"/>
  <c r="L569" i="35"/>
  <c r="K569" i="35"/>
  <c r="J569" i="35"/>
  <c r="I569" i="35"/>
  <c r="H569" i="35"/>
  <c r="BJ568" i="35"/>
  <c r="BI568" i="35"/>
  <c r="BC568" i="35"/>
  <c r="AR568" i="35"/>
  <c r="AQ568" i="35"/>
  <c r="BH568" i="35" s="1"/>
  <c r="AP568" i="35"/>
  <c r="AO568" i="35"/>
  <c r="AL568" i="35"/>
  <c r="AK568" i="35"/>
  <c r="AM568" i="35" s="1"/>
  <c r="AJ568" i="35"/>
  <c r="AI568" i="35"/>
  <c r="AF568" i="35"/>
  <c r="AC568" i="35"/>
  <c r="AB568" i="35"/>
  <c r="AA568" i="35"/>
  <c r="Z568" i="35"/>
  <c r="Y568" i="35"/>
  <c r="X568" i="35"/>
  <c r="T568" i="35"/>
  <c r="O568" i="35"/>
  <c r="N568" i="35"/>
  <c r="M568" i="35"/>
  <c r="L568" i="35"/>
  <c r="K568" i="35"/>
  <c r="J568" i="35"/>
  <c r="I568" i="35"/>
  <c r="H568" i="35"/>
  <c r="BJ567" i="35"/>
  <c r="BI567" i="35"/>
  <c r="BH567" i="35"/>
  <c r="BB567" i="35"/>
  <c r="BA567" i="35"/>
  <c r="AZ567" i="35"/>
  <c r="AV567" i="35"/>
  <c r="AR567" i="35"/>
  <c r="AQ567" i="35"/>
  <c r="AP567" i="35"/>
  <c r="AO567" i="35"/>
  <c r="AM567" i="35"/>
  <c r="AL567" i="35"/>
  <c r="AK567" i="35"/>
  <c r="AI567" i="35"/>
  <c r="AJ567" i="35" s="1"/>
  <c r="AF567" i="35"/>
  <c r="AC567" i="35"/>
  <c r="AB567" i="35"/>
  <c r="AA567" i="35"/>
  <c r="Z567" i="35"/>
  <c r="Y567" i="35"/>
  <c r="X567" i="35"/>
  <c r="T567" i="35"/>
  <c r="BK567" i="35" s="1"/>
  <c r="O567" i="35"/>
  <c r="N567" i="35"/>
  <c r="M567" i="35"/>
  <c r="L567" i="35"/>
  <c r="K567" i="35"/>
  <c r="J567" i="35"/>
  <c r="I567" i="35"/>
  <c r="H567" i="35"/>
  <c r="BK566" i="35"/>
  <c r="BJ566" i="35"/>
  <c r="BI566" i="35"/>
  <c r="BG566" i="35"/>
  <c r="BE566" i="35"/>
  <c r="BC566" i="35"/>
  <c r="BA566" i="35"/>
  <c r="AZ566" i="35"/>
  <c r="AY566" i="35"/>
  <c r="AU566" i="35"/>
  <c r="AS566" i="35"/>
  <c r="AR566" i="35"/>
  <c r="AQ566" i="35"/>
  <c r="BH566" i="35" s="1"/>
  <c r="AP566" i="35"/>
  <c r="AX566" i="35" s="1"/>
  <c r="AO566" i="35"/>
  <c r="AL566" i="35"/>
  <c r="AM566" i="35" s="1"/>
  <c r="AK566" i="35"/>
  <c r="AI566" i="35"/>
  <c r="AJ566" i="35" s="1"/>
  <c r="AF566" i="35"/>
  <c r="AC566" i="35"/>
  <c r="AB566" i="35"/>
  <c r="AA566" i="35"/>
  <c r="Z566" i="35"/>
  <c r="Y566" i="35"/>
  <c r="X566" i="35"/>
  <c r="T566" i="35"/>
  <c r="W566" i="35" s="1"/>
  <c r="O566" i="35"/>
  <c r="N566" i="35"/>
  <c r="M566" i="35"/>
  <c r="L566" i="35"/>
  <c r="K566" i="35"/>
  <c r="J566" i="35"/>
  <c r="I566" i="35"/>
  <c r="H566" i="35"/>
  <c r="BK565" i="35"/>
  <c r="BJ565" i="35"/>
  <c r="BI565" i="35"/>
  <c r="BF565" i="35"/>
  <c r="BD565" i="35"/>
  <c r="AZ565" i="35"/>
  <c r="AY565" i="35"/>
  <c r="AX565" i="35"/>
  <c r="AT565" i="35"/>
  <c r="AR565" i="35"/>
  <c r="AQ565" i="35"/>
  <c r="BH565" i="35" s="1"/>
  <c r="AP565" i="35"/>
  <c r="AW565" i="35" s="1"/>
  <c r="AO565" i="35"/>
  <c r="AM565" i="35"/>
  <c r="AL565" i="35"/>
  <c r="AK565" i="35"/>
  <c r="AI565" i="35"/>
  <c r="AJ565" i="35" s="1"/>
  <c r="AF565" i="35"/>
  <c r="AC565" i="35"/>
  <c r="AB565" i="35"/>
  <c r="AA565" i="35"/>
  <c r="Z565" i="35"/>
  <c r="Y565" i="35"/>
  <c r="X565" i="35"/>
  <c r="W565" i="35"/>
  <c r="T565" i="35"/>
  <c r="O565" i="35"/>
  <c r="N565" i="35"/>
  <c r="M565" i="35"/>
  <c r="L565" i="35"/>
  <c r="K565" i="35"/>
  <c r="J565" i="35"/>
  <c r="I565" i="35"/>
  <c r="H565" i="35"/>
  <c r="BK564" i="35"/>
  <c r="BJ564" i="35"/>
  <c r="BI564" i="35"/>
  <c r="BE564" i="35"/>
  <c r="BD564" i="35"/>
  <c r="BC564" i="35"/>
  <c r="BA564" i="35"/>
  <c r="AZ564" i="35"/>
  <c r="AY564" i="35"/>
  <c r="AX564" i="35"/>
  <c r="AW564" i="35"/>
  <c r="AS564" i="35"/>
  <c r="AR564" i="35"/>
  <c r="AQ564" i="35"/>
  <c r="BH564" i="35" s="1"/>
  <c r="AP564" i="35"/>
  <c r="AV564" i="35" s="1"/>
  <c r="AO564" i="35"/>
  <c r="AL564" i="35"/>
  <c r="AK564" i="35"/>
  <c r="AM564" i="35" s="1"/>
  <c r="AJ564" i="35"/>
  <c r="AI564" i="35"/>
  <c r="AF564" i="35"/>
  <c r="AC564" i="35"/>
  <c r="AB564" i="35"/>
  <c r="AA564" i="35"/>
  <c r="Z564" i="35"/>
  <c r="Y564" i="35"/>
  <c r="X564" i="35"/>
  <c r="T564" i="35"/>
  <c r="W564" i="35" s="1"/>
  <c r="O564" i="35"/>
  <c r="N564" i="35"/>
  <c r="M564" i="35"/>
  <c r="L564" i="35"/>
  <c r="K564" i="35"/>
  <c r="J564" i="35"/>
  <c r="I564" i="35"/>
  <c r="H564" i="35"/>
  <c r="BJ563" i="35"/>
  <c r="BI563" i="35"/>
  <c r="BH563" i="35"/>
  <c r="AR563" i="35"/>
  <c r="AQ563" i="35"/>
  <c r="AP563" i="35"/>
  <c r="AO563" i="35"/>
  <c r="AM563" i="35"/>
  <c r="AL563" i="35"/>
  <c r="AK563" i="35"/>
  <c r="AJ563" i="35"/>
  <c r="AI563" i="35"/>
  <c r="AF563" i="35"/>
  <c r="AC563" i="35"/>
  <c r="AB563" i="35"/>
  <c r="AA563" i="35"/>
  <c r="Z563" i="35"/>
  <c r="Y563" i="35"/>
  <c r="X563" i="35"/>
  <c r="W563" i="35"/>
  <c r="T563" i="35"/>
  <c r="BK563" i="35" s="1"/>
  <c r="O563" i="35"/>
  <c r="N563" i="35"/>
  <c r="M563" i="35"/>
  <c r="L563" i="35"/>
  <c r="K563" i="35"/>
  <c r="J563" i="35"/>
  <c r="I563" i="35"/>
  <c r="H563" i="35"/>
  <c r="BK562" i="35"/>
  <c r="BJ562" i="35"/>
  <c r="BI562" i="35"/>
  <c r="BG562" i="35"/>
  <c r="BC562" i="35"/>
  <c r="BA562" i="35"/>
  <c r="AY562" i="35"/>
  <c r="AX562" i="35"/>
  <c r="AW562" i="35"/>
  <c r="AV562" i="35"/>
  <c r="AU562" i="35"/>
  <c r="AR562" i="35"/>
  <c r="AQ562" i="35"/>
  <c r="BH562" i="35" s="1"/>
  <c r="AP562" i="35"/>
  <c r="BF562" i="35" s="1"/>
  <c r="AO562" i="35"/>
  <c r="AL562" i="35"/>
  <c r="AK562" i="35"/>
  <c r="AM562" i="35" s="1"/>
  <c r="AI562" i="35"/>
  <c r="AJ562" i="35" s="1"/>
  <c r="AF562" i="35"/>
  <c r="AC562" i="35"/>
  <c r="AB562" i="35"/>
  <c r="AA562" i="35"/>
  <c r="Z562" i="35"/>
  <c r="Y562" i="35"/>
  <c r="X562" i="35"/>
  <c r="T562" i="35"/>
  <c r="W562" i="35" s="1"/>
  <c r="O562" i="35"/>
  <c r="N562" i="35"/>
  <c r="M562" i="35"/>
  <c r="L562" i="35"/>
  <c r="K562" i="35"/>
  <c r="J562" i="35"/>
  <c r="I562" i="35"/>
  <c r="H562" i="35"/>
  <c r="BJ561" i="35"/>
  <c r="BI561" i="35"/>
  <c r="BH561" i="35"/>
  <c r="AR561" i="35"/>
  <c r="AQ561" i="35"/>
  <c r="AP561" i="35"/>
  <c r="AO561" i="35"/>
  <c r="AL561" i="35"/>
  <c r="AK561" i="35"/>
  <c r="AM561" i="35" s="1"/>
  <c r="AI561" i="35"/>
  <c r="AJ561" i="35" s="1"/>
  <c r="AF561" i="35"/>
  <c r="AC561" i="35"/>
  <c r="AB561" i="35"/>
  <c r="AA561" i="35"/>
  <c r="Z561" i="35"/>
  <c r="Y561" i="35"/>
  <c r="X561" i="35"/>
  <c r="W561" i="35"/>
  <c r="T561" i="35"/>
  <c r="BK561" i="35" s="1"/>
  <c r="O561" i="35"/>
  <c r="N561" i="35"/>
  <c r="M561" i="35"/>
  <c r="L561" i="35"/>
  <c r="K561" i="35"/>
  <c r="J561" i="35"/>
  <c r="I561" i="35"/>
  <c r="H561" i="35"/>
  <c r="BK560" i="35"/>
  <c r="BJ560" i="35"/>
  <c r="BI560" i="35"/>
  <c r="BH560" i="35"/>
  <c r="BG560" i="35"/>
  <c r="BF560" i="35"/>
  <c r="BE560" i="35"/>
  <c r="BD560" i="35"/>
  <c r="BC560" i="35"/>
  <c r="BA560" i="35"/>
  <c r="AY560" i="35"/>
  <c r="AW560" i="35"/>
  <c r="AV560" i="35"/>
  <c r="AU560" i="35"/>
  <c r="AT560" i="35"/>
  <c r="AS560" i="35"/>
  <c r="AR560" i="35"/>
  <c r="AQ560" i="35"/>
  <c r="AP560" i="35"/>
  <c r="BB560" i="35" s="1"/>
  <c r="AO560" i="35"/>
  <c r="AL560" i="35"/>
  <c r="AM560" i="35" s="1"/>
  <c r="AK560" i="35"/>
  <c r="AJ560" i="35"/>
  <c r="AI560" i="35"/>
  <c r="AF560" i="35"/>
  <c r="AC560" i="35"/>
  <c r="AB560" i="35"/>
  <c r="AA560" i="35"/>
  <c r="Z560" i="35"/>
  <c r="Y560" i="35"/>
  <c r="X560" i="35"/>
  <c r="T560" i="35"/>
  <c r="W560" i="35" s="1"/>
  <c r="O560" i="35"/>
  <c r="N560" i="35"/>
  <c r="M560" i="35"/>
  <c r="L560" i="35"/>
  <c r="K560" i="35"/>
  <c r="J560" i="35"/>
  <c r="I560" i="35"/>
  <c r="H560" i="35"/>
  <c r="BJ559" i="35"/>
  <c r="BI559" i="35"/>
  <c r="BH559" i="35"/>
  <c r="BG559" i="35"/>
  <c r="BF559" i="35"/>
  <c r="BE559" i="35"/>
  <c r="BD559" i="35"/>
  <c r="AZ559" i="35"/>
  <c r="AX559" i="35"/>
  <c r="AV559" i="35"/>
  <c r="AU559" i="35"/>
  <c r="AT559" i="35"/>
  <c r="AS559" i="35"/>
  <c r="AR559" i="35"/>
  <c r="AQ559" i="35"/>
  <c r="AP559" i="35"/>
  <c r="BC559" i="35" s="1"/>
  <c r="AO559" i="35"/>
  <c r="AM559" i="35"/>
  <c r="AL559" i="35"/>
  <c r="AK559" i="35"/>
  <c r="AI559" i="35"/>
  <c r="AJ559" i="35" s="1"/>
  <c r="AF559" i="35"/>
  <c r="AC559" i="35"/>
  <c r="AB559" i="35"/>
  <c r="AA559" i="35"/>
  <c r="Z559" i="35"/>
  <c r="Y559" i="35"/>
  <c r="X559" i="35"/>
  <c r="W559" i="35"/>
  <c r="T559" i="35"/>
  <c r="BK559" i="35" s="1"/>
  <c r="O559" i="35"/>
  <c r="N559" i="35"/>
  <c r="M559" i="35"/>
  <c r="L559" i="35"/>
  <c r="K559" i="35"/>
  <c r="J559" i="35"/>
  <c r="I559" i="35"/>
  <c r="H559" i="35"/>
  <c r="BJ558" i="35"/>
  <c r="BI558" i="35"/>
  <c r="BG558" i="35"/>
  <c r="BF558" i="35"/>
  <c r="BE558" i="35"/>
  <c r="BD558" i="35"/>
  <c r="BC558" i="35"/>
  <c r="AY558" i="35"/>
  <c r="AW558" i="35"/>
  <c r="AU558" i="35"/>
  <c r="AT558" i="35"/>
  <c r="AS558" i="35"/>
  <c r="AR558" i="35"/>
  <c r="AQ558" i="35"/>
  <c r="BH558" i="35" s="1"/>
  <c r="AP558" i="35"/>
  <c r="BB558" i="35" s="1"/>
  <c r="AO558" i="35"/>
  <c r="AL558" i="35"/>
  <c r="AK558" i="35"/>
  <c r="AM558" i="35" s="1"/>
  <c r="AJ558" i="35"/>
  <c r="AI558" i="35"/>
  <c r="AF558" i="35"/>
  <c r="AC558" i="35"/>
  <c r="AB558" i="35"/>
  <c r="AA558" i="35"/>
  <c r="Z558" i="35"/>
  <c r="Y558" i="35"/>
  <c r="X558" i="35"/>
  <c r="T558" i="35"/>
  <c r="W558" i="35" s="1"/>
  <c r="O558" i="35"/>
  <c r="N558" i="35"/>
  <c r="M558" i="35"/>
  <c r="L558" i="35"/>
  <c r="K558" i="35"/>
  <c r="J558" i="35"/>
  <c r="I558" i="35"/>
  <c r="H558" i="35"/>
  <c r="BJ557" i="35"/>
  <c r="BI557" i="35"/>
  <c r="BH557" i="35"/>
  <c r="BF557" i="35"/>
  <c r="BD557" i="35"/>
  <c r="BC557" i="35"/>
  <c r="BB557" i="35"/>
  <c r="AX557" i="35"/>
  <c r="AV557" i="35"/>
  <c r="AT557" i="35"/>
  <c r="AS557" i="35"/>
  <c r="AR557" i="35"/>
  <c r="AQ557" i="35"/>
  <c r="AP557" i="35"/>
  <c r="BE557" i="35" s="1"/>
  <c r="AO557" i="35"/>
  <c r="AL557" i="35"/>
  <c r="AK557" i="35"/>
  <c r="AM557" i="35" s="1"/>
  <c r="AI557" i="35"/>
  <c r="AJ557" i="35" s="1"/>
  <c r="AF557" i="35"/>
  <c r="AC557" i="35"/>
  <c r="AB557" i="35"/>
  <c r="AA557" i="35"/>
  <c r="Z557" i="35"/>
  <c r="Y557" i="35"/>
  <c r="X557" i="35"/>
  <c r="W557" i="35"/>
  <c r="T557" i="35"/>
  <c r="BK557" i="35" s="1"/>
  <c r="O557" i="35"/>
  <c r="N557" i="35"/>
  <c r="M557" i="35"/>
  <c r="L557" i="35"/>
  <c r="K557" i="35"/>
  <c r="J557" i="35"/>
  <c r="I557" i="35"/>
  <c r="H557" i="35"/>
  <c r="BJ556" i="35"/>
  <c r="BI556" i="35"/>
  <c r="BD556" i="35"/>
  <c r="BC556" i="35"/>
  <c r="BA556" i="35"/>
  <c r="AW556" i="35"/>
  <c r="AU556" i="35"/>
  <c r="AS556" i="35"/>
  <c r="AR556" i="35"/>
  <c r="AQ556" i="35"/>
  <c r="BH556" i="35" s="1"/>
  <c r="AP556" i="35"/>
  <c r="BG556" i="35" s="1"/>
  <c r="AO556" i="35"/>
  <c r="AL556" i="35"/>
  <c r="AK556" i="35"/>
  <c r="AM556" i="35" s="1"/>
  <c r="AJ556" i="35"/>
  <c r="AI556" i="35"/>
  <c r="AF556" i="35"/>
  <c r="AC556" i="35"/>
  <c r="AB556" i="35"/>
  <c r="AA556" i="35"/>
  <c r="Z556" i="35"/>
  <c r="Y556" i="35"/>
  <c r="X556" i="35"/>
  <c r="T556" i="35"/>
  <c r="O556" i="35"/>
  <c r="N556" i="35"/>
  <c r="M556" i="35"/>
  <c r="L556" i="35"/>
  <c r="K556" i="35"/>
  <c r="J556" i="35"/>
  <c r="I556" i="35"/>
  <c r="H556" i="35"/>
  <c r="BJ555" i="35"/>
  <c r="BI555" i="35"/>
  <c r="BD555" i="35"/>
  <c r="BC555" i="35"/>
  <c r="BA555" i="35"/>
  <c r="AZ555" i="35"/>
  <c r="AV555" i="35"/>
  <c r="AT555" i="35"/>
  <c r="AR555" i="35"/>
  <c r="AQ555" i="35"/>
  <c r="BH555" i="35" s="1"/>
  <c r="AP555" i="35"/>
  <c r="BF555" i="35" s="1"/>
  <c r="AO555" i="35"/>
  <c r="AM555" i="35"/>
  <c r="AL555" i="35"/>
  <c r="AK555" i="35"/>
  <c r="AI555" i="35"/>
  <c r="AJ555" i="35" s="1"/>
  <c r="AF555" i="35"/>
  <c r="AC555" i="35"/>
  <c r="AB555" i="35"/>
  <c r="AA555" i="35"/>
  <c r="Z555" i="35"/>
  <c r="Y555" i="35"/>
  <c r="X555" i="35"/>
  <c r="T555" i="35"/>
  <c r="BK555" i="35" s="1"/>
  <c r="O555" i="35"/>
  <c r="N555" i="35"/>
  <c r="M555" i="35"/>
  <c r="L555" i="35"/>
  <c r="K555" i="35"/>
  <c r="J555" i="35"/>
  <c r="I555" i="35"/>
  <c r="H555" i="35"/>
  <c r="BJ554" i="35"/>
  <c r="BI554" i="35"/>
  <c r="BD554" i="35"/>
  <c r="BA554" i="35"/>
  <c r="AZ554" i="35"/>
  <c r="AY554" i="35"/>
  <c r="AR554" i="35"/>
  <c r="AQ554" i="35"/>
  <c r="BH554" i="35" s="1"/>
  <c r="AP554" i="35"/>
  <c r="BC554" i="35" s="1"/>
  <c r="AO554" i="35"/>
  <c r="AL554" i="35"/>
  <c r="AK554" i="35"/>
  <c r="AM554" i="35" s="1"/>
  <c r="AJ554" i="35"/>
  <c r="AI554" i="35"/>
  <c r="AF554" i="35"/>
  <c r="AC554" i="35"/>
  <c r="AB554" i="35"/>
  <c r="AA554" i="35"/>
  <c r="Z554" i="35"/>
  <c r="Y554" i="35"/>
  <c r="X554" i="35"/>
  <c r="T554" i="35"/>
  <c r="BK554" i="35" s="1"/>
  <c r="O554" i="35"/>
  <c r="N554" i="35"/>
  <c r="M554" i="35"/>
  <c r="L554" i="35"/>
  <c r="K554" i="35"/>
  <c r="J554" i="35"/>
  <c r="I554" i="35"/>
  <c r="H554" i="35"/>
  <c r="BJ553" i="35"/>
  <c r="BI553" i="35"/>
  <c r="BH553" i="35"/>
  <c r="BG553" i="35"/>
  <c r="BD553" i="35"/>
  <c r="BA553" i="35"/>
  <c r="AZ553" i="35"/>
  <c r="AX553" i="35"/>
  <c r="AW553" i="35"/>
  <c r="AV553" i="35"/>
  <c r="AU553" i="35"/>
  <c r="AR553" i="35"/>
  <c r="AQ553" i="35"/>
  <c r="AP553" i="35"/>
  <c r="BF553" i="35" s="1"/>
  <c r="AO553" i="35"/>
  <c r="AM553" i="35"/>
  <c r="AL553" i="35"/>
  <c r="AK553" i="35"/>
  <c r="AJ553" i="35"/>
  <c r="AI553" i="35"/>
  <c r="AF553" i="35"/>
  <c r="AC553" i="35"/>
  <c r="AB553" i="35"/>
  <c r="AA553" i="35"/>
  <c r="Z553" i="35"/>
  <c r="Y553" i="35"/>
  <c r="X553" i="35"/>
  <c r="T553" i="35"/>
  <c r="O553" i="35"/>
  <c r="N553" i="35"/>
  <c r="M553" i="35"/>
  <c r="L553" i="35"/>
  <c r="K553" i="35"/>
  <c r="J553" i="35"/>
  <c r="I553" i="35"/>
  <c r="H553" i="35"/>
  <c r="BK552" i="35"/>
  <c r="BJ552" i="35"/>
  <c r="BI552" i="35"/>
  <c r="BH552" i="35"/>
  <c r="BG552" i="35"/>
  <c r="BF552" i="35"/>
  <c r="BE552" i="35"/>
  <c r="BD552" i="35"/>
  <c r="BC552" i="35"/>
  <c r="BA552" i="35"/>
  <c r="AZ552" i="35"/>
  <c r="AY552" i="35"/>
  <c r="AX552" i="35"/>
  <c r="AW552" i="35"/>
  <c r="AV552" i="35"/>
  <c r="AU552" i="35"/>
  <c r="AT552" i="35"/>
  <c r="AS552" i="35"/>
  <c r="AR552" i="35"/>
  <c r="AQ552" i="35"/>
  <c r="AP552" i="35"/>
  <c r="BB552" i="35" s="1"/>
  <c r="AO552" i="35"/>
  <c r="AL552" i="35"/>
  <c r="AM552" i="35" s="1"/>
  <c r="AK552" i="35"/>
  <c r="AI552" i="35"/>
  <c r="AJ552" i="35" s="1"/>
  <c r="AF552" i="35"/>
  <c r="AC552" i="35"/>
  <c r="AB552" i="35"/>
  <c r="AA552" i="35"/>
  <c r="Z552" i="35"/>
  <c r="Y552" i="35"/>
  <c r="X552" i="35"/>
  <c r="T552" i="35"/>
  <c r="W552" i="35" s="1"/>
  <c r="O552" i="35"/>
  <c r="N552" i="35"/>
  <c r="M552" i="35"/>
  <c r="L552" i="35"/>
  <c r="K552" i="35"/>
  <c r="J552" i="35"/>
  <c r="I552" i="35"/>
  <c r="H552" i="35"/>
  <c r="BK551" i="35"/>
  <c r="BJ551" i="35"/>
  <c r="BI551" i="35"/>
  <c r="BH551" i="35"/>
  <c r="BG551" i="35"/>
  <c r="BF551" i="35"/>
  <c r="BE551" i="35"/>
  <c r="AY551" i="35"/>
  <c r="AX551" i="35"/>
  <c r="AU551" i="35"/>
  <c r="AT551" i="35"/>
  <c r="AS551" i="35"/>
  <c r="AR551" i="35"/>
  <c r="AQ551" i="35"/>
  <c r="AP551" i="35"/>
  <c r="BD551" i="35" s="1"/>
  <c r="AO551" i="35"/>
  <c r="AL551" i="35"/>
  <c r="AK551" i="35"/>
  <c r="AM551" i="35" s="1"/>
  <c r="AI551" i="35"/>
  <c r="AJ551" i="35" s="1"/>
  <c r="AF551" i="35"/>
  <c r="AC551" i="35"/>
  <c r="AB551" i="35"/>
  <c r="AA551" i="35"/>
  <c r="Z551" i="35"/>
  <c r="Y551" i="35"/>
  <c r="X551" i="35"/>
  <c r="W551" i="35"/>
  <c r="T551" i="35"/>
  <c r="O551" i="35"/>
  <c r="N551" i="35"/>
  <c r="M551" i="35"/>
  <c r="L551" i="35"/>
  <c r="K551" i="35"/>
  <c r="J551" i="35"/>
  <c r="I551" i="35"/>
  <c r="H551" i="35"/>
  <c r="BJ550" i="35"/>
  <c r="BI550" i="35"/>
  <c r="BH550" i="35"/>
  <c r="BG550" i="35"/>
  <c r="BF550" i="35"/>
  <c r="BE550" i="35"/>
  <c r="BD550" i="35"/>
  <c r="BA550" i="35"/>
  <c r="AY550" i="35"/>
  <c r="AX550" i="35"/>
  <c r="AW550" i="35"/>
  <c r="AU550" i="35"/>
  <c r="AT550" i="35"/>
  <c r="AS550" i="35"/>
  <c r="AR550" i="35"/>
  <c r="AQ550" i="35"/>
  <c r="AP550" i="35"/>
  <c r="BC550" i="35" s="1"/>
  <c r="AO550" i="35"/>
  <c r="AL550" i="35"/>
  <c r="AK550" i="35"/>
  <c r="AM550" i="35" s="1"/>
  <c r="AJ550" i="35"/>
  <c r="AI550" i="35"/>
  <c r="AF550" i="35"/>
  <c r="AC550" i="35"/>
  <c r="AB550" i="35"/>
  <c r="AA550" i="35"/>
  <c r="Z550" i="35"/>
  <c r="Y550" i="35"/>
  <c r="X550" i="35"/>
  <c r="T550" i="35"/>
  <c r="BK550" i="35" s="1"/>
  <c r="O550" i="35"/>
  <c r="N550" i="35"/>
  <c r="M550" i="35"/>
  <c r="L550" i="35"/>
  <c r="K550" i="35"/>
  <c r="J550" i="35"/>
  <c r="I550" i="35"/>
  <c r="H550" i="35"/>
  <c r="BJ549" i="35"/>
  <c r="BI549" i="35"/>
  <c r="BG549" i="35"/>
  <c r="BF549" i="35"/>
  <c r="BE549" i="35"/>
  <c r="BD549" i="35"/>
  <c r="BC549" i="35"/>
  <c r="BA549" i="35"/>
  <c r="AZ549" i="35"/>
  <c r="AX549" i="35"/>
  <c r="AW549" i="35"/>
  <c r="AV549" i="35"/>
  <c r="AU549" i="35"/>
  <c r="AT549" i="35"/>
  <c r="AS549" i="35"/>
  <c r="AR549" i="35"/>
  <c r="AQ549" i="35"/>
  <c r="BH549" i="35" s="1"/>
  <c r="AP549" i="35"/>
  <c r="BB549" i="35" s="1"/>
  <c r="AO549" i="35"/>
  <c r="AM549" i="35"/>
  <c r="AL549" i="35"/>
  <c r="AK549" i="35"/>
  <c r="AI549" i="35"/>
  <c r="AJ549" i="35" s="1"/>
  <c r="AF549" i="35"/>
  <c r="AC549" i="35"/>
  <c r="AB549" i="35"/>
  <c r="AA549" i="35"/>
  <c r="Z549" i="35"/>
  <c r="Y549" i="35"/>
  <c r="X549" i="35"/>
  <c r="T549" i="35"/>
  <c r="BK549" i="35" s="1"/>
  <c r="O549" i="35"/>
  <c r="N549" i="35"/>
  <c r="M549" i="35"/>
  <c r="L549" i="35"/>
  <c r="K549" i="35"/>
  <c r="J549" i="35"/>
  <c r="I549" i="35"/>
  <c r="H549" i="35"/>
  <c r="BK548" i="35"/>
  <c r="BJ548" i="35"/>
  <c r="BI548" i="35"/>
  <c r="BD548" i="35"/>
  <c r="BC548" i="35"/>
  <c r="AR548" i="35"/>
  <c r="AQ548" i="35"/>
  <c r="BH548" i="35" s="1"/>
  <c r="AP548" i="35"/>
  <c r="BA548" i="35" s="1"/>
  <c r="AO548" i="35"/>
  <c r="AL548" i="35"/>
  <c r="AM548" i="35" s="1"/>
  <c r="AK548" i="35"/>
  <c r="AI548" i="35"/>
  <c r="AJ548" i="35" s="1"/>
  <c r="AF548" i="35"/>
  <c r="AC548" i="35"/>
  <c r="AB548" i="35"/>
  <c r="AA548" i="35"/>
  <c r="Z548" i="35"/>
  <c r="Y548" i="35"/>
  <c r="X548" i="35"/>
  <c r="T548" i="35"/>
  <c r="W548" i="35" s="1"/>
  <c r="O548" i="35"/>
  <c r="N548" i="35"/>
  <c r="M548" i="35"/>
  <c r="L548" i="35"/>
  <c r="K548" i="35"/>
  <c r="J548" i="35"/>
  <c r="I548" i="35"/>
  <c r="H548" i="35"/>
  <c r="BK547" i="35"/>
  <c r="BJ547" i="35"/>
  <c r="BI547" i="35"/>
  <c r="AR547" i="35"/>
  <c r="AQ547" i="35"/>
  <c r="BH547" i="35" s="1"/>
  <c r="AP547" i="35"/>
  <c r="AO547" i="35"/>
  <c r="AL547" i="35"/>
  <c r="AK547" i="35"/>
  <c r="AM547" i="35" s="1"/>
  <c r="AI547" i="35"/>
  <c r="AJ547" i="35" s="1"/>
  <c r="AF547" i="35"/>
  <c r="AC547" i="35"/>
  <c r="AB547" i="35"/>
  <c r="AA547" i="35"/>
  <c r="Z547" i="35"/>
  <c r="Y547" i="35"/>
  <c r="X547" i="35"/>
  <c r="W547" i="35"/>
  <c r="T547" i="35"/>
  <c r="O547" i="35"/>
  <c r="N547" i="35"/>
  <c r="M547" i="35"/>
  <c r="L547" i="35"/>
  <c r="K547" i="35"/>
  <c r="J547" i="35"/>
  <c r="I547" i="35"/>
  <c r="H547" i="35"/>
  <c r="BJ546" i="35"/>
  <c r="BI546" i="35"/>
  <c r="AR546" i="35"/>
  <c r="AQ546" i="35"/>
  <c r="BH546" i="35" s="1"/>
  <c r="AP546" i="35"/>
  <c r="AO546" i="35"/>
  <c r="AM546" i="35"/>
  <c r="AL546" i="35"/>
  <c r="AK546" i="35"/>
  <c r="AJ546" i="35"/>
  <c r="AI546" i="35"/>
  <c r="AF546" i="35"/>
  <c r="AC546" i="35"/>
  <c r="AB546" i="35"/>
  <c r="AA546" i="35"/>
  <c r="Z546" i="35"/>
  <c r="Y546" i="35"/>
  <c r="X546" i="35"/>
  <c r="T546" i="35"/>
  <c r="BK546" i="35" s="1"/>
  <c r="O546" i="35"/>
  <c r="N546" i="35"/>
  <c r="M546" i="35"/>
  <c r="L546" i="35"/>
  <c r="K546" i="35"/>
  <c r="J546" i="35"/>
  <c r="I546" i="35"/>
  <c r="H546" i="35"/>
  <c r="BK545" i="35"/>
  <c r="BJ545" i="35"/>
  <c r="BI545" i="35"/>
  <c r="BH545" i="35"/>
  <c r="BD545" i="35"/>
  <c r="BA545" i="35"/>
  <c r="AZ545" i="35"/>
  <c r="AY545" i="35"/>
  <c r="AR545" i="35"/>
  <c r="AQ545" i="35"/>
  <c r="AP545" i="35"/>
  <c r="AX545" i="35" s="1"/>
  <c r="AO545" i="35"/>
  <c r="AM545" i="35"/>
  <c r="AL545" i="35"/>
  <c r="AK545" i="35"/>
  <c r="AI545" i="35"/>
  <c r="AJ545" i="35" s="1"/>
  <c r="AF545" i="35"/>
  <c r="AC545" i="35"/>
  <c r="AB545" i="35"/>
  <c r="AA545" i="35"/>
  <c r="Z545" i="35"/>
  <c r="Y545" i="35"/>
  <c r="X545" i="35"/>
  <c r="T545" i="35"/>
  <c r="W545" i="35" s="1"/>
  <c r="O545" i="35"/>
  <c r="N545" i="35"/>
  <c r="M545" i="35"/>
  <c r="L545" i="35"/>
  <c r="K545" i="35"/>
  <c r="J545" i="35"/>
  <c r="I545" i="35"/>
  <c r="H545" i="35"/>
  <c r="BK544" i="35"/>
  <c r="BJ544" i="35"/>
  <c r="BI544" i="35"/>
  <c r="BD544" i="35"/>
  <c r="BC544" i="35"/>
  <c r="BA544" i="35"/>
  <c r="AZ544" i="35"/>
  <c r="AY544" i="35"/>
  <c r="AX544" i="35"/>
  <c r="AR544" i="35"/>
  <c r="AQ544" i="35"/>
  <c r="BH544" i="35" s="1"/>
  <c r="AP544" i="35"/>
  <c r="AW544" i="35" s="1"/>
  <c r="AO544" i="35"/>
  <c r="AM544" i="35"/>
  <c r="AL544" i="35"/>
  <c r="AK544" i="35"/>
  <c r="AI544" i="35"/>
  <c r="AJ544" i="35" s="1"/>
  <c r="AF544" i="35"/>
  <c r="AC544" i="35"/>
  <c r="AB544" i="35"/>
  <c r="AA544" i="35"/>
  <c r="Z544" i="35"/>
  <c r="Y544" i="35"/>
  <c r="X544" i="35"/>
  <c r="W544" i="35"/>
  <c r="T544" i="35"/>
  <c r="O544" i="35"/>
  <c r="N544" i="35"/>
  <c r="M544" i="35"/>
  <c r="L544" i="35"/>
  <c r="K544" i="35"/>
  <c r="J544" i="35"/>
  <c r="I544" i="35"/>
  <c r="H544" i="35"/>
  <c r="BK543" i="35"/>
  <c r="BJ543" i="35"/>
  <c r="BI543" i="35"/>
  <c r="AY543" i="35"/>
  <c r="AX543" i="35"/>
  <c r="AW543" i="35"/>
  <c r="AR543" i="35"/>
  <c r="AQ543" i="35"/>
  <c r="BH543" i="35" s="1"/>
  <c r="AP543" i="35"/>
  <c r="AV543" i="35" s="1"/>
  <c r="AO543" i="35"/>
  <c r="AL543" i="35"/>
  <c r="AK543" i="35"/>
  <c r="AJ543" i="35"/>
  <c r="AI543" i="35"/>
  <c r="AF543" i="35"/>
  <c r="AC543" i="35"/>
  <c r="AB543" i="35"/>
  <c r="AA543" i="35"/>
  <c r="Z543" i="35"/>
  <c r="Y543" i="35"/>
  <c r="X543" i="35"/>
  <c r="W543" i="35"/>
  <c r="T543" i="35"/>
  <c r="O543" i="35"/>
  <c r="N543" i="35"/>
  <c r="M543" i="35"/>
  <c r="L543" i="35"/>
  <c r="K543" i="35"/>
  <c r="J543" i="35"/>
  <c r="I543" i="35"/>
  <c r="H543" i="35"/>
  <c r="BJ542" i="35"/>
  <c r="BI542" i="35"/>
  <c r="BH542" i="35"/>
  <c r="BA542" i="35"/>
  <c r="AX542" i="35"/>
  <c r="AW542" i="35"/>
  <c r="AV542" i="35"/>
  <c r="AR542" i="35"/>
  <c r="AQ542" i="35"/>
  <c r="AP542" i="35"/>
  <c r="BG542" i="35" s="1"/>
  <c r="AO542" i="35"/>
  <c r="AL542" i="35"/>
  <c r="AK542" i="35"/>
  <c r="AM542" i="35" s="1"/>
  <c r="AJ542" i="35"/>
  <c r="AI542" i="35"/>
  <c r="AF542" i="35"/>
  <c r="AC542" i="35"/>
  <c r="AB542" i="35"/>
  <c r="AA542" i="35"/>
  <c r="Z542" i="35"/>
  <c r="Y542" i="35"/>
  <c r="X542" i="35"/>
  <c r="W542" i="35"/>
  <c r="T542" i="35"/>
  <c r="BK542" i="35" s="1"/>
  <c r="O542" i="35"/>
  <c r="N542" i="35"/>
  <c r="M542" i="35"/>
  <c r="L542" i="35"/>
  <c r="K542" i="35"/>
  <c r="J542" i="35"/>
  <c r="I542" i="35"/>
  <c r="H542" i="35"/>
  <c r="BJ541" i="35"/>
  <c r="BI541" i="35"/>
  <c r="BH541" i="35"/>
  <c r="BG541" i="35"/>
  <c r="BA541" i="35"/>
  <c r="AZ541" i="35"/>
  <c r="AW541" i="35"/>
  <c r="AV541" i="35"/>
  <c r="AU541" i="35"/>
  <c r="AR541" i="35"/>
  <c r="AQ541" i="35"/>
  <c r="AP541" i="35"/>
  <c r="BF541" i="35" s="1"/>
  <c r="AO541" i="35"/>
  <c r="AM541" i="35"/>
  <c r="AL541" i="35"/>
  <c r="AK541" i="35"/>
  <c r="AI541" i="35"/>
  <c r="AJ541" i="35" s="1"/>
  <c r="AF541" i="35"/>
  <c r="AC541" i="35"/>
  <c r="AB541" i="35"/>
  <c r="AA541" i="35"/>
  <c r="Z541" i="35"/>
  <c r="Y541" i="35"/>
  <c r="X541" i="35"/>
  <c r="T541" i="35"/>
  <c r="O541" i="35"/>
  <c r="N541" i="35"/>
  <c r="M541" i="35"/>
  <c r="L541" i="35"/>
  <c r="K541" i="35"/>
  <c r="J541" i="35"/>
  <c r="I541" i="35"/>
  <c r="H541" i="35"/>
  <c r="BK540" i="35"/>
  <c r="BJ540" i="35"/>
  <c r="BI540" i="35"/>
  <c r="BH540" i="35"/>
  <c r="BG540" i="35"/>
  <c r="BF540" i="35"/>
  <c r="BD540" i="35"/>
  <c r="BC540" i="35"/>
  <c r="BA540" i="35"/>
  <c r="AZ540" i="35"/>
  <c r="AY540" i="35"/>
  <c r="AX540" i="35"/>
  <c r="AW540" i="35"/>
  <c r="AV540" i="35"/>
  <c r="AU540" i="35"/>
  <c r="AT540" i="35"/>
  <c r="AR540" i="35"/>
  <c r="AQ540" i="35"/>
  <c r="AP540" i="35"/>
  <c r="BE540" i="35" s="1"/>
  <c r="AO540" i="35"/>
  <c r="AL540" i="35"/>
  <c r="AM540" i="35" s="1"/>
  <c r="AK540" i="35"/>
  <c r="AI540" i="35"/>
  <c r="AJ540" i="35" s="1"/>
  <c r="AF540" i="35"/>
  <c r="AC540" i="35"/>
  <c r="AB540" i="35"/>
  <c r="AA540" i="35"/>
  <c r="Z540" i="35"/>
  <c r="Y540" i="35"/>
  <c r="X540" i="35"/>
  <c r="T540" i="35"/>
  <c r="W540" i="35" s="1"/>
  <c r="O540" i="35"/>
  <c r="N540" i="35"/>
  <c r="M540" i="35"/>
  <c r="L540" i="35"/>
  <c r="K540" i="35"/>
  <c r="J540" i="35"/>
  <c r="I540" i="35"/>
  <c r="H540" i="35"/>
  <c r="BK539" i="35"/>
  <c r="BJ539" i="35"/>
  <c r="BI539" i="35"/>
  <c r="BH539" i="35"/>
  <c r="BG539" i="35"/>
  <c r="BF539" i="35"/>
  <c r="BE539" i="35"/>
  <c r="AZ539" i="35"/>
  <c r="AY539" i="35"/>
  <c r="AX539" i="35"/>
  <c r="AV539" i="35"/>
  <c r="AU539" i="35"/>
  <c r="AT539" i="35"/>
  <c r="AS539" i="35"/>
  <c r="AR539" i="35"/>
  <c r="AQ539" i="35"/>
  <c r="AP539" i="35"/>
  <c r="BD539" i="35" s="1"/>
  <c r="AO539" i="35"/>
  <c r="AL539" i="35"/>
  <c r="AK539" i="35"/>
  <c r="AM539" i="35" s="1"/>
  <c r="AI539" i="35"/>
  <c r="AJ539" i="35" s="1"/>
  <c r="AF539" i="35"/>
  <c r="AC539" i="35"/>
  <c r="AB539" i="35"/>
  <c r="AA539" i="35"/>
  <c r="Z539" i="35"/>
  <c r="Y539" i="35"/>
  <c r="X539" i="35"/>
  <c r="W539" i="35"/>
  <c r="T539" i="35"/>
  <c r="O539" i="35"/>
  <c r="N539" i="35"/>
  <c r="M539" i="35"/>
  <c r="L539" i="35"/>
  <c r="K539" i="35"/>
  <c r="J539" i="35"/>
  <c r="I539" i="35"/>
  <c r="H539" i="35"/>
  <c r="BJ538" i="35"/>
  <c r="BI538" i="35"/>
  <c r="BH538" i="35"/>
  <c r="BG538" i="35"/>
  <c r="BF538" i="35"/>
  <c r="BE538" i="35"/>
  <c r="BD538" i="35"/>
  <c r="BA538" i="35"/>
  <c r="AY538" i="35"/>
  <c r="AX538" i="35"/>
  <c r="AW538" i="35"/>
  <c r="AV538" i="35"/>
  <c r="AU538" i="35"/>
  <c r="AT538" i="35"/>
  <c r="AS538" i="35"/>
  <c r="AR538" i="35"/>
  <c r="AQ538" i="35"/>
  <c r="AP538" i="35"/>
  <c r="BC538" i="35" s="1"/>
  <c r="AO538" i="35"/>
  <c r="AL538" i="35"/>
  <c r="AK538" i="35"/>
  <c r="AM538" i="35" s="1"/>
  <c r="AJ538" i="35"/>
  <c r="AI538" i="35"/>
  <c r="AF538" i="35"/>
  <c r="AC538" i="35"/>
  <c r="AB538" i="35"/>
  <c r="AA538" i="35"/>
  <c r="Z538" i="35"/>
  <c r="Y538" i="35"/>
  <c r="X538" i="35"/>
  <c r="T538" i="35"/>
  <c r="BK538" i="35" s="1"/>
  <c r="O538" i="35"/>
  <c r="N538" i="35"/>
  <c r="M538" i="35"/>
  <c r="L538" i="35"/>
  <c r="K538" i="35"/>
  <c r="J538" i="35"/>
  <c r="I538" i="35"/>
  <c r="H538" i="35"/>
  <c r="BJ537" i="35"/>
  <c r="BI537" i="35"/>
  <c r="BG537" i="35"/>
  <c r="BF537" i="35"/>
  <c r="BE537" i="35"/>
  <c r="BD537" i="35"/>
  <c r="BC537" i="35"/>
  <c r="AZ537" i="35"/>
  <c r="AX537" i="35"/>
  <c r="AW537" i="35"/>
  <c r="AV537" i="35"/>
  <c r="AU537" i="35"/>
  <c r="AT537" i="35"/>
  <c r="AS537" i="35"/>
  <c r="AR537" i="35"/>
  <c r="AQ537" i="35"/>
  <c r="BH537" i="35" s="1"/>
  <c r="AP537" i="35"/>
  <c r="BB537" i="35" s="1"/>
  <c r="AO537" i="35"/>
  <c r="AL537" i="35"/>
  <c r="AK537" i="35"/>
  <c r="AM537" i="35" s="1"/>
  <c r="AI537" i="35"/>
  <c r="AJ537" i="35" s="1"/>
  <c r="AF537" i="35"/>
  <c r="AC537" i="35"/>
  <c r="AB537" i="35"/>
  <c r="AA537" i="35"/>
  <c r="Z537" i="35"/>
  <c r="Y537" i="35"/>
  <c r="X537" i="35"/>
  <c r="T537" i="35"/>
  <c r="BK537" i="35" s="1"/>
  <c r="O537" i="35"/>
  <c r="N537" i="35"/>
  <c r="M537" i="35"/>
  <c r="L537" i="35"/>
  <c r="K537" i="35"/>
  <c r="J537" i="35"/>
  <c r="I537" i="35"/>
  <c r="H537" i="35"/>
  <c r="BJ536" i="35"/>
  <c r="BI536" i="35"/>
  <c r="BD536" i="35"/>
  <c r="BC536" i="35"/>
  <c r="AR536" i="35"/>
  <c r="AQ536" i="35"/>
  <c r="BH536" i="35" s="1"/>
  <c r="AP536" i="35"/>
  <c r="BA536" i="35" s="1"/>
  <c r="AO536" i="35"/>
  <c r="AL536" i="35"/>
  <c r="AM536" i="35" s="1"/>
  <c r="AK536" i="35"/>
  <c r="AI536" i="35"/>
  <c r="AJ536" i="35" s="1"/>
  <c r="AF536" i="35"/>
  <c r="AC536" i="35"/>
  <c r="AB536" i="35"/>
  <c r="AA536" i="35"/>
  <c r="Z536" i="35"/>
  <c r="Y536" i="35"/>
  <c r="X536" i="35"/>
  <c r="T536" i="35"/>
  <c r="BK536" i="35" s="1"/>
  <c r="O536" i="35"/>
  <c r="N536" i="35"/>
  <c r="M536" i="35"/>
  <c r="L536" i="35"/>
  <c r="K536" i="35"/>
  <c r="J536" i="35"/>
  <c r="I536" i="35"/>
  <c r="H536" i="35"/>
  <c r="BJ535" i="35"/>
  <c r="BI535" i="35"/>
  <c r="BC535" i="35"/>
  <c r="BB535" i="35"/>
  <c r="AR535" i="35"/>
  <c r="AQ535" i="35"/>
  <c r="BH535" i="35" s="1"/>
  <c r="AP535" i="35"/>
  <c r="AO535" i="35"/>
  <c r="AL535" i="35"/>
  <c r="AK535" i="35"/>
  <c r="AM535" i="35" s="1"/>
  <c r="AI535" i="35"/>
  <c r="AJ535" i="35" s="1"/>
  <c r="AF535" i="35"/>
  <c r="AC535" i="35"/>
  <c r="AB535" i="35"/>
  <c r="AA535" i="35"/>
  <c r="Z535" i="35"/>
  <c r="Y535" i="35"/>
  <c r="X535" i="35"/>
  <c r="W535" i="35"/>
  <c r="T535" i="35"/>
  <c r="BK535" i="35" s="1"/>
  <c r="O535" i="35"/>
  <c r="N535" i="35"/>
  <c r="M535" i="35"/>
  <c r="L535" i="35"/>
  <c r="K535" i="35"/>
  <c r="J535" i="35"/>
  <c r="I535" i="35"/>
  <c r="H535" i="35"/>
  <c r="BJ534" i="35"/>
  <c r="BI534" i="35"/>
  <c r="AR534" i="35"/>
  <c r="AQ534" i="35"/>
  <c r="BH534" i="35" s="1"/>
  <c r="AP534" i="35"/>
  <c r="AO534" i="35"/>
  <c r="AM534" i="35"/>
  <c r="AL534" i="35"/>
  <c r="AK534" i="35"/>
  <c r="AJ534" i="35"/>
  <c r="AI534" i="35"/>
  <c r="AF534" i="35"/>
  <c r="AC534" i="35"/>
  <c r="AB534" i="35"/>
  <c r="AA534" i="35"/>
  <c r="Z534" i="35"/>
  <c r="Y534" i="35"/>
  <c r="X534" i="35"/>
  <c r="T534" i="35"/>
  <c r="BK534" i="35" s="1"/>
  <c r="O534" i="35"/>
  <c r="N534" i="35"/>
  <c r="M534" i="35"/>
  <c r="L534" i="35"/>
  <c r="K534" i="35"/>
  <c r="J534" i="35"/>
  <c r="I534" i="35"/>
  <c r="H534" i="35"/>
  <c r="BK533" i="35"/>
  <c r="BJ533" i="35"/>
  <c r="BI533" i="35"/>
  <c r="BD533" i="35"/>
  <c r="BA533" i="35"/>
  <c r="AZ533" i="35"/>
  <c r="AY533" i="35"/>
  <c r="AR533" i="35"/>
  <c r="AQ533" i="35"/>
  <c r="BH533" i="35" s="1"/>
  <c r="AP533" i="35"/>
  <c r="AX533" i="35" s="1"/>
  <c r="AO533" i="35"/>
  <c r="AM533" i="35"/>
  <c r="AL533" i="35"/>
  <c r="AK533" i="35"/>
  <c r="AI533" i="35"/>
  <c r="AJ533" i="35" s="1"/>
  <c r="AF533" i="35"/>
  <c r="AC533" i="35"/>
  <c r="AB533" i="35"/>
  <c r="AA533" i="35"/>
  <c r="Z533" i="35"/>
  <c r="Y533" i="35"/>
  <c r="X533" i="35"/>
  <c r="T533" i="35"/>
  <c r="W533" i="35" s="1"/>
  <c r="O533" i="35"/>
  <c r="N533" i="35"/>
  <c r="M533" i="35"/>
  <c r="L533" i="35"/>
  <c r="K533" i="35"/>
  <c r="J533" i="35"/>
  <c r="I533" i="35"/>
  <c r="H533" i="35"/>
  <c r="BK532" i="35"/>
  <c r="BJ532" i="35"/>
  <c r="BI532" i="35"/>
  <c r="BD532" i="35"/>
  <c r="BC532" i="35"/>
  <c r="BA532" i="35"/>
  <c r="AZ532" i="35"/>
  <c r="AY532" i="35"/>
  <c r="AX532" i="35"/>
  <c r="AR532" i="35"/>
  <c r="AQ532" i="35"/>
  <c r="BH532" i="35" s="1"/>
  <c r="AP532" i="35"/>
  <c r="AW532" i="35" s="1"/>
  <c r="AO532" i="35"/>
  <c r="AM532" i="35"/>
  <c r="AL532" i="35"/>
  <c r="AK532" i="35"/>
  <c r="AI532" i="35"/>
  <c r="AJ532" i="35" s="1"/>
  <c r="AF532" i="35"/>
  <c r="AC532" i="35"/>
  <c r="AB532" i="35"/>
  <c r="AA532" i="35"/>
  <c r="Z532" i="35"/>
  <c r="Y532" i="35"/>
  <c r="X532" i="35"/>
  <c r="W532" i="35"/>
  <c r="T532" i="35"/>
  <c r="O532" i="35"/>
  <c r="N532" i="35"/>
  <c r="M532" i="35"/>
  <c r="L532" i="35"/>
  <c r="K532" i="35"/>
  <c r="J532" i="35"/>
  <c r="I532" i="35"/>
  <c r="H532" i="35"/>
  <c r="BJ531" i="35"/>
  <c r="BI531" i="35"/>
  <c r="AY531" i="35"/>
  <c r="AX531" i="35"/>
  <c r="AW531" i="35"/>
  <c r="AR531" i="35"/>
  <c r="AQ531" i="35"/>
  <c r="BH531" i="35" s="1"/>
  <c r="AP531" i="35"/>
  <c r="AV531" i="35" s="1"/>
  <c r="AO531" i="35"/>
  <c r="AL531" i="35"/>
  <c r="AK531" i="35"/>
  <c r="AJ531" i="35"/>
  <c r="AI531" i="35"/>
  <c r="AF531" i="35"/>
  <c r="AC531" i="35"/>
  <c r="AB531" i="35"/>
  <c r="AA531" i="35"/>
  <c r="Z531" i="35"/>
  <c r="Y531" i="35"/>
  <c r="X531" i="35"/>
  <c r="T531" i="35"/>
  <c r="W531" i="35" s="1"/>
  <c r="O531" i="35"/>
  <c r="N531" i="35"/>
  <c r="M531" i="35"/>
  <c r="L531" i="35"/>
  <c r="K531" i="35"/>
  <c r="J531" i="35"/>
  <c r="I531" i="35"/>
  <c r="H531" i="35"/>
  <c r="BJ530" i="35"/>
  <c r="BI530" i="35"/>
  <c r="BH530" i="35"/>
  <c r="BA530" i="35"/>
  <c r="AY530" i="35"/>
  <c r="AX530" i="35"/>
  <c r="AW530" i="35"/>
  <c r="AV530" i="35"/>
  <c r="AR530" i="35"/>
  <c r="AQ530" i="35"/>
  <c r="AP530" i="35"/>
  <c r="BG530" i="35" s="1"/>
  <c r="AO530" i="35"/>
  <c r="AL530" i="35"/>
  <c r="AK530" i="35"/>
  <c r="AM530" i="35" s="1"/>
  <c r="AI530" i="35"/>
  <c r="AJ530" i="35" s="1"/>
  <c r="AF530" i="35"/>
  <c r="AC530" i="35"/>
  <c r="AB530" i="35"/>
  <c r="AA530" i="35"/>
  <c r="Z530" i="35"/>
  <c r="Y530" i="35"/>
  <c r="X530" i="35"/>
  <c r="T530" i="35"/>
  <c r="BK530" i="35" s="1"/>
  <c r="O530" i="35"/>
  <c r="N530" i="35"/>
  <c r="M530" i="35"/>
  <c r="L530" i="35"/>
  <c r="K530" i="35"/>
  <c r="J530" i="35"/>
  <c r="I530" i="35"/>
  <c r="H530" i="35"/>
  <c r="BJ529" i="35"/>
  <c r="BI529" i="35"/>
  <c r="BH529" i="35"/>
  <c r="BG529" i="35"/>
  <c r="BA529" i="35"/>
  <c r="AZ529" i="35"/>
  <c r="AY529" i="35"/>
  <c r="AX529" i="35"/>
  <c r="AW529" i="35"/>
  <c r="AV529" i="35"/>
  <c r="AU529" i="35"/>
  <c r="AR529" i="35"/>
  <c r="AQ529" i="35"/>
  <c r="AP529" i="35"/>
  <c r="BF529" i="35" s="1"/>
  <c r="AO529" i="35"/>
  <c r="AM529" i="35"/>
  <c r="AL529" i="35"/>
  <c r="AK529" i="35"/>
  <c r="AJ529" i="35"/>
  <c r="AI529" i="35"/>
  <c r="AF529" i="35"/>
  <c r="AC529" i="35"/>
  <c r="AB529" i="35"/>
  <c r="AA529" i="35"/>
  <c r="Z529" i="35"/>
  <c r="Y529" i="35"/>
  <c r="X529" i="35"/>
  <c r="T529" i="35"/>
  <c r="O529" i="35"/>
  <c r="N529" i="35"/>
  <c r="M529" i="35"/>
  <c r="L529" i="35"/>
  <c r="K529" i="35"/>
  <c r="J529" i="35"/>
  <c r="I529" i="35"/>
  <c r="H529" i="35"/>
  <c r="BK528" i="35"/>
  <c r="BJ528" i="35"/>
  <c r="BI528" i="35"/>
  <c r="BH528" i="35"/>
  <c r="BG528" i="35"/>
  <c r="BF528" i="35"/>
  <c r="BA528" i="35"/>
  <c r="AZ528" i="35"/>
  <c r="AY528" i="35"/>
  <c r="AX528" i="35"/>
  <c r="AW528" i="35"/>
  <c r="AV528" i="35"/>
  <c r="AU528" i="35"/>
  <c r="AT528" i="35"/>
  <c r="AR528" i="35"/>
  <c r="AQ528" i="35"/>
  <c r="AP528" i="35"/>
  <c r="BE528" i="35" s="1"/>
  <c r="AO528" i="35"/>
  <c r="AL528" i="35"/>
  <c r="AK528" i="35"/>
  <c r="AM528" i="35" s="1"/>
  <c r="AI528" i="35"/>
  <c r="AJ528" i="35" s="1"/>
  <c r="AF528" i="35"/>
  <c r="AC528" i="35"/>
  <c r="AB528" i="35"/>
  <c r="AA528" i="35"/>
  <c r="Z528" i="35"/>
  <c r="Y528" i="35"/>
  <c r="X528" i="35"/>
  <c r="T528" i="35"/>
  <c r="W528" i="35" s="1"/>
  <c r="O528" i="35"/>
  <c r="N528" i="35"/>
  <c r="M528" i="35"/>
  <c r="L528" i="35"/>
  <c r="K528" i="35"/>
  <c r="J528" i="35"/>
  <c r="I528" i="35"/>
  <c r="H528" i="35"/>
  <c r="BJ527" i="35"/>
  <c r="BI527" i="35"/>
  <c r="BH527" i="35"/>
  <c r="BG527" i="35"/>
  <c r="BF527" i="35"/>
  <c r="BE527" i="35"/>
  <c r="AZ527" i="35"/>
  <c r="AY527" i="35"/>
  <c r="AX527" i="35"/>
  <c r="AW527" i="35"/>
  <c r="AV527" i="35"/>
  <c r="AU527" i="35"/>
  <c r="AT527" i="35"/>
  <c r="AS527" i="35"/>
  <c r="AR527" i="35"/>
  <c r="AQ527" i="35"/>
  <c r="AP527" i="35"/>
  <c r="BD527" i="35" s="1"/>
  <c r="AO527" i="35"/>
  <c r="AL527" i="35"/>
  <c r="AK527" i="35"/>
  <c r="AM527" i="35" s="1"/>
  <c r="AI527" i="35"/>
  <c r="AJ527" i="35" s="1"/>
  <c r="AF527" i="35"/>
  <c r="AC527" i="35"/>
  <c r="AB527" i="35"/>
  <c r="AA527" i="35"/>
  <c r="Z527" i="35"/>
  <c r="Y527" i="35"/>
  <c r="X527" i="35"/>
  <c r="W527" i="35"/>
  <c r="T527" i="35"/>
  <c r="BK527" i="35" s="1"/>
  <c r="O527" i="35"/>
  <c r="N527" i="35"/>
  <c r="M527" i="35"/>
  <c r="L527" i="35"/>
  <c r="K527" i="35"/>
  <c r="J527" i="35"/>
  <c r="I527" i="35"/>
  <c r="H527" i="35"/>
  <c r="BJ526" i="35"/>
  <c r="BI526" i="35"/>
  <c r="BH526" i="35"/>
  <c r="BG526" i="35"/>
  <c r="BF526" i="35"/>
  <c r="BE526" i="35"/>
  <c r="BD526" i="35"/>
  <c r="AY526" i="35"/>
  <c r="AX526" i="35"/>
  <c r="AW526" i="35"/>
  <c r="AV526" i="35"/>
  <c r="AU526" i="35"/>
  <c r="AT526" i="35"/>
  <c r="AS526" i="35"/>
  <c r="AR526" i="35"/>
  <c r="AQ526" i="35"/>
  <c r="AP526" i="35"/>
  <c r="BC526" i="35" s="1"/>
  <c r="AO526" i="35"/>
  <c r="AL526" i="35"/>
  <c r="AK526" i="35"/>
  <c r="AM526" i="35" s="1"/>
  <c r="AJ526" i="35"/>
  <c r="AI526" i="35"/>
  <c r="AF526" i="35"/>
  <c r="AC526" i="35"/>
  <c r="AB526" i="35"/>
  <c r="AA526" i="35"/>
  <c r="Z526" i="35"/>
  <c r="Y526" i="35"/>
  <c r="X526" i="35"/>
  <c r="T526" i="35"/>
  <c r="O526" i="35"/>
  <c r="N526" i="35"/>
  <c r="M526" i="35"/>
  <c r="L526" i="35"/>
  <c r="K526" i="35"/>
  <c r="J526" i="35"/>
  <c r="I526" i="35"/>
  <c r="H526" i="35"/>
  <c r="BJ525" i="35"/>
  <c r="BI525" i="35"/>
  <c r="BG525" i="35"/>
  <c r="BF525" i="35"/>
  <c r="BE525" i="35"/>
  <c r="BD525" i="35"/>
  <c r="BC525" i="35"/>
  <c r="AX525" i="35"/>
  <c r="AW525" i="35"/>
  <c r="AV525" i="35"/>
  <c r="AU525" i="35"/>
  <c r="AT525" i="35"/>
  <c r="AS525" i="35"/>
  <c r="AR525" i="35"/>
  <c r="AQ525" i="35"/>
  <c r="BH525" i="35" s="1"/>
  <c r="AP525" i="35"/>
  <c r="BB525" i="35" s="1"/>
  <c r="AO525" i="35"/>
  <c r="AL525" i="35"/>
  <c r="AK525" i="35"/>
  <c r="AM525" i="35" s="1"/>
  <c r="AI525" i="35"/>
  <c r="AJ525" i="35" s="1"/>
  <c r="AF525" i="35"/>
  <c r="AC525" i="35"/>
  <c r="AB525" i="35"/>
  <c r="AA525" i="35"/>
  <c r="Z525" i="35"/>
  <c r="Y525" i="35"/>
  <c r="X525" i="35"/>
  <c r="T525" i="35"/>
  <c r="BK525" i="35" s="1"/>
  <c r="O525" i="35"/>
  <c r="N525" i="35"/>
  <c r="M525" i="35"/>
  <c r="L525" i="35"/>
  <c r="K525" i="35"/>
  <c r="J525" i="35"/>
  <c r="I525" i="35"/>
  <c r="H525" i="35"/>
  <c r="BJ524" i="35"/>
  <c r="BI524" i="35"/>
  <c r="AR524" i="35"/>
  <c r="AQ524" i="35"/>
  <c r="BH524" i="35" s="1"/>
  <c r="AP524" i="35"/>
  <c r="AO524" i="35"/>
  <c r="AL524" i="35"/>
  <c r="AK524" i="35"/>
  <c r="AM524" i="35" s="1"/>
  <c r="AI524" i="35"/>
  <c r="AJ524" i="35" s="1"/>
  <c r="AF524" i="35"/>
  <c r="AC524" i="35"/>
  <c r="AB524" i="35"/>
  <c r="AA524" i="35"/>
  <c r="Z524" i="35"/>
  <c r="Y524" i="35"/>
  <c r="X524" i="35"/>
  <c r="T524" i="35"/>
  <c r="BK524" i="35" s="1"/>
  <c r="O524" i="35"/>
  <c r="N524" i="35"/>
  <c r="M524" i="35"/>
  <c r="L524" i="35"/>
  <c r="K524" i="35"/>
  <c r="J524" i="35"/>
  <c r="I524" i="35"/>
  <c r="H524" i="35"/>
  <c r="BJ523" i="35"/>
  <c r="BI523" i="35"/>
  <c r="BF523" i="35"/>
  <c r="BC523" i="35"/>
  <c r="BB523" i="35"/>
  <c r="AR523" i="35"/>
  <c r="AQ523" i="35"/>
  <c r="BH523" i="35" s="1"/>
  <c r="AP523" i="35"/>
  <c r="BA523" i="35" s="1"/>
  <c r="AO523" i="35"/>
  <c r="AL523" i="35"/>
  <c r="AK523" i="35"/>
  <c r="AM523" i="35" s="1"/>
  <c r="AI523" i="35"/>
  <c r="AJ523" i="35" s="1"/>
  <c r="AF523" i="35"/>
  <c r="AC523" i="35"/>
  <c r="AB523" i="35"/>
  <c r="AA523" i="35"/>
  <c r="Z523" i="35"/>
  <c r="Y523" i="35"/>
  <c r="X523" i="35"/>
  <c r="T523" i="35"/>
  <c r="BK523" i="35" s="1"/>
  <c r="O523" i="35"/>
  <c r="N523" i="35"/>
  <c r="M523" i="35"/>
  <c r="L523" i="35"/>
  <c r="K523" i="35"/>
  <c r="J523" i="35"/>
  <c r="I523" i="35"/>
  <c r="H523" i="35"/>
  <c r="BJ522" i="35"/>
  <c r="BI522" i="35"/>
  <c r="AR522" i="35"/>
  <c r="AQ522" i="35"/>
  <c r="BH522" i="35" s="1"/>
  <c r="AP522" i="35"/>
  <c r="AO522" i="35"/>
  <c r="AM522" i="35"/>
  <c r="AL522" i="35"/>
  <c r="AK522" i="35"/>
  <c r="AI522" i="35"/>
  <c r="AJ522" i="35" s="1"/>
  <c r="AF522" i="35"/>
  <c r="AC522" i="35"/>
  <c r="AB522" i="35"/>
  <c r="AA522" i="35"/>
  <c r="Z522" i="35"/>
  <c r="Y522" i="35"/>
  <c r="X522" i="35"/>
  <c r="T522" i="35"/>
  <c r="BK522" i="35" s="1"/>
  <c r="O522" i="35"/>
  <c r="N522" i="35"/>
  <c r="M522" i="35"/>
  <c r="L522" i="35"/>
  <c r="K522" i="35"/>
  <c r="J522" i="35"/>
  <c r="I522" i="35"/>
  <c r="H522" i="35"/>
  <c r="BK521" i="35"/>
  <c r="BJ521" i="35"/>
  <c r="BI521" i="35"/>
  <c r="BD521" i="35"/>
  <c r="BA521" i="35"/>
  <c r="AZ521" i="35"/>
  <c r="AY521" i="35"/>
  <c r="AR521" i="35"/>
  <c r="AQ521" i="35"/>
  <c r="BH521" i="35" s="1"/>
  <c r="AP521" i="35"/>
  <c r="AX521" i="35" s="1"/>
  <c r="AO521" i="35"/>
  <c r="AL521" i="35"/>
  <c r="AM521" i="35" s="1"/>
  <c r="AK521" i="35"/>
  <c r="AI521" i="35"/>
  <c r="AJ521" i="35" s="1"/>
  <c r="AF521" i="35"/>
  <c r="AC521" i="35"/>
  <c r="AB521" i="35"/>
  <c r="AA521" i="35"/>
  <c r="Z521" i="35"/>
  <c r="Y521" i="35"/>
  <c r="X521" i="35"/>
  <c r="T521" i="35"/>
  <c r="W521" i="35" s="1"/>
  <c r="O521" i="35"/>
  <c r="N521" i="35"/>
  <c r="M521" i="35"/>
  <c r="L521" i="35"/>
  <c r="K521" i="35"/>
  <c r="J521" i="35"/>
  <c r="I521" i="35"/>
  <c r="H521" i="35"/>
  <c r="BK520" i="35"/>
  <c r="BJ520" i="35"/>
  <c r="BI520" i="35"/>
  <c r="BC520" i="35"/>
  <c r="BA520" i="35"/>
  <c r="AZ520" i="35"/>
  <c r="AY520" i="35"/>
  <c r="AX520" i="35"/>
  <c r="AR520" i="35"/>
  <c r="AQ520" i="35"/>
  <c r="BH520" i="35" s="1"/>
  <c r="AP520" i="35"/>
  <c r="AW520" i="35" s="1"/>
  <c r="AO520" i="35"/>
  <c r="AL520" i="35"/>
  <c r="AK520" i="35"/>
  <c r="AM520" i="35" s="1"/>
  <c r="AI520" i="35"/>
  <c r="AJ520" i="35" s="1"/>
  <c r="AF520" i="35"/>
  <c r="AC520" i="35"/>
  <c r="AB520" i="35"/>
  <c r="AA520" i="35"/>
  <c r="Z520" i="35"/>
  <c r="Y520" i="35"/>
  <c r="X520" i="35"/>
  <c r="W520" i="35"/>
  <c r="T520" i="35"/>
  <c r="O520" i="35"/>
  <c r="N520" i="35"/>
  <c r="M520" i="35"/>
  <c r="L520" i="35"/>
  <c r="K520" i="35"/>
  <c r="J520" i="35"/>
  <c r="I520" i="35"/>
  <c r="H520" i="35"/>
  <c r="BK519" i="35"/>
  <c r="BJ519" i="35"/>
  <c r="BI519" i="35"/>
  <c r="AR519" i="35"/>
  <c r="AQ519" i="35"/>
  <c r="BH519" i="35" s="1"/>
  <c r="AP519" i="35"/>
  <c r="AO519" i="35"/>
  <c r="AL519" i="35"/>
  <c r="AK519" i="35"/>
  <c r="AM519" i="35" s="1"/>
  <c r="AJ519" i="35"/>
  <c r="AI519" i="35"/>
  <c r="AF519" i="35"/>
  <c r="AC519" i="35"/>
  <c r="AB519" i="35"/>
  <c r="AA519" i="35"/>
  <c r="Z519" i="35"/>
  <c r="Y519" i="35"/>
  <c r="X519" i="35"/>
  <c r="W519" i="35"/>
  <c r="T519" i="35"/>
  <c r="O519" i="35"/>
  <c r="N519" i="35"/>
  <c r="M519" i="35"/>
  <c r="L519" i="35"/>
  <c r="K519" i="35"/>
  <c r="J519" i="35"/>
  <c r="I519" i="35"/>
  <c r="H519" i="35"/>
  <c r="BJ518" i="35"/>
  <c r="BI518" i="35"/>
  <c r="BH518" i="35"/>
  <c r="BA518" i="35"/>
  <c r="AZ518" i="35"/>
  <c r="AY518" i="35"/>
  <c r="AX518" i="35"/>
  <c r="AW518" i="35"/>
  <c r="AV518" i="35"/>
  <c r="AR518" i="35"/>
  <c r="AQ518" i="35"/>
  <c r="AP518" i="35"/>
  <c r="BG518" i="35" s="1"/>
  <c r="AO518" i="35"/>
  <c r="AL518" i="35"/>
  <c r="AK518" i="35"/>
  <c r="AM518" i="35" s="1"/>
  <c r="AI518" i="35"/>
  <c r="AJ518" i="35" s="1"/>
  <c r="AF518" i="35"/>
  <c r="AC518" i="35"/>
  <c r="AB518" i="35"/>
  <c r="AA518" i="35"/>
  <c r="Z518" i="35"/>
  <c r="Y518" i="35"/>
  <c r="X518" i="35"/>
  <c r="W518" i="35"/>
  <c r="T518" i="35"/>
  <c r="BK518" i="35" s="1"/>
  <c r="O518" i="35"/>
  <c r="N518" i="35"/>
  <c r="M518" i="35"/>
  <c r="L518" i="35"/>
  <c r="K518" i="35"/>
  <c r="J518" i="35"/>
  <c r="I518" i="35"/>
  <c r="H518" i="35"/>
  <c r="BJ517" i="35"/>
  <c r="BI517" i="35"/>
  <c r="BH517" i="35"/>
  <c r="BG517" i="35"/>
  <c r="BE517" i="35"/>
  <c r="BD517" i="35"/>
  <c r="BA517" i="35"/>
  <c r="AZ517" i="35"/>
  <c r="AY517" i="35"/>
  <c r="AX517" i="35"/>
  <c r="AW517" i="35"/>
  <c r="AV517" i="35"/>
  <c r="AU517" i="35"/>
  <c r="AS517" i="35"/>
  <c r="AR517" i="35"/>
  <c r="AQ517" i="35"/>
  <c r="AP517" i="35"/>
  <c r="BF517" i="35" s="1"/>
  <c r="AO517" i="35"/>
  <c r="AM517" i="35"/>
  <c r="AL517" i="35"/>
  <c r="AK517" i="35"/>
  <c r="AI517" i="35"/>
  <c r="AJ517" i="35" s="1"/>
  <c r="AF517" i="35"/>
  <c r="AC517" i="35"/>
  <c r="AB517" i="35"/>
  <c r="AA517" i="35"/>
  <c r="Z517" i="35"/>
  <c r="Y517" i="35"/>
  <c r="X517" i="35"/>
  <c r="T517" i="35"/>
  <c r="O517" i="35"/>
  <c r="N517" i="35"/>
  <c r="M517" i="35"/>
  <c r="L517" i="35"/>
  <c r="K517" i="35"/>
  <c r="J517" i="35"/>
  <c r="I517" i="35"/>
  <c r="H517" i="35"/>
  <c r="BK516" i="35"/>
  <c r="BJ516" i="35"/>
  <c r="BI516" i="35"/>
  <c r="BH516" i="35"/>
  <c r="BG516" i="35"/>
  <c r="BF516" i="35"/>
  <c r="BD516" i="35"/>
  <c r="AZ516" i="35"/>
  <c r="AY516" i="35"/>
  <c r="AX516" i="35"/>
  <c r="AW516" i="35"/>
  <c r="AV516" i="35"/>
  <c r="AU516" i="35"/>
  <c r="AT516" i="35"/>
  <c r="AR516" i="35"/>
  <c r="AQ516" i="35"/>
  <c r="AP516" i="35"/>
  <c r="BE516" i="35" s="1"/>
  <c r="AO516" i="35"/>
  <c r="AL516" i="35"/>
  <c r="AK516" i="35"/>
  <c r="AM516" i="35" s="1"/>
  <c r="AI516" i="35"/>
  <c r="AJ516" i="35" s="1"/>
  <c r="AF516" i="35"/>
  <c r="AC516" i="35"/>
  <c r="AB516" i="35"/>
  <c r="AA516" i="35"/>
  <c r="Z516" i="35"/>
  <c r="Y516" i="35"/>
  <c r="X516" i="35"/>
  <c r="T516" i="35"/>
  <c r="W516" i="35" s="1"/>
  <c r="O516" i="35"/>
  <c r="N516" i="35"/>
  <c r="M516" i="35"/>
  <c r="L516" i="35"/>
  <c r="K516" i="35"/>
  <c r="J516" i="35"/>
  <c r="I516" i="35"/>
  <c r="H516" i="35"/>
  <c r="BJ515" i="35"/>
  <c r="BI515" i="35"/>
  <c r="BH515" i="35"/>
  <c r="BG515" i="35"/>
  <c r="BF515" i="35"/>
  <c r="BE515" i="35"/>
  <c r="BC515" i="35"/>
  <c r="AY515" i="35"/>
  <c r="AX515" i="35"/>
  <c r="AW515" i="35"/>
  <c r="AV515" i="35"/>
  <c r="AU515" i="35"/>
  <c r="AT515" i="35"/>
  <c r="AS515" i="35"/>
  <c r="AR515" i="35"/>
  <c r="AQ515" i="35"/>
  <c r="AP515" i="35"/>
  <c r="BD515" i="35" s="1"/>
  <c r="AO515" i="35"/>
  <c r="AL515" i="35"/>
  <c r="AK515" i="35"/>
  <c r="AM515" i="35" s="1"/>
  <c r="AI515" i="35"/>
  <c r="AJ515" i="35" s="1"/>
  <c r="AF515" i="35"/>
  <c r="AC515" i="35"/>
  <c r="AB515" i="35"/>
  <c r="AA515" i="35"/>
  <c r="Z515" i="35"/>
  <c r="Y515" i="35"/>
  <c r="X515" i="35"/>
  <c r="W515" i="35"/>
  <c r="T515" i="35"/>
  <c r="BK515" i="35" s="1"/>
  <c r="O515" i="35"/>
  <c r="N515" i="35"/>
  <c r="M515" i="35"/>
  <c r="L515" i="35"/>
  <c r="K515" i="35"/>
  <c r="J515" i="35"/>
  <c r="I515" i="35"/>
  <c r="H515" i="35"/>
  <c r="BJ514" i="35"/>
  <c r="BI514" i="35"/>
  <c r="BH514" i="35"/>
  <c r="BG514" i="35"/>
  <c r="BF514" i="35"/>
  <c r="BE514" i="35"/>
  <c r="BD514" i="35"/>
  <c r="AW514" i="35"/>
  <c r="AV514" i="35"/>
  <c r="AU514" i="35"/>
  <c r="AT514" i="35"/>
  <c r="AS514" i="35"/>
  <c r="AR514" i="35"/>
  <c r="AQ514" i="35"/>
  <c r="AP514" i="35"/>
  <c r="BC514" i="35" s="1"/>
  <c r="AO514" i="35"/>
  <c r="AL514" i="35"/>
  <c r="AK514" i="35"/>
  <c r="AM514" i="35" s="1"/>
  <c r="AJ514" i="35"/>
  <c r="AI514" i="35"/>
  <c r="AF514" i="35"/>
  <c r="AC514" i="35"/>
  <c r="AB514" i="35"/>
  <c r="AA514" i="35"/>
  <c r="Z514" i="35"/>
  <c r="Y514" i="35"/>
  <c r="X514" i="35"/>
  <c r="T514" i="35"/>
  <c r="O514" i="35"/>
  <c r="N514" i="35"/>
  <c r="M514" i="35"/>
  <c r="L514" i="35"/>
  <c r="K514" i="35"/>
  <c r="J514" i="35"/>
  <c r="I514" i="35"/>
  <c r="H514" i="35"/>
  <c r="BJ513" i="35"/>
  <c r="BI513" i="35"/>
  <c r="BG513" i="35"/>
  <c r="BF513" i="35"/>
  <c r="BE513" i="35"/>
  <c r="BD513" i="35"/>
  <c r="BC513" i="35"/>
  <c r="BA513" i="35"/>
  <c r="AV513" i="35"/>
  <c r="AU513" i="35"/>
  <c r="AT513" i="35"/>
  <c r="AS513" i="35"/>
  <c r="AR513" i="35"/>
  <c r="AQ513" i="35"/>
  <c r="BH513" i="35" s="1"/>
  <c r="AP513" i="35"/>
  <c r="BB513" i="35" s="1"/>
  <c r="AO513" i="35"/>
  <c r="AL513" i="35"/>
  <c r="AK513" i="35"/>
  <c r="AM513" i="35" s="1"/>
  <c r="AI513" i="35"/>
  <c r="AJ513" i="35" s="1"/>
  <c r="AF513" i="35"/>
  <c r="AC513" i="35"/>
  <c r="AB513" i="35"/>
  <c r="AA513" i="35"/>
  <c r="Z513" i="35"/>
  <c r="Y513" i="35"/>
  <c r="X513" i="35"/>
  <c r="T513" i="35"/>
  <c r="BK513" i="35" s="1"/>
  <c r="O513" i="35"/>
  <c r="N513" i="35"/>
  <c r="M513" i="35"/>
  <c r="L513" i="35"/>
  <c r="K513" i="35"/>
  <c r="J513" i="35"/>
  <c r="I513" i="35"/>
  <c r="H513" i="35"/>
  <c r="BJ512" i="35"/>
  <c r="BI512" i="35"/>
  <c r="BG512" i="35"/>
  <c r="BB512" i="35"/>
  <c r="AU512" i="35"/>
  <c r="AS512" i="35"/>
  <c r="AR512" i="35"/>
  <c r="AQ512" i="35"/>
  <c r="BH512" i="35" s="1"/>
  <c r="AP512" i="35"/>
  <c r="AO512" i="35"/>
  <c r="AM512" i="35"/>
  <c r="AL512" i="35"/>
  <c r="AK512" i="35"/>
  <c r="AI512" i="35"/>
  <c r="AJ512" i="35" s="1"/>
  <c r="AF512" i="35"/>
  <c r="AC512" i="35"/>
  <c r="AB512" i="35"/>
  <c r="AA512" i="35"/>
  <c r="Z512" i="35"/>
  <c r="Y512" i="35"/>
  <c r="X512" i="35"/>
  <c r="T512" i="35"/>
  <c r="BK512" i="35" s="1"/>
  <c r="O512" i="35"/>
  <c r="N512" i="35"/>
  <c r="M512" i="35"/>
  <c r="L512" i="35"/>
  <c r="K512" i="35"/>
  <c r="J512" i="35"/>
  <c r="I512" i="35"/>
  <c r="H512" i="35"/>
  <c r="BK511" i="35"/>
  <c r="BJ511" i="35"/>
  <c r="BI511" i="35"/>
  <c r="BD511" i="35"/>
  <c r="BA511" i="35"/>
  <c r="AZ511" i="35"/>
  <c r="AR511" i="35"/>
  <c r="AQ511" i="35"/>
  <c r="BH511" i="35" s="1"/>
  <c r="AP511" i="35"/>
  <c r="AX511" i="35" s="1"/>
  <c r="AO511" i="35"/>
  <c r="AM511" i="35"/>
  <c r="AL511" i="35"/>
  <c r="AK511" i="35"/>
  <c r="AJ511" i="35"/>
  <c r="AI511" i="35"/>
  <c r="AF511" i="35"/>
  <c r="AC511" i="35"/>
  <c r="AB511" i="35"/>
  <c r="AA511" i="35"/>
  <c r="Z511" i="35"/>
  <c r="Y511" i="35"/>
  <c r="X511" i="35"/>
  <c r="T511" i="35"/>
  <c r="W511" i="35" s="1"/>
  <c r="O511" i="35"/>
  <c r="N511" i="35"/>
  <c r="M511" i="35"/>
  <c r="L511" i="35"/>
  <c r="K511" i="35"/>
  <c r="J511" i="35"/>
  <c r="I511" i="35"/>
  <c r="H511" i="35"/>
  <c r="BK510" i="35"/>
  <c r="BJ510" i="35"/>
  <c r="BI510" i="35"/>
  <c r="BF510" i="35"/>
  <c r="BE510" i="35"/>
  <c r="BD510" i="35"/>
  <c r="BC510" i="35"/>
  <c r="BA510" i="35"/>
  <c r="AZ510" i="35"/>
  <c r="AY510" i="35"/>
  <c r="AX510" i="35"/>
  <c r="AV510" i="35"/>
  <c r="AT510" i="35"/>
  <c r="AS510" i="35"/>
  <c r="AR510" i="35"/>
  <c r="AQ510" i="35"/>
  <c r="BH510" i="35" s="1"/>
  <c r="AP510" i="35"/>
  <c r="AW510" i="35" s="1"/>
  <c r="AO510" i="35"/>
  <c r="AL510" i="35"/>
  <c r="AM510" i="35" s="1"/>
  <c r="AK510" i="35"/>
  <c r="AI510" i="35"/>
  <c r="AJ510" i="35" s="1"/>
  <c r="AF510" i="35"/>
  <c r="AC510" i="35"/>
  <c r="AB510" i="35"/>
  <c r="AA510" i="35"/>
  <c r="Z510" i="35"/>
  <c r="Y510" i="35"/>
  <c r="X510" i="35"/>
  <c r="W510" i="35"/>
  <c r="T510" i="35"/>
  <c r="O510" i="35"/>
  <c r="N510" i="35"/>
  <c r="M510" i="35"/>
  <c r="L510" i="35"/>
  <c r="K510" i="35"/>
  <c r="J510" i="35"/>
  <c r="I510" i="35"/>
  <c r="H510" i="35"/>
  <c r="BK509" i="35"/>
  <c r="BJ509" i="35"/>
  <c r="BI509" i="35"/>
  <c r="AY509" i="35"/>
  <c r="AX509" i="35"/>
  <c r="AR509" i="35"/>
  <c r="AQ509" i="35"/>
  <c r="BH509" i="35" s="1"/>
  <c r="AP509" i="35"/>
  <c r="AV509" i="35" s="1"/>
  <c r="AO509" i="35"/>
  <c r="AL509" i="35"/>
  <c r="AK509" i="35"/>
  <c r="AJ509" i="35"/>
  <c r="AI509" i="35"/>
  <c r="AF509" i="35"/>
  <c r="AC509" i="35"/>
  <c r="AB509" i="35"/>
  <c r="AA509" i="35"/>
  <c r="Z509" i="35"/>
  <c r="Y509" i="35"/>
  <c r="X509" i="35"/>
  <c r="W509" i="35"/>
  <c r="T509" i="35"/>
  <c r="O509" i="35"/>
  <c r="N509" i="35"/>
  <c r="M509" i="35"/>
  <c r="L509" i="35"/>
  <c r="K509" i="35"/>
  <c r="J509" i="35"/>
  <c r="I509" i="35"/>
  <c r="H509" i="35"/>
  <c r="BJ508" i="35"/>
  <c r="BI508" i="35"/>
  <c r="BH508" i="35"/>
  <c r="BF508" i="35"/>
  <c r="BD508" i="35"/>
  <c r="BC508" i="35"/>
  <c r="BA508" i="35"/>
  <c r="AY508" i="35"/>
  <c r="AX508" i="35"/>
  <c r="AW508" i="35"/>
  <c r="AV508" i="35"/>
  <c r="AT508" i="35"/>
  <c r="AR508" i="35"/>
  <c r="AQ508" i="35"/>
  <c r="AP508" i="35"/>
  <c r="BG508" i="35" s="1"/>
  <c r="AO508" i="35"/>
  <c r="AL508" i="35"/>
  <c r="AK508" i="35"/>
  <c r="AM508" i="35" s="1"/>
  <c r="AJ508" i="35"/>
  <c r="AI508" i="35"/>
  <c r="AF508" i="35"/>
  <c r="AC508" i="35"/>
  <c r="AB508" i="35"/>
  <c r="AA508" i="35"/>
  <c r="Z508" i="35"/>
  <c r="Y508" i="35"/>
  <c r="X508" i="35"/>
  <c r="W508" i="35"/>
  <c r="T508" i="35"/>
  <c r="BK508" i="35" s="1"/>
  <c r="O508" i="35"/>
  <c r="N508" i="35"/>
  <c r="M508" i="35"/>
  <c r="L508" i="35"/>
  <c r="K508" i="35"/>
  <c r="J508" i="35"/>
  <c r="I508" i="35"/>
  <c r="H508" i="35"/>
  <c r="BJ507" i="35"/>
  <c r="BI507" i="35"/>
  <c r="BH507" i="35"/>
  <c r="BG507" i="35"/>
  <c r="BC507" i="35"/>
  <c r="AZ507" i="35"/>
  <c r="AX507" i="35"/>
  <c r="AW507" i="35"/>
  <c r="AV507" i="35"/>
  <c r="AU507" i="35"/>
  <c r="AR507" i="35"/>
  <c r="AQ507" i="35"/>
  <c r="AP507" i="35"/>
  <c r="BF507" i="35" s="1"/>
  <c r="AO507" i="35"/>
  <c r="AM507" i="35"/>
  <c r="AL507" i="35"/>
  <c r="AK507" i="35"/>
  <c r="AI507" i="35"/>
  <c r="AJ507" i="35" s="1"/>
  <c r="AF507" i="35"/>
  <c r="AC507" i="35"/>
  <c r="AB507" i="35"/>
  <c r="AA507" i="35"/>
  <c r="Z507" i="35"/>
  <c r="Y507" i="35"/>
  <c r="X507" i="35"/>
  <c r="T507" i="35"/>
  <c r="O507" i="35"/>
  <c r="N507" i="35"/>
  <c r="M507" i="35"/>
  <c r="L507" i="35"/>
  <c r="K507" i="35"/>
  <c r="J507" i="35"/>
  <c r="I507" i="35"/>
  <c r="H507" i="35"/>
  <c r="BK506" i="35"/>
  <c r="BJ506" i="35"/>
  <c r="BI506" i="35"/>
  <c r="BH506" i="35"/>
  <c r="BG506" i="35"/>
  <c r="AY506" i="35"/>
  <c r="AW506" i="35"/>
  <c r="AV506" i="35"/>
  <c r="AU506" i="35"/>
  <c r="AR506" i="35"/>
  <c r="AQ506" i="35"/>
  <c r="AP506" i="35"/>
  <c r="BE506" i="35" s="1"/>
  <c r="AO506" i="35"/>
  <c r="AL506" i="35"/>
  <c r="AM506" i="35" s="1"/>
  <c r="AK506" i="35"/>
  <c r="AI506" i="35"/>
  <c r="AJ506" i="35" s="1"/>
  <c r="AF506" i="35"/>
  <c r="AC506" i="35"/>
  <c r="AB506" i="35"/>
  <c r="AA506" i="35"/>
  <c r="Z506" i="35"/>
  <c r="Y506" i="35"/>
  <c r="X506" i="35"/>
  <c r="T506" i="35"/>
  <c r="W506" i="35" s="1"/>
  <c r="O506" i="35"/>
  <c r="N506" i="35"/>
  <c r="M506" i="35"/>
  <c r="L506" i="35"/>
  <c r="K506" i="35"/>
  <c r="J506" i="35"/>
  <c r="I506" i="35"/>
  <c r="H506" i="35"/>
  <c r="BK505" i="35"/>
  <c r="BJ505" i="35"/>
  <c r="BI505" i="35"/>
  <c r="BH505" i="35"/>
  <c r="BG505" i="35"/>
  <c r="BF505" i="35"/>
  <c r="BE505" i="35"/>
  <c r="BC505" i="35"/>
  <c r="BA505" i="35"/>
  <c r="AZ505" i="35"/>
  <c r="AY505" i="35"/>
  <c r="AX505" i="35"/>
  <c r="AW505" i="35"/>
  <c r="AV505" i="35"/>
  <c r="AU505" i="35"/>
  <c r="AT505" i="35"/>
  <c r="AS505" i="35"/>
  <c r="AR505" i="35"/>
  <c r="AQ505" i="35"/>
  <c r="AP505" i="35"/>
  <c r="BD505" i="35" s="1"/>
  <c r="AO505" i="35"/>
  <c r="AL505" i="35"/>
  <c r="AK505" i="35"/>
  <c r="AM505" i="35" s="1"/>
  <c r="AI505" i="35"/>
  <c r="AJ505" i="35" s="1"/>
  <c r="AF505" i="35"/>
  <c r="AC505" i="35"/>
  <c r="AB505" i="35"/>
  <c r="AA505" i="35"/>
  <c r="Z505" i="35"/>
  <c r="Y505" i="35"/>
  <c r="X505" i="35"/>
  <c r="W505" i="35"/>
  <c r="T505" i="35"/>
  <c r="O505" i="35"/>
  <c r="N505" i="35"/>
  <c r="M505" i="35"/>
  <c r="L505" i="35"/>
  <c r="K505" i="35"/>
  <c r="J505" i="35"/>
  <c r="I505" i="35"/>
  <c r="H505" i="35"/>
  <c r="BJ504" i="35"/>
  <c r="BI504" i="35"/>
  <c r="BH504" i="35"/>
  <c r="BG504" i="35"/>
  <c r="BF504" i="35"/>
  <c r="BE504" i="35"/>
  <c r="BD504" i="35"/>
  <c r="AZ504" i="35"/>
  <c r="AW504" i="35"/>
  <c r="AU504" i="35"/>
  <c r="AT504" i="35"/>
  <c r="AS504" i="35"/>
  <c r="AR504" i="35"/>
  <c r="AQ504" i="35"/>
  <c r="AP504" i="35"/>
  <c r="BC504" i="35" s="1"/>
  <c r="AO504" i="35"/>
  <c r="AM504" i="35"/>
  <c r="AL504" i="35"/>
  <c r="AK504" i="35"/>
  <c r="AJ504" i="35"/>
  <c r="AI504" i="35"/>
  <c r="AF504" i="35"/>
  <c r="AC504" i="35"/>
  <c r="AB504" i="35"/>
  <c r="AA504" i="35"/>
  <c r="Z504" i="35"/>
  <c r="Y504" i="35"/>
  <c r="X504" i="35"/>
  <c r="T504" i="35"/>
  <c r="BK504" i="35" s="1"/>
  <c r="O504" i="35"/>
  <c r="N504" i="35"/>
  <c r="M504" i="35"/>
  <c r="L504" i="35"/>
  <c r="K504" i="35"/>
  <c r="J504" i="35"/>
  <c r="I504" i="35"/>
  <c r="H504" i="35"/>
  <c r="BK503" i="35"/>
  <c r="BJ503" i="35"/>
  <c r="BI503" i="35"/>
  <c r="BH503" i="35"/>
  <c r="BG503" i="35"/>
  <c r="BF503" i="35"/>
  <c r="BE503" i="35"/>
  <c r="BD503" i="35"/>
  <c r="BC503" i="35"/>
  <c r="BA503" i="35"/>
  <c r="AY503" i="35"/>
  <c r="AX503" i="35"/>
  <c r="AW503" i="35"/>
  <c r="AV503" i="35"/>
  <c r="AU503" i="35"/>
  <c r="AT503" i="35"/>
  <c r="AS503" i="35"/>
  <c r="AR503" i="35"/>
  <c r="AQ503" i="35"/>
  <c r="AP503" i="35"/>
  <c r="BB503" i="35" s="1"/>
  <c r="AO503" i="35"/>
  <c r="AL503" i="35"/>
  <c r="AK503" i="35"/>
  <c r="AM503" i="35" s="1"/>
  <c r="AI503" i="35"/>
  <c r="AJ503" i="35" s="1"/>
  <c r="AF503" i="35"/>
  <c r="AC503" i="35"/>
  <c r="AB503" i="35"/>
  <c r="AA503" i="35"/>
  <c r="Z503" i="35"/>
  <c r="Y503" i="35"/>
  <c r="X503" i="35"/>
  <c r="W503" i="35"/>
  <c r="T503" i="35"/>
  <c r="O503" i="35"/>
  <c r="N503" i="35"/>
  <c r="M503" i="35"/>
  <c r="L503" i="35"/>
  <c r="K503" i="35"/>
  <c r="J503" i="35"/>
  <c r="I503" i="35"/>
  <c r="H503" i="35"/>
  <c r="BJ502" i="35"/>
  <c r="BI502" i="35"/>
  <c r="BG502" i="35"/>
  <c r="BE502" i="35"/>
  <c r="BD502" i="35"/>
  <c r="BC502" i="35"/>
  <c r="AX502" i="35"/>
  <c r="AU502" i="35"/>
  <c r="AS502" i="35"/>
  <c r="AR502" i="35"/>
  <c r="AQ502" i="35"/>
  <c r="BH502" i="35" s="1"/>
  <c r="AP502" i="35"/>
  <c r="BA502" i="35" s="1"/>
  <c r="AO502" i="35"/>
  <c r="AL502" i="35"/>
  <c r="AK502" i="35"/>
  <c r="AM502" i="35" s="1"/>
  <c r="AJ502" i="35"/>
  <c r="AI502" i="35"/>
  <c r="AF502" i="35"/>
  <c r="AC502" i="35"/>
  <c r="AB502" i="35"/>
  <c r="AA502" i="35"/>
  <c r="Z502" i="35"/>
  <c r="Y502" i="35"/>
  <c r="X502" i="35"/>
  <c r="W502" i="35"/>
  <c r="T502" i="35"/>
  <c r="BK502" i="35" s="1"/>
  <c r="O502" i="35"/>
  <c r="N502" i="35"/>
  <c r="M502" i="35"/>
  <c r="L502" i="35"/>
  <c r="K502" i="35"/>
  <c r="J502" i="35"/>
  <c r="I502" i="35"/>
  <c r="H502" i="35"/>
  <c r="BJ501" i="35"/>
  <c r="BI501" i="35"/>
  <c r="BC501" i="35"/>
  <c r="BB501" i="35"/>
  <c r="AR501" i="35"/>
  <c r="AQ501" i="35"/>
  <c r="BH501" i="35" s="1"/>
  <c r="AP501" i="35"/>
  <c r="AO501" i="35"/>
  <c r="AL501" i="35"/>
  <c r="AK501" i="35"/>
  <c r="AM501" i="35" s="1"/>
  <c r="AJ501" i="35"/>
  <c r="AI501" i="35"/>
  <c r="AF501" i="35"/>
  <c r="AC501" i="35"/>
  <c r="AB501" i="35"/>
  <c r="AA501" i="35"/>
  <c r="Z501" i="35"/>
  <c r="Y501" i="35"/>
  <c r="X501" i="35"/>
  <c r="T501" i="35"/>
  <c r="BK501" i="35" s="1"/>
  <c r="O501" i="35"/>
  <c r="N501" i="35"/>
  <c r="M501" i="35"/>
  <c r="L501" i="35"/>
  <c r="K501" i="35"/>
  <c r="J501" i="35"/>
  <c r="I501" i="35"/>
  <c r="H501" i="35"/>
  <c r="BJ500" i="35"/>
  <c r="BI500" i="35"/>
  <c r="AR500" i="35"/>
  <c r="AQ500" i="35"/>
  <c r="BH500" i="35" s="1"/>
  <c r="AP500" i="35"/>
  <c r="AO500" i="35"/>
  <c r="AM500" i="35"/>
  <c r="AL500" i="35"/>
  <c r="AK500" i="35"/>
  <c r="AI500" i="35"/>
  <c r="AJ500" i="35" s="1"/>
  <c r="AF500" i="35"/>
  <c r="AC500" i="35"/>
  <c r="AB500" i="35"/>
  <c r="AA500" i="35"/>
  <c r="Z500" i="35"/>
  <c r="Y500" i="35"/>
  <c r="X500" i="35"/>
  <c r="W500" i="35"/>
  <c r="T500" i="35"/>
  <c r="BK500" i="35" s="1"/>
  <c r="O500" i="35"/>
  <c r="N500" i="35"/>
  <c r="M500" i="35"/>
  <c r="L500" i="35"/>
  <c r="K500" i="35"/>
  <c r="J500" i="35"/>
  <c r="I500" i="35"/>
  <c r="H500" i="35"/>
  <c r="BK499" i="35"/>
  <c r="BJ499" i="35"/>
  <c r="BI499" i="35"/>
  <c r="BD499" i="35"/>
  <c r="BA499" i="35"/>
  <c r="AZ499" i="35"/>
  <c r="AR499" i="35"/>
  <c r="AQ499" i="35"/>
  <c r="BH499" i="35" s="1"/>
  <c r="AP499" i="35"/>
  <c r="AX499" i="35" s="1"/>
  <c r="AO499" i="35"/>
  <c r="AM499" i="35"/>
  <c r="AL499" i="35"/>
  <c r="AK499" i="35"/>
  <c r="AJ499" i="35"/>
  <c r="AI499" i="35"/>
  <c r="AF499" i="35"/>
  <c r="AC499" i="35"/>
  <c r="AB499" i="35"/>
  <c r="AA499" i="35"/>
  <c r="Z499" i="35"/>
  <c r="Y499" i="35"/>
  <c r="X499" i="35"/>
  <c r="T499" i="35"/>
  <c r="W499" i="35" s="1"/>
  <c r="O499" i="35"/>
  <c r="N499" i="35"/>
  <c r="M499" i="35"/>
  <c r="L499" i="35"/>
  <c r="K499" i="35"/>
  <c r="J499" i="35"/>
  <c r="I499" i="35"/>
  <c r="H499" i="35"/>
  <c r="BK498" i="35"/>
  <c r="BJ498" i="35"/>
  <c r="BI498" i="35"/>
  <c r="BF498" i="35"/>
  <c r="BE498" i="35"/>
  <c r="BD498" i="35"/>
  <c r="BC498" i="35"/>
  <c r="BA498" i="35"/>
  <c r="AZ498" i="35"/>
  <c r="AY498" i="35"/>
  <c r="AX498" i="35"/>
  <c r="AV498" i="35"/>
  <c r="AT498" i="35"/>
  <c r="AS498" i="35"/>
  <c r="AR498" i="35"/>
  <c r="AQ498" i="35"/>
  <c r="BH498" i="35" s="1"/>
  <c r="AP498" i="35"/>
  <c r="AW498" i="35" s="1"/>
  <c r="AO498" i="35"/>
  <c r="AM498" i="35"/>
  <c r="AL498" i="35"/>
  <c r="AK498" i="35"/>
  <c r="AI498" i="35"/>
  <c r="AJ498" i="35" s="1"/>
  <c r="AF498" i="35"/>
  <c r="AC498" i="35"/>
  <c r="AB498" i="35"/>
  <c r="AA498" i="35"/>
  <c r="Z498" i="35"/>
  <c r="Y498" i="35"/>
  <c r="X498" i="35"/>
  <c r="W498" i="35"/>
  <c r="T498" i="35"/>
  <c r="O498" i="35"/>
  <c r="N498" i="35"/>
  <c r="M498" i="35"/>
  <c r="L498" i="35"/>
  <c r="K498" i="35"/>
  <c r="J498" i="35"/>
  <c r="I498" i="35"/>
  <c r="H498" i="35"/>
  <c r="BK497" i="35"/>
  <c r="BJ497" i="35"/>
  <c r="BI497" i="35"/>
  <c r="AY497" i="35"/>
  <c r="AX497" i="35"/>
  <c r="AR497" i="35"/>
  <c r="AQ497" i="35"/>
  <c r="BH497" i="35" s="1"/>
  <c r="AP497" i="35"/>
  <c r="AV497" i="35" s="1"/>
  <c r="AO497" i="35"/>
  <c r="AL497" i="35"/>
  <c r="AK497" i="35"/>
  <c r="AJ497" i="35"/>
  <c r="AI497" i="35"/>
  <c r="AF497" i="35"/>
  <c r="AC497" i="35"/>
  <c r="AB497" i="35"/>
  <c r="AA497" i="35"/>
  <c r="Z497" i="35"/>
  <c r="Y497" i="35"/>
  <c r="X497" i="35"/>
  <c r="W497" i="35"/>
  <c r="T497" i="35"/>
  <c r="O497" i="35"/>
  <c r="N497" i="35"/>
  <c r="M497" i="35"/>
  <c r="L497" i="35"/>
  <c r="K497" i="35"/>
  <c r="J497" i="35"/>
  <c r="I497" i="35"/>
  <c r="H497" i="35"/>
  <c r="BJ496" i="35"/>
  <c r="BI496" i="35"/>
  <c r="BH496" i="35"/>
  <c r="BF496" i="35"/>
  <c r="BD496" i="35"/>
  <c r="BC496" i="35"/>
  <c r="BA496" i="35"/>
  <c r="AY496" i="35"/>
  <c r="AX496" i="35"/>
  <c r="AW496" i="35"/>
  <c r="AV496" i="35"/>
  <c r="AT496" i="35"/>
  <c r="AR496" i="35"/>
  <c r="AQ496" i="35"/>
  <c r="AP496" i="35"/>
  <c r="BG496" i="35" s="1"/>
  <c r="AO496" i="35"/>
  <c r="AL496" i="35"/>
  <c r="AK496" i="35"/>
  <c r="AM496" i="35" s="1"/>
  <c r="AJ496" i="35"/>
  <c r="AI496" i="35"/>
  <c r="AF496" i="35"/>
  <c r="AC496" i="35"/>
  <c r="AB496" i="35"/>
  <c r="AA496" i="35"/>
  <c r="Z496" i="35"/>
  <c r="Y496" i="35"/>
  <c r="X496" i="35"/>
  <c r="W496" i="35"/>
  <c r="T496" i="35"/>
  <c r="BK496" i="35" s="1"/>
  <c r="O496" i="35"/>
  <c r="N496" i="35"/>
  <c r="M496" i="35"/>
  <c r="L496" i="35"/>
  <c r="K496" i="35"/>
  <c r="J496" i="35"/>
  <c r="I496" i="35"/>
  <c r="H496" i="35"/>
  <c r="BJ495" i="35"/>
  <c r="BI495" i="35"/>
  <c r="BH495" i="35"/>
  <c r="BG495" i="35"/>
  <c r="BC495" i="35"/>
  <c r="AZ495" i="35"/>
  <c r="AX495" i="35"/>
  <c r="AW495" i="35"/>
  <c r="AV495" i="35"/>
  <c r="AU495" i="35"/>
  <c r="AR495" i="35"/>
  <c r="AQ495" i="35"/>
  <c r="AP495" i="35"/>
  <c r="BF495" i="35" s="1"/>
  <c r="AO495" i="35"/>
  <c r="AM495" i="35"/>
  <c r="AL495" i="35"/>
  <c r="AK495" i="35"/>
  <c r="AJ495" i="35"/>
  <c r="AI495" i="35"/>
  <c r="AF495" i="35"/>
  <c r="AC495" i="35"/>
  <c r="AB495" i="35"/>
  <c r="AA495" i="35"/>
  <c r="Z495" i="35"/>
  <c r="Y495" i="35"/>
  <c r="X495" i="35"/>
  <c r="T495" i="35"/>
  <c r="O495" i="35"/>
  <c r="N495" i="35"/>
  <c r="M495" i="35"/>
  <c r="L495" i="35"/>
  <c r="K495" i="35"/>
  <c r="J495" i="35"/>
  <c r="I495" i="35"/>
  <c r="H495" i="35"/>
  <c r="BK494" i="35"/>
  <c r="BJ494" i="35"/>
  <c r="BI494" i="35"/>
  <c r="BH494" i="35"/>
  <c r="BG494" i="35"/>
  <c r="AY494" i="35"/>
  <c r="AW494" i="35"/>
  <c r="AV494" i="35"/>
  <c r="AU494" i="35"/>
  <c r="AR494" i="35"/>
  <c r="AQ494" i="35"/>
  <c r="AP494" i="35"/>
  <c r="BE494" i="35" s="1"/>
  <c r="AO494" i="35"/>
  <c r="AL494" i="35"/>
  <c r="AM494" i="35" s="1"/>
  <c r="AK494" i="35"/>
  <c r="AI494" i="35"/>
  <c r="AJ494" i="35" s="1"/>
  <c r="AF494" i="35"/>
  <c r="AC494" i="35"/>
  <c r="AB494" i="35"/>
  <c r="AA494" i="35"/>
  <c r="Z494" i="35"/>
  <c r="Y494" i="35"/>
  <c r="X494" i="35"/>
  <c r="T494" i="35"/>
  <c r="W494" i="35" s="1"/>
  <c r="O494" i="35"/>
  <c r="N494" i="35"/>
  <c r="M494" i="35"/>
  <c r="L494" i="35"/>
  <c r="K494" i="35"/>
  <c r="J494" i="35"/>
  <c r="I494" i="35"/>
  <c r="H494" i="35"/>
  <c r="BK493" i="35"/>
  <c r="BJ493" i="35"/>
  <c r="BI493" i="35"/>
  <c r="BH493" i="35"/>
  <c r="BG493" i="35"/>
  <c r="BF493" i="35"/>
  <c r="BE493" i="35"/>
  <c r="BC493" i="35"/>
  <c r="BA493" i="35"/>
  <c r="AZ493" i="35"/>
  <c r="AY493" i="35"/>
  <c r="AX493" i="35"/>
  <c r="AW493" i="35"/>
  <c r="AV493" i="35"/>
  <c r="AU493" i="35"/>
  <c r="AT493" i="35"/>
  <c r="AS493" i="35"/>
  <c r="AR493" i="35"/>
  <c r="AQ493" i="35"/>
  <c r="AP493" i="35"/>
  <c r="BD493" i="35" s="1"/>
  <c r="AO493" i="35"/>
  <c r="AL493" i="35"/>
  <c r="AK493" i="35"/>
  <c r="AM493" i="35" s="1"/>
  <c r="AI493" i="35"/>
  <c r="AJ493" i="35" s="1"/>
  <c r="AF493" i="35"/>
  <c r="AC493" i="35"/>
  <c r="AB493" i="35"/>
  <c r="AA493" i="35"/>
  <c r="Z493" i="35"/>
  <c r="Y493" i="35"/>
  <c r="X493" i="35"/>
  <c r="W493" i="35"/>
  <c r="T493" i="35"/>
  <c r="O493" i="35"/>
  <c r="N493" i="35"/>
  <c r="M493" i="35"/>
  <c r="L493" i="35"/>
  <c r="K493" i="35"/>
  <c r="J493" i="35"/>
  <c r="I493" i="35"/>
  <c r="H493" i="35"/>
  <c r="BJ492" i="35"/>
  <c r="BI492" i="35"/>
  <c r="BH492" i="35"/>
  <c r="BG492" i="35"/>
  <c r="BF492" i="35"/>
  <c r="BE492" i="35"/>
  <c r="BD492" i="35"/>
  <c r="AZ492" i="35"/>
  <c r="AW492" i="35"/>
  <c r="AU492" i="35"/>
  <c r="AT492" i="35"/>
  <c r="AS492" i="35"/>
  <c r="AR492" i="35"/>
  <c r="AQ492" i="35"/>
  <c r="AP492" i="35"/>
  <c r="BC492" i="35" s="1"/>
  <c r="AO492" i="35"/>
  <c r="AM492" i="35"/>
  <c r="AL492" i="35"/>
  <c r="AK492" i="35"/>
  <c r="AJ492" i="35"/>
  <c r="AI492" i="35"/>
  <c r="AF492" i="35"/>
  <c r="AC492" i="35"/>
  <c r="AB492" i="35"/>
  <c r="AA492" i="35"/>
  <c r="Z492" i="35"/>
  <c r="Y492" i="35"/>
  <c r="X492" i="35"/>
  <c r="T492" i="35"/>
  <c r="BK492" i="35" s="1"/>
  <c r="O492" i="35"/>
  <c r="N492" i="35"/>
  <c r="M492" i="35"/>
  <c r="L492" i="35"/>
  <c r="K492" i="35"/>
  <c r="J492" i="35"/>
  <c r="I492" i="35"/>
  <c r="H492" i="35"/>
  <c r="BK491" i="35"/>
  <c r="BJ491" i="35"/>
  <c r="BI491" i="35"/>
  <c r="BH491" i="35"/>
  <c r="BG491" i="35"/>
  <c r="BF491" i="35"/>
  <c r="BE491" i="35"/>
  <c r="BD491" i="35"/>
  <c r="BC491" i="35"/>
  <c r="BA491" i="35"/>
  <c r="AY491" i="35"/>
  <c r="AX491" i="35"/>
  <c r="AW491" i="35"/>
  <c r="AV491" i="35"/>
  <c r="AU491" i="35"/>
  <c r="AT491" i="35"/>
  <c r="AS491" i="35"/>
  <c r="AR491" i="35"/>
  <c r="AQ491" i="35"/>
  <c r="AP491" i="35"/>
  <c r="BB491" i="35" s="1"/>
  <c r="AO491" i="35"/>
  <c r="AL491" i="35"/>
  <c r="AK491" i="35"/>
  <c r="AM491" i="35" s="1"/>
  <c r="AI491" i="35"/>
  <c r="AJ491" i="35" s="1"/>
  <c r="AF491" i="35"/>
  <c r="AC491" i="35"/>
  <c r="AB491" i="35"/>
  <c r="AA491" i="35"/>
  <c r="Z491" i="35"/>
  <c r="Y491" i="35"/>
  <c r="X491" i="35"/>
  <c r="W491" i="35"/>
  <c r="T491" i="35"/>
  <c r="O491" i="35"/>
  <c r="N491" i="35"/>
  <c r="M491" i="35"/>
  <c r="L491" i="35"/>
  <c r="K491" i="35"/>
  <c r="J491" i="35"/>
  <c r="I491" i="35"/>
  <c r="H491" i="35"/>
  <c r="BJ490" i="35"/>
  <c r="BI490" i="35"/>
  <c r="BG490" i="35"/>
  <c r="BE490" i="35"/>
  <c r="BD490" i="35"/>
  <c r="BC490" i="35"/>
  <c r="AX490" i="35"/>
  <c r="AU490" i="35"/>
  <c r="AS490" i="35"/>
  <c r="AR490" i="35"/>
  <c r="AQ490" i="35"/>
  <c r="BH490" i="35" s="1"/>
  <c r="AP490" i="35"/>
  <c r="BA490" i="35" s="1"/>
  <c r="AO490" i="35"/>
  <c r="AL490" i="35"/>
  <c r="AK490" i="35"/>
  <c r="AM490" i="35" s="1"/>
  <c r="AJ490" i="35"/>
  <c r="AI490" i="35"/>
  <c r="AF490" i="35"/>
  <c r="AC490" i="35"/>
  <c r="AB490" i="35"/>
  <c r="AA490" i="35"/>
  <c r="Z490" i="35"/>
  <c r="Y490" i="35"/>
  <c r="X490" i="35"/>
  <c r="W490" i="35"/>
  <c r="T490" i="35"/>
  <c r="BK490" i="35" s="1"/>
  <c r="O490" i="35"/>
  <c r="N490" i="35"/>
  <c r="M490" i="35"/>
  <c r="L490" i="35"/>
  <c r="K490" i="35"/>
  <c r="J490" i="35"/>
  <c r="I490" i="35"/>
  <c r="H490" i="35"/>
  <c r="BJ489" i="35"/>
  <c r="BI489" i="35"/>
  <c r="BC489" i="35"/>
  <c r="BB489" i="35"/>
  <c r="AR489" i="35"/>
  <c r="AQ489" i="35"/>
  <c r="BH489" i="35" s="1"/>
  <c r="AP489" i="35"/>
  <c r="AO489" i="35"/>
  <c r="AL489" i="35"/>
  <c r="AM489" i="35" s="1"/>
  <c r="AK489" i="35"/>
  <c r="AJ489" i="35"/>
  <c r="AI489" i="35"/>
  <c r="AF489" i="35"/>
  <c r="AC489" i="35"/>
  <c r="AB489" i="35"/>
  <c r="AA489" i="35"/>
  <c r="Z489" i="35"/>
  <c r="Y489" i="35"/>
  <c r="X489" i="35"/>
  <c r="T489" i="35"/>
  <c r="BK489" i="35" s="1"/>
  <c r="O489" i="35"/>
  <c r="N489" i="35"/>
  <c r="M489" i="35"/>
  <c r="L489" i="35"/>
  <c r="K489" i="35"/>
  <c r="J489" i="35"/>
  <c r="I489" i="35"/>
  <c r="H489" i="35"/>
  <c r="BJ488" i="35"/>
  <c r="BI488" i="35"/>
  <c r="AR488" i="35"/>
  <c r="AQ488" i="35"/>
  <c r="BH488" i="35" s="1"/>
  <c r="AP488" i="35"/>
  <c r="AO488" i="35"/>
  <c r="AM488" i="35"/>
  <c r="AL488" i="35"/>
  <c r="AK488" i="35"/>
  <c r="AI488" i="35"/>
  <c r="AJ488" i="35" s="1"/>
  <c r="AF488" i="35"/>
  <c r="AC488" i="35"/>
  <c r="AB488" i="35"/>
  <c r="AA488" i="35"/>
  <c r="Z488" i="35"/>
  <c r="Y488" i="35"/>
  <c r="X488" i="35"/>
  <c r="W488" i="35"/>
  <c r="T488" i="35"/>
  <c r="BK488" i="35" s="1"/>
  <c r="O488" i="35"/>
  <c r="N488" i="35"/>
  <c r="M488" i="35"/>
  <c r="L488" i="35"/>
  <c r="K488" i="35"/>
  <c r="J488" i="35"/>
  <c r="I488" i="35"/>
  <c r="H488" i="35"/>
  <c r="BK487" i="35"/>
  <c r="BJ487" i="35"/>
  <c r="BI487" i="35"/>
  <c r="BD487" i="35"/>
  <c r="BA487" i="35"/>
  <c r="AZ487" i="35"/>
  <c r="AR487" i="35"/>
  <c r="AQ487" i="35"/>
  <c r="BH487" i="35" s="1"/>
  <c r="AP487" i="35"/>
  <c r="AX487" i="35" s="1"/>
  <c r="AO487" i="35"/>
  <c r="AM487" i="35"/>
  <c r="AL487" i="35"/>
  <c r="AK487" i="35"/>
  <c r="AJ487" i="35"/>
  <c r="AI487" i="35"/>
  <c r="AF487" i="35"/>
  <c r="AC487" i="35"/>
  <c r="AB487" i="35"/>
  <c r="AA487" i="35"/>
  <c r="Z487" i="35"/>
  <c r="Y487" i="35"/>
  <c r="X487" i="35"/>
  <c r="T487" i="35"/>
  <c r="W487" i="35" s="1"/>
  <c r="O487" i="35"/>
  <c r="N487" i="35"/>
  <c r="M487" i="35"/>
  <c r="L487" i="35"/>
  <c r="K487" i="35"/>
  <c r="J487" i="35"/>
  <c r="I487" i="35"/>
  <c r="H487" i="35"/>
  <c r="BK486" i="35"/>
  <c r="BJ486" i="35"/>
  <c r="BI486" i="35"/>
  <c r="BF486" i="35"/>
  <c r="BE486" i="35"/>
  <c r="BD486" i="35"/>
  <c r="BC486" i="35"/>
  <c r="BA486" i="35"/>
  <c r="AZ486" i="35"/>
  <c r="AY486" i="35"/>
  <c r="AX486" i="35"/>
  <c r="AV486" i="35"/>
  <c r="AT486" i="35"/>
  <c r="AS486" i="35"/>
  <c r="AR486" i="35"/>
  <c r="AQ486" i="35"/>
  <c r="BH486" i="35" s="1"/>
  <c r="AP486" i="35"/>
  <c r="AW486" i="35" s="1"/>
  <c r="AO486" i="35"/>
  <c r="AL486" i="35"/>
  <c r="AM486" i="35" s="1"/>
  <c r="AK486" i="35"/>
  <c r="AI486" i="35"/>
  <c r="AJ486" i="35" s="1"/>
  <c r="AF486" i="35"/>
  <c r="AC486" i="35"/>
  <c r="AB486" i="35"/>
  <c r="AA486" i="35"/>
  <c r="Z486" i="35"/>
  <c r="Y486" i="35"/>
  <c r="X486" i="35"/>
  <c r="W486" i="35"/>
  <c r="T486" i="35"/>
  <c r="O486" i="35"/>
  <c r="N486" i="35"/>
  <c r="M486" i="35"/>
  <c r="L486" i="35"/>
  <c r="K486" i="35"/>
  <c r="J486" i="35"/>
  <c r="I486" i="35"/>
  <c r="H486" i="35"/>
  <c r="BK485" i="35"/>
  <c r="BJ485" i="35"/>
  <c r="BI485" i="35"/>
  <c r="AR485" i="35"/>
  <c r="AQ485" i="35"/>
  <c r="BH485" i="35" s="1"/>
  <c r="AP485" i="35"/>
  <c r="AO485" i="35"/>
  <c r="AL485" i="35"/>
  <c r="AK485" i="35"/>
  <c r="AJ485" i="35"/>
  <c r="AI485" i="35"/>
  <c r="AF485" i="35"/>
  <c r="AC485" i="35"/>
  <c r="AB485" i="35"/>
  <c r="AA485" i="35"/>
  <c r="Z485" i="35"/>
  <c r="Y485" i="35"/>
  <c r="X485" i="35"/>
  <c r="W485" i="35"/>
  <c r="T485" i="35"/>
  <c r="O485" i="35"/>
  <c r="N485" i="35"/>
  <c r="M485" i="35"/>
  <c r="L485" i="35"/>
  <c r="K485" i="35"/>
  <c r="J485" i="35"/>
  <c r="I485" i="35"/>
  <c r="H485" i="35"/>
  <c r="BJ484" i="35"/>
  <c r="BI484" i="35"/>
  <c r="BH484" i="35"/>
  <c r="BF484" i="35"/>
  <c r="BD484" i="35"/>
  <c r="BC484" i="35"/>
  <c r="BA484" i="35"/>
  <c r="AY484" i="35"/>
  <c r="AX484" i="35"/>
  <c r="AW484" i="35"/>
  <c r="AV484" i="35"/>
  <c r="AT484" i="35"/>
  <c r="AR484" i="35"/>
  <c r="AQ484" i="35"/>
  <c r="AP484" i="35"/>
  <c r="BG484" i="35" s="1"/>
  <c r="AO484" i="35"/>
  <c r="AL484" i="35"/>
  <c r="AK484" i="35"/>
  <c r="AM484" i="35" s="1"/>
  <c r="AJ484" i="35"/>
  <c r="AI484" i="35"/>
  <c r="AF484" i="35"/>
  <c r="AC484" i="35"/>
  <c r="AB484" i="35"/>
  <c r="AA484" i="35"/>
  <c r="Z484" i="35"/>
  <c r="Y484" i="35"/>
  <c r="X484" i="35"/>
  <c r="W484" i="35"/>
  <c r="T484" i="35"/>
  <c r="BK484" i="35" s="1"/>
  <c r="O484" i="35"/>
  <c r="N484" i="35"/>
  <c r="M484" i="35"/>
  <c r="L484" i="35"/>
  <c r="K484" i="35"/>
  <c r="J484" i="35"/>
  <c r="I484" i="35"/>
  <c r="H484" i="35"/>
  <c r="BJ483" i="35"/>
  <c r="BI483" i="35"/>
  <c r="BH483" i="35"/>
  <c r="BG483" i="35"/>
  <c r="BC483" i="35"/>
  <c r="AZ483" i="35"/>
  <c r="AX483" i="35"/>
  <c r="AW483" i="35"/>
  <c r="AV483" i="35"/>
  <c r="AU483" i="35"/>
  <c r="AR483" i="35"/>
  <c r="AQ483" i="35"/>
  <c r="AP483" i="35"/>
  <c r="BF483" i="35" s="1"/>
  <c r="AO483" i="35"/>
  <c r="AM483" i="35"/>
  <c r="AL483" i="35"/>
  <c r="AK483" i="35"/>
  <c r="AJ483" i="35"/>
  <c r="AI483" i="35"/>
  <c r="AF483" i="35"/>
  <c r="AC483" i="35"/>
  <c r="AB483" i="35"/>
  <c r="AA483" i="35"/>
  <c r="Z483" i="35"/>
  <c r="Y483" i="35"/>
  <c r="X483" i="35"/>
  <c r="T483" i="35"/>
  <c r="O483" i="35"/>
  <c r="N483" i="35"/>
  <c r="M483" i="35"/>
  <c r="L483" i="35"/>
  <c r="K483" i="35"/>
  <c r="J483" i="35"/>
  <c r="I483" i="35"/>
  <c r="H483" i="35"/>
  <c r="BK482" i="35"/>
  <c r="BJ482" i="35"/>
  <c r="BI482" i="35"/>
  <c r="BH482" i="35"/>
  <c r="BG482" i="35"/>
  <c r="AY482" i="35"/>
  <c r="AW482" i="35"/>
  <c r="AV482" i="35"/>
  <c r="AU482" i="35"/>
  <c r="AR482" i="35"/>
  <c r="AQ482" i="35"/>
  <c r="AP482" i="35"/>
  <c r="BE482" i="35" s="1"/>
  <c r="AO482" i="35"/>
  <c r="AL482" i="35"/>
  <c r="AM482" i="35" s="1"/>
  <c r="AK482" i="35"/>
  <c r="AI482" i="35"/>
  <c r="AJ482" i="35" s="1"/>
  <c r="AF482" i="35"/>
  <c r="AC482" i="35"/>
  <c r="AB482" i="35"/>
  <c r="AA482" i="35"/>
  <c r="Z482" i="35"/>
  <c r="Y482" i="35"/>
  <c r="X482" i="35"/>
  <c r="T482" i="35"/>
  <c r="W482" i="35" s="1"/>
  <c r="O482" i="35"/>
  <c r="N482" i="35"/>
  <c r="M482" i="35"/>
  <c r="L482" i="35"/>
  <c r="K482" i="35"/>
  <c r="J482" i="35"/>
  <c r="I482" i="35"/>
  <c r="H482" i="35"/>
  <c r="BK481" i="35"/>
  <c r="BJ481" i="35"/>
  <c r="BI481" i="35"/>
  <c r="BH481" i="35"/>
  <c r="BG481" i="35"/>
  <c r="BF481" i="35"/>
  <c r="BE481" i="35"/>
  <c r="BC481" i="35"/>
  <c r="BA481" i="35"/>
  <c r="AZ481" i="35"/>
  <c r="AY481" i="35"/>
  <c r="AX481" i="35"/>
  <c r="AW481" i="35"/>
  <c r="AV481" i="35"/>
  <c r="AU481" i="35"/>
  <c r="AT481" i="35"/>
  <c r="AS481" i="35"/>
  <c r="AR481" i="35"/>
  <c r="AQ481" i="35"/>
  <c r="AP481" i="35"/>
  <c r="BD481" i="35" s="1"/>
  <c r="AO481" i="35"/>
  <c r="AL481" i="35"/>
  <c r="AK481" i="35"/>
  <c r="AM481" i="35" s="1"/>
  <c r="AI481" i="35"/>
  <c r="AJ481" i="35" s="1"/>
  <c r="AF481" i="35"/>
  <c r="AC481" i="35"/>
  <c r="AB481" i="35"/>
  <c r="AA481" i="35"/>
  <c r="Z481" i="35"/>
  <c r="Y481" i="35"/>
  <c r="X481" i="35"/>
  <c r="W481" i="35"/>
  <c r="T481" i="35"/>
  <c r="O481" i="35"/>
  <c r="N481" i="35"/>
  <c r="M481" i="35"/>
  <c r="L481" i="35"/>
  <c r="K481" i="35"/>
  <c r="J481" i="35"/>
  <c r="I481" i="35"/>
  <c r="H481" i="35"/>
  <c r="BJ480" i="35"/>
  <c r="BI480" i="35"/>
  <c r="BH480" i="35"/>
  <c r="BG480" i="35"/>
  <c r="BF480" i="35"/>
  <c r="BE480" i="35"/>
  <c r="BD480" i="35"/>
  <c r="AZ480" i="35"/>
  <c r="AW480" i="35"/>
  <c r="AU480" i="35"/>
  <c r="AT480" i="35"/>
  <c r="AS480" i="35"/>
  <c r="AR480" i="35"/>
  <c r="AQ480" i="35"/>
  <c r="AP480" i="35"/>
  <c r="BC480" i="35" s="1"/>
  <c r="AO480" i="35"/>
  <c r="AM480" i="35"/>
  <c r="AL480" i="35"/>
  <c r="AK480" i="35"/>
  <c r="AJ480" i="35"/>
  <c r="AI480" i="35"/>
  <c r="AF480" i="35"/>
  <c r="AC480" i="35"/>
  <c r="AB480" i="35"/>
  <c r="AA480" i="35"/>
  <c r="Z480" i="35"/>
  <c r="Y480" i="35"/>
  <c r="X480" i="35"/>
  <c r="T480" i="35"/>
  <c r="O480" i="35"/>
  <c r="N480" i="35"/>
  <c r="M480" i="35"/>
  <c r="L480" i="35"/>
  <c r="K480" i="35"/>
  <c r="J480" i="35"/>
  <c r="I480" i="35"/>
  <c r="H480" i="35"/>
  <c r="BK479" i="35"/>
  <c r="BJ479" i="35"/>
  <c r="BI479" i="35"/>
  <c r="BH479" i="35"/>
  <c r="BG479" i="35"/>
  <c r="BF479" i="35"/>
  <c r="BE479" i="35"/>
  <c r="BD479" i="35"/>
  <c r="BC479" i="35"/>
  <c r="BA479" i="35"/>
  <c r="AY479" i="35"/>
  <c r="AX479" i="35"/>
  <c r="AW479" i="35"/>
  <c r="AV479" i="35"/>
  <c r="AU479" i="35"/>
  <c r="AT479" i="35"/>
  <c r="AS479" i="35"/>
  <c r="AR479" i="35"/>
  <c r="AQ479" i="35"/>
  <c r="AP479" i="35"/>
  <c r="BB479" i="35" s="1"/>
  <c r="AO479" i="35"/>
  <c r="AL479" i="35"/>
  <c r="AK479" i="35"/>
  <c r="AI479" i="35"/>
  <c r="AJ479" i="35" s="1"/>
  <c r="AF479" i="35"/>
  <c r="AC479" i="35"/>
  <c r="AB479" i="35"/>
  <c r="AA479" i="35"/>
  <c r="Z479" i="35"/>
  <c r="Y479" i="35"/>
  <c r="X479" i="35"/>
  <c r="W479" i="35"/>
  <c r="T479" i="35"/>
  <c r="O479" i="35"/>
  <c r="N479" i="35"/>
  <c r="M479" i="35"/>
  <c r="L479" i="35"/>
  <c r="K479" i="35"/>
  <c r="J479" i="35"/>
  <c r="I479" i="35"/>
  <c r="H479" i="35"/>
  <c r="BJ478" i="35"/>
  <c r="BI478" i="35"/>
  <c r="BG478" i="35"/>
  <c r="BE478" i="35"/>
  <c r="BD478" i="35"/>
  <c r="BC478" i="35"/>
  <c r="AX478" i="35"/>
  <c r="AU478" i="35"/>
  <c r="AS478" i="35"/>
  <c r="AR478" i="35"/>
  <c r="AQ478" i="35"/>
  <c r="BH478" i="35" s="1"/>
  <c r="AP478" i="35"/>
  <c r="BA478" i="35" s="1"/>
  <c r="AO478" i="35"/>
  <c r="AL478" i="35"/>
  <c r="AK478" i="35"/>
  <c r="AM478" i="35" s="1"/>
  <c r="AJ478" i="35"/>
  <c r="AI478" i="35"/>
  <c r="AF478" i="35"/>
  <c r="AC478" i="35"/>
  <c r="AB478" i="35"/>
  <c r="AA478" i="35"/>
  <c r="Z478" i="35"/>
  <c r="Y478" i="35"/>
  <c r="X478" i="35"/>
  <c r="W478" i="35"/>
  <c r="T478" i="35"/>
  <c r="BK478" i="35" s="1"/>
  <c r="O478" i="35"/>
  <c r="N478" i="35"/>
  <c r="M478" i="35"/>
  <c r="L478" i="35"/>
  <c r="K478" i="35"/>
  <c r="J478" i="35"/>
  <c r="I478" i="35"/>
  <c r="H478" i="35"/>
  <c r="BJ477" i="35"/>
  <c r="BI477" i="35"/>
  <c r="BF477" i="35"/>
  <c r="BD477" i="35"/>
  <c r="BC477" i="35"/>
  <c r="AT477" i="35"/>
  <c r="AR477" i="35"/>
  <c r="AQ477" i="35"/>
  <c r="BH477" i="35" s="1"/>
  <c r="AP477" i="35"/>
  <c r="AO477" i="35"/>
  <c r="AL477" i="35"/>
  <c r="AK477" i="35"/>
  <c r="AM477" i="35" s="1"/>
  <c r="AJ477" i="35"/>
  <c r="AI477" i="35"/>
  <c r="AF477" i="35"/>
  <c r="AC477" i="35"/>
  <c r="AB477" i="35"/>
  <c r="AA477" i="35"/>
  <c r="Z477" i="35"/>
  <c r="Y477" i="35"/>
  <c r="X477" i="35"/>
  <c r="T477" i="35"/>
  <c r="O477" i="35"/>
  <c r="N477" i="35"/>
  <c r="M477" i="35"/>
  <c r="L477" i="35"/>
  <c r="K477" i="35"/>
  <c r="J477" i="35"/>
  <c r="I477" i="35"/>
  <c r="H477" i="35"/>
  <c r="BJ476" i="35"/>
  <c r="BI476" i="35"/>
  <c r="BH476" i="35"/>
  <c r="BC476" i="35"/>
  <c r="BB476" i="35"/>
  <c r="BA476" i="35"/>
  <c r="AZ476" i="35"/>
  <c r="AR476" i="35"/>
  <c r="AQ476" i="35"/>
  <c r="AP476" i="35"/>
  <c r="BE476" i="35" s="1"/>
  <c r="AO476" i="35"/>
  <c r="AM476" i="35"/>
  <c r="AL476" i="35"/>
  <c r="AK476" i="35"/>
  <c r="AI476" i="35"/>
  <c r="AJ476" i="35" s="1"/>
  <c r="AF476" i="35"/>
  <c r="AC476" i="35"/>
  <c r="AB476" i="35"/>
  <c r="AA476" i="35"/>
  <c r="Z476" i="35"/>
  <c r="Y476" i="35"/>
  <c r="X476" i="35"/>
  <c r="W476" i="35"/>
  <c r="T476" i="35"/>
  <c r="BK476" i="35" s="1"/>
  <c r="O476" i="35"/>
  <c r="N476" i="35"/>
  <c r="M476" i="35"/>
  <c r="L476" i="35"/>
  <c r="K476" i="35"/>
  <c r="J476" i="35"/>
  <c r="I476" i="35"/>
  <c r="H476" i="35"/>
  <c r="BK475" i="35"/>
  <c r="BJ475" i="35"/>
  <c r="BI475" i="35"/>
  <c r="BD475" i="35"/>
  <c r="BB475" i="35"/>
  <c r="BA475" i="35"/>
  <c r="AZ475" i="35"/>
  <c r="AR475" i="35"/>
  <c r="AQ475" i="35"/>
  <c r="BH475" i="35" s="1"/>
  <c r="AP475" i="35"/>
  <c r="BG475" i="35" s="1"/>
  <c r="AO475" i="35"/>
  <c r="AM475" i="35"/>
  <c r="AL475" i="35"/>
  <c r="AK475" i="35"/>
  <c r="AJ475" i="35"/>
  <c r="AI475" i="35"/>
  <c r="AF475" i="35"/>
  <c r="AC475" i="35"/>
  <c r="AB475" i="35"/>
  <c r="AA475" i="35"/>
  <c r="Z475" i="35"/>
  <c r="Y475" i="35"/>
  <c r="X475" i="35"/>
  <c r="T475" i="35"/>
  <c r="W475" i="35" s="1"/>
  <c r="O475" i="35"/>
  <c r="N475" i="35"/>
  <c r="M475" i="35"/>
  <c r="L475" i="35"/>
  <c r="K475" i="35"/>
  <c r="J475" i="35"/>
  <c r="I475" i="35"/>
  <c r="H475" i="35"/>
  <c r="BK474" i="35"/>
  <c r="BJ474" i="35"/>
  <c r="BI474" i="35"/>
  <c r="BF474" i="35"/>
  <c r="BE474" i="35"/>
  <c r="BD474" i="35"/>
  <c r="BC474" i="35"/>
  <c r="BA474" i="35"/>
  <c r="AZ474" i="35"/>
  <c r="AY474" i="35"/>
  <c r="AX474" i="35"/>
  <c r="AV474" i="35"/>
  <c r="AT474" i="35"/>
  <c r="AS474" i="35"/>
  <c r="AR474" i="35"/>
  <c r="AQ474" i="35"/>
  <c r="BH474" i="35" s="1"/>
  <c r="AP474" i="35"/>
  <c r="AW474" i="35" s="1"/>
  <c r="AO474" i="35"/>
  <c r="AL474" i="35"/>
  <c r="AM474" i="35" s="1"/>
  <c r="AK474" i="35"/>
  <c r="AI474" i="35"/>
  <c r="AJ474" i="35" s="1"/>
  <c r="AF474" i="35"/>
  <c r="AC474" i="35"/>
  <c r="AB474" i="35"/>
  <c r="AA474" i="35"/>
  <c r="Z474" i="35"/>
  <c r="Y474" i="35"/>
  <c r="X474" i="35"/>
  <c r="W474" i="35"/>
  <c r="T474" i="35"/>
  <c r="O474" i="35"/>
  <c r="N474" i="35"/>
  <c r="M474" i="35"/>
  <c r="L474" i="35"/>
  <c r="K474" i="35"/>
  <c r="J474" i="35"/>
  <c r="I474" i="35"/>
  <c r="H474" i="35"/>
  <c r="BJ473" i="35"/>
  <c r="BI473" i="35"/>
  <c r="BE473" i="35"/>
  <c r="BB473" i="35"/>
  <c r="AX473" i="35"/>
  <c r="AW473" i="35"/>
  <c r="AS473" i="35"/>
  <c r="AR473" i="35"/>
  <c r="AQ473" i="35"/>
  <c r="BH473" i="35" s="1"/>
  <c r="AP473" i="35"/>
  <c r="AO473" i="35"/>
  <c r="AL473" i="35"/>
  <c r="AM473" i="35" s="1"/>
  <c r="AK473" i="35"/>
  <c r="AJ473" i="35"/>
  <c r="AI473" i="35"/>
  <c r="AF473" i="35"/>
  <c r="AC473" i="35"/>
  <c r="AB473" i="35"/>
  <c r="AA473" i="35"/>
  <c r="Z473" i="35"/>
  <c r="Y473" i="35"/>
  <c r="X473" i="35"/>
  <c r="W473" i="35"/>
  <c r="T473" i="35"/>
  <c r="BK473" i="35" s="1"/>
  <c r="O473" i="35"/>
  <c r="N473" i="35"/>
  <c r="M473" i="35"/>
  <c r="L473" i="35"/>
  <c r="K473" i="35"/>
  <c r="J473" i="35"/>
  <c r="I473" i="35"/>
  <c r="H473" i="35"/>
  <c r="BK472" i="35"/>
  <c r="BJ472" i="35"/>
  <c r="BI472" i="35"/>
  <c r="BH472" i="35"/>
  <c r="BF472" i="35"/>
  <c r="BD472" i="35"/>
  <c r="BC472" i="35"/>
  <c r="BA472" i="35"/>
  <c r="AY472" i="35"/>
  <c r="AX472" i="35"/>
  <c r="AW472" i="35"/>
  <c r="AV472" i="35"/>
  <c r="AT472" i="35"/>
  <c r="AR472" i="35"/>
  <c r="AQ472" i="35"/>
  <c r="AP472" i="35"/>
  <c r="BG472" i="35" s="1"/>
  <c r="AO472" i="35"/>
  <c r="AL472" i="35"/>
  <c r="AK472" i="35"/>
  <c r="AM472" i="35" s="1"/>
  <c r="AJ472" i="35"/>
  <c r="AI472" i="35"/>
  <c r="AF472" i="35"/>
  <c r="AC472" i="35"/>
  <c r="AB472" i="35"/>
  <c r="AA472" i="35"/>
  <c r="Z472" i="35"/>
  <c r="Y472" i="35"/>
  <c r="X472" i="35"/>
  <c r="T472" i="35"/>
  <c r="W472" i="35" s="1"/>
  <c r="O472" i="35"/>
  <c r="N472" i="35"/>
  <c r="M472" i="35"/>
  <c r="L472" i="35"/>
  <c r="K472" i="35"/>
  <c r="J472" i="35"/>
  <c r="I472" i="35"/>
  <c r="H472" i="35"/>
  <c r="BJ471" i="35"/>
  <c r="BI471" i="35"/>
  <c r="BG471" i="35"/>
  <c r="BC471" i="35"/>
  <c r="AZ471" i="35"/>
  <c r="AX471" i="35"/>
  <c r="AW471" i="35"/>
  <c r="AV471" i="35"/>
  <c r="AU471" i="35"/>
  <c r="AR471" i="35"/>
  <c r="AQ471" i="35"/>
  <c r="BH471" i="35" s="1"/>
  <c r="AP471" i="35"/>
  <c r="BF471" i="35" s="1"/>
  <c r="AO471" i="35"/>
  <c r="AL471" i="35"/>
  <c r="AK471" i="35"/>
  <c r="AM471" i="35" s="1"/>
  <c r="AJ471" i="35"/>
  <c r="AI471" i="35"/>
  <c r="AF471" i="35"/>
  <c r="AC471" i="35"/>
  <c r="AB471" i="35"/>
  <c r="AA471" i="35"/>
  <c r="Z471" i="35"/>
  <c r="Y471" i="35"/>
  <c r="X471" i="35"/>
  <c r="T471" i="35"/>
  <c r="BK471" i="35" s="1"/>
  <c r="O471" i="35"/>
  <c r="N471" i="35"/>
  <c r="M471" i="35"/>
  <c r="L471" i="35"/>
  <c r="K471" i="35"/>
  <c r="J471" i="35"/>
  <c r="I471" i="35"/>
  <c r="H471" i="35"/>
  <c r="BK470" i="35"/>
  <c r="BJ470" i="35"/>
  <c r="BI470" i="35"/>
  <c r="BH470" i="35"/>
  <c r="BG470" i="35"/>
  <c r="BF470" i="35"/>
  <c r="BB470" i="35"/>
  <c r="AY470" i="35"/>
  <c r="AW470" i="35"/>
  <c r="AV470" i="35"/>
  <c r="AU470" i="35"/>
  <c r="AT470" i="35"/>
  <c r="AR470" i="35"/>
  <c r="AQ470" i="35"/>
  <c r="AP470" i="35"/>
  <c r="AO470" i="35"/>
  <c r="AL470" i="35"/>
  <c r="AM470" i="35" s="1"/>
  <c r="AK470" i="35"/>
  <c r="AJ470" i="35"/>
  <c r="AI470" i="35"/>
  <c r="AF470" i="35"/>
  <c r="AC470" i="35"/>
  <c r="AB470" i="35"/>
  <c r="AA470" i="35"/>
  <c r="Z470" i="35"/>
  <c r="Y470" i="35"/>
  <c r="X470" i="35"/>
  <c r="T470" i="35"/>
  <c r="W470" i="35" s="1"/>
  <c r="O470" i="35"/>
  <c r="N470" i="35"/>
  <c r="M470" i="35"/>
  <c r="L470" i="35"/>
  <c r="K470" i="35"/>
  <c r="J470" i="35"/>
  <c r="I470" i="35"/>
  <c r="H470" i="35"/>
  <c r="BJ469" i="35"/>
  <c r="BI469" i="35"/>
  <c r="BH469" i="35"/>
  <c r="BG469" i="35"/>
  <c r="BF469" i="35"/>
  <c r="BE469" i="35"/>
  <c r="BC469" i="35"/>
  <c r="BA469" i="35"/>
  <c r="AZ469" i="35"/>
  <c r="AY469" i="35"/>
  <c r="AX469" i="35"/>
  <c r="AW469" i="35"/>
  <c r="AV469" i="35"/>
  <c r="AU469" i="35"/>
  <c r="AT469" i="35"/>
  <c r="AS469" i="35"/>
  <c r="AR469" i="35"/>
  <c r="AQ469" i="35"/>
  <c r="AP469" i="35"/>
  <c r="BD469" i="35" s="1"/>
  <c r="AO469" i="35"/>
  <c r="AL469" i="35"/>
  <c r="AK469" i="35"/>
  <c r="AM469" i="35" s="1"/>
  <c r="AI469" i="35"/>
  <c r="AJ469" i="35" s="1"/>
  <c r="AF469" i="35"/>
  <c r="AC469" i="35"/>
  <c r="AB469" i="35"/>
  <c r="AA469" i="35"/>
  <c r="Z469" i="35"/>
  <c r="Y469" i="35"/>
  <c r="X469" i="35"/>
  <c r="W469" i="35"/>
  <c r="T469" i="35"/>
  <c r="BK469" i="35" s="1"/>
  <c r="O469" i="35"/>
  <c r="N469" i="35"/>
  <c r="M469" i="35"/>
  <c r="L469" i="35"/>
  <c r="K469" i="35"/>
  <c r="J469" i="35"/>
  <c r="I469" i="35"/>
  <c r="H469" i="35"/>
  <c r="BJ468" i="35"/>
  <c r="BI468" i="35"/>
  <c r="BH468" i="35"/>
  <c r="BG468" i="35"/>
  <c r="BF468" i="35"/>
  <c r="BE468" i="35"/>
  <c r="BD468" i="35"/>
  <c r="AZ468" i="35"/>
  <c r="AW468" i="35"/>
  <c r="AU468" i="35"/>
  <c r="AT468" i="35"/>
  <c r="AS468" i="35"/>
  <c r="AR468" i="35"/>
  <c r="AQ468" i="35"/>
  <c r="AP468" i="35"/>
  <c r="BC468" i="35" s="1"/>
  <c r="AO468" i="35"/>
  <c r="AM468" i="35"/>
  <c r="AL468" i="35"/>
  <c r="AK468" i="35"/>
  <c r="AJ468" i="35"/>
  <c r="AI468" i="35"/>
  <c r="AF468" i="35"/>
  <c r="AC468" i="35"/>
  <c r="AB468" i="35"/>
  <c r="AA468" i="35"/>
  <c r="Z468" i="35"/>
  <c r="Y468" i="35"/>
  <c r="X468" i="35"/>
  <c r="T468" i="35"/>
  <c r="O468" i="35"/>
  <c r="N468" i="35"/>
  <c r="M468" i="35"/>
  <c r="L468" i="35"/>
  <c r="K468" i="35"/>
  <c r="J468" i="35"/>
  <c r="I468" i="35"/>
  <c r="H468" i="35"/>
  <c r="BK467" i="35"/>
  <c r="BJ467" i="35"/>
  <c r="BI467" i="35"/>
  <c r="BH467" i="35"/>
  <c r="BG467" i="35"/>
  <c r="BF467" i="35"/>
  <c r="BE467" i="35"/>
  <c r="BD467" i="35"/>
  <c r="BC467" i="35"/>
  <c r="BA467" i="35"/>
  <c r="AY467" i="35"/>
  <c r="AX467" i="35"/>
  <c r="AW467" i="35"/>
  <c r="AV467" i="35"/>
  <c r="AU467" i="35"/>
  <c r="AT467" i="35"/>
  <c r="AS467" i="35"/>
  <c r="AR467" i="35"/>
  <c r="AQ467" i="35"/>
  <c r="AP467" i="35"/>
  <c r="BB467" i="35" s="1"/>
  <c r="AO467" i="35"/>
  <c r="AL467" i="35"/>
  <c r="AK467" i="35"/>
  <c r="AM467" i="35" s="1"/>
  <c r="AI467" i="35"/>
  <c r="AJ467" i="35" s="1"/>
  <c r="AF467" i="35"/>
  <c r="AC467" i="35"/>
  <c r="AB467" i="35"/>
  <c r="AA467" i="35"/>
  <c r="Z467" i="35"/>
  <c r="Y467" i="35"/>
  <c r="X467" i="35"/>
  <c r="W467" i="35"/>
  <c r="T467" i="35"/>
  <c r="O467" i="35"/>
  <c r="N467" i="35"/>
  <c r="M467" i="35"/>
  <c r="L467" i="35"/>
  <c r="K467" i="35"/>
  <c r="J467" i="35"/>
  <c r="I467" i="35"/>
  <c r="H467" i="35"/>
  <c r="BJ466" i="35"/>
  <c r="BI466" i="35"/>
  <c r="BE466" i="35"/>
  <c r="BB466" i="35"/>
  <c r="AX466" i="35"/>
  <c r="AU466" i="35"/>
  <c r="AR466" i="35"/>
  <c r="AQ466" i="35"/>
  <c r="BH466" i="35" s="1"/>
  <c r="AP466" i="35"/>
  <c r="BG466" i="35" s="1"/>
  <c r="AO466" i="35"/>
  <c r="AL466" i="35"/>
  <c r="AK466" i="35"/>
  <c r="AM466" i="35" s="1"/>
  <c r="AJ466" i="35"/>
  <c r="AI466" i="35"/>
  <c r="AF466" i="35"/>
  <c r="AC466" i="35"/>
  <c r="AB466" i="35"/>
  <c r="AA466" i="35"/>
  <c r="Z466" i="35"/>
  <c r="Y466" i="35"/>
  <c r="X466" i="35"/>
  <c r="W466" i="35"/>
  <c r="T466" i="35"/>
  <c r="BK466" i="35" s="1"/>
  <c r="O466" i="35"/>
  <c r="N466" i="35"/>
  <c r="M466" i="35"/>
  <c r="L466" i="35"/>
  <c r="K466" i="35"/>
  <c r="J466" i="35"/>
  <c r="I466" i="35"/>
  <c r="H466" i="35"/>
  <c r="BJ465" i="35"/>
  <c r="BI465" i="35"/>
  <c r="BA465" i="35"/>
  <c r="AW465" i="35"/>
  <c r="AT465" i="35"/>
  <c r="AR465" i="35"/>
  <c r="AQ465" i="35"/>
  <c r="BH465" i="35" s="1"/>
  <c r="AP465" i="35"/>
  <c r="BF465" i="35" s="1"/>
  <c r="AO465" i="35"/>
  <c r="AL465" i="35"/>
  <c r="AK465" i="35"/>
  <c r="AM465" i="35" s="1"/>
  <c r="AJ465" i="35"/>
  <c r="AI465" i="35"/>
  <c r="AF465" i="35"/>
  <c r="AC465" i="35"/>
  <c r="AB465" i="35"/>
  <c r="AA465" i="35"/>
  <c r="Z465" i="35"/>
  <c r="Y465" i="35"/>
  <c r="X465" i="35"/>
  <c r="T465" i="35"/>
  <c r="O465" i="35"/>
  <c r="N465" i="35"/>
  <c r="M465" i="35"/>
  <c r="L465" i="35"/>
  <c r="K465" i="35"/>
  <c r="J465" i="35"/>
  <c r="I465" i="35"/>
  <c r="H465" i="35"/>
  <c r="BJ464" i="35"/>
  <c r="BI464" i="35"/>
  <c r="BC464" i="35"/>
  <c r="AZ464" i="35"/>
  <c r="AX464" i="35"/>
  <c r="AV464" i="35"/>
  <c r="AR464" i="35"/>
  <c r="AQ464" i="35"/>
  <c r="BH464" i="35" s="1"/>
  <c r="AP464" i="35"/>
  <c r="BE464" i="35" s="1"/>
  <c r="AO464" i="35"/>
  <c r="AM464" i="35"/>
  <c r="AL464" i="35"/>
  <c r="AK464" i="35"/>
  <c r="AI464" i="35"/>
  <c r="AJ464" i="35" s="1"/>
  <c r="AF464" i="35"/>
  <c r="AC464" i="35"/>
  <c r="AB464" i="35"/>
  <c r="AA464" i="35"/>
  <c r="Z464" i="35"/>
  <c r="Y464" i="35"/>
  <c r="X464" i="35"/>
  <c r="W464" i="35"/>
  <c r="T464" i="35"/>
  <c r="BK464" i="35" s="1"/>
  <c r="O464" i="35"/>
  <c r="N464" i="35"/>
  <c r="M464" i="35"/>
  <c r="L464" i="35"/>
  <c r="K464" i="35"/>
  <c r="J464" i="35"/>
  <c r="I464" i="35"/>
  <c r="H464" i="35"/>
  <c r="BJ463" i="35"/>
  <c r="BI463" i="35"/>
  <c r="BF463" i="35"/>
  <c r="BD463" i="35"/>
  <c r="BB463" i="35"/>
  <c r="BA463" i="35"/>
  <c r="AW463" i="35"/>
  <c r="AU463" i="35"/>
  <c r="AT463" i="35"/>
  <c r="AR463" i="35"/>
  <c r="AQ463" i="35"/>
  <c r="BH463" i="35" s="1"/>
  <c r="AP463" i="35"/>
  <c r="AO463" i="35"/>
  <c r="AL463" i="35"/>
  <c r="AM463" i="35" s="1"/>
  <c r="AK463" i="35"/>
  <c r="AJ463" i="35"/>
  <c r="AI463" i="35"/>
  <c r="AF463" i="35"/>
  <c r="AC463" i="35"/>
  <c r="AB463" i="35"/>
  <c r="AA463" i="35"/>
  <c r="Z463" i="35"/>
  <c r="Y463" i="35"/>
  <c r="X463" i="35"/>
  <c r="T463" i="35"/>
  <c r="O463" i="35"/>
  <c r="N463" i="35"/>
  <c r="M463" i="35"/>
  <c r="L463" i="35"/>
  <c r="K463" i="35"/>
  <c r="J463" i="35"/>
  <c r="I463" i="35"/>
  <c r="H463" i="35"/>
  <c r="BK462" i="35"/>
  <c r="BJ462" i="35"/>
  <c r="BI462" i="35"/>
  <c r="BF462" i="35"/>
  <c r="BE462" i="35"/>
  <c r="BC462" i="35"/>
  <c r="BA462" i="35"/>
  <c r="AZ462" i="35"/>
  <c r="AY462" i="35"/>
  <c r="AX462" i="35"/>
  <c r="AV462" i="35"/>
  <c r="AT462" i="35"/>
  <c r="AS462" i="35"/>
  <c r="AR462" i="35"/>
  <c r="AQ462" i="35"/>
  <c r="BH462" i="35" s="1"/>
  <c r="AP462" i="35"/>
  <c r="AW462" i="35" s="1"/>
  <c r="AO462" i="35"/>
  <c r="AL462" i="35"/>
  <c r="AK462" i="35"/>
  <c r="AM462" i="35" s="1"/>
  <c r="AI462" i="35"/>
  <c r="AJ462" i="35" s="1"/>
  <c r="AF462" i="35"/>
  <c r="AC462" i="35"/>
  <c r="AB462" i="35"/>
  <c r="AA462" i="35"/>
  <c r="Z462" i="35"/>
  <c r="Y462" i="35"/>
  <c r="X462" i="35"/>
  <c r="W462" i="35"/>
  <c r="T462" i="35"/>
  <c r="O462" i="35"/>
  <c r="N462" i="35"/>
  <c r="M462" i="35"/>
  <c r="L462" i="35"/>
  <c r="K462" i="35"/>
  <c r="J462" i="35"/>
  <c r="I462" i="35"/>
  <c r="H462" i="35"/>
  <c r="BJ461" i="35"/>
  <c r="BI461" i="35"/>
  <c r="BB461" i="35"/>
  <c r="AX461" i="35"/>
  <c r="AW461" i="35"/>
  <c r="AU461" i="35"/>
  <c r="AR461" i="35"/>
  <c r="AQ461" i="35"/>
  <c r="BH461" i="35" s="1"/>
  <c r="AP461" i="35"/>
  <c r="BE461" i="35" s="1"/>
  <c r="AO461" i="35"/>
  <c r="AL461" i="35"/>
  <c r="AK461" i="35"/>
  <c r="AM461" i="35" s="1"/>
  <c r="AJ461" i="35"/>
  <c r="AI461" i="35"/>
  <c r="AF461" i="35"/>
  <c r="AC461" i="35"/>
  <c r="AB461" i="35"/>
  <c r="AA461" i="35"/>
  <c r="Z461" i="35"/>
  <c r="Y461" i="35"/>
  <c r="X461" i="35"/>
  <c r="W461" i="35"/>
  <c r="T461" i="35"/>
  <c r="BK461" i="35" s="1"/>
  <c r="O461" i="35"/>
  <c r="N461" i="35"/>
  <c r="M461" i="35"/>
  <c r="L461" i="35"/>
  <c r="K461" i="35"/>
  <c r="J461" i="35"/>
  <c r="I461" i="35"/>
  <c r="H461" i="35"/>
  <c r="BJ460" i="35"/>
  <c r="BI460" i="35"/>
  <c r="BF460" i="35"/>
  <c r="BD460" i="35"/>
  <c r="BC460" i="35"/>
  <c r="BA460" i="35"/>
  <c r="AZ460" i="35"/>
  <c r="AY460" i="35"/>
  <c r="AX460" i="35"/>
  <c r="AW460" i="35"/>
  <c r="AV460" i="35"/>
  <c r="AT460" i="35"/>
  <c r="AR460" i="35"/>
  <c r="AQ460" i="35"/>
  <c r="BH460" i="35" s="1"/>
  <c r="AP460" i="35"/>
  <c r="BG460" i="35" s="1"/>
  <c r="AO460" i="35"/>
  <c r="AL460" i="35"/>
  <c r="AK460" i="35"/>
  <c r="AI460" i="35"/>
  <c r="AJ460" i="35" s="1"/>
  <c r="AF460" i="35"/>
  <c r="AC460" i="35"/>
  <c r="AB460" i="35"/>
  <c r="AA460" i="35"/>
  <c r="Z460" i="35"/>
  <c r="Y460" i="35"/>
  <c r="X460" i="35"/>
  <c r="W460" i="35"/>
  <c r="T460" i="35"/>
  <c r="BK460" i="35" s="1"/>
  <c r="O460" i="35"/>
  <c r="N460" i="35"/>
  <c r="M460" i="35"/>
  <c r="L460" i="35"/>
  <c r="K460" i="35"/>
  <c r="J460" i="35"/>
  <c r="I460" i="35"/>
  <c r="H460" i="35"/>
  <c r="BJ459" i="35"/>
  <c r="BI459" i="35"/>
  <c r="AR459" i="35"/>
  <c r="AQ459" i="35"/>
  <c r="BH459" i="35" s="1"/>
  <c r="AP459" i="35"/>
  <c r="AO459" i="35"/>
  <c r="AL459" i="35"/>
  <c r="AK459" i="35"/>
  <c r="AM459" i="35" s="1"/>
  <c r="AJ459" i="35"/>
  <c r="AI459" i="35"/>
  <c r="AF459" i="35"/>
  <c r="AC459" i="35"/>
  <c r="AB459" i="35"/>
  <c r="AA459" i="35"/>
  <c r="Z459" i="35"/>
  <c r="Y459" i="35"/>
  <c r="X459" i="35"/>
  <c r="W459" i="35"/>
  <c r="T459" i="35"/>
  <c r="BK459" i="35" s="1"/>
  <c r="O459" i="35"/>
  <c r="N459" i="35"/>
  <c r="M459" i="35"/>
  <c r="L459" i="35"/>
  <c r="K459" i="35"/>
  <c r="J459" i="35"/>
  <c r="I459" i="35"/>
  <c r="H459" i="35"/>
  <c r="BJ458" i="35"/>
  <c r="BI458" i="35"/>
  <c r="BH458" i="35"/>
  <c r="BD458" i="35"/>
  <c r="AY458" i="35"/>
  <c r="AW458" i="35"/>
  <c r="AV458" i="35"/>
  <c r="AR458" i="35"/>
  <c r="AQ458" i="35"/>
  <c r="AP458" i="35"/>
  <c r="BF458" i="35" s="1"/>
  <c r="AO458" i="35"/>
  <c r="AL458" i="35"/>
  <c r="AK458" i="35"/>
  <c r="AI458" i="35"/>
  <c r="AJ458" i="35" s="1"/>
  <c r="AF458" i="35"/>
  <c r="AC458" i="35"/>
  <c r="AB458" i="35"/>
  <c r="AA458" i="35"/>
  <c r="Z458" i="35"/>
  <c r="Y458" i="35"/>
  <c r="X458" i="35"/>
  <c r="W458" i="35"/>
  <c r="T458" i="35"/>
  <c r="BK458" i="35" s="1"/>
  <c r="O458" i="35"/>
  <c r="N458" i="35"/>
  <c r="M458" i="35"/>
  <c r="L458" i="35"/>
  <c r="K458" i="35"/>
  <c r="J458" i="35"/>
  <c r="I458" i="35"/>
  <c r="H458" i="35"/>
  <c r="BJ457" i="35"/>
  <c r="BI457" i="35"/>
  <c r="BG457" i="35"/>
  <c r="BF457" i="35"/>
  <c r="BE457" i="35"/>
  <c r="BC457" i="35"/>
  <c r="BA457" i="35"/>
  <c r="AZ457" i="35"/>
  <c r="AY457" i="35"/>
  <c r="AX457" i="35"/>
  <c r="AW457" i="35"/>
  <c r="AV457" i="35"/>
  <c r="AU457" i="35"/>
  <c r="AT457" i="35"/>
  <c r="AS457" i="35"/>
  <c r="AR457" i="35"/>
  <c r="AQ457" i="35"/>
  <c r="BH457" i="35" s="1"/>
  <c r="AP457" i="35"/>
  <c r="BD457" i="35" s="1"/>
  <c r="AO457" i="35"/>
  <c r="AL457" i="35"/>
  <c r="AK457" i="35"/>
  <c r="AM457" i="35" s="1"/>
  <c r="AI457" i="35"/>
  <c r="AJ457" i="35" s="1"/>
  <c r="AF457" i="35"/>
  <c r="AC457" i="35"/>
  <c r="AB457" i="35"/>
  <c r="AA457" i="35"/>
  <c r="Z457" i="35"/>
  <c r="Y457" i="35"/>
  <c r="X457" i="35"/>
  <c r="W457" i="35"/>
  <c r="T457" i="35"/>
  <c r="BK457" i="35" s="1"/>
  <c r="O457" i="35"/>
  <c r="N457" i="35"/>
  <c r="M457" i="35"/>
  <c r="L457" i="35"/>
  <c r="K457" i="35"/>
  <c r="J457" i="35"/>
  <c r="I457" i="35"/>
  <c r="H457" i="35"/>
  <c r="BJ456" i="35"/>
  <c r="BI456" i="35"/>
  <c r="BH456" i="35"/>
  <c r="BG456" i="35"/>
  <c r="BE456" i="35"/>
  <c r="AZ456" i="35"/>
  <c r="AY456" i="35"/>
  <c r="AX456" i="35"/>
  <c r="AU456" i="35"/>
  <c r="AT456" i="35"/>
  <c r="AS456" i="35"/>
  <c r="AR456" i="35"/>
  <c r="AQ456" i="35"/>
  <c r="AP456" i="35"/>
  <c r="BB456" i="35" s="1"/>
  <c r="AO456" i="35"/>
  <c r="AL456" i="35"/>
  <c r="AM456" i="35" s="1"/>
  <c r="AK456" i="35"/>
  <c r="AJ456" i="35"/>
  <c r="AI456" i="35"/>
  <c r="AF456" i="35"/>
  <c r="AC456" i="35"/>
  <c r="AB456" i="35"/>
  <c r="AA456" i="35"/>
  <c r="Z456" i="35"/>
  <c r="Y456" i="35"/>
  <c r="X456" i="35"/>
  <c r="W456" i="35"/>
  <c r="T456" i="35"/>
  <c r="BK456" i="35" s="1"/>
  <c r="O456" i="35"/>
  <c r="N456" i="35"/>
  <c r="M456" i="35"/>
  <c r="L456" i="35"/>
  <c r="K456" i="35"/>
  <c r="J456" i="35"/>
  <c r="I456" i="35"/>
  <c r="H456" i="35"/>
  <c r="BJ455" i="35"/>
  <c r="BI455" i="35"/>
  <c r="BG455" i="35"/>
  <c r="BF455" i="35"/>
  <c r="BE455" i="35"/>
  <c r="BD455" i="35"/>
  <c r="BC455" i="35"/>
  <c r="BA455" i="35"/>
  <c r="AY455" i="35"/>
  <c r="AX455" i="35"/>
  <c r="AW455" i="35"/>
  <c r="AV455" i="35"/>
  <c r="AU455" i="35"/>
  <c r="AT455" i="35"/>
  <c r="AS455" i="35"/>
  <c r="AR455" i="35"/>
  <c r="AQ455" i="35"/>
  <c r="BH455" i="35" s="1"/>
  <c r="AP455" i="35"/>
  <c r="BB455" i="35" s="1"/>
  <c r="AO455" i="35"/>
  <c r="AM455" i="35"/>
  <c r="AL455" i="35"/>
  <c r="AK455" i="35"/>
  <c r="AI455" i="35"/>
  <c r="AJ455" i="35" s="1"/>
  <c r="AF455" i="35"/>
  <c r="AC455" i="35"/>
  <c r="AB455" i="35"/>
  <c r="AA455" i="35"/>
  <c r="Z455" i="35"/>
  <c r="Y455" i="35"/>
  <c r="X455" i="35"/>
  <c r="T455" i="35"/>
  <c r="W455" i="35" s="1"/>
  <c r="O455" i="35"/>
  <c r="N455" i="35"/>
  <c r="M455" i="35"/>
  <c r="L455" i="35"/>
  <c r="K455" i="35"/>
  <c r="J455" i="35"/>
  <c r="I455" i="35"/>
  <c r="H455" i="35"/>
  <c r="BK454" i="35"/>
  <c r="BJ454" i="35"/>
  <c r="BI454" i="35"/>
  <c r="BH454" i="35"/>
  <c r="BG454" i="35"/>
  <c r="BF454" i="35"/>
  <c r="BC454" i="35"/>
  <c r="BA454" i="35"/>
  <c r="AY454" i="35"/>
  <c r="AV454" i="35"/>
  <c r="AU454" i="35"/>
  <c r="AT454" i="35"/>
  <c r="AR454" i="35"/>
  <c r="AQ454" i="35"/>
  <c r="AP454" i="35"/>
  <c r="BE454" i="35" s="1"/>
  <c r="AO454" i="35"/>
  <c r="AL454" i="35"/>
  <c r="AK454" i="35"/>
  <c r="AM454" i="35" s="1"/>
  <c r="AI454" i="35"/>
  <c r="AJ454" i="35" s="1"/>
  <c r="AF454" i="35"/>
  <c r="AC454" i="35"/>
  <c r="AB454" i="35"/>
  <c r="AA454" i="35"/>
  <c r="Z454" i="35"/>
  <c r="Y454" i="35"/>
  <c r="X454" i="35"/>
  <c r="W454" i="35"/>
  <c r="T454" i="35"/>
  <c r="O454" i="35"/>
  <c r="N454" i="35"/>
  <c r="M454" i="35"/>
  <c r="L454" i="35"/>
  <c r="K454" i="35"/>
  <c r="J454" i="35"/>
  <c r="I454" i="35"/>
  <c r="H454" i="35"/>
  <c r="BJ453" i="35"/>
  <c r="BI453" i="35"/>
  <c r="BH453" i="35"/>
  <c r="BG453" i="35"/>
  <c r="BF453" i="35"/>
  <c r="BE453" i="35"/>
  <c r="AX453" i="35"/>
  <c r="AU453" i="35"/>
  <c r="AT453" i="35"/>
  <c r="AS453" i="35"/>
  <c r="AR453" i="35"/>
  <c r="AQ453" i="35"/>
  <c r="AP453" i="35"/>
  <c r="BD453" i="35" s="1"/>
  <c r="AO453" i="35"/>
  <c r="AL453" i="35"/>
  <c r="AK453" i="35"/>
  <c r="AM453" i="35" s="1"/>
  <c r="AJ453" i="35"/>
  <c r="AI453" i="35"/>
  <c r="AF453" i="35"/>
  <c r="AC453" i="35"/>
  <c r="AB453" i="35"/>
  <c r="AA453" i="35"/>
  <c r="Z453" i="35"/>
  <c r="Y453" i="35"/>
  <c r="X453" i="35"/>
  <c r="W453" i="35"/>
  <c r="T453" i="35"/>
  <c r="BK453" i="35" s="1"/>
  <c r="O453" i="35"/>
  <c r="N453" i="35"/>
  <c r="M453" i="35"/>
  <c r="L453" i="35"/>
  <c r="K453" i="35"/>
  <c r="J453" i="35"/>
  <c r="I453" i="35"/>
  <c r="H453" i="35"/>
  <c r="BJ452" i="35"/>
  <c r="BI452" i="35"/>
  <c r="BH452" i="35"/>
  <c r="BG452" i="35"/>
  <c r="BF452" i="35"/>
  <c r="BE452" i="35"/>
  <c r="BD452" i="35"/>
  <c r="BA452" i="35"/>
  <c r="AZ452" i="35"/>
  <c r="AY452" i="35"/>
  <c r="AX452" i="35"/>
  <c r="AW452" i="35"/>
  <c r="AV452" i="35"/>
  <c r="AU452" i="35"/>
  <c r="AT452" i="35"/>
  <c r="AS452" i="35"/>
  <c r="AR452" i="35"/>
  <c r="AQ452" i="35"/>
  <c r="AP452" i="35"/>
  <c r="BC452" i="35" s="1"/>
  <c r="AO452" i="35"/>
  <c r="AL452" i="35"/>
  <c r="AM452" i="35" s="1"/>
  <c r="AK452" i="35"/>
  <c r="AJ452" i="35"/>
  <c r="AI452" i="35"/>
  <c r="AF452" i="35"/>
  <c r="AC452" i="35"/>
  <c r="AB452" i="35"/>
  <c r="AA452" i="35"/>
  <c r="Z452" i="35"/>
  <c r="Y452" i="35"/>
  <c r="X452" i="35"/>
  <c r="T452" i="35"/>
  <c r="BK452" i="35" s="1"/>
  <c r="O452" i="35"/>
  <c r="N452" i="35"/>
  <c r="M452" i="35"/>
  <c r="L452" i="35"/>
  <c r="K452" i="35"/>
  <c r="J452" i="35"/>
  <c r="I452" i="35"/>
  <c r="H452" i="35"/>
  <c r="BK451" i="35"/>
  <c r="BJ451" i="35"/>
  <c r="BI451" i="35"/>
  <c r="BG451" i="35"/>
  <c r="BF451" i="35"/>
  <c r="BE451" i="35"/>
  <c r="BD451" i="35"/>
  <c r="BC451" i="35"/>
  <c r="AZ451" i="35"/>
  <c r="AY451" i="35"/>
  <c r="AX451" i="35"/>
  <c r="AW451" i="35"/>
  <c r="AV451" i="35"/>
  <c r="AU451" i="35"/>
  <c r="AT451" i="35"/>
  <c r="AS451" i="35"/>
  <c r="AR451" i="35"/>
  <c r="AQ451" i="35"/>
  <c r="BH451" i="35" s="1"/>
  <c r="AP451" i="35"/>
  <c r="BB451" i="35" s="1"/>
  <c r="AO451" i="35"/>
  <c r="AM451" i="35"/>
  <c r="AL451" i="35"/>
  <c r="AK451" i="35"/>
  <c r="AI451" i="35"/>
  <c r="AJ451" i="35" s="1"/>
  <c r="AF451" i="35"/>
  <c r="AC451" i="35"/>
  <c r="AB451" i="35"/>
  <c r="AA451" i="35"/>
  <c r="Z451" i="35"/>
  <c r="Y451" i="35"/>
  <c r="X451" i="35"/>
  <c r="W451" i="35"/>
  <c r="T451" i="35"/>
  <c r="O451" i="35"/>
  <c r="N451" i="35"/>
  <c r="M451" i="35"/>
  <c r="L451" i="35"/>
  <c r="K451" i="35"/>
  <c r="J451" i="35"/>
  <c r="I451" i="35"/>
  <c r="H451" i="35"/>
  <c r="BK450" i="35"/>
  <c r="BJ450" i="35"/>
  <c r="BI450" i="35"/>
  <c r="BD450" i="35"/>
  <c r="BC450" i="35"/>
  <c r="AR450" i="35"/>
  <c r="AQ450" i="35"/>
  <c r="BH450" i="35" s="1"/>
  <c r="AP450" i="35"/>
  <c r="BA450" i="35" s="1"/>
  <c r="AO450" i="35"/>
  <c r="AL450" i="35"/>
  <c r="AK450" i="35"/>
  <c r="AM450" i="35" s="1"/>
  <c r="AJ450" i="35"/>
  <c r="AI450" i="35"/>
  <c r="AF450" i="35"/>
  <c r="AC450" i="35"/>
  <c r="AB450" i="35"/>
  <c r="AA450" i="35"/>
  <c r="Z450" i="35"/>
  <c r="Y450" i="35"/>
  <c r="X450" i="35"/>
  <c r="T450" i="35"/>
  <c r="W450" i="35" s="1"/>
  <c r="O450" i="35"/>
  <c r="N450" i="35"/>
  <c r="M450" i="35"/>
  <c r="L450" i="35"/>
  <c r="K450" i="35"/>
  <c r="J450" i="35"/>
  <c r="I450" i="35"/>
  <c r="H450" i="35"/>
  <c r="BJ449" i="35"/>
  <c r="BI449" i="35"/>
  <c r="BB449" i="35"/>
  <c r="AR449" i="35"/>
  <c r="AQ449" i="35"/>
  <c r="BH449" i="35" s="1"/>
  <c r="AP449" i="35"/>
  <c r="AO449" i="35"/>
  <c r="AL449" i="35"/>
  <c r="AK449" i="35"/>
  <c r="AM449" i="35" s="1"/>
  <c r="AI449" i="35"/>
  <c r="AJ449" i="35" s="1"/>
  <c r="AF449" i="35"/>
  <c r="AC449" i="35"/>
  <c r="AB449" i="35"/>
  <c r="AA449" i="35"/>
  <c r="Z449" i="35"/>
  <c r="Y449" i="35"/>
  <c r="X449" i="35"/>
  <c r="W449" i="35"/>
  <c r="T449" i="35"/>
  <c r="BK449" i="35" s="1"/>
  <c r="O449" i="35"/>
  <c r="N449" i="35"/>
  <c r="M449" i="35"/>
  <c r="L449" i="35"/>
  <c r="K449" i="35"/>
  <c r="J449" i="35"/>
  <c r="I449" i="35"/>
  <c r="H449" i="35"/>
  <c r="BJ448" i="35"/>
  <c r="BI448" i="35"/>
  <c r="BH448" i="35"/>
  <c r="BA448" i="35"/>
  <c r="AR448" i="35"/>
  <c r="AQ448" i="35"/>
  <c r="AP448" i="35"/>
  <c r="AY448" i="35" s="1"/>
  <c r="AO448" i="35"/>
  <c r="AM448" i="35"/>
  <c r="AL448" i="35"/>
  <c r="AK448" i="35"/>
  <c r="AJ448" i="35"/>
  <c r="AI448" i="35"/>
  <c r="AF448" i="35"/>
  <c r="AC448" i="35"/>
  <c r="AB448" i="35"/>
  <c r="AA448" i="35"/>
  <c r="Z448" i="35"/>
  <c r="Y448" i="35"/>
  <c r="X448" i="35"/>
  <c r="T448" i="35"/>
  <c r="BK448" i="35" s="1"/>
  <c r="O448" i="35"/>
  <c r="N448" i="35"/>
  <c r="M448" i="35"/>
  <c r="L448" i="35"/>
  <c r="K448" i="35"/>
  <c r="J448" i="35"/>
  <c r="I448" i="35"/>
  <c r="H448" i="35"/>
  <c r="BK447" i="35"/>
  <c r="BJ447" i="35"/>
  <c r="BI447" i="35"/>
  <c r="BH447" i="35"/>
  <c r="BG447" i="35"/>
  <c r="BF447" i="35"/>
  <c r="BD447" i="35"/>
  <c r="BC447" i="35"/>
  <c r="BA447" i="35"/>
  <c r="AZ447" i="35"/>
  <c r="AY447" i="35"/>
  <c r="AV447" i="35"/>
  <c r="AU447" i="35"/>
  <c r="AT447" i="35"/>
  <c r="AR447" i="35"/>
  <c r="AQ447" i="35"/>
  <c r="AP447" i="35"/>
  <c r="AX447" i="35" s="1"/>
  <c r="AO447" i="35"/>
  <c r="AM447" i="35"/>
  <c r="AL447" i="35"/>
  <c r="AK447" i="35"/>
  <c r="AI447" i="35"/>
  <c r="AJ447" i="35" s="1"/>
  <c r="AF447" i="35"/>
  <c r="AC447" i="35"/>
  <c r="AB447" i="35"/>
  <c r="AA447" i="35"/>
  <c r="Z447" i="35"/>
  <c r="Y447" i="35"/>
  <c r="X447" i="35"/>
  <c r="T447" i="35"/>
  <c r="W447" i="35" s="1"/>
  <c r="O447" i="35"/>
  <c r="N447" i="35"/>
  <c r="M447" i="35"/>
  <c r="L447" i="35"/>
  <c r="K447" i="35"/>
  <c r="J447" i="35"/>
  <c r="I447" i="35"/>
  <c r="H447" i="35"/>
  <c r="BK446" i="35"/>
  <c r="BJ446" i="35"/>
  <c r="BI446" i="35"/>
  <c r="BG446" i="35"/>
  <c r="BF446" i="35"/>
  <c r="BE446" i="35"/>
  <c r="BC446" i="35"/>
  <c r="AZ446" i="35"/>
  <c r="AY446" i="35"/>
  <c r="AX446" i="35"/>
  <c r="AU446" i="35"/>
  <c r="AT446" i="35"/>
  <c r="AS446" i="35"/>
  <c r="AR446" i="35"/>
  <c r="AQ446" i="35"/>
  <c r="BH446" i="35" s="1"/>
  <c r="AP446" i="35"/>
  <c r="AW446" i="35" s="1"/>
  <c r="AO446" i="35"/>
  <c r="AL446" i="35"/>
  <c r="AM446" i="35" s="1"/>
  <c r="AK446" i="35"/>
  <c r="AI446" i="35"/>
  <c r="AJ446" i="35" s="1"/>
  <c r="AF446" i="35"/>
  <c r="AC446" i="35"/>
  <c r="AB446" i="35"/>
  <c r="AA446" i="35"/>
  <c r="Z446" i="35"/>
  <c r="Y446" i="35"/>
  <c r="X446" i="35"/>
  <c r="W446" i="35"/>
  <c r="T446" i="35"/>
  <c r="O446" i="35"/>
  <c r="N446" i="35"/>
  <c r="M446" i="35"/>
  <c r="L446" i="35"/>
  <c r="K446" i="35"/>
  <c r="J446" i="35"/>
  <c r="I446" i="35"/>
  <c r="H446" i="35"/>
  <c r="BK445" i="35"/>
  <c r="BJ445" i="35"/>
  <c r="BI445" i="35"/>
  <c r="AY445" i="35"/>
  <c r="AX445" i="35"/>
  <c r="AW445" i="35"/>
  <c r="AR445" i="35"/>
  <c r="AQ445" i="35"/>
  <c r="BH445" i="35" s="1"/>
  <c r="AP445" i="35"/>
  <c r="AV445" i="35" s="1"/>
  <c r="AO445" i="35"/>
  <c r="AL445" i="35"/>
  <c r="AK445" i="35"/>
  <c r="AM445" i="35" s="1"/>
  <c r="AJ445" i="35"/>
  <c r="AI445" i="35"/>
  <c r="AF445" i="35"/>
  <c r="AC445" i="35"/>
  <c r="AB445" i="35"/>
  <c r="AA445" i="35"/>
  <c r="Z445" i="35"/>
  <c r="Y445" i="35"/>
  <c r="X445" i="35"/>
  <c r="W445" i="35"/>
  <c r="T445" i="35"/>
  <c r="O445" i="35"/>
  <c r="N445" i="35"/>
  <c r="M445" i="35"/>
  <c r="L445" i="35"/>
  <c r="K445" i="35"/>
  <c r="J445" i="35"/>
  <c r="I445" i="35"/>
  <c r="H445" i="35"/>
  <c r="BJ444" i="35"/>
  <c r="BI444" i="35"/>
  <c r="BH444" i="35"/>
  <c r="BE444" i="35"/>
  <c r="BD444" i="35"/>
  <c r="BC444" i="35"/>
  <c r="BA444" i="35"/>
  <c r="AZ444" i="35"/>
  <c r="AY444" i="35"/>
  <c r="AX444" i="35"/>
  <c r="AW444" i="35"/>
  <c r="AV444" i="35"/>
  <c r="AS444" i="35"/>
  <c r="AR444" i="35"/>
  <c r="AQ444" i="35"/>
  <c r="AP444" i="35"/>
  <c r="BG444" i="35" s="1"/>
  <c r="AO444" i="35"/>
  <c r="AL444" i="35"/>
  <c r="AK444" i="35"/>
  <c r="AM444" i="35" s="1"/>
  <c r="AJ444" i="35"/>
  <c r="AI444" i="35"/>
  <c r="AF444" i="35"/>
  <c r="AC444" i="35"/>
  <c r="AB444" i="35"/>
  <c r="AA444" i="35"/>
  <c r="Z444" i="35"/>
  <c r="Y444" i="35"/>
  <c r="X444" i="35"/>
  <c r="T444" i="35"/>
  <c r="O444" i="35"/>
  <c r="N444" i="35"/>
  <c r="M444" i="35"/>
  <c r="L444" i="35"/>
  <c r="K444" i="35"/>
  <c r="J444" i="35"/>
  <c r="I444" i="35"/>
  <c r="H444" i="35"/>
  <c r="BJ443" i="35"/>
  <c r="BI443" i="35"/>
  <c r="BH443" i="35"/>
  <c r="BG443" i="35"/>
  <c r="BD443" i="35"/>
  <c r="AZ443" i="35"/>
  <c r="AW443" i="35"/>
  <c r="AV443" i="35"/>
  <c r="AU443" i="35"/>
  <c r="AR443" i="35"/>
  <c r="AQ443" i="35"/>
  <c r="AP443" i="35"/>
  <c r="BF443" i="35" s="1"/>
  <c r="AO443" i="35"/>
  <c r="AM443" i="35"/>
  <c r="AL443" i="35"/>
  <c r="AK443" i="35"/>
  <c r="AI443" i="35"/>
  <c r="AJ443" i="35" s="1"/>
  <c r="AF443" i="35"/>
  <c r="AC443" i="35"/>
  <c r="AB443" i="35"/>
  <c r="AA443" i="35"/>
  <c r="Z443" i="35"/>
  <c r="Y443" i="35"/>
  <c r="X443" i="35"/>
  <c r="T443" i="35"/>
  <c r="BK443" i="35" s="1"/>
  <c r="O443" i="35"/>
  <c r="N443" i="35"/>
  <c r="M443" i="35"/>
  <c r="L443" i="35"/>
  <c r="K443" i="35"/>
  <c r="J443" i="35"/>
  <c r="I443" i="35"/>
  <c r="H443" i="35"/>
  <c r="BK442" i="35"/>
  <c r="BJ442" i="35"/>
  <c r="BI442" i="35"/>
  <c r="BH442" i="35"/>
  <c r="BG442" i="35"/>
  <c r="BF442" i="35"/>
  <c r="BC442" i="35"/>
  <c r="BA442" i="35"/>
  <c r="AY442" i="35"/>
  <c r="AV442" i="35"/>
  <c r="AU442" i="35"/>
  <c r="AT442" i="35"/>
  <c r="AR442" i="35"/>
  <c r="AQ442" i="35"/>
  <c r="AP442" i="35"/>
  <c r="BE442" i="35" s="1"/>
  <c r="AO442" i="35"/>
  <c r="AL442" i="35"/>
  <c r="AK442" i="35"/>
  <c r="AM442" i="35" s="1"/>
  <c r="AI442" i="35"/>
  <c r="AJ442" i="35" s="1"/>
  <c r="AF442" i="35"/>
  <c r="AC442" i="35"/>
  <c r="AB442" i="35"/>
  <c r="AA442" i="35"/>
  <c r="Z442" i="35"/>
  <c r="Y442" i="35"/>
  <c r="X442" i="35"/>
  <c r="W442" i="35"/>
  <c r="T442" i="35"/>
  <c r="O442" i="35"/>
  <c r="N442" i="35"/>
  <c r="M442" i="35"/>
  <c r="L442" i="35"/>
  <c r="K442" i="35"/>
  <c r="J442" i="35"/>
  <c r="I442" i="35"/>
  <c r="H442" i="35"/>
  <c r="BJ441" i="35"/>
  <c r="BI441" i="35"/>
  <c r="BH441" i="35"/>
  <c r="BG441" i="35"/>
  <c r="BF441" i="35"/>
  <c r="BE441" i="35"/>
  <c r="AX441" i="35"/>
  <c r="AU441" i="35"/>
  <c r="AT441" i="35"/>
  <c r="AS441" i="35"/>
  <c r="AR441" i="35"/>
  <c r="AQ441" i="35"/>
  <c r="AP441" i="35"/>
  <c r="BD441" i="35" s="1"/>
  <c r="AO441" i="35"/>
  <c r="AL441" i="35"/>
  <c r="AK441" i="35"/>
  <c r="AM441" i="35" s="1"/>
  <c r="AJ441" i="35"/>
  <c r="AI441" i="35"/>
  <c r="AF441" i="35"/>
  <c r="AC441" i="35"/>
  <c r="AB441" i="35"/>
  <c r="AA441" i="35"/>
  <c r="Z441" i="35"/>
  <c r="Y441" i="35"/>
  <c r="X441" i="35"/>
  <c r="W441" i="35"/>
  <c r="T441" i="35"/>
  <c r="BK441" i="35" s="1"/>
  <c r="O441" i="35"/>
  <c r="N441" i="35"/>
  <c r="M441" i="35"/>
  <c r="L441" i="35"/>
  <c r="K441" i="35"/>
  <c r="J441" i="35"/>
  <c r="I441" i="35"/>
  <c r="H441" i="35"/>
  <c r="BJ440" i="35"/>
  <c r="BI440" i="35"/>
  <c r="BH440" i="35"/>
  <c r="BG440" i="35"/>
  <c r="BF440" i="35"/>
  <c r="BE440" i="35"/>
  <c r="BD440" i="35"/>
  <c r="BA440" i="35"/>
  <c r="AZ440" i="35"/>
  <c r="AY440" i="35"/>
  <c r="AX440" i="35"/>
  <c r="AW440" i="35"/>
  <c r="AV440" i="35"/>
  <c r="AU440" i="35"/>
  <c r="AT440" i="35"/>
  <c r="AS440" i="35"/>
  <c r="AR440" i="35"/>
  <c r="AQ440" i="35"/>
  <c r="AP440" i="35"/>
  <c r="BC440" i="35" s="1"/>
  <c r="AO440" i="35"/>
  <c r="AL440" i="35"/>
  <c r="AM440" i="35" s="1"/>
  <c r="AK440" i="35"/>
  <c r="AJ440" i="35"/>
  <c r="AI440" i="35"/>
  <c r="AF440" i="35"/>
  <c r="AC440" i="35"/>
  <c r="AB440" i="35"/>
  <c r="AA440" i="35"/>
  <c r="Z440" i="35"/>
  <c r="Y440" i="35"/>
  <c r="X440" i="35"/>
  <c r="T440" i="35"/>
  <c r="BK440" i="35" s="1"/>
  <c r="O440" i="35"/>
  <c r="N440" i="35"/>
  <c r="M440" i="35"/>
  <c r="L440" i="35"/>
  <c r="K440" i="35"/>
  <c r="J440" i="35"/>
  <c r="I440" i="35"/>
  <c r="H440" i="35"/>
  <c r="BK439" i="35"/>
  <c r="BJ439" i="35"/>
  <c r="BI439" i="35"/>
  <c r="BG439" i="35"/>
  <c r="BF439" i="35"/>
  <c r="BE439" i="35"/>
  <c r="BD439" i="35"/>
  <c r="BC439" i="35"/>
  <c r="AZ439" i="35"/>
  <c r="AY439" i="35"/>
  <c r="AX439" i="35"/>
  <c r="AW439" i="35"/>
  <c r="AV439" i="35"/>
  <c r="AU439" i="35"/>
  <c r="AT439" i="35"/>
  <c r="AS439" i="35"/>
  <c r="AR439" i="35"/>
  <c r="AQ439" i="35"/>
  <c r="BH439" i="35" s="1"/>
  <c r="AP439" i="35"/>
  <c r="BB439" i="35" s="1"/>
  <c r="AO439" i="35"/>
  <c r="AM439" i="35"/>
  <c r="AL439" i="35"/>
  <c r="AK439" i="35"/>
  <c r="AI439" i="35"/>
  <c r="AJ439" i="35" s="1"/>
  <c r="AF439" i="35"/>
  <c r="AC439" i="35"/>
  <c r="AB439" i="35"/>
  <c r="AA439" i="35"/>
  <c r="Z439" i="35"/>
  <c r="Y439" i="35"/>
  <c r="X439" i="35"/>
  <c r="W439" i="35"/>
  <c r="T439" i="35"/>
  <c r="O439" i="35"/>
  <c r="N439" i="35"/>
  <c r="M439" i="35"/>
  <c r="L439" i="35"/>
  <c r="K439" i="35"/>
  <c r="J439" i="35"/>
  <c r="I439" i="35"/>
  <c r="H439" i="35"/>
  <c r="BK438" i="35"/>
  <c r="BJ438" i="35"/>
  <c r="BI438" i="35"/>
  <c r="BD438" i="35"/>
  <c r="BC438" i="35"/>
  <c r="AR438" i="35"/>
  <c r="AQ438" i="35"/>
  <c r="BH438" i="35" s="1"/>
  <c r="AP438" i="35"/>
  <c r="BA438" i="35" s="1"/>
  <c r="AO438" i="35"/>
  <c r="AL438" i="35"/>
  <c r="AK438" i="35"/>
  <c r="AM438" i="35" s="1"/>
  <c r="AJ438" i="35"/>
  <c r="AI438" i="35"/>
  <c r="AF438" i="35"/>
  <c r="AC438" i="35"/>
  <c r="AB438" i="35"/>
  <c r="AA438" i="35"/>
  <c r="Z438" i="35"/>
  <c r="Y438" i="35"/>
  <c r="X438" i="35"/>
  <c r="T438" i="35"/>
  <c r="W438" i="35" s="1"/>
  <c r="O438" i="35"/>
  <c r="N438" i="35"/>
  <c r="M438" i="35"/>
  <c r="L438" i="35"/>
  <c r="K438" i="35"/>
  <c r="J438" i="35"/>
  <c r="I438" i="35"/>
  <c r="H438" i="35"/>
  <c r="BJ437" i="35"/>
  <c r="BI437" i="35"/>
  <c r="AR437" i="35"/>
  <c r="AQ437" i="35"/>
  <c r="BH437" i="35" s="1"/>
  <c r="AP437" i="35"/>
  <c r="AO437" i="35"/>
  <c r="AL437" i="35"/>
  <c r="AK437" i="35"/>
  <c r="AM437" i="35" s="1"/>
  <c r="AI437" i="35"/>
  <c r="AJ437" i="35" s="1"/>
  <c r="AF437" i="35"/>
  <c r="AC437" i="35"/>
  <c r="AB437" i="35"/>
  <c r="AA437" i="35"/>
  <c r="Z437" i="35"/>
  <c r="Y437" i="35"/>
  <c r="X437" i="35"/>
  <c r="W437" i="35"/>
  <c r="T437" i="35"/>
  <c r="BK437" i="35" s="1"/>
  <c r="O437" i="35"/>
  <c r="N437" i="35"/>
  <c r="M437" i="35"/>
  <c r="L437" i="35"/>
  <c r="K437" i="35"/>
  <c r="J437" i="35"/>
  <c r="I437" i="35"/>
  <c r="H437" i="35"/>
  <c r="BJ436" i="35"/>
  <c r="BI436" i="35"/>
  <c r="BH436" i="35"/>
  <c r="BB436" i="35"/>
  <c r="BA436" i="35"/>
  <c r="AR436" i="35"/>
  <c r="AQ436" i="35"/>
  <c r="AP436" i="35"/>
  <c r="AO436" i="35"/>
  <c r="AM436" i="35"/>
  <c r="AL436" i="35"/>
  <c r="AK436" i="35"/>
  <c r="AJ436" i="35"/>
  <c r="AI436" i="35"/>
  <c r="AF436" i="35"/>
  <c r="AC436" i="35"/>
  <c r="AB436" i="35"/>
  <c r="AA436" i="35"/>
  <c r="Z436" i="35"/>
  <c r="Y436" i="35"/>
  <c r="X436" i="35"/>
  <c r="T436" i="35"/>
  <c r="BK436" i="35" s="1"/>
  <c r="O436" i="35"/>
  <c r="N436" i="35"/>
  <c r="M436" i="35"/>
  <c r="L436" i="35"/>
  <c r="K436" i="35"/>
  <c r="J436" i="35"/>
  <c r="I436" i="35"/>
  <c r="H436" i="35"/>
  <c r="BK435" i="35"/>
  <c r="BJ435" i="35"/>
  <c r="BI435" i="35"/>
  <c r="BH435" i="35"/>
  <c r="BG435" i="35"/>
  <c r="BF435" i="35"/>
  <c r="BD435" i="35"/>
  <c r="BC435" i="35"/>
  <c r="BA435" i="35"/>
  <c r="AZ435" i="35"/>
  <c r="AY435" i="35"/>
  <c r="AV435" i="35"/>
  <c r="AU435" i="35"/>
  <c r="AT435" i="35"/>
  <c r="AR435" i="35"/>
  <c r="AQ435" i="35"/>
  <c r="AP435" i="35"/>
  <c r="AX435" i="35" s="1"/>
  <c r="AO435" i="35"/>
  <c r="AM435" i="35"/>
  <c r="AL435" i="35"/>
  <c r="AK435" i="35"/>
  <c r="AI435" i="35"/>
  <c r="AJ435" i="35" s="1"/>
  <c r="AF435" i="35"/>
  <c r="AC435" i="35"/>
  <c r="AB435" i="35"/>
  <c r="AA435" i="35"/>
  <c r="Z435" i="35"/>
  <c r="Y435" i="35"/>
  <c r="X435" i="35"/>
  <c r="T435" i="35"/>
  <c r="W435" i="35" s="1"/>
  <c r="O435" i="35"/>
  <c r="N435" i="35"/>
  <c r="M435" i="35"/>
  <c r="L435" i="35"/>
  <c r="K435" i="35"/>
  <c r="J435" i="35"/>
  <c r="I435" i="35"/>
  <c r="H435" i="35"/>
  <c r="BK434" i="35"/>
  <c r="BJ434" i="35"/>
  <c r="BI434" i="35"/>
  <c r="BG434" i="35"/>
  <c r="BF434" i="35"/>
  <c r="BE434" i="35"/>
  <c r="BC434" i="35"/>
  <c r="AZ434" i="35"/>
  <c r="AY434" i="35"/>
  <c r="AX434" i="35"/>
  <c r="AU434" i="35"/>
  <c r="AT434" i="35"/>
  <c r="AS434" i="35"/>
  <c r="AR434" i="35"/>
  <c r="AQ434" i="35"/>
  <c r="BH434" i="35" s="1"/>
  <c r="AP434" i="35"/>
  <c r="AW434" i="35" s="1"/>
  <c r="AO434" i="35"/>
  <c r="AL434" i="35"/>
  <c r="AM434" i="35" s="1"/>
  <c r="AK434" i="35"/>
  <c r="AJ434" i="35"/>
  <c r="AI434" i="35"/>
  <c r="AF434" i="35"/>
  <c r="AC434" i="35"/>
  <c r="AB434" i="35"/>
  <c r="AA434" i="35"/>
  <c r="Z434" i="35"/>
  <c r="Y434" i="35"/>
  <c r="X434" i="35"/>
  <c r="W434" i="35"/>
  <c r="T434" i="35"/>
  <c r="O434" i="35"/>
  <c r="N434" i="35"/>
  <c r="M434" i="35"/>
  <c r="L434" i="35"/>
  <c r="K434" i="35"/>
  <c r="J434" i="35"/>
  <c r="I434" i="35"/>
  <c r="H434" i="35"/>
  <c r="BK433" i="35"/>
  <c r="BJ433" i="35"/>
  <c r="BI433" i="35"/>
  <c r="AY433" i="35"/>
  <c r="AX433" i="35"/>
  <c r="AW433" i="35"/>
  <c r="AR433" i="35"/>
  <c r="AQ433" i="35"/>
  <c r="BH433" i="35" s="1"/>
  <c r="AP433" i="35"/>
  <c r="AV433" i="35" s="1"/>
  <c r="AO433" i="35"/>
  <c r="AL433" i="35"/>
  <c r="AK433" i="35"/>
  <c r="AM433" i="35" s="1"/>
  <c r="AJ433" i="35"/>
  <c r="AI433" i="35"/>
  <c r="AF433" i="35"/>
  <c r="AC433" i="35"/>
  <c r="AB433" i="35"/>
  <c r="AA433" i="35"/>
  <c r="Z433" i="35"/>
  <c r="Y433" i="35"/>
  <c r="X433" i="35"/>
  <c r="W433" i="35"/>
  <c r="T433" i="35"/>
  <c r="O433" i="35"/>
  <c r="N433" i="35"/>
  <c r="M433" i="35"/>
  <c r="L433" i="35"/>
  <c r="K433" i="35"/>
  <c r="J433" i="35"/>
  <c r="I433" i="35"/>
  <c r="H433" i="35"/>
  <c r="BJ432" i="35"/>
  <c r="BI432" i="35"/>
  <c r="BH432" i="35"/>
  <c r="BE432" i="35"/>
  <c r="BD432" i="35"/>
  <c r="BC432" i="35"/>
  <c r="BA432" i="35"/>
  <c r="AZ432" i="35"/>
  <c r="AY432" i="35"/>
  <c r="AX432" i="35"/>
  <c r="AW432" i="35"/>
  <c r="AV432" i="35"/>
  <c r="AS432" i="35"/>
  <c r="AR432" i="35"/>
  <c r="AQ432" i="35"/>
  <c r="AP432" i="35"/>
  <c r="BG432" i="35" s="1"/>
  <c r="AO432" i="35"/>
  <c r="AL432" i="35"/>
  <c r="AK432" i="35"/>
  <c r="AM432" i="35" s="1"/>
  <c r="AI432" i="35"/>
  <c r="AJ432" i="35" s="1"/>
  <c r="AF432" i="35"/>
  <c r="AC432" i="35"/>
  <c r="AB432" i="35"/>
  <c r="AA432" i="35"/>
  <c r="Z432" i="35"/>
  <c r="Y432" i="35"/>
  <c r="X432" i="35"/>
  <c r="T432" i="35"/>
  <c r="BK432" i="35" s="1"/>
  <c r="O432" i="35"/>
  <c r="N432" i="35"/>
  <c r="M432" i="35"/>
  <c r="L432" i="35"/>
  <c r="K432" i="35"/>
  <c r="J432" i="35"/>
  <c r="I432" i="35"/>
  <c r="H432" i="35"/>
  <c r="BJ431" i="35"/>
  <c r="BI431" i="35"/>
  <c r="BH431" i="35"/>
  <c r="BG431" i="35"/>
  <c r="BD431" i="35"/>
  <c r="AZ431" i="35"/>
  <c r="AW431" i="35"/>
  <c r="AV431" i="35"/>
  <c r="AU431" i="35"/>
  <c r="AR431" i="35"/>
  <c r="AQ431" i="35"/>
  <c r="AP431" i="35"/>
  <c r="BF431" i="35" s="1"/>
  <c r="AO431" i="35"/>
  <c r="AM431" i="35"/>
  <c r="AL431" i="35"/>
  <c r="AK431" i="35"/>
  <c r="AI431" i="35"/>
  <c r="AJ431" i="35" s="1"/>
  <c r="AF431" i="35"/>
  <c r="AC431" i="35"/>
  <c r="AB431" i="35"/>
  <c r="AA431" i="35"/>
  <c r="Z431" i="35"/>
  <c r="Y431" i="35"/>
  <c r="X431" i="35"/>
  <c r="T431" i="35"/>
  <c r="O431" i="35"/>
  <c r="N431" i="35"/>
  <c r="M431" i="35"/>
  <c r="L431" i="35"/>
  <c r="K431" i="35"/>
  <c r="J431" i="35"/>
  <c r="I431" i="35"/>
  <c r="H431" i="35"/>
  <c r="BK430" i="35"/>
  <c r="BJ430" i="35"/>
  <c r="BI430" i="35"/>
  <c r="BG430" i="35"/>
  <c r="BF430" i="35"/>
  <c r="BC430" i="35"/>
  <c r="BA430" i="35"/>
  <c r="AY430" i="35"/>
  <c r="AV430" i="35"/>
  <c r="AU430" i="35"/>
  <c r="AT430" i="35"/>
  <c r="AR430" i="35"/>
  <c r="AQ430" i="35"/>
  <c r="BH430" i="35" s="1"/>
  <c r="AP430" i="35"/>
  <c r="BE430" i="35" s="1"/>
  <c r="AO430" i="35"/>
  <c r="AL430" i="35"/>
  <c r="AK430" i="35"/>
  <c r="AM430" i="35" s="1"/>
  <c r="AI430" i="35"/>
  <c r="AJ430" i="35" s="1"/>
  <c r="AF430" i="35"/>
  <c r="AC430" i="35"/>
  <c r="AB430" i="35"/>
  <c r="AA430" i="35"/>
  <c r="Z430" i="35"/>
  <c r="Y430" i="35"/>
  <c r="X430" i="35"/>
  <c r="W430" i="35"/>
  <c r="T430" i="35"/>
  <c r="O430" i="35"/>
  <c r="N430" i="35"/>
  <c r="M430" i="35"/>
  <c r="L430" i="35"/>
  <c r="K430" i="35"/>
  <c r="J430" i="35"/>
  <c r="I430" i="35"/>
  <c r="H430" i="35"/>
  <c r="BJ429" i="35"/>
  <c r="BI429" i="35"/>
  <c r="BH429" i="35"/>
  <c r="BF429" i="35"/>
  <c r="BE429" i="35"/>
  <c r="BB429" i="35"/>
  <c r="AX429" i="35"/>
  <c r="AU429" i="35"/>
  <c r="AT429" i="35"/>
  <c r="AR429" i="35"/>
  <c r="AQ429" i="35"/>
  <c r="AP429" i="35"/>
  <c r="BG429" i="35" s="1"/>
  <c r="AO429" i="35"/>
  <c r="AL429" i="35"/>
  <c r="AK429" i="35"/>
  <c r="AM429" i="35" s="1"/>
  <c r="AJ429" i="35"/>
  <c r="AI429" i="35"/>
  <c r="AF429" i="35"/>
  <c r="AC429" i="35"/>
  <c r="AB429" i="35"/>
  <c r="AA429" i="35"/>
  <c r="Z429" i="35"/>
  <c r="Y429" i="35"/>
  <c r="X429" i="35"/>
  <c r="W429" i="35"/>
  <c r="T429" i="35"/>
  <c r="BK429" i="35" s="1"/>
  <c r="O429" i="35"/>
  <c r="N429" i="35"/>
  <c r="M429" i="35"/>
  <c r="L429" i="35"/>
  <c r="K429" i="35"/>
  <c r="J429" i="35"/>
  <c r="I429" i="35"/>
  <c r="H429" i="35"/>
  <c r="BJ428" i="35"/>
  <c r="BI428" i="35"/>
  <c r="BH428" i="35"/>
  <c r="BG428" i="35"/>
  <c r="BF428" i="35"/>
  <c r="BE428" i="35"/>
  <c r="BD428" i="35"/>
  <c r="BA428" i="35"/>
  <c r="AZ428" i="35"/>
  <c r="AY428" i="35"/>
  <c r="AX428" i="35"/>
  <c r="AW428" i="35"/>
  <c r="AV428" i="35"/>
  <c r="AU428" i="35"/>
  <c r="AT428" i="35"/>
  <c r="AS428" i="35"/>
  <c r="AR428" i="35"/>
  <c r="AQ428" i="35"/>
  <c r="AP428" i="35"/>
  <c r="BC428" i="35" s="1"/>
  <c r="AO428" i="35"/>
  <c r="AL428" i="35"/>
  <c r="AM428" i="35" s="1"/>
  <c r="AK428" i="35"/>
  <c r="AJ428" i="35"/>
  <c r="AI428" i="35"/>
  <c r="AF428" i="35"/>
  <c r="AC428" i="35"/>
  <c r="AB428" i="35"/>
  <c r="AA428" i="35"/>
  <c r="Z428" i="35"/>
  <c r="Y428" i="35"/>
  <c r="X428" i="35"/>
  <c r="T428" i="35"/>
  <c r="O428" i="35"/>
  <c r="N428" i="35"/>
  <c r="M428" i="35"/>
  <c r="L428" i="35"/>
  <c r="K428" i="35"/>
  <c r="J428" i="35"/>
  <c r="I428" i="35"/>
  <c r="H428" i="35"/>
  <c r="BK427" i="35"/>
  <c r="BJ427" i="35"/>
  <c r="BI427" i="35"/>
  <c r="BH427" i="35"/>
  <c r="BG427" i="35"/>
  <c r="BF427" i="35"/>
  <c r="BE427" i="35"/>
  <c r="BD427" i="35"/>
  <c r="BC427" i="35"/>
  <c r="AZ427" i="35"/>
  <c r="AY427" i="35"/>
  <c r="AX427" i="35"/>
  <c r="AW427" i="35"/>
  <c r="AV427" i="35"/>
  <c r="AU427" i="35"/>
  <c r="AT427" i="35"/>
  <c r="AS427" i="35"/>
  <c r="AR427" i="35"/>
  <c r="AQ427" i="35"/>
  <c r="AP427" i="35"/>
  <c r="BB427" i="35" s="1"/>
  <c r="AO427" i="35"/>
  <c r="AL427" i="35"/>
  <c r="AK427" i="35"/>
  <c r="AM427" i="35" s="1"/>
  <c r="AI427" i="35"/>
  <c r="AJ427" i="35" s="1"/>
  <c r="AF427" i="35"/>
  <c r="AC427" i="35"/>
  <c r="AB427" i="35"/>
  <c r="AA427" i="35"/>
  <c r="Z427" i="35"/>
  <c r="Y427" i="35"/>
  <c r="X427" i="35"/>
  <c r="W427" i="35"/>
  <c r="T427" i="35"/>
  <c r="O427" i="35"/>
  <c r="N427" i="35"/>
  <c r="M427" i="35"/>
  <c r="L427" i="35"/>
  <c r="K427" i="35"/>
  <c r="J427" i="35"/>
  <c r="I427" i="35"/>
  <c r="H427" i="35"/>
  <c r="BJ426" i="35"/>
  <c r="BI426" i="35"/>
  <c r="BG426" i="35"/>
  <c r="BD426" i="35"/>
  <c r="BC426" i="35"/>
  <c r="BB426" i="35"/>
  <c r="AR426" i="35"/>
  <c r="AQ426" i="35"/>
  <c r="BH426" i="35" s="1"/>
  <c r="AP426" i="35"/>
  <c r="AO426" i="35"/>
  <c r="AL426" i="35"/>
  <c r="AK426" i="35"/>
  <c r="AM426" i="35" s="1"/>
  <c r="AJ426" i="35"/>
  <c r="AI426" i="35"/>
  <c r="AF426" i="35"/>
  <c r="AC426" i="35"/>
  <c r="AB426" i="35"/>
  <c r="AA426" i="35"/>
  <c r="Z426" i="35"/>
  <c r="Y426" i="35"/>
  <c r="X426" i="35"/>
  <c r="T426" i="35"/>
  <c r="W426" i="35" s="1"/>
  <c r="O426" i="35"/>
  <c r="N426" i="35"/>
  <c r="M426" i="35"/>
  <c r="L426" i="35"/>
  <c r="K426" i="35"/>
  <c r="J426" i="35"/>
  <c r="I426" i="35"/>
  <c r="H426" i="35"/>
  <c r="BJ425" i="35"/>
  <c r="BI425" i="35"/>
  <c r="BH425" i="35"/>
  <c r="BF425" i="35"/>
  <c r="BC425" i="35"/>
  <c r="BB425" i="35"/>
  <c r="BA425" i="35"/>
  <c r="AX425" i="35"/>
  <c r="AV425" i="35"/>
  <c r="AR425" i="35"/>
  <c r="AQ425" i="35"/>
  <c r="AP425" i="35"/>
  <c r="AO425" i="35"/>
  <c r="AL425" i="35"/>
  <c r="AK425" i="35"/>
  <c r="AM425" i="35" s="1"/>
  <c r="AI425" i="35"/>
  <c r="AJ425" i="35" s="1"/>
  <c r="AF425" i="35"/>
  <c r="AC425" i="35"/>
  <c r="AB425" i="35"/>
  <c r="AA425" i="35"/>
  <c r="Z425" i="35"/>
  <c r="Y425" i="35"/>
  <c r="X425" i="35"/>
  <c r="W425" i="35"/>
  <c r="T425" i="35"/>
  <c r="BK425" i="35" s="1"/>
  <c r="O425" i="35"/>
  <c r="N425" i="35"/>
  <c r="M425" i="35"/>
  <c r="L425" i="35"/>
  <c r="K425" i="35"/>
  <c r="J425" i="35"/>
  <c r="I425" i="35"/>
  <c r="H425" i="35"/>
  <c r="BJ424" i="35"/>
  <c r="BI424" i="35"/>
  <c r="BH424" i="35"/>
  <c r="BE424" i="35"/>
  <c r="BB424" i="35"/>
  <c r="BA424" i="35"/>
  <c r="AZ424" i="35"/>
  <c r="AW424" i="35"/>
  <c r="AU424" i="35"/>
  <c r="AR424" i="35"/>
  <c r="AQ424" i="35"/>
  <c r="AP424" i="35"/>
  <c r="BG424" i="35" s="1"/>
  <c r="AO424" i="35"/>
  <c r="AM424" i="35"/>
  <c r="AL424" i="35"/>
  <c r="AK424" i="35"/>
  <c r="AJ424" i="35"/>
  <c r="AI424" i="35"/>
  <c r="AF424" i="35"/>
  <c r="AC424" i="35"/>
  <c r="AB424" i="35"/>
  <c r="AA424" i="35"/>
  <c r="Z424" i="35"/>
  <c r="Y424" i="35"/>
  <c r="X424" i="35"/>
  <c r="T424" i="35"/>
  <c r="O424" i="35"/>
  <c r="N424" i="35"/>
  <c r="M424" i="35"/>
  <c r="L424" i="35"/>
  <c r="K424" i="35"/>
  <c r="J424" i="35"/>
  <c r="I424" i="35"/>
  <c r="H424" i="35"/>
  <c r="BK423" i="35"/>
  <c r="BJ423" i="35"/>
  <c r="BI423" i="35"/>
  <c r="BH423" i="35"/>
  <c r="BG423" i="35"/>
  <c r="BF423" i="35"/>
  <c r="BD423" i="35"/>
  <c r="BA423" i="35"/>
  <c r="AZ423" i="35"/>
  <c r="AY423" i="35"/>
  <c r="AV423" i="35"/>
  <c r="AU423" i="35"/>
  <c r="AT423" i="35"/>
  <c r="AR423" i="35"/>
  <c r="AQ423" i="35"/>
  <c r="AP423" i="35"/>
  <c r="AX423" i="35" s="1"/>
  <c r="AO423" i="35"/>
  <c r="AL423" i="35"/>
  <c r="AM423" i="35" s="1"/>
  <c r="AK423" i="35"/>
  <c r="AI423" i="35"/>
  <c r="AJ423" i="35" s="1"/>
  <c r="AF423" i="35"/>
  <c r="AC423" i="35"/>
  <c r="AB423" i="35"/>
  <c r="AA423" i="35"/>
  <c r="Z423" i="35"/>
  <c r="Y423" i="35"/>
  <c r="X423" i="35"/>
  <c r="W423" i="35"/>
  <c r="T423" i="35"/>
  <c r="O423" i="35"/>
  <c r="N423" i="35"/>
  <c r="M423" i="35"/>
  <c r="L423" i="35"/>
  <c r="K423" i="35"/>
  <c r="J423" i="35"/>
  <c r="I423" i="35"/>
  <c r="H423" i="35"/>
  <c r="BK422" i="35"/>
  <c r="BJ422" i="35"/>
  <c r="BI422" i="35"/>
  <c r="BG422" i="35"/>
  <c r="BF422" i="35"/>
  <c r="BE422" i="35"/>
  <c r="BC422" i="35"/>
  <c r="AZ422" i="35"/>
  <c r="AY422" i="35"/>
  <c r="AX422" i="35"/>
  <c r="AU422" i="35"/>
  <c r="AT422" i="35"/>
  <c r="AS422" i="35"/>
  <c r="AR422" i="35"/>
  <c r="AQ422" i="35"/>
  <c r="BH422" i="35" s="1"/>
  <c r="AP422" i="35"/>
  <c r="AW422" i="35" s="1"/>
  <c r="AO422" i="35"/>
  <c r="AM422" i="35"/>
  <c r="AL422" i="35"/>
  <c r="AK422" i="35"/>
  <c r="AJ422" i="35"/>
  <c r="AI422" i="35"/>
  <c r="AF422" i="35"/>
  <c r="AC422" i="35"/>
  <c r="AB422" i="35"/>
  <c r="AA422" i="35"/>
  <c r="Z422" i="35"/>
  <c r="Y422" i="35"/>
  <c r="X422" i="35"/>
  <c r="W422" i="35"/>
  <c r="T422" i="35"/>
  <c r="O422" i="35"/>
  <c r="N422" i="35"/>
  <c r="M422" i="35"/>
  <c r="L422" i="35"/>
  <c r="K422" i="35"/>
  <c r="J422" i="35"/>
  <c r="I422" i="35"/>
  <c r="H422" i="35"/>
  <c r="BK421" i="35"/>
  <c r="BJ421" i="35"/>
  <c r="BI421" i="35"/>
  <c r="AY421" i="35"/>
  <c r="AX421" i="35"/>
  <c r="AW421" i="35"/>
  <c r="AT421" i="35"/>
  <c r="AS421" i="35"/>
  <c r="AR421" i="35"/>
  <c r="AQ421" i="35"/>
  <c r="BH421" i="35" s="1"/>
  <c r="AP421" i="35"/>
  <c r="BF421" i="35" s="1"/>
  <c r="AO421" i="35"/>
  <c r="AL421" i="35"/>
  <c r="AK421" i="35"/>
  <c r="AJ421" i="35"/>
  <c r="AI421" i="35"/>
  <c r="AF421" i="35"/>
  <c r="AC421" i="35"/>
  <c r="AB421" i="35"/>
  <c r="AA421" i="35"/>
  <c r="Z421" i="35"/>
  <c r="Y421" i="35"/>
  <c r="X421" i="35"/>
  <c r="T421" i="35"/>
  <c r="W421" i="35" s="1"/>
  <c r="O421" i="35"/>
  <c r="N421" i="35"/>
  <c r="M421" i="35"/>
  <c r="L421" i="35"/>
  <c r="K421" i="35"/>
  <c r="J421" i="35"/>
  <c r="I421" i="35"/>
  <c r="H421" i="35"/>
  <c r="BJ420" i="35"/>
  <c r="BI420" i="35"/>
  <c r="BE420" i="35"/>
  <c r="BD420" i="35"/>
  <c r="BC420" i="35"/>
  <c r="BA420" i="35"/>
  <c r="AZ420" i="35"/>
  <c r="AY420" i="35"/>
  <c r="AX420" i="35"/>
  <c r="AW420" i="35"/>
  <c r="AV420" i="35"/>
  <c r="AS420" i="35"/>
  <c r="AR420" i="35"/>
  <c r="AQ420" i="35"/>
  <c r="BH420" i="35" s="1"/>
  <c r="AP420" i="35"/>
  <c r="BG420" i="35" s="1"/>
  <c r="AO420" i="35"/>
  <c r="AL420" i="35"/>
  <c r="AK420" i="35"/>
  <c r="AM420" i="35" s="1"/>
  <c r="AI420" i="35"/>
  <c r="AJ420" i="35" s="1"/>
  <c r="AF420" i="35"/>
  <c r="AC420" i="35"/>
  <c r="AB420" i="35"/>
  <c r="AA420" i="35"/>
  <c r="Z420" i="35"/>
  <c r="Y420" i="35"/>
  <c r="X420" i="35"/>
  <c r="T420" i="35"/>
  <c r="BK420" i="35" s="1"/>
  <c r="O420" i="35"/>
  <c r="N420" i="35"/>
  <c r="M420" i="35"/>
  <c r="L420" i="35"/>
  <c r="K420" i="35"/>
  <c r="J420" i="35"/>
  <c r="I420" i="35"/>
  <c r="H420" i="35"/>
  <c r="BJ419" i="35"/>
  <c r="BI419" i="35"/>
  <c r="BH419" i="35"/>
  <c r="BG419" i="35"/>
  <c r="BD419" i="35"/>
  <c r="BC419" i="35"/>
  <c r="AR419" i="35"/>
  <c r="AQ419" i="35"/>
  <c r="AP419" i="35"/>
  <c r="BB419" i="35" s="1"/>
  <c r="AO419" i="35"/>
  <c r="AM419" i="35"/>
  <c r="AL419" i="35"/>
  <c r="AK419" i="35"/>
  <c r="AJ419" i="35"/>
  <c r="AI419" i="35"/>
  <c r="AF419" i="35"/>
  <c r="AC419" i="35"/>
  <c r="AB419" i="35"/>
  <c r="AA419" i="35"/>
  <c r="Z419" i="35"/>
  <c r="Y419" i="35"/>
  <c r="X419" i="35"/>
  <c r="T419" i="35"/>
  <c r="O419" i="35"/>
  <c r="N419" i="35"/>
  <c r="M419" i="35"/>
  <c r="L419" i="35"/>
  <c r="K419" i="35"/>
  <c r="J419" i="35"/>
  <c r="I419" i="35"/>
  <c r="H419" i="35"/>
  <c r="BK418" i="35"/>
  <c r="BJ418" i="35"/>
  <c r="BI418" i="35"/>
  <c r="AR418" i="35"/>
  <c r="AQ418" i="35"/>
  <c r="BH418" i="35" s="1"/>
  <c r="AP418" i="35"/>
  <c r="AO418" i="35"/>
  <c r="AL418" i="35"/>
  <c r="AK418" i="35"/>
  <c r="AI418" i="35"/>
  <c r="AJ418" i="35" s="1"/>
  <c r="AF418" i="35"/>
  <c r="AC418" i="35"/>
  <c r="AB418" i="35"/>
  <c r="AA418" i="35"/>
  <c r="Z418" i="35"/>
  <c r="Y418" i="35"/>
  <c r="X418" i="35"/>
  <c r="W418" i="35"/>
  <c r="T418" i="35"/>
  <c r="O418" i="35"/>
  <c r="N418" i="35"/>
  <c r="M418" i="35"/>
  <c r="L418" i="35"/>
  <c r="K418" i="35"/>
  <c r="J418" i="35"/>
  <c r="I418" i="35"/>
  <c r="H418" i="35"/>
  <c r="BJ417" i="35"/>
  <c r="BI417" i="35"/>
  <c r="BH417" i="35"/>
  <c r="BG417" i="35"/>
  <c r="AW417" i="35"/>
  <c r="AV417" i="35"/>
  <c r="AU417" i="35"/>
  <c r="AT417" i="35"/>
  <c r="AS417" i="35"/>
  <c r="AR417" i="35"/>
  <c r="AQ417" i="35"/>
  <c r="AP417" i="35"/>
  <c r="BB417" i="35" s="1"/>
  <c r="AO417" i="35"/>
  <c r="AM417" i="35"/>
  <c r="AL417" i="35"/>
  <c r="AK417" i="35"/>
  <c r="AJ417" i="35"/>
  <c r="AI417" i="35"/>
  <c r="AF417" i="35"/>
  <c r="AC417" i="35"/>
  <c r="AB417" i="35"/>
  <c r="AA417" i="35"/>
  <c r="Z417" i="35"/>
  <c r="Y417" i="35"/>
  <c r="X417" i="35"/>
  <c r="T417" i="35"/>
  <c r="BK417" i="35" s="1"/>
  <c r="O417" i="35"/>
  <c r="N417" i="35"/>
  <c r="M417" i="35"/>
  <c r="L417" i="35"/>
  <c r="K417" i="35"/>
  <c r="J417" i="35"/>
  <c r="I417" i="35"/>
  <c r="H417" i="35"/>
  <c r="BJ416" i="35"/>
  <c r="BI416" i="35"/>
  <c r="BH416" i="35"/>
  <c r="BG416" i="35"/>
  <c r="BF416" i="35"/>
  <c r="BE416" i="35"/>
  <c r="BD416" i="35"/>
  <c r="BA416" i="35"/>
  <c r="AZ416" i="35"/>
  <c r="AY416" i="35"/>
  <c r="AW416" i="35"/>
  <c r="AV416" i="35"/>
  <c r="AU416" i="35"/>
  <c r="AT416" i="35"/>
  <c r="AS416" i="35"/>
  <c r="AR416" i="35"/>
  <c r="AQ416" i="35"/>
  <c r="AP416" i="35"/>
  <c r="BC416" i="35" s="1"/>
  <c r="AO416" i="35"/>
  <c r="AM416" i="35"/>
  <c r="AL416" i="35"/>
  <c r="AK416" i="35"/>
  <c r="AI416" i="35"/>
  <c r="AJ416" i="35" s="1"/>
  <c r="AF416" i="35"/>
  <c r="AC416" i="35"/>
  <c r="AB416" i="35"/>
  <c r="AA416" i="35"/>
  <c r="Z416" i="35"/>
  <c r="Y416" i="35"/>
  <c r="X416" i="35"/>
  <c r="T416" i="35"/>
  <c r="W416" i="35" s="1"/>
  <c r="O416" i="35"/>
  <c r="N416" i="35"/>
  <c r="M416" i="35"/>
  <c r="L416" i="35"/>
  <c r="K416" i="35"/>
  <c r="J416" i="35"/>
  <c r="I416" i="35"/>
  <c r="H416" i="35"/>
  <c r="BK415" i="35"/>
  <c r="BJ415" i="35"/>
  <c r="BI415" i="35"/>
  <c r="BH415" i="35"/>
  <c r="BG415" i="35"/>
  <c r="BF415" i="35"/>
  <c r="BE415" i="35"/>
  <c r="BD415" i="35"/>
  <c r="BC415" i="35"/>
  <c r="AZ415" i="35"/>
  <c r="AY415" i="35"/>
  <c r="AX415" i="35"/>
  <c r="AV415" i="35"/>
  <c r="AU415" i="35"/>
  <c r="AT415" i="35"/>
  <c r="AS415" i="35"/>
  <c r="AR415" i="35"/>
  <c r="AQ415" i="35"/>
  <c r="AP415" i="35"/>
  <c r="BB415" i="35" s="1"/>
  <c r="AO415" i="35"/>
  <c r="AL415" i="35"/>
  <c r="AK415" i="35"/>
  <c r="AM415" i="35" s="1"/>
  <c r="AI415" i="35"/>
  <c r="AJ415" i="35" s="1"/>
  <c r="AF415" i="35"/>
  <c r="AC415" i="35"/>
  <c r="AB415" i="35"/>
  <c r="AA415" i="35"/>
  <c r="Z415" i="35"/>
  <c r="Y415" i="35"/>
  <c r="X415" i="35"/>
  <c r="T415" i="35"/>
  <c r="W415" i="35" s="1"/>
  <c r="O415" i="35"/>
  <c r="N415" i="35"/>
  <c r="M415" i="35"/>
  <c r="L415" i="35"/>
  <c r="K415" i="35"/>
  <c r="J415" i="35"/>
  <c r="I415" i="35"/>
  <c r="H415" i="35"/>
  <c r="BJ414" i="35"/>
  <c r="BI414" i="35"/>
  <c r="BH414" i="35"/>
  <c r="BG414" i="35"/>
  <c r="BF414" i="35"/>
  <c r="BE414" i="35"/>
  <c r="BC414" i="35"/>
  <c r="BA414" i="35"/>
  <c r="AX414" i="35"/>
  <c r="AW414" i="35"/>
  <c r="AV414" i="35"/>
  <c r="AU414" i="35"/>
  <c r="AT414" i="35"/>
  <c r="AS414" i="35"/>
  <c r="AR414" i="35"/>
  <c r="AQ414" i="35"/>
  <c r="AP414" i="35"/>
  <c r="BD414" i="35" s="1"/>
  <c r="AO414" i="35"/>
  <c r="AL414" i="35"/>
  <c r="AK414" i="35"/>
  <c r="AM414" i="35" s="1"/>
  <c r="AI414" i="35"/>
  <c r="AJ414" i="35" s="1"/>
  <c r="AF414" i="35"/>
  <c r="AC414" i="35"/>
  <c r="AB414" i="35"/>
  <c r="AA414" i="35"/>
  <c r="Z414" i="35"/>
  <c r="Y414" i="35"/>
  <c r="X414" i="35"/>
  <c r="W414" i="35"/>
  <c r="T414" i="35"/>
  <c r="BK414" i="35" s="1"/>
  <c r="O414" i="35"/>
  <c r="N414" i="35"/>
  <c r="M414" i="35"/>
  <c r="L414" i="35"/>
  <c r="K414" i="35"/>
  <c r="J414" i="35"/>
  <c r="I414" i="35"/>
  <c r="H414" i="35"/>
  <c r="BJ413" i="35"/>
  <c r="BI413" i="35"/>
  <c r="BH413" i="35"/>
  <c r="BG413" i="35"/>
  <c r="BF413" i="35"/>
  <c r="BE413" i="35"/>
  <c r="BD413" i="35"/>
  <c r="AW413" i="35"/>
  <c r="AV413" i="35"/>
  <c r="AU413" i="35"/>
  <c r="AT413" i="35"/>
  <c r="AS413" i="35"/>
  <c r="AR413" i="35"/>
  <c r="AQ413" i="35"/>
  <c r="AP413" i="35"/>
  <c r="BC413" i="35" s="1"/>
  <c r="AO413" i="35"/>
  <c r="AM413" i="35"/>
  <c r="AL413" i="35"/>
  <c r="AK413" i="35"/>
  <c r="AJ413" i="35"/>
  <c r="AI413" i="35"/>
  <c r="AF413" i="35"/>
  <c r="AC413" i="35"/>
  <c r="AB413" i="35"/>
  <c r="AA413" i="35"/>
  <c r="Z413" i="35"/>
  <c r="Y413" i="35"/>
  <c r="X413" i="35"/>
  <c r="T413" i="35"/>
  <c r="BK413" i="35" s="1"/>
  <c r="O413" i="35"/>
  <c r="N413" i="35"/>
  <c r="M413" i="35"/>
  <c r="L413" i="35"/>
  <c r="K413" i="35"/>
  <c r="J413" i="35"/>
  <c r="I413" i="35"/>
  <c r="H413" i="35"/>
  <c r="BK412" i="35"/>
  <c r="BJ412" i="35"/>
  <c r="BI412" i="35"/>
  <c r="BH412" i="35"/>
  <c r="BG412" i="35"/>
  <c r="BF412" i="35"/>
  <c r="BE412" i="35"/>
  <c r="BD412" i="35"/>
  <c r="BC412" i="35"/>
  <c r="BA412" i="35"/>
  <c r="AZ412" i="35"/>
  <c r="AY412" i="35"/>
  <c r="AW412" i="35"/>
  <c r="AV412" i="35"/>
  <c r="AU412" i="35"/>
  <c r="AT412" i="35"/>
  <c r="AS412" i="35"/>
  <c r="AR412" i="35"/>
  <c r="AQ412" i="35"/>
  <c r="AP412" i="35"/>
  <c r="BB412" i="35" s="1"/>
  <c r="AO412" i="35"/>
  <c r="AL412" i="35"/>
  <c r="AM412" i="35" s="1"/>
  <c r="AK412" i="35"/>
  <c r="AI412" i="35"/>
  <c r="AJ412" i="35" s="1"/>
  <c r="AF412" i="35"/>
  <c r="AC412" i="35"/>
  <c r="AB412" i="35"/>
  <c r="AA412" i="35"/>
  <c r="Z412" i="35"/>
  <c r="Y412" i="35"/>
  <c r="X412" i="35"/>
  <c r="T412" i="35"/>
  <c r="W412" i="35" s="1"/>
  <c r="O412" i="35"/>
  <c r="N412" i="35"/>
  <c r="M412" i="35"/>
  <c r="L412" i="35"/>
  <c r="K412" i="35"/>
  <c r="J412" i="35"/>
  <c r="I412" i="35"/>
  <c r="H412" i="35"/>
  <c r="BK411" i="35"/>
  <c r="BJ411" i="35"/>
  <c r="BI411" i="35"/>
  <c r="BG411" i="35"/>
  <c r="BF411" i="35"/>
  <c r="BE411" i="35"/>
  <c r="BD411" i="35"/>
  <c r="BC411" i="35"/>
  <c r="AU411" i="35"/>
  <c r="AT411" i="35"/>
  <c r="AS411" i="35"/>
  <c r="AR411" i="35"/>
  <c r="AQ411" i="35"/>
  <c r="BH411" i="35" s="1"/>
  <c r="AP411" i="35"/>
  <c r="BA411" i="35" s="1"/>
  <c r="AO411" i="35"/>
  <c r="AM411" i="35"/>
  <c r="AL411" i="35"/>
  <c r="AK411" i="35"/>
  <c r="AI411" i="35"/>
  <c r="AJ411" i="35" s="1"/>
  <c r="AF411" i="35"/>
  <c r="AC411" i="35"/>
  <c r="AB411" i="35"/>
  <c r="AA411" i="35"/>
  <c r="Z411" i="35"/>
  <c r="Y411" i="35"/>
  <c r="X411" i="35"/>
  <c r="W411" i="35"/>
  <c r="T411" i="35"/>
  <c r="O411" i="35"/>
  <c r="N411" i="35"/>
  <c r="M411" i="35"/>
  <c r="L411" i="35"/>
  <c r="K411" i="35"/>
  <c r="J411" i="35"/>
  <c r="I411" i="35"/>
  <c r="H411" i="35"/>
  <c r="BK410" i="35"/>
  <c r="BJ410" i="35"/>
  <c r="BI410" i="35"/>
  <c r="BC410" i="35"/>
  <c r="AR410" i="35"/>
  <c r="AQ410" i="35"/>
  <c r="BH410" i="35" s="1"/>
  <c r="AP410" i="35"/>
  <c r="AO410" i="35"/>
  <c r="AL410" i="35"/>
  <c r="AK410" i="35"/>
  <c r="AM410" i="35" s="1"/>
  <c r="AJ410" i="35"/>
  <c r="AI410" i="35"/>
  <c r="AF410" i="35"/>
  <c r="AC410" i="35"/>
  <c r="AB410" i="35"/>
  <c r="AA410" i="35"/>
  <c r="Z410" i="35"/>
  <c r="Y410" i="35"/>
  <c r="X410" i="35"/>
  <c r="T410" i="35"/>
  <c r="W410" i="35" s="1"/>
  <c r="O410" i="35"/>
  <c r="N410" i="35"/>
  <c r="M410" i="35"/>
  <c r="L410" i="35"/>
  <c r="K410" i="35"/>
  <c r="J410" i="35"/>
  <c r="I410" i="35"/>
  <c r="H410" i="35"/>
  <c r="BJ409" i="35"/>
  <c r="BI409" i="35"/>
  <c r="BB409" i="35"/>
  <c r="BA409" i="35"/>
  <c r="AR409" i="35"/>
  <c r="AQ409" i="35"/>
  <c r="BH409" i="35" s="1"/>
  <c r="AP409" i="35"/>
  <c r="AO409" i="35"/>
  <c r="AL409" i="35"/>
  <c r="AK409" i="35"/>
  <c r="AM409" i="35" s="1"/>
  <c r="AI409" i="35"/>
  <c r="AJ409" i="35" s="1"/>
  <c r="AF409" i="35"/>
  <c r="AC409" i="35"/>
  <c r="AB409" i="35"/>
  <c r="AA409" i="35"/>
  <c r="Z409" i="35"/>
  <c r="Y409" i="35"/>
  <c r="X409" i="35"/>
  <c r="W409" i="35"/>
  <c r="T409" i="35"/>
  <c r="BK409" i="35" s="1"/>
  <c r="O409" i="35"/>
  <c r="N409" i="35"/>
  <c r="M409" i="35"/>
  <c r="L409" i="35"/>
  <c r="K409" i="35"/>
  <c r="J409" i="35"/>
  <c r="I409" i="35"/>
  <c r="H409" i="35"/>
  <c r="BJ408" i="35"/>
  <c r="BI408" i="35"/>
  <c r="BA408" i="35"/>
  <c r="AZ408" i="35"/>
  <c r="AR408" i="35"/>
  <c r="AQ408" i="35"/>
  <c r="BH408" i="35" s="1"/>
  <c r="AP408" i="35"/>
  <c r="AX408" i="35" s="1"/>
  <c r="AO408" i="35"/>
  <c r="AM408" i="35"/>
  <c r="AL408" i="35"/>
  <c r="AK408" i="35"/>
  <c r="AJ408" i="35"/>
  <c r="AI408" i="35"/>
  <c r="AF408" i="35"/>
  <c r="AC408" i="35"/>
  <c r="AB408" i="35"/>
  <c r="AA408" i="35"/>
  <c r="Z408" i="35"/>
  <c r="Y408" i="35"/>
  <c r="X408" i="35"/>
  <c r="T408" i="35"/>
  <c r="W408" i="35" s="1"/>
  <c r="O408" i="35"/>
  <c r="N408" i="35"/>
  <c r="M408" i="35"/>
  <c r="L408" i="35"/>
  <c r="K408" i="35"/>
  <c r="J408" i="35"/>
  <c r="I408" i="35"/>
  <c r="H408" i="35"/>
  <c r="BK407" i="35"/>
  <c r="BJ407" i="35"/>
  <c r="BI407" i="35"/>
  <c r="BC407" i="35"/>
  <c r="BA407" i="35"/>
  <c r="AZ407" i="35"/>
  <c r="AY407" i="35"/>
  <c r="AR407" i="35"/>
  <c r="AQ407" i="35"/>
  <c r="BH407" i="35" s="1"/>
  <c r="AP407" i="35"/>
  <c r="AW407" i="35" s="1"/>
  <c r="AO407" i="35"/>
  <c r="AL407" i="35"/>
  <c r="AM407" i="35" s="1"/>
  <c r="AK407" i="35"/>
  <c r="AI407" i="35"/>
  <c r="AJ407" i="35" s="1"/>
  <c r="AF407" i="35"/>
  <c r="AC407" i="35"/>
  <c r="AB407" i="35"/>
  <c r="AA407" i="35"/>
  <c r="Z407" i="35"/>
  <c r="Y407" i="35"/>
  <c r="X407" i="35"/>
  <c r="W407" i="35"/>
  <c r="T407" i="35"/>
  <c r="O407" i="35"/>
  <c r="N407" i="35"/>
  <c r="M407" i="35"/>
  <c r="L407" i="35"/>
  <c r="K407" i="35"/>
  <c r="J407" i="35"/>
  <c r="I407" i="35"/>
  <c r="H407" i="35"/>
  <c r="BK406" i="35"/>
  <c r="BJ406" i="35"/>
  <c r="BI406" i="35"/>
  <c r="AZ406" i="35"/>
  <c r="AY406" i="35"/>
  <c r="AX406" i="35"/>
  <c r="AR406" i="35"/>
  <c r="AQ406" i="35"/>
  <c r="BH406" i="35" s="1"/>
  <c r="AP406" i="35"/>
  <c r="AV406" i="35" s="1"/>
  <c r="AO406" i="35"/>
  <c r="AL406" i="35"/>
  <c r="AK406" i="35"/>
  <c r="AM406" i="35" s="1"/>
  <c r="AJ406" i="35"/>
  <c r="AI406" i="35"/>
  <c r="AF406" i="35"/>
  <c r="AC406" i="35"/>
  <c r="AB406" i="35"/>
  <c r="AA406" i="35"/>
  <c r="Z406" i="35"/>
  <c r="Y406" i="35"/>
  <c r="X406" i="35"/>
  <c r="W406" i="35"/>
  <c r="T406" i="35"/>
  <c r="O406" i="35"/>
  <c r="N406" i="35"/>
  <c r="M406" i="35"/>
  <c r="L406" i="35"/>
  <c r="K406" i="35"/>
  <c r="J406" i="35"/>
  <c r="I406" i="35"/>
  <c r="H406" i="35"/>
  <c r="BJ405" i="35"/>
  <c r="BI405" i="35"/>
  <c r="BH405" i="35"/>
  <c r="BF405" i="35"/>
  <c r="BD405" i="35"/>
  <c r="BA405" i="35"/>
  <c r="AZ405" i="35"/>
  <c r="AY405" i="35"/>
  <c r="AX405" i="35"/>
  <c r="AW405" i="35"/>
  <c r="AV405" i="35"/>
  <c r="AT405" i="35"/>
  <c r="AR405" i="35"/>
  <c r="AQ405" i="35"/>
  <c r="AP405" i="35"/>
  <c r="BG405" i="35" s="1"/>
  <c r="AO405" i="35"/>
  <c r="AL405" i="35"/>
  <c r="AK405" i="35"/>
  <c r="AM405" i="35" s="1"/>
  <c r="AJ405" i="35"/>
  <c r="AI405" i="35"/>
  <c r="AF405" i="35"/>
  <c r="AC405" i="35"/>
  <c r="AB405" i="35"/>
  <c r="AA405" i="35"/>
  <c r="Z405" i="35"/>
  <c r="Y405" i="35"/>
  <c r="X405" i="35"/>
  <c r="T405" i="35"/>
  <c r="O405" i="35"/>
  <c r="N405" i="35"/>
  <c r="M405" i="35"/>
  <c r="L405" i="35"/>
  <c r="K405" i="35"/>
  <c r="J405" i="35"/>
  <c r="I405" i="35"/>
  <c r="H405" i="35"/>
  <c r="BJ404" i="35"/>
  <c r="BI404" i="35"/>
  <c r="BH404" i="35"/>
  <c r="BG404" i="35"/>
  <c r="BE404" i="35"/>
  <c r="BD404" i="35"/>
  <c r="BC404" i="35"/>
  <c r="BA404" i="35"/>
  <c r="AZ404" i="35"/>
  <c r="AY404" i="35"/>
  <c r="AX404" i="35"/>
  <c r="AW404" i="35"/>
  <c r="AV404" i="35"/>
  <c r="AU404" i="35"/>
  <c r="AS404" i="35"/>
  <c r="AR404" i="35"/>
  <c r="AQ404" i="35"/>
  <c r="AP404" i="35"/>
  <c r="BF404" i="35" s="1"/>
  <c r="AO404" i="35"/>
  <c r="AL404" i="35"/>
  <c r="AK404" i="35"/>
  <c r="AM404" i="35" s="1"/>
  <c r="AJ404" i="35"/>
  <c r="AI404" i="35"/>
  <c r="AF404" i="35"/>
  <c r="AC404" i="35"/>
  <c r="AB404" i="35"/>
  <c r="AA404" i="35"/>
  <c r="Z404" i="35"/>
  <c r="Y404" i="35"/>
  <c r="X404" i="35"/>
  <c r="T404" i="35"/>
  <c r="O404" i="35"/>
  <c r="N404" i="35"/>
  <c r="M404" i="35"/>
  <c r="L404" i="35"/>
  <c r="K404" i="35"/>
  <c r="J404" i="35"/>
  <c r="I404" i="35"/>
  <c r="H404" i="35"/>
  <c r="BJ403" i="35"/>
  <c r="BI403" i="35"/>
  <c r="BH403" i="35"/>
  <c r="BG403" i="35"/>
  <c r="BF403" i="35"/>
  <c r="BD403" i="35"/>
  <c r="AY403" i="35"/>
  <c r="AX403" i="35"/>
  <c r="AW403" i="35"/>
  <c r="AV403" i="35"/>
  <c r="AU403" i="35"/>
  <c r="AT403" i="35"/>
  <c r="AR403" i="35"/>
  <c r="AQ403" i="35"/>
  <c r="AP403" i="35"/>
  <c r="BE403" i="35" s="1"/>
  <c r="AO403" i="35"/>
  <c r="AL403" i="35"/>
  <c r="AK403" i="35"/>
  <c r="AM403" i="35" s="1"/>
  <c r="AI403" i="35"/>
  <c r="AJ403" i="35" s="1"/>
  <c r="AF403" i="35"/>
  <c r="AC403" i="35"/>
  <c r="AB403" i="35"/>
  <c r="AA403" i="35"/>
  <c r="Z403" i="35"/>
  <c r="Y403" i="35"/>
  <c r="X403" i="35"/>
  <c r="T403" i="35"/>
  <c r="BK403" i="35" s="1"/>
  <c r="O403" i="35"/>
  <c r="N403" i="35"/>
  <c r="M403" i="35"/>
  <c r="L403" i="35"/>
  <c r="K403" i="35"/>
  <c r="J403" i="35"/>
  <c r="I403" i="35"/>
  <c r="H403" i="35"/>
  <c r="BJ402" i="35"/>
  <c r="BI402" i="35"/>
  <c r="BH402" i="35"/>
  <c r="BG402" i="35"/>
  <c r="BF402" i="35"/>
  <c r="BE402" i="35"/>
  <c r="BC402" i="35"/>
  <c r="BA402" i="35"/>
  <c r="AX402" i="35"/>
  <c r="AW402" i="35"/>
  <c r="AV402" i="35"/>
  <c r="AU402" i="35"/>
  <c r="AT402" i="35"/>
  <c r="AS402" i="35"/>
  <c r="AR402" i="35"/>
  <c r="AQ402" i="35"/>
  <c r="AP402" i="35"/>
  <c r="BD402" i="35" s="1"/>
  <c r="AO402" i="35"/>
  <c r="AL402" i="35"/>
  <c r="AK402" i="35"/>
  <c r="AM402" i="35" s="1"/>
  <c r="AI402" i="35"/>
  <c r="AJ402" i="35" s="1"/>
  <c r="AF402" i="35"/>
  <c r="AC402" i="35"/>
  <c r="AB402" i="35"/>
  <c r="AA402" i="35"/>
  <c r="Z402" i="35"/>
  <c r="Y402" i="35"/>
  <c r="X402" i="35"/>
  <c r="W402" i="35"/>
  <c r="T402" i="35"/>
  <c r="BK402" i="35" s="1"/>
  <c r="O402" i="35"/>
  <c r="N402" i="35"/>
  <c r="M402" i="35"/>
  <c r="L402" i="35"/>
  <c r="K402" i="35"/>
  <c r="J402" i="35"/>
  <c r="I402" i="35"/>
  <c r="H402" i="35"/>
  <c r="BJ401" i="35"/>
  <c r="BI401" i="35"/>
  <c r="BH401" i="35"/>
  <c r="BG401" i="35"/>
  <c r="BF401" i="35"/>
  <c r="BE401" i="35"/>
  <c r="AW401" i="35"/>
  <c r="AV401" i="35"/>
  <c r="AU401" i="35"/>
  <c r="AT401" i="35"/>
  <c r="AS401" i="35"/>
  <c r="AR401" i="35"/>
  <c r="AQ401" i="35"/>
  <c r="AP401" i="35"/>
  <c r="BC401" i="35" s="1"/>
  <c r="AO401" i="35"/>
  <c r="AM401" i="35"/>
  <c r="AL401" i="35"/>
  <c r="AK401" i="35"/>
  <c r="AJ401" i="35"/>
  <c r="AI401" i="35"/>
  <c r="AF401" i="35"/>
  <c r="AC401" i="35"/>
  <c r="AB401" i="35"/>
  <c r="AA401" i="35"/>
  <c r="Z401" i="35"/>
  <c r="Y401" i="35"/>
  <c r="X401" i="35"/>
  <c r="T401" i="35"/>
  <c r="BK401" i="35" s="1"/>
  <c r="O401" i="35"/>
  <c r="N401" i="35"/>
  <c r="M401" i="35"/>
  <c r="L401" i="35"/>
  <c r="K401" i="35"/>
  <c r="J401" i="35"/>
  <c r="I401" i="35"/>
  <c r="H401" i="35"/>
  <c r="BK400" i="35"/>
  <c r="BJ400" i="35"/>
  <c r="BI400" i="35"/>
  <c r="BH400" i="35"/>
  <c r="BG400" i="35"/>
  <c r="BF400" i="35"/>
  <c r="BE400" i="35"/>
  <c r="BD400" i="35"/>
  <c r="BC400" i="35"/>
  <c r="BA400" i="35"/>
  <c r="AZ400" i="35"/>
  <c r="AY400" i="35"/>
  <c r="AW400" i="35"/>
  <c r="AV400" i="35"/>
  <c r="AU400" i="35"/>
  <c r="AT400" i="35"/>
  <c r="AS400" i="35"/>
  <c r="AR400" i="35"/>
  <c r="AQ400" i="35"/>
  <c r="AP400" i="35"/>
  <c r="BB400" i="35" s="1"/>
  <c r="AO400" i="35"/>
  <c r="AL400" i="35"/>
  <c r="AM400" i="35" s="1"/>
  <c r="AK400" i="35"/>
  <c r="AI400" i="35"/>
  <c r="AJ400" i="35" s="1"/>
  <c r="AF400" i="35"/>
  <c r="AC400" i="35"/>
  <c r="AB400" i="35"/>
  <c r="AA400" i="35"/>
  <c r="Z400" i="35"/>
  <c r="Y400" i="35"/>
  <c r="X400" i="35"/>
  <c r="T400" i="35"/>
  <c r="W400" i="35" s="1"/>
  <c r="O400" i="35"/>
  <c r="N400" i="35"/>
  <c r="M400" i="35"/>
  <c r="L400" i="35"/>
  <c r="K400" i="35"/>
  <c r="J400" i="35"/>
  <c r="I400" i="35"/>
  <c r="H400" i="35"/>
  <c r="BK399" i="35"/>
  <c r="BJ399" i="35"/>
  <c r="BI399" i="35"/>
  <c r="BG399" i="35"/>
  <c r="BF399" i="35"/>
  <c r="BE399" i="35"/>
  <c r="BD399" i="35"/>
  <c r="BC399" i="35"/>
  <c r="AZ399" i="35"/>
  <c r="AU399" i="35"/>
  <c r="AT399" i="35"/>
  <c r="AS399" i="35"/>
  <c r="AR399" i="35"/>
  <c r="AQ399" i="35"/>
  <c r="BH399" i="35" s="1"/>
  <c r="AP399" i="35"/>
  <c r="BA399" i="35" s="1"/>
  <c r="AO399" i="35"/>
  <c r="AM399" i="35"/>
  <c r="AL399" i="35"/>
  <c r="AK399" i="35"/>
  <c r="AI399" i="35"/>
  <c r="AJ399" i="35" s="1"/>
  <c r="AF399" i="35"/>
  <c r="AC399" i="35"/>
  <c r="AB399" i="35"/>
  <c r="AA399" i="35"/>
  <c r="Z399" i="35"/>
  <c r="Y399" i="35"/>
  <c r="X399" i="35"/>
  <c r="W399" i="35"/>
  <c r="T399" i="35"/>
  <c r="O399" i="35"/>
  <c r="N399" i="35"/>
  <c r="M399" i="35"/>
  <c r="L399" i="35"/>
  <c r="K399" i="35"/>
  <c r="J399" i="35"/>
  <c r="I399" i="35"/>
  <c r="H399" i="35"/>
  <c r="BK398" i="35"/>
  <c r="BJ398" i="35"/>
  <c r="BI398" i="35"/>
  <c r="BC398" i="35"/>
  <c r="AR398" i="35"/>
  <c r="AQ398" i="35"/>
  <c r="BH398" i="35" s="1"/>
  <c r="AP398" i="35"/>
  <c r="AO398" i="35"/>
  <c r="AL398" i="35"/>
  <c r="AK398" i="35"/>
  <c r="AM398" i="35" s="1"/>
  <c r="AJ398" i="35"/>
  <c r="AI398" i="35"/>
  <c r="AF398" i="35"/>
  <c r="AC398" i="35"/>
  <c r="AB398" i="35"/>
  <c r="AA398" i="35"/>
  <c r="Z398" i="35"/>
  <c r="Y398" i="35"/>
  <c r="X398" i="35"/>
  <c r="T398" i="35"/>
  <c r="W398" i="35" s="1"/>
  <c r="O398" i="35"/>
  <c r="N398" i="35"/>
  <c r="M398" i="35"/>
  <c r="L398" i="35"/>
  <c r="K398" i="35"/>
  <c r="J398" i="35"/>
  <c r="I398" i="35"/>
  <c r="H398" i="35"/>
  <c r="BJ397" i="35"/>
  <c r="BI397" i="35"/>
  <c r="BA397" i="35"/>
  <c r="AR397" i="35"/>
  <c r="AQ397" i="35"/>
  <c r="BH397" i="35" s="1"/>
  <c r="AP397" i="35"/>
  <c r="AO397" i="35"/>
  <c r="AL397" i="35"/>
  <c r="AK397" i="35"/>
  <c r="AM397" i="35" s="1"/>
  <c r="AI397" i="35"/>
  <c r="AJ397" i="35" s="1"/>
  <c r="AF397" i="35"/>
  <c r="AC397" i="35"/>
  <c r="AB397" i="35"/>
  <c r="AA397" i="35"/>
  <c r="Z397" i="35"/>
  <c r="Y397" i="35"/>
  <c r="X397" i="35"/>
  <c r="W397" i="35"/>
  <c r="T397" i="35"/>
  <c r="BK397" i="35" s="1"/>
  <c r="O397" i="35"/>
  <c r="N397" i="35"/>
  <c r="M397" i="35"/>
  <c r="L397" i="35"/>
  <c r="K397" i="35"/>
  <c r="J397" i="35"/>
  <c r="I397" i="35"/>
  <c r="H397" i="35"/>
  <c r="BJ396" i="35"/>
  <c r="BI396" i="35"/>
  <c r="BA396" i="35"/>
  <c r="AZ396" i="35"/>
  <c r="AR396" i="35"/>
  <c r="AQ396" i="35"/>
  <c r="BH396" i="35" s="1"/>
  <c r="AP396" i="35"/>
  <c r="AX396" i="35" s="1"/>
  <c r="AO396" i="35"/>
  <c r="AM396" i="35"/>
  <c r="AL396" i="35"/>
  <c r="AK396" i="35"/>
  <c r="AJ396" i="35"/>
  <c r="AI396" i="35"/>
  <c r="AF396" i="35"/>
  <c r="AC396" i="35"/>
  <c r="AB396" i="35"/>
  <c r="AA396" i="35"/>
  <c r="Z396" i="35"/>
  <c r="Y396" i="35"/>
  <c r="X396" i="35"/>
  <c r="T396" i="35"/>
  <c r="W396" i="35" s="1"/>
  <c r="O396" i="35"/>
  <c r="N396" i="35"/>
  <c r="M396" i="35"/>
  <c r="L396" i="35"/>
  <c r="K396" i="35"/>
  <c r="J396" i="35"/>
  <c r="I396" i="35"/>
  <c r="H396" i="35"/>
  <c r="BK395" i="35"/>
  <c r="BJ395" i="35"/>
  <c r="BI395" i="35"/>
  <c r="BA395" i="35"/>
  <c r="AZ395" i="35"/>
  <c r="AY395" i="35"/>
  <c r="AR395" i="35"/>
  <c r="AQ395" i="35"/>
  <c r="BH395" i="35" s="1"/>
  <c r="AP395" i="35"/>
  <c r="AW395" i="35" s="1"/>
  <c r="AO395" i="35"/>
  <c r="AL395" i="35"/>
  <c r="AM395" i="35" s="1"/>
  <c r="AK395" i="35"/>
  <c r="AI395" i="35"/>
  <c r="AJ395" i="35" s="1"/>
  <c r="AF395" i="35"/>
  <c r="AC395" i="35"/>
  <c r="AB395" i="35"/>
  <c r="AA395" i="35"/>
  <c r="Z395" i="35"/>
  <c r="Y395" i="35"/>
  <c r="X395" i="35"/>
  <c r="W395" i="35"/>
  <c r="T395" i="35"/>
  <c r="O395" i="35"/>
  <c r="N395" i="35"/>
  <c r="M395" i="35"/>
  <c r="L395" i="35"/>
  <c r="K395" i="35"/>
  <c r="J395" i="35"/>
  <c r="I395" i="35"/>
  <c r="H395" i="35"/>
  <c r="BK394" i="35"/>
  <c r="BJ394" i="35"/>
  <c r="BI394" i="35"/>
  <c r="AZ394" i="35"/>
  <c r="AY394" i="35"/>
  <c r="AX394" i="35"/>
  <c r="AR394" i="35"/>
  <c r="AQ394" i="35"/>
  <c r="BH394" i="35" s="1"/>
  <c r="AP394" i="35"/>
  <c r="AV394" i="35" s="1"/>
  <c r="AO394" i="35"/>
  <c r="AL394" i="35"/>
  <c r="AK394" i="35"/>
  <c r="AM394" i="35" s="1"/>
  <c r="AJ394" i="35"/>
  <c r="AI394" i="35"/>
  <c r="AF394" i="35"/>
  <c r="AC394" i="35"/>
  <c r="AB394" i="35"/>
  <c r="AA394" i="35"/>
  <c r="Z394" i="35"/>
  <c r="Y394" i="35"/>
  <c r="X394" i="35"/>
  <c r="W394" i="35"/>
  <c r="T394" i="35"/>
  <c r="O394" i="35"/>
  <c r="N394" i="35"/>
  <c r="M394" i="35"/>
  <c r="L394" i="35"/>
  <c r="K394" i="35"/>
  <c r="J394" i="35"/>
  <c r="I394" i="35"/>
  <c r="H394" i="35"/>
  <c r="BJ393" i="35"/>
  <c r="BI393" i="35"/>
  <c r="BH393" i="35"/>
  <c r="BF393" i="35"/>
  <c r="BD393" i="35"/>
  <c r="BA393" i="35"/>
  <c r="AZ393" i="35"/>
  <c r="AY393" i="35"/>
  <c r="AX393" i="35"/>
  <c r="AW393" i="35"/>
  <c r="AV393" i="35"/>
  <c r="AT393" i="35"/>
  <c r="AR393" i="35"/>
  <c r="AQ393" i="35"/>
  <c r="AP393" i="35"/>
  <c r="BG393" i="35" s="1"/>
  <c r="AO393" i="35"/>
  <c r="AL393" i="35"/>
  <c r="AK393" i="35"/>
  <c r="AM393" i="35" s="1"/>
  <c r="AJ393" i="35"/>
  <c r="AI393" i="35"/>
  <c r="AF393" i="35"/>
  <c r="AC393" i="35"/>
  <c r="AB393" i="35"/>
  <c r="AA393" i="35"/>
  <c r="Z393" i="35"/>
  <c r="Y393" i="35"/>
  <c r="X393" i="35"/>
  <c r="T393" i="35"/>
  <c r="BK393" i="35" s="1"/>
  <c r="O393" i="35"/>
  <c r="N393" i="35"/>
  <c r="M393" i="35"/>
  <c r="L393" i="35"/>
  <c r="K393" i="35"/>
  <c r="J393" i="35"/>
  <c r="I393" i="35"/>
  <c r="H393" i="35"/>
  <c r="BJ392" i="35"/>
  <c r="BI392" i="35"/>
  <c r="BH392" i="35"/>
  <c r="BG392" i="35"/>
  <c r="BE392" i="35"/>
  <c r="BD392" i="35"/>
  <c r="BC392" i="35"/>
  <c r="BA392" i="35"/>
  <c r="AZ392" i="35"/>
  <c r="AY392" i="35"/>
  <c r="AX392" i="35"/>
  <c r="AW392" i="35"/>
  <c r="AV392" i="35"/>
  <c r="AU392" i="35"/>
  <c r="AS392" i="35"/>
  <c r="AR392" i="35"/>
  <c r="AQ392" i="35"/>
  <c r="AP392" i="35"/>
  <c r="BF392" i="35" s="1"/>
  <c r="AO392" i="35"/>
  <c r="AL392" i="35"/>
  <c r="AK392" i="35"/>
  <c r="AM392" i="35" s="1"/>
  <c r="AJ392" i="35"/>
  <c r="AI392" i="35"/>
  <c r="AF392" i="35"/>
  <c r="AC392" i="35"/>
  <c r="AB392" i="35"/>
  <c r="AA392" i="35"/>
  <c r="Z392" i="35"/>
  <c r="Y392" i="35"/>
  <c r="X392" i="35"/>
  <c r="T392" i="35"/>
  <c r="O392" i="35"/>
  <c r="N392" i="35"/>
  <c r="M392" i="35"/>
  <c r="L392" i="35"/>
  <c r="K392" i="35"/>
  <c r="J392" i="35"/>
  <c r="I392" i="35"/>
  <c r="H392" i="35"/>
  <c r="BJ391" i="35"/>
  <c r="BI391" i="35"/>
  <c r="BH391" i="35"/>
  <c r="BG391" i="35"/>
  <c r="BF391" i="35"/>
  <c r="BD391" i="35"/>
  <c r="AY391" i="35"/>
  <c r="AX391" i="35"/>
  <c r="AW391" i="35"/>
  <c r="AV391" i="35"/>
  <c r="AU391" i="35"/>
  <c r="AT391" i="35"/>
  <c r="AR391" i="35"/>
  <c r="AQ391" i="35"/>
  <c r="AP391" i="35"/>
  <c r="BE391" i="35" s="1"/>
  <c r="AO391" i="35"/>
  <c r="AL391" i="35"/>
  <c r="AK391" i="35"/>
  <c r="AM391" i="35" s="1"/>
  <c r="AI391" i="35"/>
  <c r="AJ391" i="35" s="1"/>
  <c r="AF391" i="35"/>
  <c r="AC391" i="35"/>
  <c r="AB391" i="35"/>
  <c r="AA391" i="35"/>
  <c r="Z391" i="35"/>
  <c r="Y391" i="35"/>
  <c r="X391" i="35"/>
  <c r="T391" i="35"/>
  <c r="BK391" i="35" s="1"/>
  <c r="O391" i="35"/>
  <c r="N391" i="35"/>
  <c r="M391" i="35"/>
  <c r="L391" i="35"/>
  <c r="K391" i="35"/>
  <c r="J391" i="35"/>
  <c r="I391" i="35"/>
  <c r="H391" i="35"/>
  <c r="BJ390" i="35"/>
  <c r="BI390" i="35"/>
  <c r="BH390" i="35"/>
  <c r="BG390" i="35"/>
  <c r="BF390" i="35"/>
  <c r="BE390" i="35"/>
  <c r="BC390" i="35"/>
  <c r="BA390" i="35"/>
  <c r="AY390" i="35"/>
  <c r="AX390" i="35"/>
  <c r="AW390" i="35"/>
  <c r="AV390" i="35"/>
  <c r="AU390" i="35"/>
  <c r="AT390" i="35"/>
  <c r="AS390" i="35"/>
  <c r="AR390" i="35"/>
  <c r="AQ390" i="35"/>
  <c r="AP390" i="35"/>
  <c r="BD390" i="35" s="1"/>
  <c r="AO390" i="35"/>
  <c r="AL390" i="35"/>
  <c r="AK390" i="35"/>
  <c r="AM390" i="35" s="1"/>
  <c r="AI390" i="35"/>
  <c r="AJ390" i="35" s="1"/>
  <c r="AF390" i="35"/>
  <c r="AC390" i="35"/>
  <c r="AB390" i="35"/>
  <c r="AA390" i="35"/>
  <c r="Z390" i="35"/>
  <c r="Y390" i="35"/>
  <c r="X390" i="35"/>
  <c r="T390" i="35"/>
  <c r="BK390" i="35" s="1"/>
  <c r="O390" i="35"/>
  <c r="N390" i="35"/>
  <c r="M390" i="35"/>
  <c r="L390" i="35"/>
  <c r="K390" i="35"/>
  <c r="J390" i="35"/>
  <c r="I390" i="35"/>
  <c r="H390" i="35"/>
  <c r="BJ389" i="35"/>
  <c r="BI389" i="35"/>
  <c r="BH389" i="35"/>
  <c r="BG389" i="35"/>
  <c r="BF389" i="35"/>
  <c r="BE389" i="35"/>
  <c r="AW389" i="35"/>
  <c r="AV389" i="35"/>
  <c r="AU389" i="35"/>
  <c r="AT389" i="35"/>
  <c r="AS389" i="35"/>
  <c r="AR389" i="35"/>
  <c r="AQ389" i="35"/>
  <c r="AP389" i="35"/>
  <c r="BC389" i="35" s="1"/>
  <c r="AO389" i="35"/>
  <c r="AM389" i="35"/>
  <c r="AL389" i="35"/>
  <c r="AK389" i="35"/>
  <c r="AI389" i="35"/>
  <c r="AJ389" i="35" s="1"/>
  <c r="AF389" i="35"/>
  <c r="AC389" i="35"/>
  <c r="AB389" i="35"/>
  <c r="AA389" i="35"/>
  <c r="Z389" i="35"/>
  <c r="Y389" i="35"/>
  <c r="X389" i="35"/>
  <c r="T389" i="35"/>
  <c r="BK389" i="35" s="1"/>
  <c r="O389" i="35"/>
  <c r="N389" i="35"/>
  <c r="M389" i="35"/>
  <c r="L389" i="35"/>
  <c r="K389" i="35"/>
  <c r="J389" i="35"/>
  <c r="I389" i="35"/>
  <c r="H389" i="35"/>
  <c r="BK388" i="35"/>
  <c r="BJ388" i="35"/>
  <c r="BI388" i="35"/>
  <c r="BH388" i="35"/>
  <c r="BG388" i="35"/>
  <c r="BF388" i="35"/>
  <c r="BE388" i="35"/>
  <c r="BD388" i="35"/>
  <c r="BC388" i="35"/>
  <c r="BA388" i="35"/>
  <c r="AZ388" i="35"/>
  <c r="AY388" i="35"/>
  <c r="AW388" i="35"/>
  <c r="AV388" i="35"/>
  <c r="AU388" i="35"/>
  <c r="AT388" i="35"/>
  <c r="AS388" i="35"/>
  <c r="AR388" i="35"/>
  <c r="AQ388" i="35"/>
  <c r="AP388" i="35"/>
  <c r="BB388" i="35" s="1"/>
  <c r="AO388" i="35"/>
  <c r="AL388" i="35"/>
  <c r="AM388" i="35" s="1"/>
  <c r="AK388" i="35"/>
  <c r="AI388" i="35"/>
  <c r="AJ388" i="35" s="1"/>
  <c r="AF388" i="35"/>
  <c r="AC388" i="35"/>
  <c r="AB388" i="35"/>
  <c r="AA388" i="35"/>
  <c r="Z388" i="35"/>
  <c r="Y388" i="35"/>
  <c r="X388" i="35"/>
  <c r="T388" i="35"/>
  <c r="W388" i="35" s="1"/>
  <c r="O388" i="35"/>
  <c r="N388" i="35"/>
  <c r="M388" i="35"/>
  <c r="L388" i="35"/>
  <c r="K388" i="35"/>
  <c r="J388" i="35"/>
  <c r="I388" i="35"/>
  <c r="H388" i="35"/>
  <c r="BK387" i="35"/>
  <c r="BJ387" i="35"/>
  <c r="BI387" i="35"/>
  <c r="BG387" i="35"/>
  <c r="BF387" i="35"/>
  <c r="BE387" i="35"/>
  <c r="BD387" i="35"/>
  <c r="BC387" i="35"/>
  <c r="AZ387" i="35"/>
  <c r="AU387" i="35"/>
  <c r="AT387" i="35"/>
  <c r="AS387" i="35"/>
  <c r="AR387" i="35"/>
  <c r="AQ387" i="35"/>
  <c r="BH387" i="35" s="1"/>
  <c r="AP387" i="35"/>
  <c r="BA387" i="35" s="1"/>
  <c r="AO387" i="35"/>
  <c r="AM387" i="35"/>
  <c r="AL387" i="35"/>
  <c r="AK387" i="35"/>
  <c r="AI387" i="35"/>
  <c r="AJ387" i="35" s="1"/>
  <c r="AF387" i="35"/>
  <c r="AC387" i="35"/>
  <c r="AB387" i="35"/>
  <c r="AA387" i="35"/>
  <c r="Z387" i="35"/>
  <c r="Y387" i="35"/>
  <c r="X387" i="35"/>
  <c r="W387" i="35"/>
  <c r="T387" i="35"/>
  <c r="O387" i="35"/>
  <c r="N387" i="35"/>
  <c r="M387" i="35"/>
  <c r="L387" i="35"/>
  <c r="K387" i="35"/>
  <c r="J387" i="35"/>
  <c r="I387" i="35"/>
  <c r="H387" i="35"/>
  <c r="BK386" i="35"/>
  <c r="BJ386" i="35"/>
  <c r="BI386" i="35"/>
  <c r="BC386" i="35"/>
  <c r="AR386" i="35"/>
  <c r="AQ386" i="35"/>
  <c r="BH386" i="35" s="1"/>
  <c r="AP386" i="35"/>
  <c r="AO386" i="35"/>
  <c r="AL386" i="35"/>
  <c r="AK386" i="35"/>
  <c r="AM386" i="35" s="1"/>
  <c r="AJ386" i="35"/>
  <c r="AI386" i="35"/>
  <c r="AF386" i="35"/>
  <c r="AC386" i="35"/>
  <c r="AB386" i="35"/>
  <c r="AA386" i="35"/>
  <c r="Z386" i="35"/>
  <c r="Y386" i="35"/>
  <c r="X386" i="35"/>
  <c r="T386" i="35"/>
  <c r="W386" i="35" s="1"/>
  <c r="O386" i="35"/>
  <c r="N386" i="35"/>
  <c r="M386" i="35"/>
  <c r="L386" i="35"/>
  <c r="K386" i="35"/>
  <c r="J386" i="35"/>
  <c r="I386" i="35"/>
  <c r="H386" i="35"/>
  <c r="BJ385" i="35"/>
  <c r="BI385" i="35"/>
  <c r="BB385" i="35"/>
  <c r="BA385" i="35"/>
  <c r="AR385" i="35"/>
  <c r="AQ385" i="35"/>
  <c r="BH385" i="35" s="1"/>
  <c r="AP385" i="35"/>
  <c r="AO385" i="35"/>
  <c r="AL385" i="35"/>
  <c r="AK385" i="35"/>
  <c r="AM385" i="35" s="1"/>
  <c r="AI385" i="35"/>
  <c r="AJ385" i="35" s="1"/>
  <c r="AF385" i="35"/>
  <c r="AC385" i="35"/>
  <c r="AB385" i="35"/>
  <c r="AA385" i="35"/>
  <c r="Z385" i="35"/>
  <c r="Y385" i="35"/>
  <c r="X385" i="35"/>
  <c r="W385" i="35"/>
  <c r="T385" i="35"/>
  <c r="BK385" i="35" s="1"/>
  <c r="O385" i="35"/>
  <c r="N385" i="35"/>
  <c r="M385" i="35"/>
  <c r="L385" i="35"/>
  <c r="K385" i="35"/>
  <c r="J385" i="35"/>
  <c r="I385" i="35"/>
  <c r="H385" i="35"/>
  <c r="BJ384" i="35"/>
  <c r="BI384" i="35"/>
  <c r="BA384" i="35"/>
  <c r="AZ384" i="35"/>
  <c r="AR384" i="35"/>
  <c r="AQ384" i="35"/>
  <c r="BH384" i="35" s="1"/>
  <c r="AP384" i="35"/>
  <c r="AX384" i="35" s="1"/>
  <c r="AO384" i="35"/>
  <c r="AM384" i="35"/>
  <c r="AL384" i="35"/>
  <c r="AK384" i="35"/>
  <c r="AJ384" i="35"/>
  <c r="AI384" i="35"/>
  <c r="AF384" i="35"/>
  <c r="AC384" i="35"/>
  <c r="AB384" i="35"/>
  <c r="AA384" i="35"/>
  <c r="Z384" i="35"/>
  <c r="Y384" i="35"/>
  <c r="X384" i="35"/>
  <c r="T384" i="35"/>
  <c r="W384" i="35" s="1"/>
  <c r="O384" i="35"/>
  <c r="N384" i="35"/>
  <c r="M384" i="35"/>
  <c r="L384" i="35"/>
  <c r="K384" i="35"/>
  <c r="J384" i="35"/>
  <c r="I384" i="35"/>
  <c r="H384" i="35"/>
  <c r="BK383" i="35"/>
  <c r="BJ383" i="35"/>
  <c r="BI383" i="35"/>
  <c r="BA383" i="35"/>
  <c r="AZ383" i="35"/>
  <c r="AY383" i="35"/>
  <c r="AR383" i="35"/>
  <c r="AQ383" i="35"/>
  <c r="BH383" i="35" s="1"/>
  <c r="AP383" i="35"/>
  <c r="AW383" i="35" s="1"/>
  <c r="AO383" i="35"/>
  <c r="AM383" i="35"/>
  <c r="AL383" i="35"/>
  <c r="AK383" i="35"/>
  <c r="AI383" i="35"/>
  <c r="AJ383" i="35" s="1"/>
  <c r="AF383" i="35"/>
  <c r="AC383" i="35"/>
  <c r="AB383" i="35"/>
  <c r="AA383" i="35"/>
  <c r="Z383" i="35"/>
  <c r="Y383" i="35"/>
  <c r="X383" i="35"/>
  <c r="W383" i="35"/>
  <c r="T383" i="35"/>
  <c r="O383" i="35"/>
  <c r="N383" i="35"/>
  <c r="M383" i="35"/>
  <c r="L383" i="35"/>
  <c r="K383" i="35"/>
  <c r="J383" i="35"/>
  <c r="I383" i="35"/>
  <c r="H383" i="35"/>
  <c r="BK382" i="35"/>
  <c r="BJ382" i="35"/>
  <c r="BI382" i="35"/>
  <c r="BA382" i="35"/>
  <c r="AZ382" i="35"/>
  <c r="AY382" i="35"/>
  <c r="AX382" i="35"/>
  <c r="AR382" i="35"/>
  <c r="AQ382" i="35"/>
  <c r="BH382" i="35" s="1"/>
  <c r="AP382" i="35"/>
  <c r="AV382" i="35" s="1"/>
  <c r="AO382" i="35"/>
  <c r="AL382" i="35"/>
  <c r="AK382" i="35"/>
  <c r="AM382" i="35" s="1"/>
  <c r="AJ382" i="35"/>
  <c r="AI382" i="35"/>
  <c r="AF382" i="35"/>
  <c r="AC382" i="35"/>
  <c r="AB382" i="35"/>
  <c r="AA382" i="35"/>
  <c r="Z382" i="35"/>
  <c r="Y382" i="35"/>
  <c r="X382" i="35"/>
  <c r="W382" i="35"/>
  <c r="T382" i="35"/>
  <c r="O382" i="35"/>
  <c r="N382" i="35"/>
  <c r="M382" i="35"/>
  <c r="L382" i="35"/>
  <c r="K382" i="35"/>
  <c r="J382" i="35"/>
  <c r="I382" i="35"/>
  <c r="H382" i="35"/>
  <c r="BJ381" i="35"/>
  <c r="BI381" i="35"/>
  <c r="BH381" i="35"/>
  <c r="BF381" i="35"/>
  <c r="BD381" i="35"/>
  <c r="BA381" i="35"/>
  <c r="AZ381" i="35"/>
  <c r="AY381" i="35"/>
  <c r="AX381" i="35"/>
  <c r="AW381" i="35"/>
  <c r="AV381" i="35"/>
  <c r="AT381" i="35"/>
  <c r="AR381" i="35"/>
  <c r="AQ381" i="35"/>
  <c r="AP381" i="35"/>
  <c r="BG381" i="35" s="1"/>
  <c r="AO381" i="35"/>
  <c r="AL381" i="35"/>
  <c r="AK381" i="35"/>
  <c r="AM381" i="35" s="1"/>
  <c r="AJ381" i="35"/>
  <c r="AI381" i="35"/>
  <c r="AF381" i="35"/>
  <c r="AC381" i="35"/>
  <c r="AB381" i="35"/>
  <c r="AA381" i="35"/>
  <c r="Z381" i="35"/>
  <c r="Y381" i="35"/>
  <c r="X381" i="35"/>
  <c r="T381" i="35"/>
  <c r="O381" i="35"/>
  <c r="N381" i="35"/>
  <c r="M381" i="35"/>
  <c r="L381" i="35"/>
  <c r="K381" i="35"/>
  <c r="J381" i="35"/>
  <c r="I381" i="35"/>
  <c r="H381" i="35"/>
  <c r="BJ380" i="35"/>
  <c r="BI380" i="35"/>
  <c r="BH380" i="35"/>
  <c r="BG380" i="35"/>
  <c r="BE380" i="35"/>
  <c r="BD380" i="35"/>
  <c r="BC380" i="35"/>
  <c r="BA380" i="35"/>
  <c r="AZ380" i="35"/>
  <c r="AY380" i="35"/>
  <c r="AX380" i="35"/>
  <c r="AW380" i="35"/>
  <c r="AV380" i="35"/>
  <c r="AU380" i="35"/>
  <c r="AS380" i="35"/>
  <c r="AR380" i="35"/>
  <c r="AQ380" i="35"/>
  <c r="AP380" i="35"/>
  <c r="BF380" i="35" s="1"/>
  <c r="AO380" i="35"/>
  <c r="AL380" i="35"/>
  <c r="AK380" i="35"/>
  <c r="AM380" i="35" s="1"/>
  <c r="AJ380" i="35"/>
  <c r="AI380" i="35"/>
  <c r="AF380" i="35"/>
  <c r="AC380" i="35"/>
  <c r="AB380" i="35"/>
  <c r="AA380" i="35"/>
  <c r="Z380" i="35"/>
  <c r="Y380" i="35"/>
  <c r="X380" i="35"/>
  <c r="T380" i="35"/>
  <c r="O380" i="35"/>
  <c r="N380" i="35"/>
  <c r="M380" i="35"/>
  <c r="L380" i="35"/>
  <c r="K380" i="35"/>
  <c r="J380" i="35"/>
  <c r="I380" i="35"/>
  <c r="H380" i="35"/>
  <c r="BJ379" i="35"/>
  <c r="BI379" i="35"/>
  <c r="BH379" i="35"/>
  <c r="BG379" i="35"/>
  <c r="BF379" i="35"/>
  <c r="BD379" i="35"/>
  <c r="AY379" i="35"/>
  <c r="AX379" i="35"/>
  <c r="AW379" i="35"/>
  <c r="AV379" i="35"/>
  <c r="AU379" i="35"/>
  <c r="AT379" i="35"/>
  <c r="AR379" i="35"/>
  <c r="AQ379" i="35"/>
  <c r="AP379" i="35"/>
  <c r="BE379" i="35" s="1"/>
  <c r="AO379" i="35"/>
  <c r="AL379" i="35"/>
  <c r="AK379" i="35"/>
  <c r="AM379" i="35" s="1"/>
  <c r="AI379" i="35"/>
  <c r="AJ379" i="35" s="1"/>
  <c r="AF379" i="35"/>
  <c r="AC379" i="35"/>
  <c r="AB379" i="35"/>
  <c r="AA379" i="35"/>
  <c r="Z379" i="35"/>
  <c r="Y379" i="35"/>
  <c r="X379" i="35"/>
  <c r="T379" i="35"/>
  <c r="BK379" i="35" s="1"/>
  <c r="O379" i="35"/>
  <c r="N379" i="35"/>
  <c r="M379" i="35"/>
  <c r="L379" i="35"/>
  <c r="K379" i="35"/>
  <c r="J379" i="35"/>
  <c r="I379" i="35"/>
  <c r="H379" i="35"/>
  <c r="BJ378" i="35"/>
  <c r="BI378" i="35"/>
  <c r="BH378" i="35"/>
  <c r="BG378" i="35"/>
  <c r="BF378" i="35"/>
  <c r="BE378" i="35"/>
  <c r="BC378" i="35"/>
  <c r="BA378" i="35"/>
  <c r="AX378" i="35"/>
  <c r="AW378" i="35"/>
  <c r="AV378" i="35"/>
  <c r="AU378" i="35"/>
  <c r="AT378" i="35"/>
  <c r="AS378" i="35"/>
  <c r="AR378" i="35"/>
  <c r="AQ378" i="35"/>
  <c r="AP378" i="35"/>
  <c r="BD378" i="35" s="1"/>
  <c r="AO378" i="35"/>
  <c r="AL378" i="35"/>
  <c r="AK378" i="35"/>
  <c r="AM378" i="35" s="1"/>
  <c r="AI378" i="35"/>
  <c r="AJ378" i="35" s="1"/>
  <c r="AF378" i="35"/>
  <c r="AC378" i="35"/>
  <c r="AB378" i="35"/>
  <c r="AA378" i="35"/>
  <c r="Z378" i="35"/>
  <c r="Y378" i="35"/>
  <c r="X378" i="35"/>
  <c r="T378" i="35"/>
  <c r="BK378" i="35" s="1"/>
  <c r="O378" i="35"/>
  <c r="N378" i="35"/>
  <c r="M378" i="35"/>
  <c r="L378" i="35"/>
  <c r="K378" i="35"/>
  <c r="J378" i="35"/>
  <c r="I378" i="35"/>
  <c r="H378" i="35"/>
  <c r="BJ377" i="35"/>
  <c r="BI377" i="35"/>
  <c r="BH377" i="35"/>
  <c r="BG377" i="35"/>
  <c r="BF377" i="35"/>
  <c r="BE377" i="35"/>
  <c r="AU377" i="35"/>
  <c r="AT377" i="35"/>
  <c r="AS377" i="35"/>
  <c r="AR377" i="35"/>
  <c r="AQ377" i="35"/>
  <c r="AP377" i="35"/>
  <c r="BC377" i="35" s="1"/>
  <c r="AO377" i="35"/>
  <c r="AM377" i="35"/>
  <c r="AL377" i="35"/>
  <c r="AK377" i="35"/>
  <c r="AI377" i="35"/>
  <c r="AJ377" i="35" s="1"/>
  <c r="AF377" i="35"/>
  <c r="AC377" i="35"/>
  <c r="AB377" i="35"/>
  <c r="AA377" i="35"/>
  <c r="Z377" i="35"/>
  <c r="Y377" i="35"/>
  <c r="X377" i="35"/>
  <c r="T377" i="35"/>
  <c r="BK377" i="35" s="1"/>
  <c r="O377" i="35"/>
  <c r="N377" i="35"/>
  <c r="M377" i="35"/>
  <c r="L377" i="35"/>
  <c r="K377" i="35"/>
  <c r="J377" i="35"/>
  <c r="I377" i="35"/>
  <c r="H377" i="35"/>
  <c r="BK376" i="35"/>
  <c r="BJ376" i="35"/>
  <c r="BI376" i="35"/>
  <c r="BH376" i="35"/>
  <c r="BG376" i="35"/>
  <c r="BF376" i="35"/>
  <c r="BE376" i="35"/>
  <c r="BD376" i="35"/>
  <c r="BC376" i="35"/>
  <c r="BA376" i="35"/>
  <c r="AZ376" i="35"/>
  <c r="AY376" i="35"/>
  <c r="AW376" i="35"/>
  <c r="AV376" i="35"/>
  <c r="AU376" i="35"/>
  <c r="AT376" i="35"/>
  <c r="AS376" i="35"/>
  <c r="AR376" i="35"/>
  <c r="AQ376" i="35"/>
  <c r="AP376" i="35"/>
  <c r="BB376" i="35" s="1"/>
  <c r="AO376" i="35"/>
  <c r="AL376" i="35"/>
  <c r="AM376" i="35" s="1"/>
  <c r="AK376" i="35"/>
  <c r="AI376" i="35"/>
  <c r="AJ376" i="35" s="1"/>
  <c r="AF376" i="35"/>
  <c r="AC376" i="35"/>
  <c r="AB376" i="35"/>
  <c r="AA376" i="35"/>
  <c r="Z376" i="35"/>
  <c r="Y376" i="35"/>
  <c r="X376" i="35"/>
  <c r="T376" i="35"/>
  <c r="W376" i="35" s="1"/>
  <c r="O376" i="35"/>
  <c r="N376" i="35"/>
  <c r="M376" i="35"/>
  <c r="L376" i="35"/>
  <c r="K376" i="35"/>
  <c r="J376" i="35"/>
  <c r="I376" i="35"/>
  <c r="H376" i="35"/>
  <c r="BK375" i="35"/>
  <c r="BJ375" i="35"/>
  <c r="BI375" i="35"/>
  <c r="BG375" i="35"/>
  <c r="BF375" i="35"/>
  <c r="BE375" i="35"/>
  <c r="BD375" i="35"/>
  <c r="BC375" i="35"/>
  <c r="AZ375" i="35"/>
  <c r="AU375" i="35"/>
  <c r="AT375" i="35"/>
  <c r="AS375" i="35"/>
  <c r="AR375" i="35"/>
  <c r="AQ375" i="35"/>
  <c r="BH375" i="35" s="1"/>
  <c r="AP375" i="35"/>
  <c r="BA375" i="35" s="1"/>
  <c r="AO375" i="35"/>
  <c r="AM375" i="35"/>
  <c r="AL375" i="35"/>
  <c r="AK375" i="35"/>
  <c r="AI375" i="35"/>
  <c r="AJ375" i="35" s="1"/>
  <c r="AF375" i="35"/>
  <c r="AC375" i="35"/>
  <c r="AB375" i="35"/>
  <c r="AA375" i="35"/>
  <c r="Z375" i="35"/>
  <c r="Y375" i="35"/>
  <c r="X375" i="35"/>
  <c r="W375" i="35"/>
  <c r="T375" i="35"/>
  <c r="O375" i="35"/>
  <c r="N375" i="35"/>
  <c r="M375" i="35"/>
  <c r="L375" i="35"/>
  <c r="K375" i="35"/>
  <c r="J375" i="35"/>
  <c r="I375" i="35"/>
  <c r="H375" i="35"/>
  <c r="BK374" i="35"/>
  <c r="BJ374" i="35"/>
  <c r="BI374" i="35"/>
  <c r="AR374" i="35"/>
  <c r="AQ374" i="35"/>
  <c r="BH374" i="35" s="1"/>
  <c r="AP374" i="35"/>
  <c r="AO374" i="35"/>
  <c r="AL374" i="35"/>
  <c r="AK374" i="35"/>
  <c r="AM374" i="35" s="1"/>
  <c r="AJ374" i="35"/>
  <c r="AI374" i="35"/>
  <c r="AF374" i="35"/>
  <c r="AC374" i="35"/>
  <c r="AB374" i="35"/>
  <c r="AA374" i="35"/>
  <c r="Z374" i="35"/>
  <c r="Y374" i="35"/>
  <c r="X374" i="35"/>
  <c r="T374" i="35"/>
  <c r="W374" i="35" s="1"/>
  <c r="O374" i="35"/>
  <c r="N374" i="35"/>
  <c r="M374" i="35"/>
  <c r="L374" i="35"/>
  <c r="K374" i="35"/>
  <c r="J374" i="35"/>
  <c r="I374" i="35"/>
  <c r="H374" i="35"/>
  <c r="BJ373" i="35"/>
  <c r="BI373" i="35"/>
  <c r="BB373" i="35"/>
  <c r="AR373" i="35"/>
  <c r="AQ373" i="35"/>
  <c r="BH373" i="35" s="1"/>
  <c r="AP373" i="35"/>
  <c r="AO373" i="35"/>
  <c r="AL373" i="35"/>
  <c r="AK373" i="35"/>
  <c r="AM373" i="35" s="1"/>
  <c r="AI373" i="35"/>
  <c r="AJ373" i="35" s="1"/>
  <c r="AF373" i="35"/>
  <c r="AC373" i="35"/>
  <c r="AB373" i="35"/>
  <c r="AA373" i="35"/>
  <c r="Z373" i="35"/>
  <c r="Y373" i="35"/>
  <c r="X373" i="35"/>
  <c r="W373" i="35"/>
  <c r="T373" i="35"/>
  <c r="BK373" i="35" s="1"/>
  <c r="O373" i="35"/>
  <c r="N373" i="35"/>
  <c r="M373" i="35"/>
  <c r="L373" i="35"/>
  <c r="K373" i="35"/>
  <c r="J373" i="35"/>
  <c r="I373" i="35"/>
  <c r="H373" i="35"/>
  <c r="BJ372" i="35"/>
  <c r="BI372" i="35"/>
  <c r="BA372" i="35"/>
  <c r="AZ372" i="35"/>
  <c r="AR372" i="35"/>
  <c r="AQ372" i="35"/>
  <c r="BH372" i="35" s="1"/>
  <c r="AP372" i="35"/>
  <c r="AX372" i="35" s="1"/>
  <c r="AO372" i="35"/>
  <c r="AM372" i="35"/>
  <c r="AL372" i="35"/>
  <c r="AK372" i="35"/>
  <c r="AJ372" i="35"/>
  <c r="AI372" i="35"/>
  <c r="AF372" i="35"/>
  <c r="AC372" i="35"/>
  <c r="AB372" i="35"/>
  <c r="AA372" i="35"/>
  <c r="Z372" i="35"/>
  <c r="Y372" i="35"/>
  <c r="X372" i="35"/>
  <c r="T372" i="35"/>
  <c r="W372" i="35" s="1"/>
  <c r="O372" i="35"/>
  <c r="N372" i="35"/>
  <c r="M372" i="35"/>
  <c r="L372" i="35"/>
  <c r="K372" i="35"/>
  <c r="J372" i="35"/>
  <c r="I372" i="35"/>
  <c r="H372" i="35"/>
  <c r="BK371" i="35"/>
  <c r="BJ371" i="35"/>
  <c r="BI371" i="35"/>
  <c r="BH371" i="35"/>
  <c r="BA371" i="35"/>
  <c r="AZ371" i="35"/>
  <c r="AY371" i="35"/>
  <c r="AV371" i="35"/>
  <c r="AR371" i="35"/>
  <c r="AQ371" i="35"/>
  <c r="AP371" i="35"/>
  <c r="AW371" i="35" s="1"/>
  <c r="AO371" i="35"/>
  <c r="AL371" i="35"/>
  <c r="AM371" i="35" s="1"/>
  <c r="AK371" i="35"/>
  <c r="AI371" i="35"/>
  <c r="AJ371" i="35" s="1"/>
  <c r="AF371" i="35"/>
  <c r="AC371" i="35"/>
  <c r="AB371" i="35"/>
  <c r="AA371" i="35"/>
  <c r="Z371" i="35"/>
  <c r="Y371" i="35"/>
  <c r="X371" i="35"/>
  <c r="W371" i="35"/>
  <c r="T371" i="35"/>
  <c r="O371" i="35"/>
  <c r="N371" i="35"/>
  <c r="M371" i="35"/>
  <c r="L371" i="35"/>
  <c r="K371" i="35"/>
  <c r="J371" i="35"/>
  <c r="I371" i="35"/>
  <c r="H371" i="35"/>
  <c r="BK370" i="35"/>
  <c r="BJ370" i="35"/>
  <c r="BI370" i="35"/>
  <c r="BG370" i="35"/>
  <c r="BA370" i="35"/>
  <c r="AZ370" i="35"/>
  <c r="AY370" i="35"/>
  <c r="AX370" i="35"/>
  <c r="AU370" i="35"/>
  <c r="AR370" i="35"/>
  <c r="AQ370" i="35"/>
  <c r="BH370" i="35" s="1"/>
  <c r="AP370" i="35"/>
  <c r="AV370" i="35" s="1"/>
  <c r="AO370" i="35"/>
  <c r="AL370" i="35"/>
  <c r="AK370" i="35"/>
  <c r="AJ370" i="35"/>
  <c r="AI370" i="35"/>
  <c r="AF370" i="35"/>
  <c r="AC370" i="35"/>
  <c r="AB370" i="35"/>
  <c r="AA370" i="35"/>
  <c r="Z370" i="35"/>
  <c r="Y370" i="35"/>
  <c r="X370" i="35"/>
  <c r="W370" i="35"/>
  <c r="T370" i="35"/>
  <c r="O370" i="35"/>
  <c r="N370" i="35"/>
  <c r="M370" i="35"/>
  <c r="L370" i="35"/>
  <c r="K370" i="35"/>
  <c r="J370" i="35"/>
  <c r="I370" i="35"/>
  <c r="H370" i="35"/>
  <c r="BJ369" i="35"/>
  <c r="BI369" i="35"/>
  <c r="BH369" i="35"/>
  <c r="BF369" i="35"/>
  <c r="BD369" i="35"/>
  <c r="BA369" i="35"/>
  <c r="AZ369" i="35"/>
  <c r="AY369" i="35"/>
  <c r="AX369" i="35"/>
  <c r="AW369" i="35"/>
  <c r="AV369" i="35"/>
  <c r="AT369" i="35"/>
  <c r="AR369" i="35"/>
  <c r="AQ369" i="35"/>
  <c r="AP369" i="35"/>
  <c r="BG369" i="35" s="1"/>
  <c r="AO369" i="35"/>
  <c r="AL369" i="35"/>
  <c r="AK369" i="35"/>
  <c r="AM369" i="35" s="1"/>
  <c r="AJ369" i="35"/>
  <c r="AI369" i="35"/>
  <c r="AF369" i="35"/>
  <c r="AC369" i="35"/>
  <c r="AB369" i="35"/>
  <c r="AA369" i="35"/>
  <c r="Z369" i="35"/>
  <c r="Y369" i="35"/>
  <c r="X369" i="35"/>
  <c r="W369" i="35"/>
  <c r="T369" i="35"/>
  <c r="BK369" i="35" s="1"/>
  <c r="O369" i="35"/>
  <c r="N369" i="35"/>
  <c r="M369" i="35"/>
  <c r="L369" i="35"/>
  <c r="K369" i="35"/>
  <c r="J369" i="35"/>
  <c r="I369" i="35"/>
  <c r="H369" i="35"/>
  <c r="BJ368" i="35"/>
  <c r="BI368" i="35"/>
  <c r="BH368" i="35"/>
  <c r="BG368" i="35"/>
  <c r="BE368" i="35"/>
  <c r="BD368" i="35"/>
  <c r="BC368" i="35"/>
  <c r="BA368" i="35"/>
  <c r="AZ368" i="35"/>
  <c r="AY368" i="35"/>
  <c r="AX368" i="35"/>
  <c r="AW368" i="35"/>
  <c r="AV368" i="35"/>
  <c r="AU368" i="35"/>
  <c r="AS368" i="35"/>
  <c r="AR368" i="35"/>
  <c r="AQ368" i="35"/>
  <c r="AP368" i="35"/>
  <c r="BF368" i="35" s="1"/>
  <c r="AO368" i="35"/>
  <c r="AL368" i="35"/>
  <c r="AK368" i="35"/>
  <c r="AM368" i="35" s="1"/>
  <c r="AJ368" i="35"/>
  <c r="AI368" i="35"/>
  <c r="AF368" i="35"/>
  <c r="AC368" i="35"/>
  <c r="AB368" i="35"/>
  <c r="AA368" i="35"/>
  <c r="Z368" i="35"/>
  <c r="Y368" i="35"/>
  <c r="X368" i="35"/>
  <c r="T368" i="35"/>
  <c r="BK368" i="35" s="1"/>
  <c r="O368" i="35"/>
  <c r="N368" i="35"/>
  <c r="M368" i="35"/>
  <c r="L368" i="35"/>
  <c r="K368" i="35"/>
  <c r="J368" i="35"/>
  <c r="I368" i="35"/>
  <c r="H368" i="35"/>
  <c r="BJ367" i="35"/>
  <c r="BI367" i="35"/>
  <c r="BH367" i="35"/>
  <c r="BG367" i="35"/>
  <c r="BF367" i="35"/>
  <c r="BD367" i="35"/>
  <c r="AY367" i="35"/>
  <c r="AX367" i="35"/>
  <c r="AW367" i="35"/>
  <c r="AV367" i="35"/>
  <c r="AU367" i="35"/>
  <c r="AT367" i="35"/>
  <c r="AR367" i="35"/>
  <c r="AQ367" i="35"/>
  <c r="AP367" i="35"/>
  <c r="BE367" i="35" s="1"/>
  <c r="AO367" i="35"/>
  <c r="AL367" i="35"/>
  <c r="AK367" i="35"/>
  <c r="AM367" i="35" s="1"/>
  <c r="AI367" i="35"/>
  <c r="AJ367" i="35" s="1"/>
  <c r="AF367" i="35"/>
  <c r="AC367" i="35"/>
  <c r="AB367" i="35"/>
  <c r="AA367" i="35"/>
  <c r="Z367" i="35"/>
  <c r="Y367" i="35"/>
  <c r="X367" i="35"/>
  <c r="T367" i="35"/>
  <c r="O367" i="35"/>
  <c r="N367" i="35"/>
  <c r="M367" i="35"/>
  <c r="L367" i="35"/>
  <c r="K367" i="35"/>
  <c r="J367" i="35"/>
  <c r="I367" i="35"/>
  <c r="H367" i="35"/>
  <c r="BJ366" i="35"/>
  <c r="BI366" i="35"/>
  <c r="BH366" i="35"/>
  <c r="BG366" i="35"/>
  <c r="BF366" i="35"/>
  <c r="BE366" i="35"/>
  <c r="BC366" i="35"/>
  <c r="BA366" i="35"/>
  <c r="AY366" i="35"/>
  <c r="AX366" i="35"/>
  <c r="AW366" i="35"/>
  <c r="AV366" i="35"/>
  <c r="AU366" i="35"/>
  <c r="AT366" i="35"/>
  <c r="AS366" i="35"/>
  <c r="AR366" i="35"/>
  <c r="AQ366" i="35"/>
  <c r="AP366" i="35"/>
  <c r="BD366" i="35" s="1"/>
  <c r="AO366" i="35"/>
  <c r="AL366" i="35"/>
  <c r="AK366" i="35"/>
  <c r="AM366" i="35" s="1"/>
  <c r="AI366" i="35"/>
  <c r="AJ366" i="35" s="1"/>
  <c r="AF366" i="35"/>
  <c r="AC366" i="35"/>
  <c r="AB366" i="35"/>
  <c r="AA366" i="35"/>
  <c r="Z366" i="35"/>
  <c r="Y366" i="35"/>
  <c r="X366" i="35"/>
  <c r="T366" i="35"/>
  <c r="BK366" i="35" s="1"/>
  <c r="O366" i="35"/>
  <c r="N366" i="35"/>
  <c r="M366" i="35"/>
  <c r="L366" i="35"/>
  <c r="K366" i="35"/>
  <c r="J366" i="35"/>
  <c r="I366" i="35"/>
  <c r="H366" i="35"/>
  <c r="BJ365" i="35"/>
  <c r="BI365" i="35"/>
  <c r="BH365" i="35"/>
  <c r="BG365" i="35"/>
  <c r="BF365" i="35"/>
  <c r="BE365" i="35"/>
  <c r="AU365" i="35"/>
  <c r="AT365" i="35"/>
  <c r="AS365" i="35"/>
  <c r="AR365" i="35"/>
  <c r="AQ365" i="35"/>
  <c r="AP365" i="35"/>
  <c r="BC365" i="35" s="1"/>
  <c r="AO365" i="35"/>
  <c r="AM365" i="35"/>
  <c r="AL365" i="35"/>
  <c r="AK365" i="35"/>
  <c r="AI365" i="35"/>
  <c r="AJ365" i="35" s="1"/>
  <c r="AF365" i="35"/>
  <c r="AC365" i="35"/>
  <c r="AB365" i="35"/>
  <c r="AA365" i="35"/>
  <c r="Z365" i="35"/>
  <c r="Y365" i="35"/>
  <c r="X365" i="35"/>
  <c r="T365" i="35"/>
  <c r="BK365" i="35" s="1"/>
  <c r="O365" i="35"/>
  <c r="N365" i="35"/>
  <c r="M365" i="35"/>
  <c r="L365" i="35"/>
  <c r="K365" i="35"/>
  <c r="J365" i="35"/>
  <c r="I365" i="35"/>
  <c r="H365" i="35"/>
  <c r="BK364" i="35"/>
  <c r="BJ364" i="35"/>
  <c r="BI364" i="35"/>
  <c r="BH364" i="35"/>
  <c r="BG364" i="35"/>
  <c r="BF364" i="35"/>
  <c r="BE364" i="35"/>
  <c r="BD364" i="35"/>
  <c r="BC364" i="35"/>
  <c r="BA364" i="35"/>
  <c r="AZ364" i="35"/>
  <c r="AY364" i="35"/>
  <c r="AW364" i="35"/>
  <c r="AV364" i="35"/>
  <c r="AU364" i="35"/>
  <c r="AT364" i="35"/>
  <c r="AS364" i="35"/>
  <c r="AR364" i="35"/>
  <c r="AQ364" i="35"/>
  <c r="AP364" i="35"/>
  <c r="BB364" i="35" s="1"/>
  <c r="AO364" i="35"/>
  <c r="AL364" i="35"/>
  <c r="AM364" i="35" s="1"/>
  <c r="AK364" i="35"/>
  <c r="AI364" i="35"/>
  <c r="AJ364" i="35" s="1"/>
  <c r="AF364" i="35"/>
  <c r="AC364" i="35"/>
  <c r="AB364" i="35"/>
  <c r="AA364" i="35"/>
  <c r="Z364" i="35"/>
  <c r="Y364" i="35"/>
  <c r="X364" i="35"/>
  <c r="T364" i="35"/>
  <c r="W364" i="35" s="1"/>
  <c r="O364" i="35"/>
  <c r="N364" i="35"/>
  <c r="M364" i="35"/>
  <c r="L364" i="35"/>
  <c r="K364" i="35"/>
  <c r="J364" i="35"/>
  <c r="I364" i="35"/>
  <c r="H364" i="35"/>
  <c r="BK363" i="35"/>
  <c r="BJ363" i="35"/>
  <c r="BI363" i="35"/>
  <c r="BG363" i="35"/>
  <c r="BF363" i="35"/>
  <c r="BE363" i="35"/>
  <c r="BD363" i="35"/>
  <c r="BC363" i="35"/>
  <c r="AZ363" i="35"/>
  <c r="AU363" i="35"/>
  <c r="AT363" i="35"/>
  <c r="AS363" i="35"/>
  <c r="AR363" i="35"/>
  <c r="AQ363" i="35"/>
  <c r="BH363" i="35" s="1"/>
  <c r="AP363" i="35"/>
  <c r="BA363" i="35" s="1"/>
  <c r="AO363" i="35"/>
  <c r="AM363" i="35"/>
  <c r="AL363" i="35"/>
  <c r="AK363" i="35"/>
  <c r="AI363" i="35"/>
  <c r="AJ363" i="35" s="1"/>
  <c r="AF363" i="35"/>
  <c r="AC363" i="35"/>
  <c r="AB363" i="35"/>
  <c r="AA363" i="35"/>
  <c r="Z363" i="35"/>
  <c r="Y363" i="35"/>
  <c r="X363" i="35"/>
  <c r="W363" i="35"/>
  <c r="T363" i="35"/>
  <c r="O363" i="35"/>
  <c r="N363" i="35"/>
  <c r="M363" i="35"/>
  <c r="L363" i="35"/>
  <c r="K363" i="35"/>
  <c r="J363" i="35"/>
  <c r="I363" i="35"/>
  <c r="H363" i="35"/>
  <c r="BK362" i="35"/>
  <c r="BJ362" i="35"/>
  <c r="BI362" i="35"/>
  <c r="BD362" i="35"/>
  <c r="BC362" i="35"/>
  <c r="BB362" i="35"/>
  <c r="AR362" i="35"/>
  <c r="AQ362" i="35"/>
  <c r="BH362" i="35" s="1"/>
  <c r="AP362" i="35"/>
  <c r="AO362" i="35"/>
  <c r="AL362" i="35"/>
  <c r="AK362" i="35"/>
  <c r="AM362" i="35" s="1"/>
  <c r="AJ362" i="35"/>
  <c r="AI362" i="35"/>
  <c r="AF362" i="35"/>
  <c r="AC362" i="35"/>
  <c r="AB362" i="35"/>
  <c r="AA362" i="35"/>
  <c r="Z362" i="35"/>
  <c r="Y362" i="35"/>
  <c r="X362" i="35"/>
  <c r="T362" i="35"/>
  <c r="W362" i="35" s="1"/>
  <c r="O362" i="35"/>
  <c r="N362" i="35"/>
  <c r="M362" i="35"/>
  <c r="L362" i="35"/>
  <c r="K362" i="35"/>
  <c r="J362" i="35"/>
  <c r="I362" i="35"/>
  <c r="H362" i="35"/>
  <c r="BJ361" i="35"/>
  <c r="BI361" i="35"/>
  <c r="BC361" i="35"/>
  <c r="BB361" i="35"/>
  <c r="BA361" i="35"/>
  <c r="AR361" i="35"/>
  <c r="AQ361" i="35"/>
  <c r="BH361" i="35" s="1"/>
  <c r="AP361" i="35"/>
  <c r="AO361" i="35"/>
  <c r="AL361" i="35"/>
  <c r="AK361" i="35"/>
  <c r="AM361" i="35" s="1"/>
  <c r="AI361" i="35"/>
  <c r="AJ361" i="35" s="1"/>
  <c r="AF361" i="35"/>
  <c r="AC361" i="35"/>
  <c r="AB361" i="35"/>
  <c r="AA361" i="35"/>
  <c r="Z361" i="35"/>
  <c r="Y361" i="35"/>
  <c r="X361" i="35"/>
  <c r="W361" i="35"/>
  <c r="T361" i="35"/>
  <c r="BK361" i="35" s="1"/>
  <c r="O361" i="35"/>
  <c r="N361" i="35"/>
  <c r="M361" i="35"/>
  <c r="L361" i="35"/>
  <c r="K361" i="35"/>
  <c r="J361" i="35"/>
  <c r="I361" i="35"/>
  <c r="H361" i="35"/>
  <c r="BJ360" i="35"/>
  <c r="BI360" i="35"/>
  <c r="AR360" i="35"/>
  <c r="AQ360" i="35"/>
  <c r="BH360" i="35" s="1"/>
  <c r="AP360" i="35"/>
  <c r="AO360" i="35"/>
  <c r="AM360" i="35"/>
  <c r="AL360" i="35"/>
  <c r="AK360" i="35"/>
  <c r="AJ360" i="35"/>
  <c r="AI360" i="35"/>
  <c r="AF360" i="35"/>
  <c r="AC360" i="35"/>
  <c r="AB360" i="35"/>
  <c r="AA360" i="35"/>
  <c r="Z360" i="35"/>
  <c r="Y360" i="35"/>
  <c r="X360" i="35"/>
  <c r="T360" i="35"/>
  <c r="W360" i="35" s="1"/>
  <c r="O360" i="35"/>
  <c r="N360" i="35"/>
  <c r="M360" i="35"/>
  <c r="L360" i="35"/>
  <c r="K360" i="35"/>
  <c r="J360" i="35"/>
  <c r="I360" i="35"/>
  <c r="H360" i="35"/>
  <c r="BK359" i="35"/>
  <c r="BJ359" i="35"/>
  <c r="BI359" i="35"/>
  <c r="BH359" i="35"/>
  <c r="BA359" i="35"/>
  <c r="AZ359" i="35"/>
  <c r="AY359" i="35"/>
  <c r="AV359" i="35"/>
  <c r="AR359" i="35"/>
  <c r="AQ359" i="35"/>
  <c r="AP359" i="35"/>
  <c r="AW359" i="35" s="1"/>
  <c r="AO359" i="35"/>
  <c r="AL359" i="35"/>
  <c r="AM359" i="35" s="1"/>
  <c r="AK359" i="35"/>
  <c r="AI359" i="35"/>
  <c r="AJ359" i="35" s="1"/>
  <c r="AF359" i="35"/>
  <c r="AC359" i="35"/>
  <c r="AB359" i="35"/>
  <c r="AA359" i="35"/>
  <c r="Z359" i="35"/>
  <c r="Y359" i="35"/>
  <c r="X359" i="35"/>
  <c r="W359" i="35"/>
  <c r="T359" i="35"/>
  <c r="O359" i="35"/>
  <c r="N359" i="35"/>
  <c r="M359" i="35"/>
  <c r="L359" i="35"/>
  <c r="K359" i="35"/>
  <c r="J359" i="35"/>
  <c r="I359" i="35"/>
  <c r="H359" i="35"/>
  <c r="BK358" i="35"/>
  <c r="BJ358" i="35"/>
  <c r="BI358" i="35"/>
  <c r="BG358" i="35"/>
  <c r="BA358" i="35"/>
  <c r="AZ358" i="35"/>
  <c r="AY358" i="35"/>
  <c r="AX358" i="35"/>
  <c r="AU358" i="35"/>
  <c r="AR358" i="35"/>
  <c r="AQ358" i="35"/>
  <c r="BH358" i="35" s="1"/>
  <c r="AP358" i="35"/>
  <c r="AV358" i="35" s="1"/>
  <c r="AO358" i="35"/>
  <c r="AL358" i="35"/>
  <c r="AK358" i="35"/>
  <c r="AM358" i="35" s="1"/>
  <c r="AJ358" i="35"/>
  <c r="AI358" i="35"/>
  <c r="AF358" i="35"/>
  <c r="AC358" i="35"/>
  <c r="AB358" i="35"/>
  <c r="AA358" i="35"/>
  <c r="Z358" i="35"/>
  <c r="Y358" i="35"/>
  <c r="X358" i="35"/>
  <c r="W358" i="35"/>
  <c r="T358" i="35"/>
  <c r="O358" i="35"/>
  <c r="N358" i="35"/>
  <c r="M358" i="35"/>
  <c r="L358" i="35"/>
  <c r="K358" i="35"/>
  <c r="J358" i="35"/>
  <c r="I358" i="35"/>
  <c r="H358" i="35"/>
  <c r="BJ357" i="35"/>
  <c r="BI357" i="35"/>
  <c r="BH357" i="35"/>
  <c r="BF357" i="35"/>
  <c r="BD357" i="35"/>
  <c r="BA357" i="35"/>
  <c r="AZ357" i="35"/>
  <c r="AY357" i="35"/>
  <c r="AX357" i="35"/>
  <c r="AW357" i="35"/>
  <c r="AV357" i="35"/>
  <c r="AT357" i="35"/>
  <c r="AR357" i="35"/>
  <c r="AQ357" i="35"/>
  <c r="AP357" i="35"/>
  <c r="BG357" i="35" s="1"/>
  <c r="AO357" i="35"/>
  <c r="AL357" i="35"/>
  <c r="AK357" i="35"/>
  <c r="AM357" i="35" s="1"/>
  <c r="AJ357" i="35"/>
  <c r="AI357" i="35"/>
  <c r="AF357" i="35"/>
  <c r="AC357" i="35"/>
  <c r="AB357" i="35"/>
  <c r="AA357" i="35"/>
  <c r="Z357" i="35"/>
  <c r="Y357" i="35"/>
  <c r="X357" i="35"/>
  <c r="W357" i="35"/>
  <c r="T357" i="35"/>
  <c r="BK357" i="35" s="1"/>
  <c r="O357" i="35"/>
  <c r="N357" i="35"/>
  <c r="M357" i="35"/>
  <c r="L357" i="35"/>
  <c r="K357" i="35"/>
  <c r="J357" i="35"/>
  <c r="I357" i="35"/>
  <c r="H357" i="35"/>
  <c r="BJ356" i="35"/>
  <c r="BI356" i="35"/>
  <c r="BH356" i="35"/>
  <c r="BG356" i="35"/>
  <c r="BE356" i="35"/>
  <c r="BC356" i="35"/>
  <c r="BA356" i="35"/>
  <c r="AZ356" i="35"/>
  <c r="AY356" i="35"/>
  <c r="AX356" i="35"/>
  <c r="AW356" i="35"/>
  <c r="AV356" i="35"/>
  <c r="AU356" i="35"/>
  <c r="AS356" i="35"/>
  <c r="AR356" i="35"/>
  <c r="AQ356" i="35"/>
  <c r="AP356" i="35"/>
  <c r="BF356" i="35" s="1"/>
  <c r="AO356" i="35"/>
  <c r="AL356" i="35"/>
  <c r="AK356" i="35"/>
  <c r="AM356" i="35" s="1"/>
  <c r="AJ356" i="35"/>
  <c r="AI356" i="35"/>
  <c r="AF356" i="35"/>
  <c r="AC356" i="35"/>
  <c r="AB356" i="35"/>
  <c r="AA356" i="35"/>
  <c r="Z356" i="35"/>
  <c r="Y356" i="35"/>
  <c r="X356" i="35"/>
  <c r="T356" i="35"/>
  <c r="BK356" i="35" s="1"/>
  <c r="O356" i="35"/>
  <c r="N356" i="35"/>
  <c r="M356" i="35"/>
  <c r="L356" i="35"/>
  <c r="K356" i="35"/>
  <c r="J356" i="35"/>
  <c r="I356" i="35"/>
  <c r="H356" i="35"/>
  <c r="BJ355" i="35"/>
  <c r="BI355" i="35"/>
  <c r="BH355" i="35"/>
  <c r="BG355" i="35"/>
  <c r="BF355" i="35"/>
  <c r="BD355" i="35"/>
  <c r="AY355" i="35"/>
  <c r="AX355" i="35"/>
  <c r="AW355" i="35"/>
  <c r="AV355" i="35"/>
  <c r="AU355" i="35"/>
  <c r="AT355" i="35"/>
  <c r="AR355" i="35"/>
  <c r="AQ355" i="35"/>
  <c r="AP355" i="35"/>
  <c r="BE355" i="35" s="1"/>
  <c r="AO355" i="35"/>
  <c r="AL355" i="35"/>
  <c r="AK355" i="35"/>
  <c r="AI355" i="35"/>
  <c r="AJ355" i="35" s="1"/>
  <c r="AF355" i="35"/>
  <c r="AC355" i="35"/>
  <c r="AB355" i="35"/>
  <c r="AA355" i="35"/>
  <c r="Z355" i="35"/>
  <c r="Y355" i="35"/>
  <c r="X355" i="35"/>
  <c r="T355" i="35"/>
  <c r="BK355" i="35" s="1"/>
  <c r="O355" i="35"/>
  <c r="N355" i="35"/>
  <c r="M355" i="35"/>
  <c r="L355" i="35"/>
  <c r="K355" i="35"/>
  <c r="J355" i="35"/>
  <c r="I355" i="35"/>
  <c r="H355" i="35"/>
  <c r="BJ354" i="35"/>
  <c r="BI354" i="35"/>
  <c r="BG354" i="35"/>
  <c r="BF354" i="35"/>
  <c r="BE354" i="35"/>
  <c r="BC354" i="35"/>
  <c r="BA354" i="35"/>
  <c r="AX354" i="35"/>
  <c r="AW354" i="35"/>
  <c r="AV354" i="35"/>
  <c r="AU354" i="35"/>
  <c r="AT354" i="35"/>
  <c r="AS354" i="35"/>
  <c r="AR354" i="35"/>
  <c r="AQ354" i="35"/>
  <c r="BH354" i="35" s="1"/>
  <c r="AP354" i="35"/>
  <c r="BD354" i="35" s="1"/>
  <c r="AO354" i="35"/>
  <c r="AL354" i="35"/>
  <c r="AK354" i="35"/>
  <c r="AM354" i="35" s="1"/>
  <c r="AI354" i="35"/>
  <c r="AJ354" i="35" s="1"/>
  <c r="AF354" i="35"/>
  <c r="AC354" i="35"/>
  <c r="AB354" i="35"/>
  <c r="AA354" i="35"/>
  <c r="Z354" i="35"/>
  <c r="Y354" i="35"/>
  <c r="X354" i="35"/>
  <c r="W354" i="35"/>
  <c r="T354" i="35"/>
  <c r="BK354" i="35" s="1"/>
  <c r="O354" i="35"/>
  <c r="N354" i="35"/>
  <c r="M354" i="35"/>
  <c r="L354" i="35"/>
  <c r="K354" i="35"/>
  <c r="J354" i="35"/>
  <c r="I354" i="35"/>
  <c r="H354" i="35"/>
  <c r="BJ353" i="35"/>
  <c r="BI353" i="35"/>
  <c r="BH353" i="35"/>
  <c r="BF353" i="35"/>
  <c r="BE353" i="35"/>
  <c r="BB353" i="35"/>
  <c r="AR353" i="35"/>
  <c r="AQ353" i="35"/>
  <c r="AP353" i="35"/>
  <c r="BG353" i="35" s="1"/>
  <c r="AO353" i="35"/>
  <c r="AM353" i="35"/>
  <c r="AL353" i="35"/>
  <c r="AK353" i="35"/>
  <c r="AI353" i="35"/>
  <c r="AJ353" i="35" s="1"/>
  <c r="AF353" i="35"/>
  <c r="AC353" i="35"/>
  <c r="AB353" i="35"/>
  <c r="AA353" i="35"/>
  <c r="Z353" i="35"/>
  <c r="Y353" i="35"/>
  <c r="X353" i="35"/>
  <c r="T353" i="35"/>
  <c r="O353" i="35"/>
  <c r="N353" i="35"/>
  <c r="M353" i="35"/>
  <c r="L353" i="35"/>
  <c r="K353" i="35"/>
  <c r="J353" i="35"/>
  <c r="I353" i="35"/>
  <c r="H353" i="35"/>
  <c r="BK352" i="35"/>
  <c r="BJ352" i="35"/>
  <c r="BI352" i="35"/>
  <c r="BH352" i="35"/>
  <c r="BG352" i="35"/>
  <c r="BF352" i="35"/>
  <c r="BE352" i="35"/>
  <c r="BD352" i="35"/>
  <c r="BC352" i="35"/>
  <c r="BA352" i="35"/>
  <c r="AY352" i="35"/>
  <c r="AV352" i="35"/>
  <c r="AU352" i="35"/>
  <c r="AT352" i="35"/>
  <c r="AS352" i="35"/>
  <c r="AR352" i="35"/>
  <c r="AQ352" i="35"/>
  <c r="AP352" i="35"/>
  <c r="BB352" i="35" s="1"/>
  <c r="AO352" i="35"/>
  <c r="AL352" i="35"/>
  <c r="AM352" i="35" s="1"/>
  <c r="AK352" i="35"/>
  <c r="AI352" i="35"/>
  <c r="AJ352" i="35" s="1"/>
  <c r="AF352" i="35"/>
  <c r="AC352" i="35"/>
  <c r="AB352" i="35"/>
  <c r="AA352" i="35"/>
  <c r="Z352" i="35"/>
  <c r="Y352" i="35"/>
  <c r="X352" i="35"/>
  <c r="T352" i="35"/>
  <c r="W352" i="35" s="1"/>
  <c r="O352" i="35"/>
  <c r="N352" i="35"/>
  <c r="M352" i="35"/>
  <c r="L352" i="35"/>
  <c r="K352" i="35"/>
  <c r="J352" i="35"/>
  <c r="I352" i="35"/>
  <c r="H352" i="35"/>
  <c r="BJ351" i="35"/>
  <c r="BI351" i="35"/>
  <c r="BG351" i="35"/>
  <c r="BF351" i="35"/>
  <c r="BE351" i="35"/>
  <c r="BD351" i="35"/>
  <c r="BC351" i="35"/>
  <c r="AZ351" i="35"/>
  <c r="AU351" i="35"/>
  <c r="AT351" i="35"/>
  <c r="AS351" i="35"/>
  <c r="AR351" i="35"/>
  <c r="AQ351" i="35"/>
  <c r="BH351" i="35" s="1"/>
  <c r="AP351" i="35"/>
  <c r="BA351" i="35" s="1"/>
  <c r="AO351" i="35"/>
  <c r="AM351" i="35"/>
  <c r="AL351" i="35"/>
  <c r="AK351" i="35"/>
  <c r="AI351" i="35"/>
  <c r="AJ351" i="35" s="1"/>
  <c r="AF351" i="35"/>
  <c r="AC351" i="35"/>
  <c r="AB351" i="35"/>
  <c r="AA351" i="35"/>
  <c r="Z351" i="35"/>
  <c r="Y351" i="35"/>
  <c r="X351" i="35"/>
  <c r="W351" i="35"/>
  <c r="T351" i="35"/>
  <c r="BK351" i="35" s="1"/>
  <c r="O351" i="35"/>
  <c r="N351" i="35"/>
  <c r="M351" i="35"/>
  <c r="L351" i="35"/>
  <c r="K351" i="35"/>
  <c r="J351" i="35"/>
  <c r="I351" i="35"/>
  <c r="H351" i="35"/>
  <c r="BK350" i="35"/>
  <c r="BJ350" i="35"/>
  <c r="BI350" i="35"/>
  <c r="BD350" i="35"/>
  <c r="BC350" i="35"/>
  <c r="BB350" i="35"/>
  <c r="AY350" i="35"/>
  <c r="AT350" i="35"/>
  <c r="AR350" i="35"/>
  <c r="AQ350" i="35"/>
  <c r="BH350" i="35" s="1"/>
  <c r="AP350" i="35"/>
  <c r="BF350" i="35" s="1"/>
  <c r="AO350" i="35"/>
  <c r="AL350" i="35"/>
  <c r="AM350" i="35" s="1"/>
  <c r="AK350" i="35"/>
  <c r="AJ350" i="35"/>
  <c r="AI350" i="35"/>
  <c r="AF350" i="35"/>
  <c r="AC350" i="35"/>
  <c r="AB350" i="35"/>
  <c r="AA350" i="35"/>
  <c r="Z350" i="35"/>
  <c r="Y350" i="35"/>
  <c r="X350" i="35"/>
  <c r="T350" i="35"/>
  <c r="W350" i="35" s="1"/>
  <c r="O350" i="35"/>
  <c r="N350" i="35"/>
  <c r="M350" i="35"/>
  <c r="L350" i="35"/>
  <c r="K350" i="35"/>
  <c r="J350" i="35"/>
  <c r="I350" i="35"/>
  <c r="H350" i="35"/>
  <c r="BJ349" i="35"/>
  <c r="BI349" i="35"/>
  <c r="BC349" i="35"/>
  <c r="BB349" i="35"/>
  <c r="BA349" i="35"/>
  <c r="AX349" i="35"/>
  <c r="AS349" i="35"/>
  <c r="AR349" i="35"/>
  <c r="AQ349" i="35"/>
  <c r="BH349" i="35" s="1"/>
  <c r="AP349" i="35"/>
  <c r="BE349" i="35" s="1"/>
  <c r="AO349" i="35"/>
  <c r="AL349" i="35"/>
  <c r="AK349" i="35"/>
  <c r="AM349" i="35" s="1"/>
  <c r="AI349" i="35"/>
  <c r="AJ349" i="35" s="1"/>
  <c r="AF349" i="35"/>
  <c r="AC349" i="35"/>
  <c r="AB349" i="35"/>
  <c r="AA349" i="35"/>
  <c r="Z349" i="35"/>
  <c r="Y349" i="35"/>
  <c r="X349" i="35"/>
  <c r="W349" i="35"/>
  <c r="T349" i="35"/>
  <c r="BK349" i="35" s="1"/>
  <c r="O349" i="35"/>
  <c r="N349" i="35"/>
  <c r="M349" i="35"/>
  <c r="L349" i="35"/>
  <c r="K349" i="35"/>
  <c r="J349" i="35"/>
  <c r="I349" i="35"/>
  <c r="H349" i="35"/>
  <c r="BJ348" i="35"/>
  <c r="BI348" i="35"/>
  <c r="AR348" i="35"/>
  <c r="AQ348" i="35"/>
  <c r="BH348" i="35" s="1"/>
  <c r="AP348" i="35"/>
  <c r="AO348" i="35"/>
  <c r="AM348" i="35"/>
  <c r="AL348" i="35"/>
  <c r="AK348" i="35"/>
  <c r="AJ348" i="35"/>
  <c r="AI348" i="35"/>
  <c r="AF348" i="35"/>
  <c r="AC348" i="35"/>
  <c r="AB348" i="35"/>
  <c r="AA348" i="35"/>
  <c r="Z348" i="35"/>
  <c r="Y348" i="35"/>
  <c r="X348" i="35"/>
  <c r="T348" i="35"/>
  <c r="O348" i="35"/>
  <c r="N348" i="35"/>
  <c r="M348" i="35"/>
  <c r="L348" i="35"/>
  <c r="K348" i="35"/>
  <c r="J348" i="35"/>
  <c r="I348" i="35"/>
  <c r="H348" i="35"/>
  <c r="BK347" i="35"/>
  <c r="BJ347" i="35"/>
  <c r="BI347" i="35"/>
  <c r="AR347" i="35"/>
  <c r="AQ347" i="35"/>
  <c r="BH347" i="35" s="1"/>
  <c r="AP347" i="35"/>
  <c r="AO347" i="35"/>
  <c r="AL347" i="35"/>
  <c r="AM347" i="35" s="1"/>
  <c r="AK347" i="35"/>
  <c r="AI347" i="35"/>
  <c r="AJ347" i="35" s="1"/>
  <c r="AF347" i="35"/>
  <c r="AC347" i="35"/>
  <c r="AB347" i="35"/>
  <c r="AA347" i="35"/>
  <c r="Z347" i="35"/>
  <c r="Y347" i="35"/>
  <c r="X347" i="35"/>
  <c r="W347" i="35"/>
  <c r="T347" i="35"/>
  <c r="O347" i="35"/>
  <c r="N347" i="35"/>
  <c r="M347" i="35"/>
  <c r="L347" i="35"/>
  <c r="K347" i="35"/>
  <c r="J347" i="35"/>
  <c r="I347" i="35"/>
  <c r="H347" i="35"/>
  <c r="BK346" i="35"/>
  <c r="BJ346" i="35"/>
  <c r="BI346" i="35"/>
  <c r="AR346" i="35"/>
  <c r="AQ346" i="35"/>
  <c r="BH346" i="35" s="1"/>
  <c r="AP346" i="35"/>
  <c r="AO346" i="35"/>
  <c r="AM346" i="35"/>
  <c r="AL346" i="35"/>
  <c r="AK346" i="35"/>
  <c r="AJ346" i="35"/>
  <c r="AI346" i="35"/>
  <c r="AF346" i="35"/>
  <c r="AC346" i="35"/>
  <c r="AB346" i="35"/>
  <c r="AA346" i="35"/>
  <c r="Z346" i="35"/>
  <c r="Y346" i="35"/>
  <c r="X346" i="35"/>
  <c r="W346" i="35"/>
  <c r="T346" i="35"/>
  <c r="O346" i="35"/>
  <c r="N346" i="35"/>
  <c r="M346" i="35"/>
  <c r="L346" i="35"/>
  <c r="K346" i="35"/>
  <c r="J346" i="35"/>
  <c r="I346" i="35"/>
  <c r="H346" i="35"/>
  <c r="BK345" i="35"/>
  <c r="BJ345" i="35"/>
  <c r="BI345" i="35"/>
  <c r="BH345" i="35"/>
  <c r="BF345" i="35"/>
  <c r="BD345" i="35"/>
  <c r="BA345" i="35"/>
  <c r="AZ345" i="35"/>
  <c r="AY345" i="35"/>
  <c r="AX345" i="35"/>
  <c r="AW345" i="35"/>
  <c r="AV345" i="35"/>
  <c r="AT345" i="35"/>
  <c r="AR345" i="35"/>
  <c r="AQ345" i="35"/>
  <c r="AP345" i="35"/>
  <c r="BG345" i="35" s="1"/>
  <c r="AO345" i="35"/>
  <c r="AL345" i="35"/>
  <c r="AK345" i="35"/>
  <c r="AM345" i="35" s="1"/>
  <c r="AJ345" i="35"/>
  <c r="AI345" i="35"/>
  <c r="AF345" i="35"/>
  <c r="AC345" i="35"/>
  <c r="AB345" i="35"/>
  <c r="AA345" i="35"/>
  <c r="Z345" i="35"/>
  <c r="Y345" i="35"/>
  <c r="X345" i="35"/>
  <c r="T345" i="35"/>
  <c r="W345" i="35" s="1"/>
  <c r="O345" i="35"/>
  <c r="N345" i="35"/>
  <c r="M345" i="35"/>
  <c r="L345" i="35"/>
  <c r="K345" i="35"/>
  <c r="J345" i="35"/>
  <c r="I345" i="35"/>
  <c r="H345" i="35"/>
  <c r="BJ344" i="35"/>
  <c r="BI344" i="35"/>
  <c r="BH344" i="35"/>
  <c r="BG344" i="35"/>
  <c r="BE344" i="35"/>
  <c r="BC344" i="35"/>
  <c r="AZ344" i="35"/>
  <c r="AY344" i="35"/>
  <c r="AX344" i="35"/>
  <c r="AW344" i="35"/>
  <c r="AV344" i="35"/>
  <c r="AU344" i="35"/>
  <c r="AS344" i="35"/>
  <c r="AR344" i="35"/>
  <c r="AQ344" i="35"/>
  <c r="AP344" i="35"/>
  <c r="BF344" i="35" s="1"/>
  <c r="AO344" i="35"/>
  <c r="AL344" i="35"/>
  <c r="AK344" i="35"/>
  <c r="AM344" i="35" s="1"/>
  <c r="AJ344" i="35"/>
  <c r="AI344" i="35"/>
  <c r="AF344" i="35"/>
  <c r="AC344" i="35"/>
  <c r="AB344" i="35"/>
  <c r="AA344" i="35"/>
  <c r="Z344" i="35"/>
  <c r="Y344" i="35"/>
  <c r="X344" i="35"/>
  <c r="T344" i="35"/>
  <c r="BK344" i="35" s="1"/>
  <c r="O344" i="35"/>
  <c r="N344" i="35"/>
  <c r="M344" i="35"/>
  <c r="L344" i="35"/>
  <c r="K344" i="35"/>
  <c r="J344" i="35"/>
  <c r="I344" i="35"/>
  <c r="H344" i="35"/>
  <c r="BJ343" i="35"/>
  <c r="BI343" i="35"/>
  <c r="BH343" i="35"/>
  <c r="BG343" i="35"/>
  <c r="BF343" i="35"/>
  <c r="BD343" i="35"/>
  <c r="AY343" i="35"/>
  <c r="AX343" i="35"/>
  <c r="AW343" i="35"/>
  <c r="AV343" i="35"/>
  <c r="AU343" i="35"/>
  <c r="AT343" i="35"/>
  <c r="AR343" i="35"/>
  <c r="AQ343" i="35"/>
  <c r="AP343" i="35"/>
  <c r="BE343" i="35" s="1"/>
  <c r="AO343" i="35"/>
  <c r="AL343" i="35"/>
  <c r="AK343" i="35"/>
  <c r="AJ343" i="35"/>
  <c r="AI343" i="35"/>
  <c r="AF343" i="35"/>
  <c r="AC343" i="35"/>
  <c r="AB343" i="35"/>
  <c r="AA343" i="35"/>
  <c r="Z343" i="35"/>
  <c r="Y343" i="35"/>
  <c r="X343" i="35"/>
  <c r="W343" i="35"/>
  <c r="T343" i="35"/>
  <c r="BK343" i="35" s="1"/>
  <c r="O343" i="35"/>
  <c r="N343" i="35"/>
  <c r="M343" i="35"/>
  <c r="L343" i="35"/>
  <c r="K343" i="35"/>
  <c r="J343" i="35"/>
  <c r="I343" i="35"/>
  <c r="H343" i="35"/>
  <c r="BJ342" i="35"/>
  <c r="BI342" i="35"/>
  <c r="BH342" i="35"/>
  <c r="BG342" i="35"/>
  <c r="BF342" i="35"/>
  <c r="BE342" i="35"/>
  <c r="BC342" i="35"/>
  <c r="BA342" i="35"/>
  <c r="AX342" i="35"/>
  <c r="AW342" i="35"/>
  <c r="AV342" i="35"/>
  <c r="AU342" i="35"/>
  <c r="AT342" i="35"/>
  <c r="AS342" i="35"/>
  <c r="AR342" i="35"/>
  <c r="AQ342" i="35"/>
  <c r="AP342" i="35"/>
  <c r="BD342" i="35" s="1"/>
  <c r="AO342" i="35"/>
  <c r="AL342" i="35"/>
  <c r="AK342" i="35"/>
  <c r="AM342" i="35" s="1"/>
  <c r="AJ342" i="35"/>
  <c r="AI342" i="35"/>
  <c r="AF342" i="35"/>
  <c r="AC342" i="35"/>
  <c r="AB342" i="35"/>
  <c r="AA342" i="35"/>
  <c r="Z342" i="35"/>
  <c r="Y342" i="35"/>
  <c r="X342" i="35"/>
  <c r="T342" i="35"/>
  <c r="BK342" i="35" s="1"/>
  <c r="O342" i="35"/>
  <c r="N342" i="35"/>
  <c r="M342" i="35"/>
  <c r="L342" i="35"/>
  <c r="K342" i="35"/>
  <c r="J342" i="35"/>
  <c r="I342" i="35"/>
  <c r="H342" i="35"/>
  <c r="BJ341" i="35"/>
  <c r="BI341" i="35"/>
  <c r="BH341" i="35"/>
  <c r="BD341" i="35"/>
  <c r="AW341" i="35"/>
  <c r="AV341" i="35"/>
  <c r="AU341" i="35"/>
  <c r="AR341" i="35"/>
  <c r="AQ341" i="35"/>
  <c r="AP341" i="35"/>
  <c r="BF341" i="35" s="1"/>
  <c r="AO341" i="35"/>
  <c r="AM341" i="35"/>
  <c r="AL341" i="35"/>
  <c r="AK341" i="35"/>
  <c r="AI341" i="35"/>
  <c r="AJ341" i="35" s="1"/>
  <c r="AF341" i="35"/>
  <c r="AC341" i="35"/>
  <c r="AB341" i="35"/>
  <c r="AA341" i="35"/>
  <c r="Z341" i="35"/>
  <c r="Y341" i="35"/>
  <c r="X341" i="35"/>
  <c r="T341" i="35"/>
  <c r="O341" i="35"/>
  <c r="N341" i="35"/>
  <c r="M341" i="35"/>
  <c r="L341" i="35"/>
  <c r="K341" i="35"/>
  <c r="J341" i="35"/>
  <c r="I341" i="35"/>
  <c r="H341" i="35"/>
  <c r="BK340" i="35"/>
  <c r="BJ340" i="35"/>
  <c r="BI340" i="35"/>
  <c r="BG340" i="35"/>
  <c r="BF340" i="35"/>
  <c r="BE340" i="35"/>
  <c r="BD340" i="35"/>
  <c r="BC340" i="35"/>
  <c r="BA340" i="35"/>
  <c r="AY340" i="35"/>
  <c r="AV340" i="35"/>
  <c r="AU340" i="35"/>
  <c r="AT340" i="35"/>
  <c r="AS340" i="35"/>
  <c r="AR340" i="35"/>
  <c r="AQ340" i="35"/>
  <c r="BH340" i="35" s="1"/>
  <c r="AP340" i="35"/>
  <c r="BB340" i="35" s="1"/>
  <c r="AO340" i="35"/>
  <c r="AL340" i="35"/>
  <c r="AM340" i="35" s="1"/>
  <c r="AK340" i="35"/>
  <c r="AI340" i="35"/>
  <c r="AJ340" i="35" s="1"/>
  <c r="AF340" i="35"/>
  <c r="AC340" i="35"/>
  <c r="AB340" i="35"/>
  <c r="AA340" i="35"/>
  <c r="Z340" i="35"/>
  <c r="Y340" i="35"/>
  <c r="X340" i="35"/>
  <c r="T340" i="35"/>
  <c r="W340" i="35" s="1"/>
  <c r="O340" i="35"/>
  <c r="N340" i="35"/>
  <c r="M340" i="35"/>
  <c r="L340" i="35"/>
  <c r="K340" i="35"/>
  <c r="J340" i="35"/>
  <c r="I340" i="35"/>
  <c r="H340" i="35"/>
  <c r="BJ339" i="35"/>
  <c r="BI339" i="35"/>
  <c r="BG339" i="35"/>
  <c r="AR339" i="35"/>
  <c r="AQ339" i="35"/>
  <c r="BH339" i="35" s="1"/>
  <c r="AP339" i="35"/>
  <c r="AO339" i="35"/>
  <c r="AM339" i="35"/>
  <c r="AL339" i="35"/>
  <c r="AK339" i="35"/>
  <c r="AI339" i="35"/>
  <c r="AJ339" i="35" s="1"/>
  <c r="AF339" i="35"/>
  <c r="AC339" i="35"/>
  <c r="AB339" i="35"/>
  <c r="AA339" i="35"/>
  <c r="Z339" i="35"/>
  <c r="Y339" i="35"/>
  <c r="X339" i="35"/>
  <c r="W339" i="35"/>
  <c r="T339" i="35"/>
  <c r="BK339" i="35" s="1"/>
  <c r="O339" i="35"/>
  <c r="N339" i="35"/>
  <c r="M339" i="35"/>
  <c r="L339" i="35"/>
  <c r="K339" i="35"/>
  <c r="J339" i="35"/>
  <c r="I339" i="35"/>
  <c r="H339" i="35"/>
  <c r="BK338" i="35"/>
  <c r="BJ338" i="35"/>
  <c r="BI338" i="35"/>
  <c r="BE338" i="35"/>
  <c r="BB338" i="35"/>
  <c r="BA338" i="35"/>
  <c r="AY338" i="35"/>
  <c r="AT338" i="35"/>
  <c r="AS338" i="35"/>
  <c r="AR338" i="35"/>
  <c r="AQ338" i="35"/>
  <c r="BH338" i="35" s="1"/>
  <c r="AP338" i="35"/>
  <c r="BF338" i="35" s="1"/>
  <c r="AO338" i="35"/>
  <c r="AL338" i="35"/>
  <c r="AM338" i="35" s="1"/>
  <c r="AK338" i="35"/>
  <c r="AJ338" i="35"/>
  <c r="AI338" i="35"/>
  <c r="AF338" i="35"/>
  <c r="AC338" i="35"/>
  <c r="AB338" i="35"/>
  <c r="AA338" i="35"/>
  <c r="Z338" i="35"/>
  <c r="Y338" i="35"/>
  <c r="X338" i="35"/>
  <c r="T338" i="35"/>
  <c r="W338" i="35" s="1"/>
  <c r="O338" i="35"/>
  <c r="N338" i="35"/>
  <c r="M338" i="35"/>
  <c r="L338" i="35"/>
  <c r="K338" i="35"/>
  <c r="J338" i="35"/>
  <c r="I338" i="35"/>
  <c r="H338" i="35"/>
  <c r="BJ337" i="35"/>
  <c r="BI337" i="35"/>
  <c r="BH337" i="35"/>
  <c r="BC337" i="35"/>
  <c r="BA337" i="35"/>
  <c r="AZ337" i="35"/>
  <c r="AX337" i="35"/>
  <c r="AR337" i="35"/>
  <c r="AQ337" i="35"/>
  <c r="AP337" i="35"/>
  <c r="BE337" i="35" s="1"/>
  <c r="AO337" i="35"/>
  <c r="AL337" i="35"/>
  <c r="AK337" i="35"/>
  <c r="AM337" i="35" s="1"/>
  <c r="AI337" i="35"/>
  <c r="AJ337" i="35" s="1"/>
  <c r="AF337" i="35"/>
  <c r="AC337" i="35"/>
  <c r="AB337" i="35"/>
  <c r="AA337" i="35"/>
  <c r="Z337" i="35"/>
  <c r="Y337" i="35"/>
  <c r="X337" i="35"/>
  <c r="W337" i="35"/>
  <c r="T337" i="35"/>
  <c r="BK337" i="35" s="1"/>
  <c r="O337" i="35"/>
  <c r="N337" i="35"/>
  <c r="M337" i="35"/>
  <c r="L337" i="35"/>
  <c r="K337" i="35"/>
  <c r="J337" i="35"/>
  <c r="I337" i="35"/>
  <c r="H337" i="35"/>
  <c r="BK336" i="35"/>
  <c r="BJ336" i="35"/>
  <c r="BI336" i="35"/>
  <c r="BG336" i="35"/>
  <c r="BD336" i="35"/>
  <c r="BC336" i="35"/>
  <c r="BB336" i="35"/>
  <c r="BA336" i="35"/>
  <c r="AY336" i="35"/>
  <c r="AW336" i="35"/>
  <c r="AU336" i="35"/>
  <c r="AR336" i="35"/>
  <c r="AQ336" i="35"/>
  <c r="BH336" i="35" s="1"/>
  <c r="AP336" i="35"/>
  <c r="AO336" i="35"/>
  <c r="AL336" i="35"/>
  <c r="AM336" i="35" s="1"/>
  <c r="AK336" i="35"/>
  <c r="AJ336" i="35"/>
  <c r="AI336" i="35"/>
  <c r="AF336" i="35"/>
  <c r="AC336" i="35"/>
  <c r="AB336" i="35"/>
  <c r="AA336" i="35"/>
  <c r="Z336" i="35"/>
  <c r="Y336" i="35"/>
  <c r="X336" i="35"/>
  <c r="T336" i="35"/>
  <c r="W336" i="35" s="1"/>
  <c r="O336" i="35"/>
  <c r="N336" i="35"/>
  <c r="M336" i="35"/>
  <c r="L336" i="35"/>
  <c r="K336" i="35"/>
  <c r="J336" i="35"/>
  <c r="I336" i="35"/>
  <c r="H336" i="35"/>
  <c r="BK335" i="35"/>
  <c r="BJ335" i="35"/>
  <c r="BI335" i="35"/>
  <c r="BF335" i="35"/>
  <c r="BC335" i="35"/>
  <c r="BB335" i="35"/>
  <c r="AZ335" i="35"/>
  <c r="AV335" i="35"/>
  <c r="AR335" i="35"/>
  <c r="AQ335" i="35"/>
  <c r="BH335" i="35" s="1"/>
  <c r="AP335" i="35"/>
  <c r="AO335" i="35"/>
  <c r="AM335" i="35"/>
  <c r="AL335" i="35"/>
  <c r="AK335" i="35"/>
  <c r="AI335" i="35"/>
  <c r="AJ335" i="35" s="1"/>
  <c r="AF335" i="35"/>
  <c r="AC335" i="35"/>
  <c r="AB335" i="35"/>
  <c r="AA335" i="35"/>
  <c r="Z335" i="35"/>
  <c r="Y335" i="35"/>
  <c r="X335" i="35"/>
  <c r="W335" i="35"/>
  <c r="T335" i="35"/>
  <c r="O335" i="35"/>
  <c r="N335" i="35"/>
  <c r="M335" i="35"/>
  <c r="L335" i="35"/>
  <c r="K335" i="35"/>
  <c r="J335" i="35"/>
  <c r="I335" i="35"/>
  <c r="H335" i="35"/>
  <c r="BK334" i="35"/>
  <c r="BJ334" i="35"/>
  <c r="BI334" i="35"/>
  <c r="BG334" i="35"/>
  <c r="AR334" i="35"/>
  <c r="AQ334" i="35"/>
  <c r="BH334" i="35" s="1"/>
  <c r="AP334" i="35"/>
  <c r="AO334" i="35"/>
  <c r="AM334" i="35"/>
  <c r="AL334" i="35"/>
  <c r="AK334" i="35"/>
  <c r="AJ334" i="35"/>
  <c r="AI334" i="35"/>
  <c r="AF334" i="35"/>
  <c r="AC334" i="35"/>
  <c r="AB334" i="35"/>
  <c r="AA334" i="35"/>
  <c r="Z334" i="35"/>
  <c r="Y334" i="35"/>
  <c r="X334" i="35"/>
  <c r="W334" i="35"/>
  <c r="T334" i="35"/>
  <c r="O334" i="35"/>
  <c r="N334" i="35"/>
  <c r="M334" i="35"/>
  <c r="L334" i="35"/>
  <c r="K334" i="35"/>
  <c r="J334" i="35"/>
  <c r="I334" i="35"/>
  <c r="H334" i="35"/>
  <c r="BJ333" i="35"/>
  <c r="BI333" i="35"/>
  <c r="BH333" i="35"/>
  <c r="BF333" i="35"/>
  <c r="BD333" i="35"/>
  <c r="BA333" i="35"/>
  <c r="AZ333" i="35"/>
  <c r="AY333" i="35"/>
  <c r="AX333" i="35"/>
  <c r="AW333" i="35"/>
  <c r="AV333" i="35"/>
  <c r="AT333" i="35"/>
  <c r="AR333" i="35"/>
  <c r="AQ333" i="35"/>
  <c r="AP333" i="35"/>
  <c r="BG333" i="35" s="1"/>
  <c r="AO333" i="35"/>
  <c r="AL333" i="35"/>
  <c r="AK333" i="35"/>
  <c r="AM333" i="35" s="1"/>
  <c r="AI333" i="35"/>
  <c r="AJ333" i="35" s="1"/>
  <c r="AF333" i="35"/>
  <c r="AC333" i="35"/>
  <c r="AB333" i="35"/>
  <c r="AA333" i="35"/>
  <c r="Z333" i="35"/>
  <c r="Y333" i="35"/>
  <c r="X333" i="35"/>
  <c r="T333" i="35"/>
  <c r="BK333" i="35" s="1"/>
  <c r="O333" i="35"/>
  <c r="N333" i="35"/>
  <c r="M333" i="35"/>
  <c r="L333" i="35"/>
  <c r="K333" i="35"/>
  <c r="J333" i="35"/>
  <c r="I333" i="35"/>
  <c r="H333" i="35"/>
  <c r="BK332" i="35"/>
  <c r="BJ332" i="35"/>
  <c r="BI332" i="35"/>
  <c r="BG332" i="35"/>
  <c r="BE332" i="35"/>
  <c r="BC332" i="35"/>
  <c r="AZ332" i="35"/>
  <c r="AY332" i="35"/>
  <c r="AX332" i="35"/>
  <c r="AW332" i="35"/>
  <c r="AV332" i="35"/>
  <c r="AU332" i="35"/>
  <c r="AS332" i="35"/>
  <c r="AR332" i="35"/>
  <c r="AQ332" i="35"/>
  <c r="BH332" i="35" s="1"/>
  <c r="AP332" i="35"/>
  <c r="BF332" i="35" s="1"/>
  <c r="AO332" i="35"/>
  <c r="AL332" i="35"/>
  <c r="AM332" i="35" s="1"/>
  <c r="AK332" i="35"/>
  <c r="AJ332" i="35"/>
  <c r="AI332" i="35"/>
  <c r="AF332" i="35"/>
  <c r="AC332" i="35"/>
  <c r="AB332" i="35"/>
  <c r="AA332" i="35"/>
  <c r="Z332" i="35"/>
  <c r="Y332" i="35"/>
  <c r="X332" i="35"/>
  <c r="W332" i="35"/>
  <c r="T332" i="35"/>
  <c r="O332" i="35"/>
  <c r="N332" i="35"/>
  <c r="M332" i="35"/>
  <c r="L332" i="35"/>
  <c r="K332" i="35"/>
  <c r="J332" i="35"/>
  <c r="I332" i="35"/>
  <c r="H332" i="35"/>
  <c r="BK331" i="35"/>
  <c r="BJ331" i="35"/>
  <c r="BI331" i="35"/>
  <c r="BH331" i="35"/>
  <c r="BB331" i="35"/>
  <c r="AW331" i="35"/>
  <c r="AU331" i="35"/>
  <c r="AT331" i="35"/>
  <c r="AR331" i="35"/>
  <c r="AQ331" i="35"/>
  <c r="AP331" i="35"/>
  <c r="BF331" i="35" s="1"/>
  <c r="AO331" i="35"/>
  <c r="AL331" i="35"/>
  <c r="AK331" i="35"/>
  <c r="AM331" i="35" s="1"/>
  <c r="AI331" i="35"/>
  <c r="AJ331" i="35" s="1"/>
  <c r="AF331" i="35"/>
  <c r="AC331" i="35"/>
  <c r="AB331" i="35"/>
  <c r="AA331" i="35"/>
  <c r="Z331" i="35"/>
  <c r="Y331" i="35"/>
  <c r="X331" i="35"/>
  <c r="T331" i="35"/>
  <c r="W331" i="35" s="1"/>
  <c r="O331" i="35"/>
  <c r="N331" i="35"/>
  <c r="M331" i="35"/>
  <c r="L331" i="35"/>
  <c r="K331" i="35"/>
  <c r="J331" i="35"/>
  <c r="I331" i="35"/>
  <c r="H331" i="35"/>
  <c r="BJ330" i="35"/>
  <c r="BI330" i="35"/>
  <c r="BG330" i="35"/>
  <c r="BF330" i="35"/>
  <c r="BE330" i="35"/>
  <c r="BC330" i="35"/>
  <c r="BA330" i="35"/>
  <c r="AX330" i="35"/>
  <c r="AW330" i="35"/>
  <c r="AV330" i="35"/>
  <c r="AU330" i="35"/>
  <c r="AT330" i="35"/>
  <c r="AS330" i="35"/>
  <c r="AR330" i="35"/>
  <c r="AQ330" i="35"/>
  <c r="BH330" i="35" s="1"/>
  <c r="AP330" i="35"/>
  <c r="BD330" i="35" s="1"/>
  <c r="AO330" i="35"/>
  <c r="AL330" i="35"/>
  <c r="AK330" i="35"/>
  <c r="AM330" i="35" s="1"/>
  <c r="AI330" i="35"/>
  <c r="AJ330" i="35" s="1"/>
  <c r="AF330" i="35"/>
  <c r="AC330" i="35"/>
  <c r="AB330" i="35"/>
  <c r="AA330" i="35"/>
  <c r="Z330" i="35"/>
  <c r="Y330" i="35"/>
  <c r="X330" i="35"/>
  <c r="T330" i="35"/>
  <c r="BK330" i="35" s="1"/>
  <c r="O330" i="35"/>
  <c r="N330" i="35"/>
  <c r="M330" i="35"/>
  <c r="L330" i="35"/>
  <c r="K330" i="35"/>
  <c r="J330" i="35"/>
  <c r="I330" i="35"/>
  <c r="H330" i="35"/>
  <c r="BJ329" i="35"/>
  <c r="BI329" i="35"/>
  <c r="BH329" i="35"/>
  <c r="BF329" i="35"/>
  <c r="BE329" i="35"/>
  <c r="AR329" i="35"/>
  <c r="AQ329" i="35"/>
  <c r="AP329" i="35"/>
  <c r="AO329" i="35"/>
  <c r="AM329" i="35"/>
  <c r="AL329" i="35"/>
  <c r="AK329" i="35"/>
  <c r="AI329" i="35"/>
  <c r="AJ329" i="35" s="1"/>
  <c r="AF329" i="35"/>
  <c r="AC329" i="35"/>
  <c r="AB329" i="35"/>
  <c r="AA329" i="35"/>
  <c r="Z329" i="35"/>
  <c r="Y329" i="35"/>
  <c r="X329" i="35"/>
  <c r="T329" i="35"/>
  <c r="BK329" i="35" s="1"/>
  <c r="O329" i="35"/>
  <c r="N329" i="35"/>
  <c r="M329" i="35"/>
  <c r="L329" i="35"/>
  <c r="K329" i="35"/>
  <c r="J329" i="35"/>
  <c r="I329" i="35"/>
  <c r="H329" i="35"/>
  <c r="BJ328" i="35"/>
  <c r="BI328" i="35"/>
  <c r="BG328" i="35"/>
  <c r="BD328" i="35"/>
  <c r="BA328" i="35"/>
  <c r="AZ328" i="35"/>
  <c r="AY328" i="35"/>
  <c r="AW328" i="35"/>
  <c r="AT328" i="35"/>
  <c r="AR328" i="35"/>
  <c r="AQ328" i="35"/>
  <c r="BH328" i="35" s="1"/>
  <c r="AP328" i="35"/>
  <c r="BB328" i="35" s="1"/>
  <c r="AO328" i="35"/>
  <c r="AM328" i="35"/>
  <c r="AL328" i="35"/>
  <c r="AK328" i="35"/>
  <c r="AJ328" i="35"/>
  <c r="AI328" i="35"/>
  <c r="AF328" i="35"/>
  <c r="AC328" i="35"/>
  <c r="AB328" i="35"/>
  <c r="AA328" i="35"/>
  <c r="Z328" i="35"/>
  <c r="Y328" i="35"/>
  <c r="X328" i="35"/>
  <c r="T328" i="35"/>
  <c r="BK328" i="35" s="1"/>
  <c r="O328" i="35"/>
  <c r="N328" i="35"/>
  <c r="M328" i="35"/>
  <c r="L328" i="35"/>
  <c r="K328" i="35"/>
  <c r="J328" i="35"/>
  <c r="I328" i="35"/>
  <c r="H328" i="35"/>
  <c r="BK327" i="35"/>
  <c r="BJ327" i="35"/>
  <c r="BI327" i="35"/>
  <c r="BH327" i="35"/>
  <c r="AZ327" i="35"/>
  <c r="AY327" i="35"/>
  <c r="AX327" i="35"/>
  <c r="AR327" i="35"/>
  <c r="AQ327" i="35"/>
  <c r="AP327" i="35"/>
  <c r="AW327" i="35" s="1"/>
  <c r="AO327" i="35"/>
  <c r="AL327" i="35"/>
  <c r="AK327" i="35"/>
  <c r="AM327" i="35" s="1"/>
  <c r="AI327" i="35"/>
  <c r="AJ327" i="35" s="1"/>
  <c r="AF327" i="35"/>
  <c r="AC327" i="35"/>
  <c r="AB327" i="35"/>
  <c r="AA327" i="35"/>
  <c r="Z327" i="35"/>
  <c r="Y327" i="35"/>
  <c r="X327" i="35"/>
  <c r="W327" i="35"/>
  <c r="T327" i="35"/>
  <c r="O327" i="35"/>
  <c r="N327" i="35"/>
  <c r="M327" i="35"/>
  <c r="L327" i="35"/>
  <c r="K327" i="35"/>
  <c r="J327" i="35"/>
  <c r="I327" i="35"/>
  <c r="H327" i="35"/>
  <c r="BJ326" i="35"/>
  <c r="BI326" i="35"/>
  <c r="BG326" i="35"/>
  <c r="BF326" i="35"/>
  <c r="BE326" i="35"/>
  <c r="BD326" i="35"/>
  <c r="BA326" i="35"/>
  <c r="AZ326" i="35"/>
  <c r="AY326" i="35"/>
  <c r="AX326" i="35"/>
  <c r="AW326" i="35"/>
  <c r="AU326" i="35"/>
  <c r="AT326" i="35"/>
  <c r="AS326" i="35"/>
  <c r="AR326" i="35"/>
  <c r="AQ326" i="35"/>
  <c r="BH326" i="35" s="1"/>
  <c r="AP326" i="35"/>
  <c r="AV326" i="35" s="1"/>
  <c r="AO326" i="35"/>
  <c r="AL326" i="35"/>
  <c r="AK326" i="35"/>
  <c r="AM326" i="35" s="1"/>
  <c r="AJ326" i="35"/>
  <c r="AI326" i="35"/>
  <c r="AF326" i="35"/>
  <c r="AC326" i="35"/>
  <c r="AB326" i="35"/>
  <c r="AA326" i="35"/>
  <c r="Z326" i="35"/>
  <c r="Y326" i="35"/>
  <c r="X326" i="35"/>
  <c r="W326" i="35"/>
  <c r="T326" i="35"/>
  <c r="BK326" i="35" s="1"/>
  <c r="O326" i="35"/>
  <c r="N326" i="35"/>
  <c r="M326" i="35"/>
  <c r="L326" i="35"/>
  <c r="K326" i="35"/>
  <c r="J326" i="35"/>
  <c r="I326" i="35"/>
  <c r="H326" i="35"/>
  <c r="BJ325" i="35"/>
  <c r="BI325" i="35"/>
  <c r="BH325" i="35"/>
  <c r="BF325" i="35"/>
  <c r="BE325" i="35"/>
  <c r="BD325" i="35"/>
  <c r="BC325" i="35"/>
  <c r="BA325" i="35"/>
  <c r="AZ325" i="35"/>
  <c r="AY325" i="35"/>
  <c r="AX325" i="35"/>
  <c r="AW325" i="35"/>
  <c r="AV325" i="35"/>
  <c r="AT325" i="35"/>
  <c r="AS325" i="35"/>
  <c r="AR325" i="35"/>
  <c r="AQ325" i="35"/>
  <c r="AP325" i="35"/>
  <c r="BG325" i="35" s="1"/>
  <c r="AO325" i="35"/>
  <c r="AL325" i="35"/>
  <c r="AK325" i="35"/>
  <c r="AM325" i="35" s="1"/>
  <c r="AI325" i="35"/>
  <c r="AJ325" i="35" s="1"/>
  <c r="AF325" i="35"/>
  <c r="AC325" i="35"/>
  <c r="AB325" i="35"/>
  <c r="AA325" i="35"/>
  <c r="Z325" i="35"/>
  <c r="Y325" i="35"/>
  <c r="X325" i="35"/>
  <c r="T325" i="35"/>
  <c r="O325" i="35"/>
  <c r="N325" i="35"/>
  <c r="M325" i="35"/>
  <c r="L325" i="35"/>
  <c r="K325" i="35"/>
  <c r="J325" i="35"/>
  <c r="I325" i="35"/>
  <c r="H325" i="35"/>
  <c r="BJ324" i="35"/>
  <c r="BI324" i="35"/>
  <c r="BH324" i="35"/>
  <c r="BG324" i="35"/>
  <c r="AW324" i="35"/>
  <c r="AV324" i="35"/>
  <c r="AU324" i="35"/>
  <c r="AR324" i="35"/>
  <c r="AQ324" i="35"/>
  <c r="AP324" i="35"/>
  <c r="BF324" i="35" s="1"/>
  <c r="AO324" i="35"/>
  <c r="AL324" i="35"/>
  <c r="AK324" i="35"/>
  <c r="AM324" i="35" s="1"/>
  <c r="AI324" i="35"/>
  <c r="AJ324" i="35" s="1"/>
  <c r="AF324" i="35"/>
  <c r="AC324" i="35"/>
  <c r="AB324" i="35"/>
  <c r="AA324" i="35"/>
  <c r="Z324" i="35"/>
  <c r="Y324" i="35"/>
  <c r="X324" i="35"/>
  <c r="T324" i="35"/>
  <c r="BK324" i="35" s="1"/>
  <c r="O324" i="35"/>
  <c r="N324" i="35"/>
  <c r="M324" i="35"/>
  <c r="L324" i="35"/>
  <c r="K324" i="35"/>
  <c r="J324" i="35"/>
  <c r="I324" i="35"/>
  <c r="H324" i="35"/>
  <c r="BJ323" i="35"/>
  <c r="BI323" i="35"/>
  <c r="BH323" i="35"/>
  <c r="BG323" i="35"/>
  <c r="BF323" i="35"/>
  <c r="BD323" i="35"/>
  <c r="BA323" i="35"/>
  <c r="AX323" i="35"/>
  <c r="AW323" i="35"/>
  <c r="AV323" i="35"/>
  <c r="AU323" i="35"/>
  <c r="AT323" i="35"/>
  <c r="AR323" i="35"/>
  <c r="AQ323" i="35"/>
  <c r="AP323" i="35"/>
  <c r="BE323" i="35" s="1"/>
  <c r="AO323" i="35"/>
  <c r="AL323" i="35"/>
  <c r="AK323" i="35"/>
  <c r="AM323" i="35" s="1"/>
  <c r="AI323" i="35"/>
  <c r="AJ323" i="35" s="1"/>
  <c r="AF323" i="35"/>
  <c r="AC323" i="35"/>
  <c r="AB323" i="35"/>
  <c r="AA323" i="35"/>
  <c r="Z323" i="35"/>
  <c r="Y323" i="35"/>
  <c r="X323" i="35"/>
  <c r="W323" i="35"/>
  <c r="T323" i="35"/>
  <c r="BK323" i="35" s="1"/>
  <c r="O323" i="35"/>
  <c r="N323" i="35"/>
  <c r="M323" i="35"/>
  <c r="L323" i="35"/>
  <c r="K323" i="35"/>
  <c r="J323" i="35"/>
  <c r="I323" i="35"/>
  <c r="H323" i="35"/>
  <c r="BJ322" i="35"/>
  <c r="BI322" i="35"/>
  <c r="BG322" i="35"/>
  <c r="BF322" i="35"/>
  <c r="BE322" i="35"/>
  <c r="BC322" i="35"/>
  <c r="AZ322" i="35"/>
  <c r="AW322" i="35"/>
  <c r="AV322" i="35"/>
  <c r="AU322" i="35"/>
  <c r="AT322" i="35"/>
  <c r="AS322" i="35"/>
  <c r="AR322" i="35"/>
  <c r="AQ322" i="35"/>
  <c r="BH322" i="35" s="1"/>
  <c r="AP322" i="35"/>
  <c r="BD322" i="35" s="1"/>
  <c r="AO322" i="35"/>
  <c r="AM322" i="35"/>
  <c r="AL322" i="35"/>
  <c r="AK322" i="35"/>
  <c r="AJ322" i="35"/>
  <c r="AI322" i="35"/>
  <c r="AF322" i="35"/>
  <c r="AC322" i="35"/>
  <c r="AB322" i="35"/>
  <c r="AA322" i="35"/>
  <c r="Z322" i="35"/>
  <c r="Y322" i="35"/>
  <c r="X322" i="35"/>
  <c r="T322" i="35"/>
  <c r="BK322" i="35" s="1"/>
  <c r="O322" i="35"/>
  <c r="N322" i="35"/>
  <c r="M322" i="35"/>
  <c r="L322" i="35"/>
  <c r="K322" i="35"/>
  <c r="J322" i="35"/>
  <c r="I322" i="35"/>
  <c r="H322" i="35"/>
  <c r="BK321" i="35"/>
  <c r="BJ321" i="35"/>
  <c r="BI321" i="35"/>
  <c r="BH321" i="35"/>
  <c r="BF321" i="35"/>
  <c r="BE321" i="35"/>
  <c r="BD321" i="35"/>
  <c r="AY321" i="35"/>
  <c r="AV321" i="35"/>
  <c r="AT321" i="35"/>
  <c r="AS321" i="35"/>
  <c r="AR321" i="35"/>
  <c r="AQ321" i="35"/>
  <c r="AP321" i="35"/>
  <c r="BC321" i="35" s="1"/>
  <c r="AO321" i="35"/>
  <c r="AL321" i="35"/>
  <c r="AM321" i="35" s="1"/>
  <c r="AK321" i="35"/>
  <c r="AI321" i="35"/>
  <c r="AJ321" i="35" s="1"/>
  <c r="AF321" i="35"/>
  <c r="AC321" i="35"/>
  <c r="AB321" i="35"/>
  <c r="AA321" i="35"/>
  <c r="Z321" i="35"/>
  <c r="Y321" i="35"/>
  <c r="X321" i="35"/>
  <c r="T321" i="35"/>
  <c r="W321" i="35" s="1"/>
  <c r="O321" i="35"/>
  <c r="N321" i="35"/>
  <c r="M321" i="35"/>
  <c r="L321" i="35"/>
  <c r="K321" i="35"/>
  <c r="J321" i="35"/>
  <c r="I321" i="35"/>
  <c r="H321" i="35"/>
  <c r="BK320" i="35"/>
  <c r="BJ320" i="35"/>
  <c r="BI320" i="35"/>
  <c r="BG320" i="35"/>
  <c r="BF320" i="35"/>
  <c r="BE320" i="35"/>
  <c r="BD320" i="35"/>
  <c r="BC320" i="35"/>
  <c r="BA320" i="35"/>
  <c r="AZ320" i="35"/>
  <c r="AY320" i="35"/>
  <c r="AX320" i="35"/>
  <c r="AV320" i="35"/>
  <c r="AU320" i="35"/>
  <c r="AT320" i="35"/>
  <c r="AS320" i="35"/>
  <c r="AR320" i="35"/>
  <c r="AQ320" i="35"/>
  <c r="BH320" i="35" s="1"/>
  <c r="AP320" i="35"/>
  <c r="BB320" i="35" s="1"/>
  <c r="AO320" i="35"/>
  <c r="AL320" i="35"/>
  <c r="AK320" i="35"/>
  <c r="AM320" i="35" s="1"/>
  <c r="AI320" i="35"/>
  <c r="AJ320" i="35" s="1"/>
  <c r="AF320" i="35"/>
  <c r="AC320" i="35"/>
  <c r="AB320" i="35"/>
  <c r="AA320" i="35"/>
  <c r="Z320" i="35"/>
  <c r="Y320" i="35"/>
  <c r="X320" i="35"/>
  <c r="W320" i="35"/>
  <c r="T320" i="35"/>
  <c r="O320" i="35"/>
  <c r="N320" i="35"/>
  <c r="M320" i="35"/>
  <c r="L320" i="35"/>
  <c r="K320" i="35"/>
  <c r="J320" i="35"/>
  <c r="I320" i="35"/>
  <c r="H320" i="35"/>
  <c r="BJ319" i="35"/>
  <c r="BI319" i="35"/>
  <c r="BB319" i="35"/>
  <c r="AR319" i="35"/>
  <c r="AQ319" i="35"/>
  <c r="BH319" i="35" s="1"/>
  <c r="AP319" i="35"/>
  <c r="AO319" i="35"/>
  <c r="AM319" i="35"/>
  <c r="AL319" i="35"/>
  <c r="AK319" i="35"/>
  <c r="AJ319" i="35"/>
  <c r="AI319" i="35"/>
  <c r="AF319" i="35"/>
  <c r="AC319" i="35"/>
  <c r="AB319" i="35"/>
  <c r="AA319" i="35"/>
  <c r="Z319" i="35"/>
  <c r="Y319" i="35"/>
  <c r="X319" i="35"/>
  <c r="T319" i="35"/>
  <c r="BK319" i="35" s="1"/>
  <c r="O319" i="35"/>
  <c r="N319" i="35"/>
  <c r="M319" i="35"/>
  <c r="L319" i="35"/>
  <c r="K319" i="35"/>
  <c r="J319" i="35"/>
  <c r="I319" i="35"/>
  <c r="H319" i="35"/>
  <c r="BK318" i="35"/>
  <c r="BJ318" i="35"/>
  <c r="BI318" i="35"/>
  <c r="BB318" i="35"/>
  <c r="BA318" i="35"/>
  <c r="AR318" i="35"/>
  <c r="AQ318" i="35"/>
  <c r="BH318" i="35" s="1"/>
  <c r="AP318" i="35"/>
  <c r="AO318" i="35"/>
  <c r="AL318" i="35"/>
  <c r="AK318" i="35"/>
  <c r="AM318" i="35" s="1"/>
  <c r="AI318" i="35"/>
  <c r="AJ318" i="35" s="1"/>
  <c r="AF318" i="35"/>
  <c r="AC318" i="35"/>
  <c r="AB318" i="35"/>
  <c r="AA318" i="35"/>
  <c r="Z318" i="35"/>
  <c r="Y318" i="35"/>
  <c r="X318" i="35"/>
  <c r="W318" i="35"/>
  <c r="T318" i="35"/>
  <c r="O318" i="35"/>
  <c r="N318" i="35"/>
  <c r="M318" i="35"/>
  <c r="L318" i="35"/>
  <c r="K318" i="35"/>
  <c r="J318" i="35"/>
  <c r="I318" i="35"/>
  <c r="H318" i="35"/>
  <c r="BJ317" i="35"/>
  <c r="BI317" i="35"/>
  <c r="AU317" i="35"/>
  <c r="AR317" i="35"/>
  <c r="AQ317" i="35"/>
  <c r="BH317" i="35" s="1"/>
  <c r="AP317" i="35"/>
  <c r="AO317" i="35"/>
  <c r="AM317" i="35"/>
  <c r="AL317" i="35"/>
  <c r="AK317" i="35"/>
  <c r="AJ317" i="35"/>
  <c r="AI317" i="35"/>
  <c r="AF317" i="35"/>
  <c r="AC317" i="35"/>
  <c r="AB317" i="35"/>
  <c r="AA317" i="35"/>
  <c r="Z317" i="35"/>
  <c r="Y317" i="35"/>
  <c r="X317" i="35"/>
  <c r="W317" i="35"/>
  <c r="T317" i="35"/>
  <c r="BK317" i="35" s="1"/>
  <c r="O317" i="35"/>
  <c r="N317" i="35"/>
  <c r="M317" i="35"/>
  <c r="L317" i="35"/>
  <c r="K317" i="35"/>
  <c r="J317" i="35"/>
  <c r="I317" i="35"/>
  <c r="H317" i="35"/>
  <c r="BK316" i="35"/>
  <c r="BJ316" i="35"/>
  <c r="BI316" i="35"/>
  <c r="BF316" i="35"/>
  <c r="BC316" i="35"/>
  <c r="BA316" i="35"/>
  <c r="AZ316" i="35"/>
  <c r="AY316" i="35"/>
  <c r="AW316" i="35"/>
  <c r="AT316" i="35"/>
  <c r="AR316" i="35"/>
  <c r="AQ316" i="35"/>
  <c r="BH316" i="35" s="1"/>
  <c r="AP316" i="35"/>
  <c r="AX316" i="35" s="1"/>
  <c r="AO316" i="35"/>
  <c r="AL316" i="35"/>
  <c r="AM316" i="35" s="1"/>
  <c r="AK316" i="35"/>
  <c r="AJ316" i="35"/>
  <c r="AI316" i="35"/>
  <c r="AF316" i="35"/>
  <c r="AC316" i="35"/>
  <c r="AB316" i="35"/>
  <c r="AA316" i="35"/>
  <c r="Z316" i="35"/>
  <c r="Y316" i="35"/>
  <c r="X316" i="35"/>
  <c r="T316" i="35"/>
  <c r="W316" i="35" s="1"/>
  <c r="O316" i="35"/>
  <c r="N316" i="35"/>
  <c r="M316" i="35"/>
  <c r="L316" i="35"/>
  <c r="K316" i="35"/>
  <c r="J316" i="35"/>
  <c r="I316" i="35"/>
  <c r="H316" i="35"/>
  <c r="BK315" i="35"/>
  <c r="BJ315" i="35"/>
  <c r="BI315" i="35"/>
  <c r="BH315" i="35"/>
  <c r="BE315" i="35"/>
  <c r="AS315" i="35"/>
  <c r="AR315" i="35"/>
  <c r="AQ315" i="35"/>
  <c r="AP315" i="35"/>
  <c r="BB315" i="35" s="1"/>
  <c r="AO315" i="35"/>
  <c r="AL315" i="35"/>
  <c r="AK315" i="35"/>
  <c r="AM315" i="35" s="1"/>
  <c r="AI315" i="35"/>
  <c r="AJ315" i="35" s="1"/>
  <c r="AF315" i="35"/>
  <c r="AC315" i="35"/>
  <c r="AB315" i="35"/>
  <c r="AA315" i="35"/>
  <c r="Z315" i="35"/>
  <c r="Y315" i="35"/>
  <c r="X315" i="35"/>
  <c r="W315" i="35"/>
  <c r="T315" i="35"/>
  <c r="O315" i="35"/>
  <c r="N315" i="35"/>
  <c r="M315" i="35"/>
  <c r="L315" i="35"/>
  <c r="K315" i="35"/>
  <c r="J315" i="35"/>
  <c r="I315" i="35"/>
  <c r="H315" i="35"/>
  <c r="BK314" i="35"/>
  <c r="BJ314" i="35"/>
  <c r="BI314" i="35"/>
  <c r="BG314" i="35"/>
  <c r="BF314" i="35"/>
  <c r="BE314" i="35"/>
  <c r="BD314" i="35"/>
  <c r="BA314" i="35"/>
  <c r="AZ314" i="35"/>
  <c r="AY314" i="35"/>
  <c r="AX314" i="35"/>
  <c r="AW314" i="35"/>
  <c r="AU314" i="35"/>
  <c r="AT314" i="35"/>
  <c r="AS314" i="35"/>
  <c r="AR314" i="35"/>
  <c r="AQ314" i="35"/>
  <c r="BH314" i="35" s="1"/>
  <c r="AP314" i="35"/>
  <c r="AV314" i="35" s="1"/>
  <c r="AO314" i="35"/>
  <c r="AL314" i="35"/>
  <c r="AK314" i="35"/>
  <c r="AJ314" i="35"/>
  <c r="AI314" i="35"/>
  <c r="AF314" i="35"/>
  <c r="AC314" i="35"/>
  <c r="AB314" i="35"/>
  <c r="AA314" i="35"/>
  <c r="Z314" i="35"/>
  <c r="Y314" i="35"/>
  <c r="X314" i="35"/>
  <c r="T314" i="35"/>
  <c r="W314" i="35" s="1"/>
  <c r="O314" i="35"/>
  <c r="N314" i="35"/>
  <c r="M314" i="35"/>
  <c r="L314" i="35"/>
  <c r="K314" i="35"/>
  <c r="J314" i="35"/>
  <c r="I314" i="35"/>
  <c r="H314" i="35"/>
  <c r="BJ313" i="35"/>
  <c r="BI313" i="35"/>
  <c r="BF313" i="35"/>
  <c r="BE313" i="35"/>
  <c r="BD313" i="35"/>
  <c r="BC313" i="35"/>
  <c r="BA313" i="35"/>
  <c r="AZ313" i="35"/>
  <c r="AY313" i="35"/>
  <c r="AX313" i="35"/>
  <c r="AW313" i="35"/>
  <c r="AV313" i="35"/>
  <c r="AT313" i="35"/>
  <c r="AS313" i="35"/>
  <c r="AR313" i="35"/>
  <c r="AQ313" i="35"/>
  <c r="BH313" i="35" s="1"/>
  <c r="AP313" i="35"/>
  <c r="BG313" i="35" s="1"/>
  <c r="AO313" i="35"/>
  <c r="AL313" i="35"/>
  <c r="AK313" i="35"/>
  <c r="AM313" i="35" s="1"/>
  <c r="AI313" i="35"/>
  <c r="AJ313" i="35" s="1"/>
  <c r="AF313" i="35"/>
  <c r="AC313" i="35"/>
  <c r="AB313" i="35"/>
  <c r="AA313" i="35"/>
  <c r="Z313" i="35"/>
  <c r="Y313" i="35"/>
  <c r="X313" i="35"/>
  <c r="T313" i="35"/>
  <c r="BK313" i="35" s="1"/>
  <c r="O313" i="35"/>
  <c r="N313" i="35"/>
  <c r="M313" i="35"/>
  <c r="L313" i="35"/>
  <c r="K313" i="35"/>
  <c r="J313" i="35"/>
  <c r="I313" i="35"/>
  <c r="H313" i="35"/>
  <c r="BK312" i="35"/>
  <c r="BJ312" i="35"/>
  <c r="BI312" i="35"/>
  <c r="BH312" i="35"/>
  <c r="AW312" i="35"/>
  <c r="AR312" i="35"/>
  <c r="AQ312" i="35"/>
  <c r="AP312" i="35"/>
  <c r="BG312" i="35" s="1"/>
  <c r="AO312" i="35"/>
  <c r="AL312" i="35"/>
  <c r="AK312" i="35"/>
  <c r="AM312" i="35" s="1"/>
  <c r="AJ312" i="35"/>
  <c r="AI312" i="35"/>
  <c r="AF312" i="35"/>
  <c r="AC312" i="35"/>
  <c r="AB312" i="35"/>
  <c r="AA312" i="35"/>
  <c r="Z312" i="35"/>
  <c r="Y312" i="35"/>
  <c r="X312" i="35"/>
  <c r="T312" i="35"/>
  <c r="W312" i="35" s="1"/>
  <c r="O312" i="35"/>
  <c r="N312" i="35"/>
  <c r="M312" i="35"/>
  <c r="L312" i="35"/>
  <c r="K312" i="35"/>
  <c r="J312" i="35"/>
  <c r="I312" i="35"/>
  <c r="H312" i="35"/>
  <c r="BJ311" i="35"/>
  <c r="BI311" i="35"/>
  <c r="BH311" i="35"/>
  <c r="BG311" i="35"/>
  <c r="BF311" i="35"/>
  <c r="BD311" i="35"/>
  <c r="BA311" i="35"/>
  <c r="AX311" i="35"/>
  <c r="AW311" i="35"/>
  <c r="AV311" i="35"/>
  <c r="AU311" i="35"/>
  <c r="AT311" i="35"/>
  <c r="AR311" i="35"/>
  <c r="AQ311" i="35"/>
  <c r="AP311" i="35"/>
  <c r="BE311" i="35" s="1"/>
  <c r="AO311" i="35"/>
  <c r="AL311" i="35"/>
  <c r="AK311" i="35"/>
  <c r="AM311" i="35" s="1"/>
  <c r="AI311" i="35"/>
  <c r="AJ311" i="35" s="1"/>
  <c r="AF311" i="35"/>
  <c r="AC311" i="35"/>
  <c r="AB311" i="35"/>
  <c r="AA311" i="35"/>
  <c r="Z311" i="35"/>
  <c r="Y311" i="35"/>
  <c r="X311" i="35"/>
  <c r="W311" i="35"/>
  <c r="T311" i="35"/>
  <c r="BK311" i="35" s="1"/>
  <c r="O311" i="35"/>
  <c r="N311" i="35"/>
  <c r="M311" i="35"/>
  <c r="L311" i="35"/>
  <c r="K311" i="35"/>
  <c r="J311" i="35"/>
  <c r="I311" i="35"/>
  <c r="H311" i="35"/>
  <c r="BJ310" i="35"/>
  <c r="BI310" i="35"/>
  <c r="BG310" i="35"/>
  <c r="BF310" i="35"/>
  <c r="BE310" i="35"/>
  <c r="BC310" i="35"/>
  <c r="AZ310" i="35"/>
  <c r="AW310" i="35"/>
  <c r="AV310" i="35"/>
  <c r="AU310" i="35"/>
  <c r="AT310" i="35"/>
  <c r="AS310" i="35"/>
  <c r="AR310" i="35"/>
  <c r="AQ310" i="35"/>
  <c r="BH310" i="35" s="1"/>
  <c r="AP310" i="35"/>
  <c r="BD310" i="35" s="1"/>
  <c r="AO310" i="35"/>
  <c r="AM310" i="35"/>
  <c r="AL310" i="35"/>
  <c r="AK310" i="35"/>
  <c r="AJ310" i="35"/>
  <c r="AI310" i="35"/>
  <c r="AF310" i="35"/>
  <c r="AC310" i="35"/>
  <c r="AB310" i="35"/>
  <c r="AA310" i="35"/>
  <c r="Z310" i="35"/>
  <c r="Y310" i="35"/>
  <c r="X310" i="35"/>
  <c r="T310" i="35"/>
  <c r="O310" i="35"/>
  <c r="N310" i="35"/>
  <c r="M310" i="35"/>
  <c r="L310" i="35"/>
  <c r="K310" i="35"/>
  <c r="J310" i="35"/>
  <c r="I310" i="35"/>
  <c r="H310" i="35"/>
  <c r="BK309" i="35"/>
  <c r="BJ309" i="35"/>
  <c r="BI309" i="35"/>
  <c r="BH309" i="35"/>
  <c r="BF309" i="35"/>
  <c r="BE309" i="35"/>
  <c r="BD309" i="35"/>
  <c r="AY309" i="35"/>
  <c r="AV309" i="35"/>
  <c r="AT309" i="35"/>
  <c r="AS309" i="35"/>
  <c r="AR309" i="35"/>
  <c r="AQ309" i="35"/>
  <c r="AP309" i="35"/>
  <c r="BC309" i="35" s="1"/>
  <c r="AO309" i="35"/>
  <c r="AL309" i="35"/>
  <c r="AM309" i="35" s="1"/>
  <c r="AK309" i="35"/>
  <c r="AI309" i="35"/>
  <c r="AJ309" i="35" s="1"/>
  <c r="AF309" i="35"/>
  <c r="AC309" i="35"/>
  <c r="AB309" i="35"/>
  <c r="AA309" i="35"/>
  <c r="Z309" i="35"/>
  <c r="Y309" i="35"/>
  <c r="X309" i="35"/>
  <c r="T309" i="35"/>
  <c r="W309" i="35" s="1"/>
  <c r="O309" i="35"/>
  <c r="N309" i="35"/>
  <c r="M309" i="35"/>
  <c r="L309" i="35"/>
  <c r="K309" i="35"/>
  <c r="J309" i="35"/>
  <c r="I309" i="35"/>
  <c r="H309" i="35"/>
  <c r="BK308" i="35"/>
  <c r="BJ308" i="35"/>
  <c r="BI308" i="35"/>
  <c r="BG308" i="35"/>
  <c r="BF308" i="35"/>
  <c r="BE308" i="35"/>
  <c r="BD308" i="35"/>
  <c r="BC308" i="35"/>
  <c r="BA308" i="35"/>
  <c r="AZ308" i="35"/>
  <c r="AY308" i="35"/>
  <c r="AX308" i="35"/>
  <c r="AU308" i="35"/>
  <c r="AT308" i="35"/>
  <c r="AS308" i="35"/>
  <c r="AR308" i="35"/>
  <c r="AQ308" i="35"/>
  <c r="BH308" i="35" s="1"/>
  <c r="AP308" i="35"/>
  <c r="BB308" i="35" s="1"/>
  <c r="AO308" i="35"/>
  <c r="AL308" i="35"/>
  <c r="AK308" i="35"/>
  <c r="AM308" i="35" s="1"/>
  <c r="AI308" i="35"/>
  <c r="AJ308" i="35" s="1"/>
  <c r="AF308" i="35"/>
  <c r="AC308" i="35"/>
  <c r="AB308" i="35"/>
  <c r="AA308" i="35"/>
  <c r="Z308" i="35"/>
  <c r="Y308" i="35"/>
  <c r="X308" i="35"/>
  <c r="W308" i="35"/>
  <c r="T308" i="35"/>
  <c r="O308" i="35"/>
  <c r="N308" i="35"/>
  <c r="M308" i="35"/>
  <c r="L308" i="35"/>
  <c r="K308" i="35"/>
  <c r="J308" i="35"/>
  <c r="I308" i="35"/>
  <c r="H308" i="35"/>
  <c r="BJ307" i="35"/>
  <c r="BI307" i="35"/>
  <c r="AZ307" i="35"/>
  <c r="AR307" i="35"/>
  <c r="AQ307" i="35"/>
  <c r="BH307" i="35" s="1"/>
  <c r="AP307" i="35"/>
  <c r="BF307" i="35" s="1"/>
  <c r="AO307" i="35"/>
  <c r="AM307" i="35"/>
  <c r="AL307" i="35"/>
  <c r="AK307" i="35"/>
  <c r="AJ307" i="35"/>
  <c r="AI307" i="35"/>
  <c r="AF307" i="35"/>
  <c r="AC307" i="35"/>
  <c r="AB307" i="35"/>
  <c r="AA307" i="35"/>
  <c r="Z307" i="35"/>
  <c r="Y307" i="35"/>
  <c r="X307" i="35"/>
  <c r="T307" i="35"/>
  <c r="O307" i="35"/>
  <c r="N307" i="35"/>
  <c r="M307" i="35"/>
  <c r="L307" i="35"/>
  <c r="K307" i="35"/>
  <c r="J307" i="35"/>
  <c r="I307" i="35"/>
  <c r="H307" i="35"/>
  <c r="BK306" i="35"/>
  <c r="BJ306" i="35"/>
  <c r="BI306" i="35"/>
  <c r="BA306" i="35"/>
  <c r="AY306" i="35"/>
  <c r="AS306" i="35"/>
  <c r="AR306" i="35"/>
  <c r="AQ306" i="35"/>
  <c r="BH306" i="35" s="1"/>
  <c r="AP306" i="35"/>
  <c r="AO306" i="35"/>
  <c r="AL306" i="35"/>
  <c r="AK306" i="35"/>
  <c r="AI306" i="35"/>
  <c r="AJ306" i="35" s="1"/>
  <c r="AF306" i="35"/>
  <c r="AC306" i="35"/>
  <c r="AB306" i="35"/>
  <c r="AA306" i="35"/>
  <c r="Z306" i="35"/>
  <c r="Y306" i="35"/>
  <c r="X306" i="35"/>
  <c r="T306" i="35"/>
  <c r="W306" i="35" s="1"/>
  <c r="O306" i="35"/>
  <c r="N306" i="35"/>
  <c r="M306" i="35"/>
  <c r="L306" i="35"/>
  <c r="K306" i="35"/>
  <c r="J306" i="35"/>
  <c r="I306" i="35"/>
  <c r="H306" i="35"/>
  <c r="BJ305" i="35"/>
  <c r="BI305" i="35"/>
  <c r="BD305" i="35"/>
  <c r="AU305" i="35"/>
  <c r="AR305" i="35"/>
  <c r="AQ305" i="35"/>
  <c r="BH305" i="35" s="1"/>
  <c r="AP305" i="35"/>
  <c r="BG305" i="35" s="1"/>
  <c r="AO305" i="35"/>
  <c r="AL305" i="35"/>
  <c r="AK305" i="35"/>
  <c r="AM305" i="35" s="1"/>
  <c r="AJ305" i="35"/>
  <c r="AI305" i="35"/>
  <c r="AF305" i="35"/>
  <c r="AC305" i="35"/>
  <c r="AB305" i="35"/>
  <c r="AA305" i="35"/>
  <c r="Z305" i="35"/>
  <c r="Y305" i="35"/>
  <c r="X305" i="35"/>
  <c r="W305" i="35"/>
  <c r="T305" i="35"/>
  <c r="BK305" i="35" s="1"/>
  <c r="O305" i="35"/>
  <c r="N305" i="35"/>
  <c r="M305" i="35"/>
  <c r="L305" i="35"/>
  <c r="K305" i="35"/>
  <c r="J305" i="35"/>
  <c r="I305" i="35"/>
  <c r="H305" i="35"/>
  <c r="BK304" i="35"/>
  <c r="BJ304" i="35"/>
  <c r="BI304" i="35"/>
  <c r="BF304" i="35"/>
  <c r="BC304" i="35"/>
  <c r="BA304" i="35"/>
  <c r="AZ304" i="35"/>
  <c r="AY304" i="35"/>
  <c r="AW304" i="35"/>
  <c r="AT304" i="35"/>
  <c r="AR304" i="35"/>
  <c r="AQ304" i="35"/>
  <c r="BH304" i="35" s="1"/>
  <c r="AP304" i="35"/>
  <c r="AX304" i="35" s="1"/>
  <c r="AO304" i="35"/>
  <c r="AM304" i="35"/>
  <c r="AL304" i="35"/>
  <c r="AK304" i="35"/>
  <c r="AJ304" i="35"/>
  <c r="AI304" i="35"/>
  <c r="AF304" i="35"/>
  <c r="AC304" i="35"/>
  <c r="AB304" i="35"/>
  <c r="AA304" i="35"/>
  <c r="Z304" i="35"/>
  <c r="Y304" i="35"/>
  <c r="X304" i="35"/>
  <c r="T304" i="35"/>
  <c r="W304" i="35" s="1"/>
  <c r="O304" i="35"/>
  <c r="N304" i="35"/>
  <c r="M304" i="35"/>
  <c r="L304" i="35"/>
  <c r="K304" i="35"/>
  <c r="J304" i="35"/>
  <c r="I304" i="35"/>
  <c r="H304" i="35"/>
  <c r="BK303" i="35"/>
  <c r="BJ303" i="35"/>
  <c r="BI303" i="35"/>
  <c r="BH303" i="35"/>
  <c r="BE303" i="35"/>
  <c r="AX303" i="35"/>
  <c r="AR303" i="35"/>
  <c r="AQ303" i="35"/>
  <c r="AP303" i="35"/>
  <c r="BB303" i="35" s="1"/>
  <c r="AO303" i="35"/>
  <c r="AM303" i="35"/>
  <c r="AL303" i="35"/>
  <c r="AK303" i="35"/>
  <c r="AI303" i="35"/>
  <c r="AJ303" i="35" s="1"/>
  <c r="AF303" i="35"/>
  <c r="AC303" i="35"/>
  <c r="AB303" i="35"/>
  <c r="AA303" i="35"/>
  <c r="Z303" i="35"/>
  <c r="Y303" i="35"/>
  <c r="X303" i="35"/>
  <c r="W303" i="35"/>
  <c r="T303" i="35"/>
  <c r="O303" i="35"/>
  <c r="N303" i="35"/>
  <c r="M303" i="35"/>
  <c r="L303" i="35"/>
  <c r="K303" i="35"/>
  <c r="J303" i="35"/>
  <c r="I303" i="35"/>
  <c r="H303" i="35"/>
  <c r="BJ302" i="35"/>
  <c r="BI302" i="35"/>
  <c r="BG302" i="35"/>
  <c r="BF302" i="35"/>
  <c r="BE302" i="35"/>
  <c r="BD302" i="35"/>
  <c r="BA302" i="35"/>
  <c r="AZ302" i="35"/>
  <c r="AY302" i="35"/>
  <c r="AX302" i="35"/>
  <c r="AW302" i="35"/>
  <c r="AU302" i="35"/>
  <c r="AT302" i="35"/>
  <c r="AS302" i="35"/>
  <c r="AR302" i="35"/>
  <c r="AQ302" i="35"/>
  <c r="BH302" i="35" s="1"/>
  <c r="AP302" i="35"/>
  <c r="AV302" i="35" s="1"/>
  <c r="AO302" i="35"/>
  <c r="AM302" i="35"/>
  <c r="AL302" i="35"/>
  <c r="AK302" i="35"/>
  <c r="AJ302" i="35"/>
  <c r="AI302" i="35"/>
  <c r="AF302" i="35"/>
  <c r="AC302" i="35"/>
  <c r="AB302" i="35"/>
  <c r="AA302" i="35"/>
  <c r="Z302" i="35"/>
  <c r="Y302" i="35"/>
  <c r="X302" i="35"/>
  <c r="W302" i="35"/>
  <c r="T302" i="35"/>
  <c r="BK302" i="35" s="1"/>
  <c r="O302" i="35"/>
  <c r="N302" i="35"/>
  <c r="M302" i="35"/>
  <c r="L302" i="35"/>
  <c r="K302" i="35"/>
  <c r="J302" i="35"/>
  <c r="I302" i="35"/>
  <c r="H302" i="35"/>
  <c r="BJ301" i="35"/>
  <c r="BI301" i="35"/>
  <c r="BH301" i="35"/>
  <c r="BF301" i="35"/>
  <c r="BE301" i="35"/>
  <c r="BD301" i="35"/>
  <c r="BC301" i="35"/>
  <c r="AZ301" i="35"/>
  <c r="AY301" i="35"/>
  <c r="AX301" i="35"/>
  <c r="AW301" i="35"/>
  <c r="AV301" i="35"/>
  <c r="AT301" i="35"/>
  <c r="AS301" i="35"/>
  <c r="AR301" i="35"/>
  <c r="AQ301" i="35"/>
  <c r="AP301" i="35"/>
  <c r="BG301" i="35" s="1"/>
  <c r="AO301" i="35"/>
  <c r="AL301" i="35"/>
  <c r="AK301" i="35"/>
  <c r="AM301" i="35" s="1"/>
  <c r="AJ301" i="35"/>
  <c r="AI301" i="35"/>
  <c r="AF301" i="35"/>
  <c r="AC301" i="35"/>
  <c r="AB301" i="35"/>
  <c r="AA301" i="35"/>
  <c r="Z301" i="35"/>
  <c r="Y301" i="35"/>
  <c r="X301" i="35"/>
  <c r="T301" i="35"/>
  <c r="O301" i="35"/>
  <c r="N301" i="35"/>
  <c r="M301" i="35"/>
  <c r="L301" i="35"/>
  <c r="K301" i="35"/>
  <c r="J301" i="35"/>
  <c r="I301" i="35"/>
  <c r="H301" i="35"/>
  <c r="BK300" i="35"/>
  <c r="BJ300" i="35"/>
  <c r="BI300" i="35"/>
  <c r="BH300" i="35"/>
  <c r="AR300" i="35"/>
  <c r="AQ300" i="35"/>
  <c r="AP300" i="35"/>
  <c r="AO300" i="35"/>
  <c r="AL300" i="35"/>
  <c r="AK300" i="35"/>
  <c r="AM300" i="35" s="1"/>
  <c r="AI300" i="35"/>
  <c r="AJ300" i="35" s="1"/>
  <c r="AF300" i="35"/>
  <c r="AC300" i="35"/>
  <c r="AB300" i="35"/>
  <c r="AA300" i="35"/>
  <c r="Z300" i="35"/>
  <c r="Y300" i="35"/>
  <c r="X300" i="35"/>
  <c r="T300" i="35"/>
  <c r="W300" i="35" s="1"/>
  <c r="O300" i="35"/>
  <c r="N300" i="35"/>
  <c r="M300" i="35"/>
  <c r="L300" i="35"/>
  <c r="K300" i="35"/>
  <c r="J300" i="35"/>
  <c r="I300" i="35"/>
  <c r="H300" i="35"/>
  <c r="BJ299" i="35"/>
  <c r="BI299" i="35"/>
  <c r="BH299" i="35"/>
  <c r="BG299" i="35"/>
  <c r="BF299" i="35"/>
  <c r="BD299" i="35"/>
  <c r="BA299" i="35"/>
  <c r="AX299" i="35"/>
  <c r="AW299" i="35"/>
  <c r="AV299" i="35"/>
  <c r="AU299" i="35"/>
  <c r="AT299" i="35"/>
  <c r="AR299" i="35"/>
  <c r="AQ299" i="35"/>
  <c r="AP299" i="35"/>
  <c r="BE299" i="35" s="1"/>
  <c r="AO299" i="35"/>
  <c r="AL299" i="35"/>
  <c r="AK299" i="35"/>
  <c r="AM299" i="35" s="1"/>
  <c r="AJ299" i="35"/>
  <c r="AI299" i="35"/>
  <c r="AF299" i="35"/>
  <c r="AC299" i="35"/>
  <c r="AB299" i="35"/>
  <c r="AA299" i="35"/>
  <c r="Z299" i="35"/>
  <c r="Y299" i="35"/>
  <c r="X299" i="35"/>
  <c r="T299" i="35"/>
  <c r="BK299" i="35" s="1"/>
  <c r="O299" i="35"/>
  <c r="N299" i="35"/>
  <c r="M299" i="35"/>
  <c r="L299" i="35"/>
  <c r="K299" i="35"/>
  <c r="J299" i="35"/>
  <c r="I299" i="35"/>
  <c r="H299" i="35"/>
  <c r="BJ298" i="35"/>
  <c r="BI298" i="35"/>
  <c r="BG298" i="35"/>
  <c r="BF298" i="35"/>
  <c r="BE298" i="35"/>
  <c r="BC298" i="35"/>
  <c r="AZ298" i="35"/>
  <c r="AW298" i="35"/>
  <c r="AV298" i="35"/>
  <c r="AU298" i="35"/>
  <c r="AT298" i="35"/>
  <c r="AS298" i="35"/>
  <c r="AR298" i="35"/>
  <c r="AQ298" i="35"/>
  <c r="BH298" i="35" s="1"/>
  <c r="AP298" i="35"/>
  <c r="BD298" i="35" s="1"/>
  <c r="AO298" i="35"/>
  <c r="AM298" i="35"/>
  <c r="AL298" i="35"/>
  <c r="AK298" i="35"/>
  <c r="AJ298" i="35"/>
  <c r="AI298" i="35"/>
  <c r="AF298" i="35"/>
  <c r="AC298" i="35"/>
  <c r="AB298" i="35"/>
  <c r="AA298" i="35"/>
  <c r="Z298" i="35"/>
  <c r="Y298" i="35"/>
  <c r="X298" i="35"/>
  <c r="T298" i="35"/>
  <c r="O298" i="35"/>
  <c r="N298" i="35"/>
  <c r="M298" i="35"/>
  <c r="L298" i="35"/>
  <c r="K298" i="35"/>
  <c r="J298" i="35"/>
  <c r="I298" i="35"/>
  <c r="H298" i="35"/>
  <c r="BK297" i="35"/>
  <c r="BJ297" i="35"/>
  <c r="BI297" i="35"/>
  <c r="BH297" i="35"/>
  <c r="BE297" i="35"/>
  <c r="AU297" i="35"/>
  <c r="AR297" i="35"/>
  <c r="AQ297" i="35"/>
  <c r="AP297" i="35"/>
  <c r="BF297" i="35" s="1"/>
  <c r="AO297" i="35"/>
  <c r="AL297" i="35"/>
  <c r="AM297" i="35" s="1"/>
  <c r="AK297" i="35"/>
  <c r="AI297" i="35"/>
  <c r="AJ297" i="35" s="1"/>
  <c r="AF297" i="35"/>
  <c r="AC297" i="35"/>
  <c r="AB297" i="35"/>
  <c r="AA297" i="35"/>
  <c r="Z297" i="35"/>
  <c r="Y297" i="35"/>
  <c r="X297" i="35"/>
  <c r="T297" i="35"/>
  <c r="W297" i="35" s="1"/>
  <c r="O297" i="35"/>
  <c r="N297" i="35"/>
  <c r="M297" i="35"/>
  <c r="L297" i="35"/>
  <c r="K297" i="35"/>
  <c r="J297" i="35"/>
  <c r="I297" i="35"/>
  <c r="H297" i="35"/>
  <c r="BK296" i="35"/>
  <c r="BJ296" i="35"/>
  <c r="BI296" i="35"/>
  <c r="BG296" i="35"/>
  <c r="BF296" i="35"/>
  <c r="BE296" i="35"/>
  <c r="BD296" i="35"/>
  <c r="BC296" i="35"/>
  <c r="BA296" i="35"/>
  <c r="AZ296" i="35"/>
  <c r="AY296" i="35"/>
  <c r="AX296" i="35"/>
  <c r="AU296" i="35"/>
  <c r="AT296" i="35"/>
  <c r="AS296" i="35"/>
  <c r="AR296" i="35"/>
  <c r="AQ296" i="35"/>
  <c r="BH296" i="35" s="1"/>
  <c r="AP296" i="35"/>
  <c r="BB296" i="35" s="1"/>
  <c r="AO296" i="35"/>
  <c r="AL296" i="35"/>
  <c r="AK296" i="35"/>
  <c r="AM296" i="35" s="1"/>
  <c r="AI296" i="35"/>
  <c r="AJ296" i="35" s="1"/>
  <c r="AF296" i="35"/>
  <c r="AC296" i="35"/>
  <c r="AB296" i="35"/>
  <c r="AA296" i="35"/>
  <c r="Z296" i="35"/>
  <c r="Y296" i="35"/>
  <c r="X296" i="35"/>
  <c r="W296" i="35"/>
  <c r="T296" i="35"/>
  <c r="O296" i="35"/>
  <c r="N296" i="35"/>
  <c r="M296" i="35"/>
  <c r="L296" i="35"/>
  <c r="K296" i="35"/>
  <c r="J296" i="35"/>
  <c r="I296" i="35"/>
  <c r="H296" i="35"/>
  <c r="BJ295" i="35"/>
  <c r="BI295" i="35"/>
  <c r="BE295" i="35"/>
  <c r="BD295" i="35"/>
  <c r="BC295" i="35"/>
  <c r="BB295" i="35"/>
  <c r="AZ295" i="35"/>
  <c r="AW295" i="35"/>
  <c r="AT295" i="35"/>
  <c r="AS295" i="35"/>
  <c r="AR295" i="35"/>
  <c r="AQ295" i="35"/>
  <c r="BH295" i="35" s="1"/>
  <c r="AP295" i="35"/>
  <c r="BF295" i="35" s="1"/>
  <c r="AO295" i="35"/>
  <c r="AM295" i="35"/>
  <c r="AL295" i="35"/>
  <c r="AK295" i="35"/>
  <c r="AJ295" i="35"/>
  <c r="AI295" i="35"/>
  <c r="AF295" i="35"/>
  <c r="AC295" i="35"/>
  <c r="AB295" i="35"/>
  <c r="AA295" i="35"/>
  <c r="Z295" i="35"/>
  <c r="Y295" i="35"/>
  <c r="X295" i="35"/>
  <c r="T295" i="35"/>
  <c r="O295" i="35"/>
  <c r="N295" i="35"/>
  <c r="M295" i="35"/>
  <c r="L295" i="35"/>
  <c r="K295" i="35"/>
  <c r="J295" i="35"/>
  <c r="I295" i="35"/>
  <c r="H295" i="35"/>
  <c r="BK294" i="35"/>
  <c r="BJ294" i="35"/>
  <c r="BI294" i="35"/>
  <c r="BE294" i="35"/>
  <c r="BD294" i="35"/>
  <c r="BC294" i="35"/>
  <c r="BB294" i="35"/>
  <c r="BA294" i="35"/>
  <c r="AR294" i="35"/>
  <c r="AQ294" i="35"/>
  <c r="BH294" i="35" s="1"/>
  <c r="AP294" i="35"/>
  <c r="AY294" i="35" s="1"/>
  <c r="AO294" i="35"/>
  <c r="AL294" i="35"/>
  <c r="AK294" i="35"/>
  <c r="AI294" i="35"/>
  <c r="AJ294" i="35" s="1"/>
  <c r="AF294" i="35"/>
  <c r="AC294" i="35"/>
  <c r="AB294" i="35"/>
  <c r="AA294" i="35"/>
  <c r="Z294" i="35"/>
  <c r="Y294" i="35"/>
  <c r="X294" i="35"/>
  <c r="T294" i="35"/>
  <c r="W294" i="35" s="1"/>
  <c r="O294" i="35"/>
  <c r="N294" i="35"/>
  <c r="M294" i="35"/>
  <c r="L294" i="35"/>
  <c r="K294" i="35"/>
  <c r="J294" i="35"/>
  <c r="I294" i="35"/>
  <c r="H294" i="35"/>
  <c r="BJ293" i="35"/>
  <c r="BI293" i="35"/>
  <c r="BD293" i="35"/>
  <c r="BC293" i="35"/>
  <c r="BB293" i="35"/>
  <c r="BA293" i="35"/>
  <c r="AZ293" i="35"/>
  <c r="AR293" i="35"/>
  <c r="AQ293" i="35"/>
  <c r="BH293" i="35" s="1"/>
  <c r="AP293" i="35"/>
  <c r="AX293" i="35" s="1"/>
  <c r="AO293" i="35"/>
  <c r="AM293" i="35"/>
  <c r="AL293" i="35"/>
  <c r="AK293" i="35"/>
  <c r="AJ293" i="35"/>
  <c r="AI293" i="35"/>
  <c r="AF293" i="35"/>
  <c r="AC293" i="35"/>
  <c r="AB293" i="35"/>
  <c r="AA293" i="35"/>
  <c r="Z293" i="35"/>
  <c r="Y293" i="35"/>
  <c r="X293" i="35"/>
  <c r="W293" i="35"/>
  <c r="T293" i="35"/>
  <c r="BK293" i="35" s="1"/>
  <c r="O293" i="35"/>
  <c r="N293" i="35"/>
  <c r="M293" i="35"/>
  <c r="L293" i="35"/>
  <c r="K293" i="35"/>
  <c r="J293" i="35"/>
  <c r="I293" i="35"/>
  <c r="H293" i="35"/>
  <c r="BJ292" i="35"/>
  <c r="BI292" i="35"/>
  <c r="BH292" i="35"/>
  <c r="BG292" i="35"/>
  <c r="BF292" i="35"/>
  <c r="AZ292" i="35"/>
  <c r="AY292" i="35"/>
  <c r="AX292" i="35"/>
  <c r="AW292" i="35"/>
  <c r="AV292" i="35"/>
  <c r="AU292" i="35"/>
  <c r="AT292" i="35"/>
  <c r="AS292" i="35"/>
  <c r="AR292" i="35"/>
  <c r="AQ292" i="35"/>
  <c r="AP292" i="35"/>
  <c r="BE292" i="35" s="1"/>
  <c r="AO292" i="35"/>
  <c r="AM292" i="35"/>
  <c r="AL292" i="35"/>
  <c r="AK292" i="35"/>
  <c r="AJ292" i="35"/>
  <c r="AI292" i="35"/>
  <c r="AF292" i="35"/>
  <c r="AC292" i="35"/>
  <c r="AB292" i="35"/>
  <c r="AA292" i="35"/>
  <c r="Z292" i="35"/>
  <c r="Y292" i="35"/>
  <c r="X292" i="35"/>
  <c r="T292" i="35"/>
  <c r="BK292" i="35" s="1"/>
  <c r="O292" i="35"/>
  <c r="N292" i="35"/>
  <c r="M292" i="35"/>
  <c r="L292" i="35"/>
  <c r="K292" i="35"/>
  <c r="J292" i="35"/>
  <c r="I292" i="35"/>
  <c r="H292" i="35"/>
  <c r="BK291" i="35"/>
  <c r="BJ291" i="35"/>
  <c r="BI291" i="35"/>
  <c r="BH291" i="35"/>
  <c r="BG291" i="35"/>
  <c r="BF291" i="35"/>
  <c r="BE291" i="35"/>
  <c r="BD291" i="35"/>
  <c r="BC291" i="35"/>
  <c r="BA291" i="35"/>
  <c r="AY291" i="35"/>
  <c r="AX291" i="35"/>
  <c r="AW291" i="35"/>
  <c r="AV291" i="35"/>
  <c r="AU291" i="35"/>
  <c r="AT291" i="35"/>
  <c r="AS291" i="35"/>
  <c r="AR291" i="35"/>
  <c r="AQ291" i="35"/>
  <c r="AP291" i="35"/>
  <c r="BB291" i="35" s="1"/>
  <c r="AO291" i="35"/>
  <c r="AL291" i="35"/>
  <c r="AK291" i="35"/>
  <c r="AM291" i="35" s="1"/>
  <c r="AI291" i="35"/>
  <c r="AJ291" i="35" s="1"/>
  <c r="AF291" i="35"/>
  <c r="AC291" i="35"/>
  <c r="AB291" i="35"/>
  <c r="AA291" i="35"/>
  <c r="Z291" i="35"/>
  <c r="Y291" i="35"/>
  <c r="X291" i="35"/>
  <c r="T291" i="35"/>
  <c r="W291" i="35" s="1"/>
  <c r="O291" i="35"/>
  <c r="N291" i="35"/>
  <c r="M291" i="35"/>
  <c r="L291" i="35"/>
  <c r="K291" i="35"/>
  <c r="J291" i="35"/>
  <c r="I291" i="35"/>
  <c r="H291" i="35"/>
  <c r="BJ290" i="35"/>
  <c r="BI290" i="35"/>
  <c r="BG290" i="35"/>
  <c r="BF290" i="35"/>
  <c r="BE290" i="35"/>
  <c r="BD290" i="35"/>
  <c r="BC290" i="35"/>
  <c r="AZ290" i="35"/>
  <c r="AX290" i="35"/>
  <c r="AW290" i="35"/>
  <c r="AV290" i="35"/>
  <c r="AU290" i="35"/>
  <c r="AT290" i="35"/>
  <c r="AS290" i="35"/>
  <c r="AR290" i="35"/>
  <c r="AQ290" i="35"/>
  <c r="BH290" i="35" s="1"/>
  <c r="AP290" i="35"/>
  <c r="BA290" i="35" s="1"/>
  <c r="AO290" i="35"/>
  <c r="AL290" i="35"/>
  <c r="AK290" i="35"/>
  <c r="AM290" i="35" s="1"/>
  <c r="AI290" i="35"/>
  <c r="AJ290" i="35" s="1"/>
  <c r="AF290" i="35"/>
  <c r="AC290" i="35"/>
  <c r="AB290" i="35"/>
  <c r="AA290" i="35"/>
  <c r="Z290" i="35"/>
  <c r="Y290" i="35"/>
  <c r="X290" i="35"/>
  <c r="W290" i="35"/>
  <c r="T290" i="35"/>
  <c r="BK290" i="35" s="1"/>
  <c r="O290" i="35"/>
  <c r="N290" i="35"/>
  <c r="M290" i="35"/>
  <c r="L290" i="35"/>
  <c r="K290" i="35"/>
  <c r="J290" i="35"/>
  <c r="I290" i="35"/>
  <c r="H290" i="35"/>
  <c r="BJ289" i="35"/>
  <c r="BI289" i="35"/>
  <c r="BB289" i="35"/>
  <c r="AR289" i="35"/>
  <c r="AQ289" i="35"/>
  <c r="BH289" i="35" s="1"/>
  <c r="AP289" i="35"/>
  <c r="AO289" i="35"/>
  <c r="AL289" i="35"/>
  <c r="AK289" i="35"/>
  <c r="AM289" i="35" s="1"/>
  <c r="AJ289" i="35"/>
  <c r="AI289" i="35"/>
  <c r="AF289" i="35"/>
  <c r="AC289" i="35"/>
  <c r="AB289" i="35"/>
  <c r="AA289" i="35"/>
  <c r="Z289" i="35"/>
  <c r="Y289" i="35"/>
  <c r="X289" i="35"/>
  <c r="T289" i="35"/>
  <c r="BK289" i="35" s="1"/>
  <c r="O289" i="35"/>
  <c r="N289" i="35"/>
  <c r="M289" i="35"/>
  <c r="L289" i="35"/>
  <c r="K289" i="35"/>
  <c r="J289" i="35"/>
  <c r="I289" i="35"/>
  <c r="H289" i="35"/>
  <c r="BJ288" i="35"/>
  <c r="BI288" i="35"/>
  <c r="BH288" i="35"/>
  <c r="BE288" i="35"/>
  <c r="BD288" i="35"/>
  <c r="BC288" i="35"/>
  <c r="BA288" i="35"/>
  <c r="AV288" i="35"/>
  <c r="AS288" i="35"/>
  <c r="AR288" i="35"/>
  <c r="AQ288" i="35"/>
  <c r="AP288" i="35"/>
  <c r="AY288" i="35" s="1"/>
  <c r="AO288" i="35"/>
  <c r="AL288" i="35"/>
  <c r="AK288" i="35"/>
  <c r="AM288" i="35" s="1"/>
  <c r="AI288" i="35"/>
  <c r="AJ288" i="35" s="1"/>
  <c r="AF288" i="35"/>
  <c r="AC288" i="35"/>
  <c r="AB288" i="35"/>
  <c r="AA288" i="35"/>
  <c r="Z288" i="35"/>
  <c r="Y288" i="35"/>
  <c r="X288" i="35"/>
  <c r="W288" i="35"/>
  <c r="T288" i="35"/>
  <c r="BK288" i="35" s="1"/>
  <c r="O288" i="35"/>
  <c r="N288" i="35"/>
  <c r="M288" i="35"/>
  <c r="L288" i="35"/>
  <c r="K288" i="35"/>
  <c r="J288" i="35"/>
  <c r="I288" i="35"/>
  <c r="H288" i="35"/>
  <c r="BJ287" i="35"/>
  <c r="BI287" i="35"/>
  <c r="BG287" i="35"/>
  <c r="BD287" i="35"/>
  <c r="BC287" i="35"/>
  <c r="AZ287" i="35"/>
  <c r="AU287" i="35"/>
  <c r="AR287" i="35"/>
  <c r="AQ287" i="35"/>
  <c r="BH287" i="35" s="1"/>
  <c r="AP287" i="35"/>
  <c r="AX287" i="35" s="1"/>
  <c r="AO287" i="35"/>
  <c r="AM287" i="35"/>
  <c r="AL287" i="35"/>
  <c r="AK287" i="35"/>
  <c r="AJ287" i="35"/>
  <c r="AI287" i="35"/>
  <c r="AF287" i="35"/>
  <c r="AC287" i="35"/>
  <c r="AB287" i="35"/>
  <c r="AA287" i="35"/>
  <c r="Z287" i="35"/>
  <c r="Y287" i="35"/>
  <c r="X287" i="35"/>
  <c r="T287" i="35"/>
  <c r="W287" i="35" s="1"/>
  <c r="O287" i="35"/>
  <c r="N287" i="35"/>
  <c r="M287" i="35"/>
  <c r="L287" i="35"/>
  <c r="K287" i="35"/>
  <c r="J287" i="35"/>
  <c r="I287" i="35"/>
  <c r="H287" i="35"/>
  <c r="BK286" i="35"/>
  <c r="BJ286" i="35"/>
  <c r="BI286" i="35"/>
  <c r="BF286" i="35"/>
  <c r="BC286" i="35"/>
  <c r="AY286" i="35"/>
  <c r="AT286" i="35"/>
  <c r="AR286" i="35"/>
  <c r="AQ286" i="35"/>
  <c r="BH286" i="35" s="1"/>
  <c r="AP286" i="35"/>
  <c r="AW286" i="35" s="1"/>
  <c r="AO286" i="35"/>
  <c r="AL286" i="35"/>
  <c r="AM286" i="35" s="1"/>
  <c r="AK286" i="35"/>
  <c r="AI286" i="35"/>
  <c r="AJ286" i="35" s="1"/>
  <c r="AF286" i="35"/>
  <c r="AC286" i="35"/>
  <c r="AB286" i="35"/>
  <c r="AA286" i="35"/>
  <c r="Z286" i="35"/>
  <c r="Y286" i="35"/>
  <c r="X286" i="35"/>
  <c r="W286" i="35"/>
  <c r="T286" i="35"/>
  <c r="O286" i="35"/>
  <c r="N286" i="35"/>
  <c r="M286" i="35"/>
  <c r="L286" i="35"/>
  <c r="K286" i="35"/>
  <c r="J286" i="35"/>
  <c r="I286" i="35"/>
  <c r="H286" i="35"/>
  <c r="BK285" i="35"/>
  <c r="BJ285" i="35"/>
  <c r="BI285" i="35"/>
  <c r="BE285" i="35"/>
  <c r="AX285" i="35"/>
  <c r="AS285" i="35"/>
  <c r="AR285" i="35"/>
  <c r="AQ285" i="35"/>
  <c r="BH285" i="35" s="1"/>
  <c r="AP285" i="35"/>
  <c r="AV285" i="35" s="1"/>
  <c r="AO285" i="35"/>
  <c r="AL285" i="35"/>
  <c r="AK285" i="35"/>
  <c r="AM285" i="35" s="1"/>
  <c r="AJ285" i="35"/>
  <c r="AI285" i="35"/>
  <c r="AF285" i="35"/>
  <c r="AC285" i="35"/>
  <c r="AB285" i="35"/>
  <c r="AA285" i="35"/>
  <c r="Z285" i="35"/>
  <c r="Y285" i="35"/>
  <c r="X285" i="35"/>
  <c r="W285" i="35"/>
  <c r="T285" i="35"/>
  <c r="O285" i="35"/>
  <c r="N285" i="35"/>
  <c r="M285" i="35"/>
  <c r="L285" i="35"/>
  <c r="K285" i="35"/>
  <c r="J285" i="35"/>
  <c r="I285" i="35"/>
  <c r="H285" i="35"/>
  <c r="BJ284" i="35"/>
  <c r="BI284" i="35"/>
  <c r="BD284" i="35"/>
  <c r="BA284" i="35"/>
  <c r="AZ284" i="35"/>
  <c r="AY284" i="35"/>
  <c r="AX284" i="35"/>
  <c r="AW284" i="35"/>
  <c r="AR284" i="35"/>
  <c r="AQ284" i="35"/>
  <c r="BH284" i="35" s="1"/>
  <c r="AP284" i="35"/>
  <c r="BG284" i="35" s="1"/>
  <c r="AO284" i="35"/>
  <c r="AM284" i="35"/>
  <c r="AL284" i="35"/>
  <c r="AK284" i="35"/>
  <c r="AJ284" i="35"/>
  <c r="AI284" i="35"/>
  <c r="AF284" i="35"/>
  <c r="AC284" i="35"/>
  <c r="AB284" i="35"/>
  <c r="AA284" i="35"/>
  <c r="Z284" i="35"/>
  <c r="Y284" i="35"/>
  <c r="X284" i="35"/>
  <c r="T284" i="35"/>
  <c r="O284" i="35"/>
  <c r="N284" i="35"/>
  <c r="M284" i="35"/>
  <c r="L284" i="35"/>
  <c r="K284" i="35"/>
  <c r="J284" i="35"/>
  <c r="I284" i="35"/>
  <c r="H284" i="35"/>
  <c r="BK283" i="35"/>
  <c r="BJ283" i="35"/>
  <c r="BI283" i="35"/>
  <c r="BH283" i="35"/>
  <c r="BC283" i="35"/>
  <c r="AZ283" i="35"/>
  <c r="AY283" i="35"/>
  <c r="AX283" i="35"/>
  <c r="AW283" i="35"/>
  <c r="AV283" i="35"/>
  <c r="AR283" i="35"/>
  <c r="AQ283" i="35"/>
  <c r="AP283" i="35"/>
  <c r="BF283" i="35" s="1"/>
  <c r="AO283" i="35"/>
  <c r="AM283" i="35"/>
  <c r="AL283" i="35"/>
  <c r="AK283" i="35"/>
  <c r="AI283" i="35"/>
  <c r="AJ283" i="35" s="1"/>
  <c r="AF283" i="35"/>
  <c r="AC283" i="35"/>
  <c r="AB283" i="35"/>
  <c r="AA283" i="35"/>
  <c r="Z283" i="35"/>
  <c r="Y283" i="35"/>
  <c r="X283" i="35"/>
  <c r="W283" i="35"/>
  <c r="T283" i="35"/>
  <c r="O283" i="35"/>
  <c r="N283" i="35"/>
  <c r="M283" i="35"/>
  <c r="L283" i="35"/>
  <c r="K283" i="35"/>
  <c r="J283" i="35"/>
  <c r="I283" i="35"/>
  <c r="H283" i="35"/>
  <c r="BK282" i="35"/>
  <c r="BJ282" i="35"/>
  <c r="BI282" i="35"/>
  <c r="BH282" i="35"/>
  <c r="AR282" i="35"/>
  <c r="AQ282" i="35"/>
  <c r="AP282" i="35"/>
  <c r="AO282" i="35"/>
  <c r="AL282" i="35"/>
  <c r="AK282" i="35"/>
  <c r="AM282" i="35" s="1"/>
  <c r="AJ282" i="35"/>
  <c r="AI282" i="35"/>
  <c r="AF282" i="35"/>
  <c r="AC282" i="35"/>
  <c r="AB282" i="35"/>
  <c r="AA282" i="35"/>
  <c r="Z282" i="35"/>
  <c r="Y282" i="35"/>
  <c r="X282" i="35"/>
  <c r="W282" i="35"/>
  <c r="T282" i="35"/>
  <c r="O282" i="35"/>
  <c r="N282" i="35"/>
  <c r="M282" i="35"/>
  <c r="L282" i="35"/>
  <c r="K282" i="35"/>
  <c r="J282" i="35"/>
  <c r="I282" i="35"/>
  <c r="H282" i="35"/>
  <c r="BJ281" i="35"/>
  <c r="BI281" i="35"/>
  <c r="BH281" i="35"/>
  <c r="BG281" i="35"/>
  <c r="BF281" i="35"/>
  <c r="BE281" i="35"/>
  <c r="BC281" i="35"/>
  <c r="BA281" i="35"/>
  <c r="AZ281" i="35"/>
  <c r="AY281" i="35"/>
  <c r="AX281" i="35"/>
  <c r="AW281" i="35"/>
  <c r="AV281" i="35"/>
  <c r="AU281" i="35"/>
  <c r="AT281" i="35"/>
  <c r="AS281" i="35"/>
  <c r="AR281" i="35"/>
  <c r="AQ281" i="35"/>
  <c r="AP281" i="35"/>
  <c r="BD281" i="35" s="1"/>
  <c r="AO281" i="35"/>
  <c r="AL281" i="35"/>
  <c r="AK281" i="35"/>
  <c r="AM281" i="35" s="1"/>
  <c r="AJ281" i="35"/>
  <c r="AI281" i="35"/>
  <c r="AF281" i="35"/>
  <c r="AC281" i="35"/>
  <c r="AB281" i="35"/>
  <c r="AA281" i="35"/>
  <c r="Z281" i="35"/>
  <c r="Y281" i="35"/>
  <c r="X281" i="35"/>
  <c r="W281" i="35"/>
  <c r="T281" i="35"/>
  <c r="BK281" i="35" s="1"/>
  <c r="O281" i="35"/>
  <c r="N281" i="35"/>
  <c r="M281" i="35"/>
  <c r="L281" i="35"/>
  <c r="K281" i="35"/>
  <c r="J281" i="35"/>
  <c r="I281" i="35"/>
  <c r="H281" i="35"/>
  <c r="BJ280" i="35"/>
  <c r="BI280" i="35"/>
  <c r="BH280" i="35"/>
  <c r="BG280" i="35"/>
  <c r="BF280" i="35"/>
  <c r="BE280" i="35"/>
  <c r="AZ280" i="35"/>
  <c r="AY280" i="35"/>
  <c r="AX280" i="35"/>
  <c r="AW280" i="35"/>
  <c r="AV280" i="35"/>
  <c r="AU280" i="35"/>
  <c r="AT280" i="35"/>
  <c r="AS280" i="35"/>
  <c r="AR280" i="35"/>
  <c r="AQ280" i="35"/>
  <c r="AP280" i="35"/>
  <c r="BC280" i="35" s="1"/>
  <c r="AO280" i="35"/>
  <c r="AM280" i="35"/>
  <c r="AL280" i="35"/>
  <c r="AK280" i="35"/>
  <c r="AJ280" i="35"/>
  <c r="AI280" i="35"/>
  <c r="AF280" i="35"/>
  <c r="AC280" i="35"/>
  <c r="AB280" i="35"/>
  <c r="AA280" i="35"/>
  <c r="Z280" i="35"/>
  <c r="Y280" i="35"/>
  <c r="X280" i="35"/>
  <c r="T280" i="35"/>
  <c r="BK280" i="35" s="1"/>
  <c r="O280" i="35"/>
  <c r="N280" i="35"/>
  <c r="M280" i="35"/>
  <c r="L280" i="35"/>
  <c r="K280" i="35"/>
  <c r="J280" i="35"/>
  <c r="I280" i="35"/>
  <c r="H280" i="35"/>
  <c r="BK279" i="35"/>
  <c r="BJ279" i="35"/>
  <c r="BI279" i="35"/>
  <c r="BH279" i="35"/>
  <c r="BG279" i="35"/>
  <c r="BF279" i="35"/>
  <c r="BE279" i="35"/>
  <c r="BD279" i="35"/>
  <c r="BC279" i="35"/>
  <c r="BA279" i="35"/>
  <c r="AY279" i="35"/>
  <c r="AX279" i="35"/>
  <c r="AW279" i="35"/>
  <c r="AV279" i="35"/>
  <c r="AU279" i="35"/>
  <c r="AT279" i="35"/>
  <c r="AS279" i="35"/>
  <c r="AR279" i="35"/>
  <c r="AQ279" i="35"/>
  <c r="AP279" i="35"/>
  <c r="BB279" i="35" s="1"/>
  <c r="AO279" i="35"/>
  <c r="AL279" i="35"/>
  <c r="AK279" i="35"/>
  <c r="AI279" i="35"/>
  <c r="AJ279" i="35" s="1"/>
  <c r="AF279" i="35"/>
  <c r="AC279" i="35"/>
  <c r="AB279" i="35"/>
  <c r="AA279" i="35"/>
  <c r="Z279" i="35"/>
  <c r="Y279" i="35"/>
  <c r="X279" i="35"/>
  <c r="T279" i="35"/>
  <c r="W279" i="35" s="1"/>
  <c r="O279" i="35"/>
  <c r="N279" i="35"/>
  <c r="M279" i="35"/>
  <c r="L279" i="35"/>
  <c r="K279" i="35"/>
  <c r="J279" i="35"/>
  <c r="I279" i="35"/>
  <c r="H279" i="35"/>
  <c r="BJ278" i="35"/>
  <c r="BI278" i="35"/>
  <c r="BG278" i="35"/>
  <c r="BF278" i="35"/>
  <c r="BE278" i="35"/>
  <c r="BD278" i="35"/>
  <c r="BC278" i="35"/>
  <c r="AX278" i="35"/>
  <c r="AW278" i="35"/>
  <c r="AV278" i="35"/>
  <c r="AU278" i="35"/>
  <c r="AT278" i="35"/>
  <c r="AS278" i="35"/>
  <c r="AR278" i="35"/>
  <c r="AQ278" i="35"/>
  <c r="BH278" i="35" s="1"/>
  <c r="AP278" i="35"/>
  <c r="BA278" i="35" s="1"/>
  <c r="AO278" i="35"/>
  <c r="AL278" i="35"/>
  <c r="AK278" i="35"/>
  <c r="AM278" i="35" s="1"/>
  <c r="AI278" i="35"/>
  <c r="AJ278" i="35" s="1"/>
  <c r="AF278" i="35"/>
  <c r="AC278" i="35"/>
  <c r="AB278" i="35"/>
  <c r="AA278" i="35"/>
  <c r="Z278" i="35"/>
  <c r="Y278" i="35"/>
  <c r="X278" i="35"/>
  <c r="W278" i="35"/>
  <c r="T278" i="35"/>
  <c r="BK278" i="35" s="1"/>
  <c r="O278" i="35"/>
  <c r="N278" i="35"/>
  <c r="M278" i="35"/>
  <c r="L278" i="35"/>
  <c r="K278" i="35"/>
  <c r="J278" i="35"/>
  <c r="I278" i="35"/>
  <c r="H278" i="35"/>
  <c r="BJ277" i="35"/>
  <c r="BI277" i="35"/>
  <c r="AR277" i="35"/>
  <c r="AQ277" i="35"/>
  <c r="BH277" i="35" s="1"/>
  <c r="AP277" i="35"/>
  <c r="AO277" i="35"/>
  <c r="AL277" i="35"/>
  <c r="AK277" i="35"/>
  <c r="AM277" i="35" s="1"/>
  <c r="AJ277" i="35"/>
  <c r="AI277" i="35"/>
  <c r="AF277" i="35"/>
  <c r="AC277" i="35"/>
  <c r="AB277" i="35"/>
  <c r="AA277" i="35"/>
  <c r="Z277" i="35"/>
  <c r="Y277" i="35"/>
  <c r="X277" i="35"/>
  <c r="T277" i="35"/>
  <c r="O277" i="35"/>
  <c r="N277" i="35"/>
  <c r="M277" i="35"/>
  <c r="L277" i="35"/>
  <c r="K277" i="35"/>
  <c r="J277" i="35"/>
  <c r="I277" i="35"/>
  <c r="H277" i="35"/>
  <c r="BJ276" i="35"/>
  <c r="BI276" i="35"/>
  <c r="BH276" i="35"/>
  <c r="BE276" i="35"/>
  <c r="BD276" i="35"/>
  <c r="BC276" i="35"/>
  <c r="BA276" i="35"/>
  <c r="AV276" i="35"/>
  <c r="AS276" i="35"/>
  <c r="AR276" i="35"/>
  <c r="AQ276" i="35"/>
  <c r="AP276" i="35"/>
  <c r="AY276" i="35" s="1"/>
  <c r="AO276" i="35"/>
  <c r="AM276" i="35"/>
  <c r="AL276" i="35"/>
  <c r="AK276" i="35"/>
  <c r="AI276" i="35"/>
  <c r="AJ276" i="35" s="1"/>
  <c r="AF276" i="35"/>
  <c r="AC276" i="35"/>
  <c r="AB276" i="35"/>
  <c r="AA276" i="35"/>
  <c r="Z276" i="35"/>
  <c r="Y276" i="35"/>
  <c r="X276" i="35"/>
  <c r="W276" i="35"/>
  <c r="T276" i="35"/>
  <c r="BK276" i="35" s="1"/>
  <c r="O276" i="35"/>
  <c r="N276" i="35"/>
  <c r="M276" i="35"/>
  <c r="L276" i="35"/>
  <c r="K276" i="35"/>
  <c r="J276" i="35"/>
  <c r="I276" i="35"/>
  <c r="H276" i="35"/>
  <c r="BJ275" i="35"/>
  <c r="BI275" i="35"/>
  <c r="BG275" i="35"/>
  <c r="BD275" i="35"/>
  <c r="BC275" i="35"/>
  <c r="AZ275" i="35"/>
  <c r="AU275" i="35"/>
  <c r="AR275" i="35"/>
  <c r="AQ275" i="35"/>
  <c r="BH275" i="35" s="1"/>
  <c r="AP275" i="35"/>
  <c r="AX275" i="35" s="1"/>
  <c r="AO275" i="35"/>
  <c r="AM275" i="35"/>
  <c r="AL275" i="35"/>
  <c r="AK275" i="35"/>
  <c r="AJ275" i="35"/>
  <c r="AI275" i="35"/>
  <c r="AF275" i="35"/>
  <c r="AC275" i="35"/>
  <c r="AB275" i="35"/>
  <c r="AA275" i="35"/>
  <c r="Z275" i="35"/>
  <c r="Y275" i="35"/>
  <c r="X275" i="35"/>
  <c r="T275" i="35"/>
  <c r="W275" i="35" s="1"/>
  <c r="O275" i="35"/>
  <c r="N275" i="35"/>
  <c r="M275" i="35"/>
  <c r="L275" i="35"/>
  <c r="K275" i="35"/>
  <c r="J275" i="35"/>
  <c r="I275" i="35"/>
  <c r="H275" i="35"/>
  <c r="BK274" i="35"/>
  <c r="BJ274" i="35"/>
  <c r="BI274" i="35"/>
  <c r="BF274" i="35"/>
  <c r="BC274" i="35"/>
  <c r="AY274" i="35"/>
  <c r="AT274" i="35"/>
  <c r="AR274" i="35"/>
  <c r="AQ274" i="35"/>
  <c r="BH274" i="35" s="1"/>
  <c r="AP274" i="35"/>
  <c r="AW274" i="35" s="1"/>
  <c r="AO274" i="35"/>
  <c r="AL274" i="35"/>
  <c r="AM274" i="35" s="1"/>
  <c r="AK274" i="35"/>
  <c r="AI274" i="35"/>
  <c r="AJ274" i="35" s="1"/>
  <c r="AF274" i="35"/>
  <c r="AC274" i="35"/>
  <c r="AB274" i="35"/>
  <c r="AA274" i="35"/>
  <c r="Z274" i="35"/>
  <c r="Y274" i="35"/>
  <c r="X274" i="35"/>
  <c r="W274" i="35"/>
  <c r="T274" i="35"/>
  <c r="O274" i="35"/>
  <c r="N274" i="35"/>
  <c r="M274" i="35"/>
  <c r="L274" i="35"/>
  <c r="K274" i="35"/>
  <c r="J274" i="35"/>
  <c r="I274" i="35"/>
  <c r="H274" i="35"/>
  <c r="BK273" i="35"/>
  <c r="BJ273" i="35"/>
  <c r="BI273" i="35"/>
  <c r="BE273" i="35"/>
  <c r="AX273" i="35"/>
  <c r="AS273" i="35"/>
  <c r="AR273" i="35"/>
  <c r="AQ273" i="35"/>
  <c r="BH273" i="35" s="1"/>
  <c r="AP273" i="35"/>
  <c r="AV273" i="35" s="1"/>
  <c r="AO273" i="35"/>
  <c r="AL273" i="35"/>
  <c r="AK273" i="35"/>
  <c r="AM273" i="35" s="1"/>
  <c r="AJ273" i="35"/>
  <c r="AI273" i="35"/>
  <c r="AF273" i="35"/>
  <c r="AC273" i="35"/>
  <c r="AB273" i="35"/>
  <c r="AA273" i="35"/>
  <c r="Z273" i="35"/>
  <c r="Y273" i="35"/>
  <c r="X273" i="35"/>
  <c r="W273" i="35"/>
  <c r="T273" i="35"/>
  <c r="O273" i="35"/>
  <c r="N273" i="35"/>
  <c r="M273" i="35"/>
  <c r="L273" i="35"/>
  <c r="K273" i="35"/>
  <c r="J273" i="35"/>
  <c r="I273" i="35"/>
  <c r="H273" i="35"/>
  <c r="BJ272" i="35"/>
  <c r="BI272" i="35"/>
  <c r="BD272" i="35"/>
  <c r="BA272" i="35"/>
  <c r="AZ272" i="35"/>
  <c r="AY272" i="35"/>
  <c r="AX272" i="35"/>
  <c r="AW272" i="35"/>
  <c r="AR272" i="35"/>
  <c r="AQ272" i="35"/>
  <c r="BH272" i="35" s="1"/>
  <c r="AP272" i="35"/>
  <c r="BG272" i="35" s="1"/>
  <c r="AO272" i="35"/>
  <c r="AM272" i="35"/>
  <c r="AL272" i="35"/>
  <c r="AK272" i="35"/>
  <c r="AJ272" i="35"/>
  <c r="AI272" i="35"/>
  <c r="AF272" i="35"/>
  <c r="AC272" i="35"/>
  <c r="AB272" i="35"/>
  <c r="AA272" i="35"/>
  <c r="Z272" i="35"/>
  <c r="Y272" i="35"/>
  <c r="X272" i="35"/>
  <c r="T272" i="35"/>
  <c r="O272" i="35"/>
  <c r="N272" i="35"/>
  <c r="M272" i="35"/>
  <c r="L272" i="35"/>
  <c r="K272" i="35"/>
  <c r="J272" i="35"/>
  <c r="I272" i="35"/>
  <c r="H272" i="35"/>
  <c r="BK271" i="35"/>
  <c r="BJ271" i="35"/>
  <c r="BI271" i="35"/>
  <c r="BC271" i="35"/>
  <c r="AZ271" i="35"/>
  <c r="AY271" i="35"/>
  <c r="AX271" i="35"/>
  <c r="AW271" i="35"/>
  <c r="AV271" i="35"/>
  <c r="AR271" i="35"/>
  <c r="AQ271" i="35"/>
  <c r="BH271" i="35" s="1"/>
  <c r="AP271" i="35"/>
  <c r="BF271" i="35" s="1"/>
  <c r="AO271" i="35"/>
  <c r="AM271" i="35"/>
  <c r="AL271" i="35"/>
  <c r="AK271" i="35"/>
  <c r="AI271" i="35"/>
  <c r="AJ271" i="35" s="1"/>
  <c r="AF271" i="35"/>
  <c r="AC271" i="35"/>
  <c r="AB271" i="35"/>
  <c r="AA271" i="35"/>
  <c r="Z271" i="35"/>
  <c r="Y271" i="35"/>
  <c r="X271" i="35"/>
  <c r="W271" i="35"/>
  <c r="T271" i="35"/>
  <c r="O271" i="35"/>
  <c r="N271" i="35"/>
  <c r="M271" i="35"/>
  <c r="L271" i="35"/>
  <c r="K271" i="35"/>
  <c r="J271" i="35"/>
  <c r="I271" i="35"/>
  <c r="H271" i="35"/>
  <c r="BK270" i="35"/>
  <c r="BJ270" i="35"/>
  <c r="BI270" i="35"/>
  <c r="BH270" i="35"/>
  <c r="AR270" i="35"/>
  <c r="AQ270" i="35"/>
  <c r="AP270" i="35"/>
  <c r="AO270" i="35"/>
  <c r="AL270" i="35"/>
  <c r="AK270" i="35"/>
  <c r="AM270" i="35" s="1"/>
  <c r="AJ270" i="35"/>
  <c r="AI270" i="35"/>
  <c r="AF270" i="35"/>
  <c r="AC270" i="35"/>
  <c r="AB270" i="35"/>
  <c r="AA270" i="35"/>
  <c r="Z270" i="35"/>
  <c r="Y270" i="35"/>
  <c r="X270" i="35"/>
  <c r="W270" i="35"/>
  <c r="T270" i="35"/>
  <c r="O270" i="35"/>
  <c r="N270" i="35"/>
  <c r="M270" i="35"/>
  <c r="L270" i="35"/>
  <c r="K270" i="35"/>
  <c r="J270" i="35"/>
  <c r="I270" i="35"/>
  <c r="H270" i="35"/>
  <c r="BJ269" i="35"/>
  <c r="BI269" i="35"/>
  <c r="BH269" i="35"/>
  <c r="BG269" i="35"/>
  <c r="BF269" i="35"/>
  <c r="BE269" i="35"/>
  <c r="BC269" i="35"/>
  <c r="BA269" i="35"/>
  <c r="AZ269" i="35"/>
  <c r="AY269" i="35"/>
  <c r="AX269" i="35"/>
  <c r="AW269" i="35"/>
  <c r="AV269" i="35"/>
  <c r="AU269" i="35"/>
  <c r="AT269" i="35"/>
  <c r="AS269" i="35"/>
  <c r="AR269" i="35"/>
  <c r="AQ269" i="35"/>
  <c r="AP269" i="35"/>
  <c r="BD269" i="35" s="1"/>
  <c r="AO269" i="35"/>
  <c r="AL269" i="35"/>
  <c r="AK269" i="35"/>
  <c r="AM269" i="35" s="1"/>
  <c r="AJ269" i="35"/>
  <c r="AI269" i="35"/>
  <c r="AF269" i="35"/>
  <c r="AC269" i="35"/>
  <c r="AB269" i="35"/>
  <c r="AA269" i="35"/>
  <c r="Z269" i="35"/>
  <c r="Y269" i="35"/>
  <c r="X269" i="35"/>
  <c r="W269" i="35"/>
  <c r="T269" i="35"/>
  <c r="BK269" i="35" s="1"/>
  <c r="O269" i="35"/>
  <c r="N269" i="35"/>
  <c r="M269" i="35"/>
  <c r="L269" i="35"/>
  <c r="K269" i="35"/>
  <c r="J269" i="35"/>
  <c r="I269" i="35"/>
  <c r="H269" i="35"/>
  <c r="BJ268" i="35"/>
  <c r="BI268" i="35"/>
  <c r="BH268" i="35"/>
  <c r="BG268" i="35"/>
  <c r="BF268" i="35"/>
  <c r="BE268" i="35"/>
  <c r="AZ268" i="35"/>
  <c r="AY268" i="35"/>
  <c r="AX268" i="35"/>
  <c r="AW268" i="35"/>
  <c r="AV268" i="35"/>
  <c r="AU268" i="35"/>
  <c r="AT268" i="35"/>
  <c r="AS268" i="35"/>
  <c r="AR268" i="35"/>
  <c r="AQ268" i="35"/>
  <c r="AP268" i="35"/>
  <c r="BC268" i="35" s="1"/>
  <c r="AO268" i="35"/>
  <c r="AM268" i="35"/>
  <c r="AL268" i="35"/>
  <c r="AK268" i="35"/>
  <c r="AJ268" i="35"/>
  <c r="AI268" i="35"/>
  <c r="AF268" i="35"/>
  <c r="AC268" i="35"/>
  <c r="AB268" i="35"/>
  <c r="AA268" i="35"/>
  <c r="Z268" i="35"/>
  <c r="Y268" i="35"/>
  <c r="X268" i="35"/>
  <c r="T268" i="35"/>
  <c r="BK268" i="35" s="1"/>
  <c r="O268" i="35"/>
  <c r="N268" i="35"/>
  <c r="M268" i="35"/>
  <c r="L268" i="35"/>
  <c r="K268" i="35"/>
  <c r="J268" i="35"/>
  <c r="I268" i="35"/>
  <c r="H268" i="35"/>
  <c r="BK267" i="35"/>
  <c r="BJ267" i="35"/>
  <c r="BI267" i="35"/>
  <c r="BH267" i="35"/>
  <c r="BG267" i="35"/>
  <c r="BF267" i="35"/>
  <c r="BE267" i="35"/>
  <c r="BD267" i="35"/>
  <c r="BC267" i="35"/>
  <c r="BA267" i="35"/>
  <c r="AY267" i="35"/>
  <c r="AX267" i="35"/>
  <c r="AW267" i="35"/>
  <c r="AV267" i="35"/>
  <c r="AU267" i="35"/>
  <c r="AT267" i="35"/>
  <c r="AS267" i="35"/>
  <c r="AR267" i="35"/>
  <c r="AQ267" i="35"/>
  <c r="AP267" i="35"/>
  <c r="BB267" i="35" s="1"/>
  <c r="AO267" i="35"/>
  <c r="AL267" i="35"/>
  <c r="AK267" i="35"/>
  <c r="AM267" i="35" s="1"/>
  <c r="AI267" i="35"/>
  <c r="AJ267" i="35" s="1"/>
  <c r="AF267" i="35"/>
  <c r="AC267" i="35"/>
  <c r="AB267" i="35"/>
  <c r="AA267" i="35"/>
  <c r="Z267" i="35"/>
  <c r="Y267" i="35"/>
  <c r="X267" i="35"/>
  <c r="T267" i="35"/>
  <c r="W267" i="35" s="1"/>
  <c r="O267" i="35"/>
  <c r="N267" i="35"/>
  <c r="M267" i="35"/>
  <c r="L267" i="35"/>
  <c r="K267" i="35"/>
  <c r="J267" i="35"/>
  <c r="I267" i="35"/>
  <c r="H267" i="35"/>
  <c r="BJ266" i="35"/>
  <c r="BI266" i="35"/>
  <c r="BG266" i="35"/>
  <c r="BF266" i="35"/>
  <c r="BE266" i="35"/>
  <c r="BD266" i="35"/>
  <c r="BC266" i="35"/>
  <c r="AX266" i="35"/>
  <c r="AW266" i="35"/>
  <c r="AV266" i="35"/>
  <c r="AU266" i="35"/>
  <c r="AT266" i="35"/>
  <c r="AS266" i="35"/>
  <c r="AR266" i="35"/>
  <c r="AQ266" i="35"/>
  <c r="BH266" i="35" s="1"/>
  <c r="AP266" i="35"/>
  <c r="BA266" i="35" s="1"/>
  <c r="AO266" i="35"/>
  <c r="AL266" i="35"/>
  <c r="AK266" i="35"/>
  <c r="AM266" i="35" s="1"/>
  <c r="AI266" i="35"/>
  <c r="AJ266" i="35" s="1"/>
  <c r="AF266" i="35"/>
  <c r="AC266" i="35"/>
  <c r="AB266" i="35"/>
  <c r="AA266" i="35"/>
  <c r="Z266" i="35"/>
  <c r="Y266" i="35"/>
  <c r="X266" i="35"/>
  <c r="W266" i="35"/>
  <c r="T266" i="35"/>
  <c r="BK266" i="35" s="1"/>
  <c r="O266" i="35"/>
  <c r="N266" i="35"/>
  <c r="M266" i="35"/>
  <c r="L266" i="35"/>
  <c r="K266" i="35"/>
  <c r="J266" i="35"/>
  <c r="I266" i="35"/>
  <c r="H266" i="35"/>
  <c r="BJ265" i="35"/>
  <c r="BI265" i="35"/>
  <c r="BF265" i="35"/>
  <c r="BB265" i="35"/>
  <c r="AT265" i="35"/>
  <c r="AR265" i="35"/>
  <c r="AQ265" i="35"/>
  <c r="BH265" i="35" s="1"/>
  <c r="AP265" i="35"/>
  <c r="AO265" i="35"/>
  <c r="AL265" i="35"/>
  <c r="AK265" i="35"/>
  <c r="AM265" i="35" s="1"/>
  <c r="AJ265" i="35"/>
  <c r="AI265" i="35"/>
  <c r="AF265" i="35"/>
  <c r="AC265" i="35"/>
  <c r="AB265" i="35"/>
  <c r="AA265" i="35"/>
  <c r="Z265" i="35"/>
  <c r="Y265" i="35"/>
  <c r="X265" i="35"/>
  <c r="T265" i="35"/>
  <c r="O265" i="35"/>
  <c r="N265" i="35"/>
  <c r="M265" i="35"/>
  <c r="L265" i="35"/>
  <c r="K265" i="35"/>
  <c r="J265" i="35"/>
  <c r="I265" i="35"/>
  <c r="H265" i="35"/>
  <c r="BJ264" i="35"/>
  <c r="BI264" i="35"/>
  <c r="BH264" i="35"/>
  <c r="BE264" i="35"/>
  <c r="BD264" i="35"/>
  <c r="BC264" i="35"/>
  <c r="BA264" i="35"/>
  <c r="AV264" i="35"/>
  <c r="AS264" i="35"/>
  <c r="AR264" i="35"/>
  <c r="AQ264" i="35"/>
  <c r="AP264" i="35"/>
  <c r="AY264" i="35" s="1"/>
  <c r="AO264" i="35"/>
  <c r="AM264" i="35"/>
  <c r="AL264" i="35"/>
  <c r="AK264" i="35"/>
  <c r="AI264" i="35"/>
  <c r="AJ264" i="35" s="1"/>
  <c r="AF264" i="35"/>
  <c r="AC264" i="35"/>
  <c r="AB264" i="35"/>
  <c r="AA264" i="35"/>
  <c r="Z264" i="35"/>
  <c r="Y264" i="35"/>
  <c r="X264" i="35"/>
  <c r="W264" i="35"/>
  <c r="T264" i="35"/>
  <c r="BK264" i="35" s="1"/>
  <c r="O264" i="35"/>
  <c r="N264" i="35"/>
  <c r="M264" i="35"/>
  <c r="L264" i="35"/>
  <c r="K264" i="35"/>
  <c r="J264" i="35"/>
  <c r="I264" i="35"/>
  <c r="H264" i="35"/>
  <c r="BK263" i="35"/>
  <c r="BJ263" i="35"/>
  <c r="BI263" i="35"/>
  <c r="BG263" i="35"/>
  <c r="BD263" i="35"/>
  <c r="BC263" i="35"/>
  <c r="AZ263" i="35"/>
  <c r="AU263" i="35"/>
  <c r="AR263" i="35"/>
  <c r="AQ263" i="35"/>
  <c r="BH263" i="35" s="1"/>
  <c r="AP263" i="35"/>
  <c r="AX263" i="35" s="1"/>
  <c r="AO263" i="35"/>
  <c r="AM263" i="35"/>
  <c r="AL263" i="35"/>
  <c r="AK263" i="35"/>
  <c r="AJ263" i="35"/>
  <c r="AI263" i="35"/>
  <c r="AF263" i="35"/>
  <c r="AC263" i="35"/>
  <c r="AB263" i="35"/>
  <c r="AA263" i="35"/>
  <c r="Z263" i="35"/>
  <c r="Y263" i="35"/>
  <c r="X263" i="35"/>
  <c r="T263" i="35"/>
  <c r="W263" i="35" s="1"/>
  <c r="O263" i="35"/>
  <c r="N263" i="35"/>
  <c r="M263" i="35"/>
  <c r="L263" i="35"/>
  <c r="K263" i="35"/>
  <c r="J263" i="35"/>
  <c r="I263" i="35"/>
  <c r="H263" i="35"/>
  <c r="BK262" i="35"/>
  <c r="BJ262" i="35"/>
  <c r="BI262" i="35"/>
  <c r="BF262" i="35"/>
  <c r="BC262" i="35"/>
  <c r="AY262" i="35"/>
  <c r="AT262" i="35"/>
  <c r="AR262" i="35"/>
  <c r="AQ262" i="35"/>
  <c r="BH262" i="35" s="1"/>
  <c r="AP262" i="35"/>
  <c r="AW262" i="35" s="1"/>
  <c r="AO262" i="35"/>
  <c r="AL262" i="35"/>
  <c r="AM262" i="35" s="1"/>
  <c r="AK262" i="35"/>
  <c r="AI262" i="35"/>
  <c r="AJ262" i="35" s="1"/>
  <c r="AF262" i="35"/>
  <c r="AC262" i="35"/>
  <c r="AB262" i="35"/>
  <c r="AA262" i="35"/>
  <c r="Z262" i="35"/>
  <c r="Y262" i="35"/>
  <c r="X262" i="35"/>
  <c r="W262" i="35"/>
  <c r="T262" i="35"/>
  <c r="O262" i="35"/>
  <c r="N262" i="35"/>
  <c r="M262" i="35"/>
  <c r="L262" i="35"/>
  <c r="K262" i="35"/>
  <c r="J262" i="35"/>
  <c r="I262" i="35"/>
  <c r="H262" i="35"/>
  <c r="BK261" i="35"/>
  <c r="BJ261" i="35"/>
  <c r="BI261" i="35"/>
  <c r="BE261" i="35"/>
  <c r="BB261" i="35"/>
  <c r="AS261" i="35"/>
  <c r="AR261" i="35"/>
  <c r="AQ261" i="35"/>
  <c r="BH261" i="35" s="1"/>
  <c r="AP261" i="35"/>
  <c r="AO261" i="35"/>
  <c r="AL261" i="35"/>
  <c r="AK261" i="35"/>
  <c r="AM261" i="35" s="1"/>
  <c r="AJ261" i="35"/>
  <c r="AI261" i="35"/>
  <c r="AF261" i="35"/>
  <c r="AC261" i="35"/>
  <c r="AB261" i="35"/>
  <c r="AA261" i="35"/>
  <c r="Z261" i="35"/>
  <c r="Y261" i="35"/>
  <c r="X261" i="35"/>
  <c r="W261" i="35"/>
  <c r="T261" i="35"/>
  <c r="O261" i="35"/>
  <c r="N261" i="35"/>
  <c r="M261" i="35"/>
  <c r="L261" i="35"/>
  <c r="K261" i="35"/>
  <c r="J261" i="35"/>
  <c r="I261" i="35"/>
  <c r="H261" i="35"/>
  <c r="BJ260" i="35"/>
  <c r="BI260" i="35"/>
  <c r="BD260" i="35"/>
  <c r="BA260" i="35"/>
  <c r="AZ260" i="35"/>
  <c r="AY260" i="35"/>
  <c r="AX260" i="35"/>
  <c r="AW260" i="35"/>
  <c r="AR260" i="35"/>
  <c r="AQ260" i="35"/>
  <c r="BH260" i="35" s="1"/>
  <c r="AP260" i="35"/>
  <c r="BG260" i="35" s="1"/>
  <c r="AO260" i="35"/>
  <c r="AM260" i="35"/>
  <c r="AL260" i="35"/>
  <c r="AK260" i="35"/>
  <c r="AJ260" i="35"/>
  <c r="AI260" i="35"/>
  <c r="AF260" i="35"/>
  <c r="AC260" i="35"/>
  <c r="AB260" i="35"/>
  <c r="AA260" i="35"/>
  <c r="Z260" i="35"/>
  <c r="Y260" i="35"/>
  <c r="X260" i="35"/>
  <c r="T260" i="35"/>
  <c r="O260" i="35"/>
  <c r="N260" i="35"/>
  <c r="M260" i="35"/>
  <c r="L260" i="35"/>
  <c r="K260" i="35"/>
  <c r="J260" i="35"/>
  <c r="I260" i="35"/>
  <c r="H260" i="35"/>
  <c r="BK259" i="35"/>
  <c r="BJ259" i="35"/>
  <c r="BI259" i="35"/>
  <c r="BH259" i="35"/>
  <c r="BC259" i="35"/>
  <c r="AZ259" i="35"/>
  <c r="AY259" i="35"/>
  <c r="AX259" i="35"/>
  <c r="AW259" i="35"/>
  <c r="AV259" i="35"/>
  <c r="AR259" i="35"/>
  <c r="AQ259" i="35"/>
  <c r="AP259" i="35"/>
  <c r="BF259" i="35" s="1"/>
  <c r="AO259" i="35"/>
  <c r="AM259" i="35"/>
  <c r="AL259" i="35"/>
  <c r="AK259" i="35"/>
  <c r="AI259" i="35"/>
  <c r="AJ259" i="35" s="1"/>
  <c r="AF259" i="35"/>
  <c r="AC259" i="35"/>
  <c r="AB259" i="35"/>
  <c r="AA259" i="35"/>
  <c r="Z259" i="35"/>
  <c r="Y259" i="35"/>
  <c r="X259" i="35"/>
  <c r="W259" i="35"/>
  <c r="T259" i="35"/>
  <c r="O259" i="35"/>
  <c r="N259" i="35"/>
  <c r="M259" i="35"/>
  <c r="L259" i="35"/>
  <c r="K259" i="35"/>
  <c r="J259" i="35"/>
  <c r="I259" i="35"/>
  <c r="H259" i="35"/>
  <c r="BK258" i="35"/>
  <c r="BJ258" i="35"/>
  <c r="BI258" i="35"/>
  <c r="BH258" i="35"/>
  <c r="AR258" i="35"/>
  <c r="AQ258" i="35"/>
  <c r="AP258" i="35"/>
  <c r="AO258" i="35"/>
  <c r="AL258" i="35"/>
  <c r="AK258" i="35"/>
  <c r="AM258" i="35" s="1"/>
  <c r="AJ258" i="35"/>
  <c r="AI258" i="35"/>
  <c r="AF258" i="35"/>
  <c r="AC258" i="35"/>
  <c r="AB258" i="35"/>
  <c r="AA258" i="35"/>
  <c r="Z258" i="35"/>
  <c r="Y258" i="35"/>
  <c r="X258" i="35"/>
  <c r="W258" i="35"/>
  <c r="T258" i="35"/>
  <c r="O258" i="35"/>
  <c r="N258" i="35"/>
  <c r="M258" i="35"/>
  <c r="L258" i="35"/>
  <c r="K258" i="35"/>
  <c r="J258" i="35"/>
  <c r="I258" i="35"/>
  <c r="H258" i="35"/>
  <c r="BJ257" i="35"/>
  <c r="BI257" i="35"/>
  <c r="BH257" i="35"/>
  <c r="BG257" i="35"/>
  <c r="BF257" i="35"/>
  <c r="BE257" i="35"/>
  <c r="BC257" i="35"/>
  <c r="BA257" i="35"/>
  <c r="AZ257" i="35"/>
  <c r="AY257" i="35"/>
  <c r="AX257" i="35"/>
  <c r="AW257" i="35"/>
  <c r="AV257" i="35"/>
  <c r="AU257" i="35"/>
  <c r="AT257" i="35"/>
  <c r="AS257" i="35"/>
  <c r="AR257" i="35"/>
  <c r="AQ257" i="35"/>
  <c r="AP257" i="35"/>
  <c r="BD257" i="35" s="1"/>
  <c r="AO257" i="35"/>
  <c r="AL257" i="35"/>
  <c r="AK257" i="35"/>
  <c r="AM257" i="35" s="1"/>
  <c r="AJ257" i="35"/>
  <c r="AI257" i="35"/>
  <c r="AF257" i="35"/>
  <c r="AC257" i="35"/>
  <c r="AB257" i="35"/>
  <c r="AA257" i="35"/>
  <c r="Z257" i="35"/>
  <c r="Y257" i="35"/>
  <c r="X257" i="35"/>
  <c r="W257" i="35"/>
  <c r="T257" i="35"/>
  <c r="BK257" i="35" s="1"/>
  <c r="O257" i="35"/>
  <c r="N257" i="35"/>
  <c r="M257" i="35"/>
  <c r="L257" i="35"/>
  <c r="K257" i="35"/>
  <c r="J257" i="35"/>
  <c r="I257" i="35"/>
  <c r="H257" i="35"/>
  <c r="BJ256" i="35"/>
  <c r="BI256" i="35"/>
  <c r="BH256" i="35"/>
  <c r="BG256" i="35"/>
  <c r="BF256" i="35"/>
  <c r="BE256" i="35"/>
  <c r="BD256" i="35"/>
  <c r="AZ256" i="35"/>
  <c r="AY256" i="35"/>
  <c r="AX256" i="35"/>
  <c r="AW256" i="35"/>
  <c r="AV256" i="35"/>
  <c r="AU256" i="35"/>
  <c r="AT256" i="35"/>
  <c r="AS256" i="35"/>
  <c r="AR256" i="35"/>
  <c r="AQ256" i="35"/>
  <c r="AP256" i="35"/>
  <c r="BC256" i="35" s="1"/>
  <c r="AO256" i="35"/>
  <c r="AM256" i="35"/>
  <c r="AL256" i="35"/>
  <c r="AK256" i="35"/>
  <c r="AJ256" i="35"/>
  <c r="AI256" i="35"/>
  <c r="AF256" i="35"/>
  <c r="AC256" i="35"/>
  <c r="AB256" i="35"/>
  <c r="AA256" i="35"/>
  <c r="Z256" i="35"/>
  <c r="Y256" i="35"/>
  <c r="X256" i="35"/>
  <c r="T256" i="35"/>
  <c r="O256" i="35"/>
  <c r="N256" i="35"/>
  <c r="M256" i="35"/>
  <c r="L256" i="35"/>
  <c r="K256" i="35"/>
  <c r="J256" i="35"/>
  <c r="I256" i="35"/>
  <c r="H256" i="35"/>
  <c r="BK255" i="35"/>
  <c r="BJ255" i="35"/>
  <c r="BI255" i="35"/>
  <c r="BH255" i="35"/>
  <c r="BG255" i="35"/>
  <c r="BF255" i="35"/>
  <c r="BE255" i="35"/>
  <c r="BD255" i="35"/>
  <c r="BC255" i="35"/>
  <c r="BA255" i="35"/>
  <c r="AZ255" i="35"/>
  <c r="AY255" i="35"/>
  <c r="AX255" i="35"/>
  <c r="AW255" i="35"/>
  <c r="AV255" i="35"/>
  <c r="AU255" i="35"/>
  <c r="AT255" i="35"/>
  <c r="AS255" i="35"/>
  <c r="AR255" i="35"/>
  <c r="AQ255" i="35"/>
  <c r="AP255" i="35"/>
  <c r="BB255" i="35" s="1"/>
  <c r="AO255" i="35"/>
  <c r="AL255" i="35"/>
  <c r="AK255" i="35"/>
  <c r="AI255" i="35"/>
  <c r="AJ255" i="35" s="1"/>
  <c r="AF255" i="35"/>
  <c r="AC255" i="35"/>
  <c r="AB255" i="35"/>
  <c r="AA255" i="35"/>
  <c r="Z255" i="35"/>
  <c r="Y255" i="35"/>
  <c r="X255" i="35"/>
  <c r="T255" i="35"/>
  <c r="W255" i="35" s="1"/>
  <c r="O255" i="35"/>
  <c r="N255" i="35"/>
  <c r="M255" i="35"/>
  <c r="L255" i="35"/>
  <c r="K255" i="35"/>
  <c r="J255" i="35"/>
  <c r="I255" i="35"/>
  <c r="H255" i="35"/>
  <c r="BJ254" i="35"/>
  <c r="BI254" i="35"/>
  <c r="BG254" i="35"/>
  <c r="BF254" i="35"/>
  <c r="BE254" i="35"/>
  <c r="BD254" i="35"/>
  <c r="BC254" i="35"/>
  <c r="AX254" i="35"/>
  <c r="AW254" i="35"/>
  <c r="AV254" i="35"/>
  <c r="AU254" i="35"/>
  <c r="AT254" i="35"/>
  <c r="AS254" i="35"/>
  <c r="AR254" i="35"/>
  <c r="AQ254" i="35"/>
  <c r="BH254" i="35" s="1"/>
  <c r="AP254" i="35"/>
  <c r="BA254" i="35" s="1"/>
  <c r="AO254" i="35"/>
  <c r="AL254" i="35"/>
  <c r="AK254" i="35"/>
  <c r="AM254" i="35" s="1"/>
  <c r="AI254" i="35"/>
  <c r="AJ254" i="35" s="1"/>
  <c r="AF254" i="35"/>
  <c r="AC254" i="35"/>
  <c r="AB254" i="35"/>
  <c r="AA254" i="35"/>
  <c r="Z254" i="35"/>
  <c r="Y254" i="35"/>
  <c r="X254" i="35"/>
  <c r="W254" i="35"/>
  <c r="T254" i="35"/>
  <c r="BK254" i="35" s="1"/>
  <c r="O254" i="35"/>
  <c r="N254" i="35"/>
  <c r="M254" i="35"/>
  <c r="L254" i="35"/>
  <c r="K254" i="35"/>
  <c r="J254" i="35"/>
  <c r="I254" i="35"/>
  <c r="H254" i="35"/>
  <c r="BJ253" i="35"/>
  <c r="BI253" i="35"/>
  <c r="BF253" i="35"/>
  <c r="BE253" i="35"/>
  <c r="BB253" i="35"/>
  <c r="AW253" i="35"/>
  <c r="AT253" i="35"/>
  <c r="AS253" i="35"/>
  <c r="AR253" i="35"/>
  <c r="AQ253" i="35"/>
  <c r="BH253" i="35" s="1"/>
  <c r="AP253" i="35"/>
  <c r="AO253" i="35"/>
  <c r="AL253" i="35"/>
  <c r="AK253" i="35"/>
  <c r="AM253" i="35" s="1"/>
  <c r="AJ253" i="35"/>
  <c r="AI253" i="35"/>
  <c r="AF253" i="35"/>
  <c r="AC253" i="35"/>
  <c r="AB253" i="35"/>
  <c r="AA253" i="35"/>
  <c r="Z253" i="35"/>
  <c r="Y253" i="35"/>
  <c r="X253" i="35"/>
  <c r="T253" i="35"/>
  <c r="O253" i="35"/>
  <c r="N253" i="35"/>
  <c r="M253" i="35"/>
  <c r="L253" i="35"/>
  <c r="K253" i="35"/>
  <c r="J253" i="35"/>
  <c r="I253" i="35"/>
  <c r="H253" i="35"/>
  <c r="BJ252" i="35"/>
  <c r="BI252" i="35"/>
  <c r="BH252" i="35"/>
  <c r="BE252" i="35"/>
  <c r="BD252" i="35"/>
  <c r="BC252" i="35"/>
  <c r="BA252" i="35"/>
  <c r="AV252" i="35"/>
  <c r="AS252" i="35"/>
  <c r="AR252" i="35"/>
  <c r="AQ252" i="35"/>
  <c r="AP252" i="35"/>
  <c r="AY252" i="35" s="1"/>
  <c r="AO252" i="35"/>
  <c r="AM252" i="35"/>
  <c r="AL252" i="35"/>
  <c r="AK252" i="35"/>
  <c r="AI252" i="35"/>
  <c r="AJ252" i="35" s="1"/>
  <c r="AF252" i="35"/>
  <c r="AC252" i="35"/>
  <c r="AB252" i="35"/>
  <c r="AA252" i="35"/>
  <c r="Z252" i="35"/>
  <c r="Y252" i="35"/>
  <c r="X252" i="35"/>
  <c r="W252" i="35"/>
  <c r="T252" i="35"/>
  <c r="BK252" i="35" s="1"/>
  <c r="O252" i="35"/>
  <c r="N252" i="35"/>
  <c r="M252" i="35"/>
  <c r="L252" i="35"/>
  <c r="K252" i="35"/>
  <c r="J252" i="35"/>
  <c r="I252" i="35"/>
  <c r="H252" i="35"/>
  <c r="BK251" i="35"/>
  <c r="BJ251" i="35"/>
  <c r="BI251" i="35"/>
  <c r="BG251" i="35"/>
  <c r="BD251" i="35"/>
  <c r="BC251" i="35"/>
  <c r="AZ251" i="35"/>
  <c r="AU251" i="35"/>
  <c r="AR251" i="35"/>
  <c r="AQ251" i="35"/>
  <c r="BH251" i="35" s="1"/>
  <c r="AP251" i="35"/>
  <c r="AX251" i="35" s="1"/>
  <c r="AO251" i="35"/>
  <c r="AM251" i="35"/>
  <c r="AL251" i="35"/>
  <c r="AK251" i="35"/>
  <c r="AJ251" i="35"/>
  <c r="AI251" i="35"/>
  <c r="AF251" i="35"/>
  <c r="AC251" i="35"/>
  <c r="AB251" i="35"/>
  <c r="AA251" i="35"/>
  <c r="Z251" i="35"/>
  <c r="Y251" i="35"/>
  <c r="X251" i="35"/>
  <c r="T251" i="35"/>
  <c r="W251" i="35" s="1"/>
  <c r="O251" i="35"/>
  <c r="N251" i="35"/>
  <c r="M251" i="35"/>
  <c r="L251" i="35"/>
  <c r="K251" i="35"/>
  <c r="J251" i="35"/>
  <c r="I251" i="35"/>
  <c r="H251" i="35"/>
  <c r="BK250" i="35"/>
  <c r="BJ250" i="35"/>
  <c r="BI250" i="35"/>
  <c r="AR250" i="35"/>
  <c r="AQ250" i="35"/>
  <c r="BH250" i="35" s="1"/>
  <c r="AP250" i="35"/>
  <c r="AO250" i="35"/>
  <c r="AL250" i="35"/>
  <c r="AM250" i="35" s="1"/>
  <c r="AK250" i="35"/>
  <c r="AI250" i="35"/>
  <c r="AJ250" i="35" s="1"/>
  <c r="AF250" i="35"/>
  <c r="AC250" i="35"/>
  <c r="AB250" i="35"/>
  <c r="AA250" i="35"/>
  <c r="Z250" i="35"/>
  <c r="Y250" i="35"/>
  <c r="X250" i="35"/>
  <c r="W250" i="35"/>
  <c r="T250" i="35"/>
  <c r="O250" i="35"/>
  <c r="N250" i="35"/>
  <c r="M250" i="35"/>
  <c r="L250" i="35"/>
  <c r="K250" i="35"/>
  <c r="J250" i="35"/>
  <c r="I250" i="35"/>
  <c r="H250" i="35"/>
  <c r="BK249" i="35"/>
  <c r="BJ249" i="35"/>
  <c r="BI249" i="35"/>
  <c r="BE249" i="35"/>
  <c r="BB249" i="35"/>
  <c r="BA249" i="35"/>
  <c r="AR249" i="35"/>
  <c r="AQ249" i="35"/>
  <c r="BH249" i="35" s="1"/>
  <c r="AP249" i="35"/>
  <c r="AO249" i="35"/>
  <c r="AL249" i="35"/>
  <c r="AK249" i="35"/>
  <c r="AM249" i="35" s="1"/>
  <c r="AJ249" i="35"/>
  <c r="AI249" i="35"/>
  <c r="AF249" i="35"/>
  <c r="AC249" i="35"/>
  <c r="AB249" i="35"/>
  <c r="AA249" i="35"/>
  <c r="Z249" i="35"/>
  <c r="Y249" i="35"/>
  <c r="X249" i="35"/>
  <c r="W249" i="35"/>
  <c r="T249" i="35"/>
  <c r="O249" i="35"/>
  <c r="N249" i="35"/>
  <c r="M249" i="35"/>
  <c r="L249" i="35"/>
  <c r="K249" i="35"/>
  <c r="J249" i="35"/>
  <c r="I249" i="35"/>
  <c r="H249" i="35"/>
  <c r="BJ248" i="35"/>
  <c r="BI248" i="35"/>
  <c r="BD248" i="35"/>
  <c r="BA248" i="35"/>
  <c r="AZ248" i="35"/>
  <c r="AY248" i="35"/>
  <c r="AX248" i="35"/>
  <c r="AW248" i="35"/>
  <c r="AR248" i="35"/>
  <c r="AQ248" i="35"/>
  <c r="BH248" i="35" s="1"/>
  <c r="AP248" i="35"/>
  <c r="BG248" i="35" s="1"/>
  <c r="AO248" i="35"/>
  <c r="AL248" i="35"/>
  <c r="AM248" i="35" s="1"/>
  <c r="AK248" i="35"/>
  <c r="AJ248" i="35"/>
  <c r="AI248" i="35"/>
  <c r="AF248" i="35"/>
  <c r="AC248" i="35"/>
  <c r="AB248" i="35"/>
  <c r="AA248" i="35"/>
  <c r="Z248" i="35"/>
  <c r="Y248" i="35"/>
  <c r="X248" i="35"/>
  <c r="T248" i="35"/>
  <c r="W248" i="35" s="1"/>
  <c r="O248" i="35"/>
  <c r="N248" i="35"/>
  <c r="M248" i="35"/>
  <c r="L248" i="35"/>
  <c r="K248" i="35"/>
  <c r="J248" i="35"/>
  <c r="I248" i="35"/>
  <c r="H248" i="35"/>
  <c r="BK247" i="35"/>
  <c r="BJ247" i="35"/>
  <c r="BI247" i="35"/>
  <c r="BH247" i="35"/>
  <c r="BC247" i="35"/>
  <c r="BA247" i="35"/>
  <c r="AZ247" i="35"/>
  <c r="AY247" i="35"/>
  <c r="AX247" i="35"/>
  <c r="AW247" i="35"/>
  <c r="AV247" i="35"/>
  <c r="AR247" i="35"/>
  <c r="AQ247" i="35"/>
  <c r="AP247" i="35"/>
  <c r="BF247" i="35" s="1"/>
  <c r="AO247" i="35"/>
  <c r="AL247" i="35"/>
  <c r="AM247" i="35" s="1"/>
  <c r="AK247" i="35"/>
  <c r="AI247" i="35"/>
  <c r="AJ247" i="35" s="1"/>
  <c r="AF247" i="35"/>
  <c r="AC247" i="35"/>
  <c r="AB247" i="35"/>
  <c r="AA247" i="35"/>
  <c r="Z247" i="35"/>
  <c r="Y247" i="35"/>
  <c r="X247" i="35"/>
  <c r="W247" i="35"/>
  <c r="T247" i="35"/>
  <c r="O247" i="35"/>
  <c r="N247" i="35"/>
  <c r="M247" i="35"/>
  <c r="L247" i="35"/>
  <c r="K247" i="35"/>
  <c r="J247" i="35"/>
  <c r="I247" i="35"/>
  <c r="H247" i="35"/>
  <c r="BJ246" i="35"/>
  <c r="BI246" i="35"/>
  <c r="BH246" i="35"/>
  <c r="BG246" i="35"/>
  <c r="AY246" i="35"/>
  <c r="AX246" i="35"/>
  <c r="AW246" i="35"/>
  <c r="AV246" i="35"/>
  <c r="AR246" i="35"/>
  <c r="AQ246" i="35"/>
  <c r="AP246" i="35"/>
  <c r="BB246" i="35" s="1"/>
  <c r="AO246" i="35"/>
  <c r="AL246" i="35"/>
  <c r="AK246" i="35"/>
  <c r="AM246" i="35" s="1"/>
  <c r="AI246" i="35"/>
  <c r="AJ246" i="35" s="1"/>
  <c r="AF246" i="35"/>
  <c r="AC246" i="35"/>
  <c r="AB246" i="35"/>
  <c r="AA246" i="35"/>
  <c r="Z246" i="35"/>
  <c r="Y246" i="35"/>
  <c r="X246" i="35"/>
  <c r="T246" i="35"/>
  <c r="BK246" i="35" s="1"/>
  <c r="O246" i="35"/>
  <c r="N246" i="35"/>
  <c r="M246" i="35"/>
  <c r="L246" i="35"/>
  <c r="K246" i="35"/>
  <c r="J246" i="35"/>
  <c r="I246" i="35"/>
  <c r="H246" i="35"/>
  <c r="BJ245" i="35"/>
  <c r="BI245" i="35"/>
  <c r="BH245" i="35"/>
  <c r="BG245" i="35"/>
  <c r="BF245" i="35"/>
  <c r="BE245" i="35"/>
  <c r="BA245" i="35"/>
  <c r="AZ245" i="35"/>
  <c r="AY245" i="35"/>
  <c r="AX245" i="35"/>
  <c r="AW245" i="35"/>
  <c r="AV245" i="35"/>
  <c r="AU245" i="35"/>
  <c r="AT245" i="35"/>
  <c r="AS245" i="35"/>
  <c r="AR245" i="35"/>
  <c r="AQ245" i="35"/>
  <c r="AP245" i="35"/>
  <c r="BD245" i="35" s="1"/>
  <c r="AO245" i="35"/>
  <c r="AL245" i="35"/>
  <c r="AK245" i="35"/>
  <c r="AM245" i="35" s="1"/>
  <c r="AJ245" i="35"/>
  <c r="AI245" i="35"/>
  <c r="AF245" i="35"/>
  <c r="AC245" i="35"/>
  <c r="AB245" i="35"/>
  <c r="AA245" i="35"/>
  <c r="Z245" i="35"/>
  <c r="Y245" i="35"/>
  <c r="X245" i="35"/>
  <c r="T245" i="35"/>
  <c r="BK245" i="35" s="1"/>
  <c r="O245" i="35"/>
  <c r="N245" i="35"/>
  <c r="M245" i="35"/>
  <c r="L245" i="35"/>
  <c r="K245" i="35"/>
  <c r="J245" i="35"/>
  <c r="I245" i="35"/>
  <c r="H245" i="35"/>
  <c r="BJ244" i="35"/>
  <c r="BI244" i="35"/>
  <c r="BH244" i="35"/>
  <c r="BG244" i="35"/>
  <c r="BF244" i="35"/>
  <c r="BE244" i="35"/>
  <c r="BD244" i="35"/>
  <c r="AZ244" i="35"/>
  <c r="AY244" i="35"/>
  <c r="AX244" i="35"/>
  <c r="AW244" i="35"/>
  <c r="AV244" i="35"/>
  <c r="AU244" i="35"/>
  <c r="AT244" i="35"/>
  <c r="AS244" i="35"/>
  <c r="AR244" i="35"/>
  <c r="AQ244" i="35"/>
  <c r="AP244" i="35"/>
  <c r="BC244" i="35" s="1"/>
  <c r="AO244" i="35"/>
  <c r="AM244" i="35"/>
  <c r="AL244" i="35"/>
  <c r="AK244" i="35"/>
  <c r="AI244" i="35"/>
  <c r="AJ244" i="35" s="1"/>
  <c r="AF244" i="35"/>
  <c r="AC244" i="35"/>
  <c r="AB244" i="35"/>
  <c r="AA244" i="35"/>
  <c r="Z244" i="35"/>
  <c r="Y244" i="35"/>
  <c r="X244" i="35"/>
  <c r="T244" i="35"/>
  <c r="O244" i="35"/>
  <c r="N244" i="35"/>
  <c r="M244" i="35"/>
  <c r="L244" i="35"/>
  <c r="K244" i="35"/>
  <c r="J244" i="35"/>
  <c r="I244" i="35"/>
  <c r="H244" i="35"/>
  <c r="BK243" i="35"/>
  <c r="BJ243" i="35"/>
  <c r="BI243" i="35"/>
  <c r="BH243" i="35"/>
  <c r="BG243" i="35"/>
  <c r="BF243" i="35"/>
  <c r="BE243" i="35"/>
  <c r="BD243" i="35"/>
  <c r="BC243" i="35"/>
  <c r="AY243" i="35"/>
  <c r="AX243" i="35"/>
  <c r="AW243" i="35"/>
  <c r="AV243" i="35"/>
  <c r="AU243" i="35"/>
  <c r="AT243" i="35"/>
  <c r="AS243" i="35"/>
  <c r="AR243" i="35"/>
  <c r="AQ243" i="35"/>
  <c r="AP243" i="35"/>
  <c r="BB243" i="35" s="1"/>
  <c r="AO243" i="35"/>
  <c r="AL243" i="35"/>
  <c r="AK243" i="35"/>
  <c r="AI243" i="35"/>
  <c r="AJ243" i="35" s="1"/>
  <c r="AF243" i="35"/>
  <c r="AC243" i="35"/>
  <c r="AB243" i="35"/>
  <c r="AA243" i="35"/>
  <c r="Z243" i="35"/>
  <c r="Y243" i="35"/>
  <c r="X243" i="35"/>
  <c r="T243" i="35"/>
  <c r="W243" i="35" s="1"/>
  <c r="O243" i="35"/>
  <c r="N243" i="35"/>
  <c r="M243" i="35"/>
  <c r="L243" i="35"/>
  <c r="K243" i="35"/>
  <c r="J243" i="35"/>
  <c r="I243" i="35"/>
  <c r="H243" i="35"/>
  <c r="BJ242" i="35"/>
  <c r="BI242" i="35"/>
  <c r="BG242" i="35"/>
  <c r="BF242" i="35"/>
  <c r="BE242" i="35"/>
  <c r="BD242" i="35"/>
  <c r="BC242" i="35"/>
  <c r="AX242" i="35"/>
  <c r="AW242" i="35"/>
  <c r="AV242" i="35"/>
  <c r="AU242" i="35"/>
  <c r="AT242" i="35"/>
  <c r="AS242" i="35"/>
  <c r="AR242" i="35"/>
  <c r="AQ242" i="35"/>
  <c r="BH242" i="35" s="1"/>
  <c r="AP242" i="35"/>
  <c r="BA242" i="35" s="1"/>
  <c r="AO242" i="35"/>
  <c r="AL242" i="35"/>
  <c r="AK242" i="35"/>
  <c r="AM242" i="35" s="1"/>
  <c r="AI242" i="35"/>
  <c r="AJ242" i="35" s="1"/>
  <c r="AF242" i="35"/>
  <c r="AC242" i="35"/>
  <c r="AB242" i="35"/>
  <c r="AA242" i="35"/>
  <c r="Z242" i="35"/>
  <c r="Y242" i="35"/>
  <c r="X242" i="35"/>
  <c r="W242" i="35"/>
  <c r="T242" i="35"/>
  <c r="BK242" i="35" s="1"/>
  <c r="O242" i="35"/>
  <c r="N242" i="35"/>
  <c r="M242" i="35"/>
  <c r="L242" i="35"/>
  <c r="K242" i="35"/>
  <c r="J242" i="35"/>
  <c r="I242" i="35"/>
  <c r="H242" i="35"/>
  <c r="BJ241" i="35"/>
  <c r="BI241" i="35"/>
  <c r="AR241" i="35"/>
  <c r="AQ241" i="35"/>
  <c r="BH241" i="35" s="1"/>
  <c r="AP241" i="35"/>
  <c r="AO241" i="35"/>
  <c r="AL241" i="35"/>
  <c r="AK241" i="35"/>
  <c r="AM241" i="35" s="1"/>
  <c r="AJ241" i="35"/>
  <c r="AI241" i="35"/>
  <c r="AF241" i="35"/>
  <c r="AC241" i="35"/>
  <c r="AB241" i="35"/>
  <c r="AA241" i="35"/>
  <c r="Z241" i="35"/>
  <c r="Y241" i="35"/>
  <c r="X241" i="35"/>
  <c r="T241" i="35"/>
  <c r="O241" i="35"/>
  <c r="N241" i="35"/>
  <c r="M241" i="35"/>
  <c r="L241" i="35"/>
  <c r="K241" i="35"/>
  <c r="J241" i="35"/>
  <c r="I241" i="35"/>
  <c r="H241" i="35"/>
  <c r="BJ240" i="35"/>
  <c r="BI240" i="35"/>
  <c r="AV240" i="35"/>
  <c r="AR240" i="35"/>
  <c r="AQ240" i="35"/>
  <c r="BH240" i="35" s="1"/>
  <c r="AP240" i="35"/>
  <c r="AO240" i="35"/>
  <c r="AL240" i="35"/>
  <c r="AK240" i="35"/>
  <c r="AM240" i="35" s="1"/>
  <c r="AI240" i="35"/>
  <c r="AJ240" i="35" s="1"/>
  <c r="AF240" i="35"/>
  <c r="AC240" i="35"/>
  <c r="AB240" i="35"/>
  <c r="AA240" i="35"/>
  <c r="Z240" i="35"/>
  <c r="Y240" i="35"/>
  <c r="X240" i="35"/>
  <c r="T240" i="35"/>
  <c r="BK240" i="35" s="1"/>
  <c r="O240" i="35"/>
  <c r="N240" i="35"/>
  <c r="M240" i="35"/>
  <c r="L240" i="35"/>
  <c r="K240" i="35"/>
  <c r="J240" i="35"/>
  <c r="I240" i="35"/>
  <c r="H240" i="35"/>
  <c r="BJ239" i="35"/>
  <c r="BI239" i="35"/>
  <c r="BD239" i="35"/>
  <c r="BC239" i="35"/>
  <c r="BB239" i="35"/>
  <c r="BA239" i="35"/>
  <c r="AZ239" i="35"/>
  <c r="AU239" i="35"/>
  <c r="AT239" i="35"/>
  <c r="AS239" i="35"/>
  <c r="AR239" i="35"/>
  <c r="AQ239" i="35"/>
  <c r="BH239" i="35" s="1"/>
  <c r="AP239" i="35"/>
  <c r="BE239" i="35" s="1"/>
  <c r="AO239" i="35"/>
  <c r="AM239" i="35"/>
  <c r="AL239" i="35"/>
  <c r="AK239" i="35"/>
  <c r="AI239" i="35"/>
  <c r="AJ239" i="35" s="1"/>
  <c r="AF239" i="35"/>
  <c r="AC239" i="35"/>
  <c r="AB239" i="35"/>
  <c r="AA239" i="35"/>
  <c r="Z239" i="35"/>
  <c r="Y239" i="35"/>
  <c r="X239" i="35"/>
  <c r="T239" i="35"/>
  <c r="W239" i="35" s="1"/>
  <c r="O239" i="35"/>
  <c r="N239" i="35"/>
  <c r="M239" i="35"/>
  <c r="L239" i="35"/>
  <c r="K239" i="35"/>
  <c r="J239" i="35"/>
  <c r="I239" i="35"/>
  <c r="H239" i="35"/>
  <c r="BK238" i="35"/>
  <c r="BJ238" i="35"/>
  <c r="BI238" i="35"/>
  <c r="BE238" i="35"/>
  <c r="BD238" i="35"/>
  <c r="BC238" i="35"/>
  <c r="BB238" i="35"/>
  <c r="BA238" i="35"/>
  <c r="AZ238" i="35"/>
  <c r="AY238" i="35"/>
  <c r="AR238" i="35"/>
  <c r="AQ238" i="35"/>
  <c r="BH238" i="35" s="1"/>
  <c r="AP238" i="35"/>
  <c r="AO238" i="35"/>
  <c r="AM238" i="35"/>
  <c r="AL238" i="35"/>
  <c r="AK238" i="35"/>
  <c r="AI238" i="35"/>
  <c r="AJ238" i="35" s="1"/>
  <c r="AF238" i="35"/>
  <c r="AC238" i="35"/>
  <c r="AB238" i="35"/>
  <c r="AA238" i="35"/>
  <c r="Z238" i="35"/>
  <c r="Y238" i="35"/>
  <c r="X238" i="35"/>
  <c r="T238" i="35"/>
  <c r="W238" i="35" s="1"/>
  <c r="O238" i="35"/>
  <c r="N238" i="35"/>
  <c r="M238" i="35"/>
  <c r="L238" i="35"/>
  <c r="K238" i="35"/>
  <c r="J238" i="35"/>
  <c r="I238" i="35"/>
  <c r="H238" i="35"/>
  <c r="BK237" i="35"/>
  <c r="BJ237" i="35"/>
  <c r="BI237" i="35"/>
  <c r="BC237" i="35"/>
  <c r="BB237" i="35"/>
  <c r="AR237" i="35"/>
  <c r="AQ237" i="35"/>
  <c r="BH237" i="35" s="1"/>
  <c r="AP237" i="35"/>
  <c r="BE237" i="35" s="1"/>
  <c r="AO237" i="35"/>
  <c r="AL237" i="35"/>
  <c r="AK237" i="35"/>
  <c r="AI237" i="35"/>
  <c r="AJ237" i="35" s="1"/>
  <c r="AF237" i="35"/>
  <c r="AC237" i="35"/>
  <c r="AB237" i="35"/>
  <c r="AA237" i="35"/>
  <c r="Z237" i="35"/>
  <c r="Y237" i="35"/>
  <c r="X237" i="35"/>
  <c r="W237" i="35"/>
  <c r="T237" i="35"/>
  <c r="O237" i="35"/>
  <c r="N237" i="35"/>
  <c r="M237" i="35"/>
  <c r="L237" i="35"/>
  <c r="K237" i="35"/>
  <c r="J237" i="35"/>
  <c r="I237" i="35"/>
  <c r="H237" i="35"/>
  <c r="BJ236" i="35"/>
  <c r="BI236" i="35"/>
  <c r="BD236" i="35"/>
  <c r="BC236" i="35"/>
  <c r="BB236" i="35"/>
  <c r="AR236" i="35"/>
  <c r="AQ236" i="35"/>
  <c r="BH236" i="35" s="1"/>
  <c r="AP236" i="35"/>
  <c r="AO236" i="35"/>
  <c r="AL236" i="35"/>
  <c r="AM236" i="35" s="1"/>
  <c r="AK236" i="35"/>
  <c r="AI236" i="35"/>
  <c r="AJ236" i="35" s="1"/>
  <c r="AF236" i="35"/>
  <c r="AC236" i="35"/>
  <c r="AB236" i="35"/>
  <c r="AA236" i="35"/>
  <c r="Z236" i="35"/>
  <c r="Y236" i="35"/>
  <c r="X236" i="35"/>
  <c r="W236" i="35"/>
  <c r="T236" i="35"/>
  <c r="BK236" i="35" s="1"/>
  <c r="O236" i="35"/>
  <c r="N236" i="35"/>
  <c r="M236" i="35"/>
  <c r="L236" i="35"/>
  <c r="K236" i="35"/>
  <c r="J236" i="35"/>
  <c r="I236" i="35"/>
  <c r="H236" i="35"/>
  <c r="BJ235" i="35"/>
  <c r="BI235" i="35"/>
  <c r="BH235" i="35"/>
  <c r="BG235" i="35"/>
  <c r="BC235" i="35"/>
  <c r="BA235" i="35"/>
  <c r="AZ235" i="35"/>
  <c r="AY235" i="35"/>
  <c r="AX235" i="35"/>
  <c r="AW235" i="35"/>
  <c r="AV235" i="35"/>
  <c r="AU235" i="35"/>
  <c r="AR235" i="35"/>
  <c r="AQ235" i="35"/>
  <c r="AP235" i="35"/>
  <c r="BF235" i="35" s="1"/>
  <c r="AO235" i="35"/>
  <c r="AM235" i="35"/>
  <c r="AL235" i="35"/>
  <c r="AK235" i="35"/>
  <c r="AI235" i="35"/>
  <c r="AJ235" i="35" s="1"/>
  <c r="AF235" i="35"/>
  <c r="AC235" i="35"/>
  <c r="AB235" i="35"/>
  <c r="AA235" i="35"/>
  <c r="Z235" i="35"/>
  <c r="Y235" i="35"/>
  <c r="X235" i="35"/>
  <c r="T235" i="35"/>
  <c r="O235" i="35"/>
  <c r="N235" i="35"/>
  <c r="M235" i="35"/>
  <c r="L235" i="35"/>
  <c r="K235" i="35"/>
  <c r="J235" i="35"/>
  <c r="I235" i="35"/>
  <c r="H235" i="35"/>
  <c r="BK234" i="35"/>
  <c r="BJ234" i="35"/>
  <c r="BI234" i="35"/>
  <c r="BH234" i="35"/>
  <c r="BG234" i="35"/>
  <c r="BF234" i="35"/>
  <c r="AZ234" i="35"/>
  <c r="AY234" i="35"/>
  <c r="AX234" i="35"/>
  <c r="AW234" i="35"/>
  <c r="AV234" i="35"/>
  <c r="AU234" i="35"/>
  <c r="AT234" i="35"/>
  <c r="AR234" i="35"/>
  <c r="AQ234" i="35"/>
  <c r="AP234" i="35"/>
  <c r="BE234" i="35" s="1"/>
  <c r="AO234" i="35"/>
  <c r="AL234" i="35"/>
  <c r="AM234" i="35" s="1"/>
  <c r="AK234" i="35"/>
  <c r="AI234" i="35"/>
  <c r="AJ234" i="35" s="1"/>
  <c r="AF234" i="35"/>
  <c r="AC234" i="35"/>
  <c r="AB234" i="35"/>
  <c r="AA234" i="35"/>
  <c r="Z234" i="35"/>
  <c r="Y234" i="35"/>
  <c r="X234" i="35"/>
  <c r="T234" i="35"/>
  <c r="W234" i="35" s="1"/>
  <c r="O234" i="35"/>
  <c r="N234" i="35"/>
  <c r="M234" i="35"/>
  <c r="L234" i="35"/>
  <c r="K234" i="35"/>
  <c r="J234" i="35"/>
  <c r="I234" i="35"/>
  <c r="H234" i="35"/>
  <c r="BK233" i="35"/>
  <c r="BJ233" i="35"/>
  <c r="BI233" i="35"/>
  <c r="BH233" i="35"/>
  <c r="BG233" i="35"/>
  <c r="BF233" i="35"/>
  <c r="BE233" i="35"/>
  <c r="BA233" i="35"/>
  <c r="AZ233" i="35"/>
  <c r="AY233" i="35"/>
  <c r="AX233" i="35"/>
  <c r="AW233" i="35"/>
  <c r="AV233" i="35"/>
  <c r="AU233" i="35"/>
  <c r="AT233" i="35"/>
  <c r="AS233" i="35"/>
  <c r="AR233" i="35"/>
  <c r="AQ233" i="35"/>
  <c r="AP233" i="35"/>
  <c r="BD233" i="35" s="1"/>
  <c r="AO233" i="35"/>
  <c r="AL233" i="35"/>
  <c r="AK233" i="35"/>
  <c r="AM233" i="35" s="1"/>
  <c r="AI233" i="35"/>
  <c r="AJ233" i="35" s="1"/>
  <c r="AF233" i="35"/>
  <c r="AC233" i="35"/>
  <c r="AB233" i="35"/>
  <c r="AA233" i="35"/>
  <c r="Z233" i="35"/>
  <c r="Y233" i="35"/>
  <c r="X233" i="35"/>
  <c r="W233" i="35"/>
  <c r="T233" i="35"/>
  <c r="O233" i="35"/>
  <c r="N233" i="35"/>
  <c r="M233" i="35"/>
  <c r="L233" i="35"/>
  <c r="K233" i="35"/>
  <c r="J233" i="35"/>
  <c r="I233" i="35"/>
  <c r="H233" i="35"/>
  <c r="BJ232" i="35"/>
  <c r="BI232" i="35"/>
  <c r="BH232" i="35"/>
  <c r="BG232" i="35"/>
  <c r="BF232" i="35"/>
  <c r="BE232" i="35"/>
  <c r="BD232" i="35"/>
  <c r="AZ232" i="35"/>
  <c r="AY232" i="35"/>
  <c r="AX232" i="35"/>
  <c r="AW232" i="35"/>
  <c r="AV232" i="35"/>
  <c r="AU232" i="35"/>
  <c r="AT232" i="35"/>
  <c r="AS232" i="35"/>
  <c r="AR232" i="35"/>
  <c r="AQ232" i="35"/>
  <c r="AP232" i="35"/>
  <c r="BC232" i="35" s="1"/>
  <c r="AO232" i="35"/>
  <c r="AL232" i="35"/>
  <c r="AK232" i="35"/>
  <c r="AM232" i="35" s="1"/>
  <c r="AJ232" i="35"/>
  <c r="AI232" i="35"/>
  <c r="AF232" i="35"/>
  <c r="AC232" i="35"/>
  <c r="AB232" i="35"/>
  <c r="AA232" i="35"/>
  <c r="Z232" i="35"/>
  <c r="Y232" i="35"/>
  <c r="X232" i="35"/>
  <c r="T232" i="35"/>
  <c r="BK232" i="35" s="1"/>
  <c r="O232" i="35"/>
  <c r="N232" i="35"/>
  <c r="M232" i="35"/>
  <c r="L232" i="35"/>
  <c r="K232" i="35"/>
  <c r="J232" i="35"/>
  <c r="I232" i="35"/>
  <c r="H232" i="35"/>
  <c r="BJ231" i="35"/>
  <c r="BI231" i="35"/>
  <c r="BG231" i="35"/>
  <c r="BF231" i="35"/>
  <c r="BE231" i="35"/>
  <c r="BD231" i="35"/>
  <c r="BC231" i="35"/>
  <c r="AY231" i="35"/>
  <c r="AX231" i="35"/>
  <c r="AW231" i="35"/>
  <c r="AV231" i="35"/>
  <c r="AU231" i="35"/>
  <c r="AT231" i="35"/>
  <c r="AS231" i="35"/>
  <c r="AR231" i="35"/>
  <c r="AQ231" i="35"/>
  <c r="BH231" i="35" s="1"/>
  <c r="AP231" i="35"/>
  <c r="BB231" i="35" s="1"/>
  <c r="AO231" i="35"/>
  <c r="AL231" i="35"/>
  <c r="AK231" i="35"/>
  <c r="AM231" i="35" s="1"/>
  <c r="AI231" i="35"/>
  <c r="AJ231" i="35" s="1"/>
  <c r="AF231" i="35"/>
  <c r="AC231" i="35"/>
  <c r="AB231" i="35"/>
  <c r="AA231" i="35"/>
  <c r="Z231" i="35"/>
  <c r="Y231" i="35"/>
  <c r="X231" i="35"/>
  <c r="T231" i="35"/>
  <c r="BK231" i="35" s="1"/>
  <c r="O231" i="35"/>
  <c r="N231" i="35"/>
  <c r="M231" i="35"/>
  <c r="L231" i="35"/>
  <c r="K231" i="35"/>
  <c r="J231" i="35"/>
  <c r="I231" i="35"/>
  <c r="H231" i="35"/>
  <c r="BJ230" i="35"/>
  <c r="BI230" i="35"/>
  <c r="BD230" i="35"/>
  <c r="BC230" i="35"/>
  <c r="AR230" i="35"/>
  <c r="AQ230" i="35"/>
  <c r="BH230" i="35" s="1"/>
  <c r="AP230" i="35"/>
  <c r="BA230" i="35" s="1"/>
  <c r="AO230" i="35"/>
  <c r="AL230" i="35"/>
  <c r="AK230" i="35"/>
  <c r="AM230" i="35" s="1"/>
  <c r="AI230" i="35"/>
  <c r="AJ230" i="35" s="1"/>
  <c r="AF230" i="35"/>
  <c r="AC230" i="35"/>
  <c r="AB230" i="35"/>
  <c r="AA230" i="35"/>
  <c r="Z230" i="35"/>
  <c r="Y230" i="35"/>
  <c r="X230" i="35"/>
  <c r="W230" i="35"/>
  <c r="T230" i="35"/>
  <c r="BK230" i="35" s="1"/>
  <c r="O230" i="35"/>
  <c r="N230" i="35"/>
  <c r="M230" i="35"/>
  <c r="L230" i="35"/>
  <c r="K230" i="35"/>
  <c r="J230" i="35"/>
  <c r="I230" i="35"/>
  <c r="H230" i="35"/>
  <c r="BJ229" i="35"/>
  <c r="BI229" i="35"/>
  <c r="BB229" i="35"/>
  <c r="AR229" i="35"/>
  <c r="AQ229" i="35"/>
  <c r="BH229" i="35" s="1"/>
  <c r="AP229" i="35"/>
  <c r="AO229" i="35"/>
  <c r="AL229" i="35"/>
  <c r="AK229" i="35"/>
  <c r="AM229" i="35" s="1"/>
  <c r="AJ229" i="35"/>
  <c r="AI229" i="35"/>
  <c r="AF229" i="35"/>
  <c r="AC229" i="35"/>
  <c r="AB229" i="35"/>
  <c r="AA229" i="35"/>
  <c r="Z229" i="35"/>
  <c r="Y229" i="35"/>
  <c r="X229" i="35"/>
  <c r="T229" i="35"/>
  <c r="BK229" i="35" s="1"/>
  <c r="O229" i="35"/>
  <c r="N229" i="35"/>
  <c r="M229" i="35"/>
  <c r="L229" i="35"/>
  <c r="K229" i="35"/>
  <c r="J229" i="35"/>
  <c r="I229" i="35"/>
  <c r="H229" i="35"/>
  <c r="BJ228" i="35"/>
  <c r="BI228" i="35"/>
  <c r="BA228" i="35"/>
  <c r="AR228" i="35"/>
  <c r="AQ228" i="35"/>
  <c r="BH228" i="35" s="1"/>
  <c r="AP228" i="35"/>
  <c r="AO228" i="35"/>
  <c r="AM228" i="35"/>
  <c r="AL228" i="35"/>
  <c r="AK228" i="35"/>
  <c r="AI228" i="35"/>
  <c r="AJ228" i="35" s="1"/>
  <c r="AF228" i="35"/>
  <c r="AC228" i="35"/>
  <c r="AB228" i="35"/>
  <c r="AA228" i="35"/>
  <c r="Z228" i="35"/>
  <c r="Y228" i="35"/>
  <c r="X228" i="35"/>
  <c r="T228" i="35"/>
  <c r="BK228" i="35" s="1"/>
  <c r="O228" i="35"/>
  <c r="N228" i="35"/>
  <c r="M228" i="35"/>
  <c r="L228" i="35"/>
  <c r="K228" i="35"/>
  <c r="J228" i="35"/>
  <c r="I228" i="35"/>
  <c r="H228" i="35"/>
  <c r="BK227" i="35"/>
  <c r="BJ227" i="35"/>
  <c r="BI227" i="35"/>
  <c r="BD227" i="35"/>
  <c r="BA227" i="35"/>
  <c r="AZ227" i="35"/>
  <c r="AY227" i="35"/>
  <c r="AR227" i="35"/>
  <c r="AQ227" i="35"/>
  <c r="BH227" i="35" s="1"/>
  <c r="AP227" i="35"/>
  <c r="AX227" i="35" s="1"/>
  <c r="AO227" i="35"/>
  <c r="AM227" i="35"/>
  <c r="AL227" i="35"/>
  <c r="AK227" i="35"/>
  <c r="AJ227" i="35"/>
  <c r="AI227" i="35"/>
  <c r="AF227" i="35"/>
  <c r="AC227" i="35"/>
  <c r="AB227" i="35"/>
  <c r="AA227" i="35"/>
  <c r="Z227" i="35"/>
  <c r="Y227" i="35"/>
  <c r="X227" i="35"/>
  <c r="T227" i="35"/>
  <c r="W227" i="35" s="1"/>
  <c r="O227" i="35"/>
  <c r="N227" i="35"/>
  <c r="M227" i="35"/>
  <c r="L227" i="35"/>
  <c r="K227" i="35"/>
  <c r="J227" i="35"/>
  <c r="I227" i="35"/>
  <c r="H227" i="35"/>
  <c r="BK226" i="35"/>
  <c r="BJ226" i="35"/>
  <c r="BI226" i="35"/>
  <c r="BD226" i="35"/>
  <c r="BC226" i="35"/>
  <c r="BA226" i="35"/>
  <c r="AZ226" i="35"/>
  <c r="AY226" i="35"/>
  <c r="AX226" i="35"/>
  <c r="AR226" i="35"/>
  <c r="AQ226" i="35"/>
  <c r="BH226" i="35" s="1"/>
  <c r="AP226" i="35"/>
  <c r="AW226" i="35" s="1"/>
  <c r="AO226" i="35"/>
  <c r="AM226" i="35"/>
  <c r="AL226" i="35"/>
  <c r="AK226" i="35"/>
  <c r="AI226" i="35"/>
  <c r="AJ226" i="35" s="1"/>
  <c r="AF226" i="35"/>
  <c r="AC226" i="35"/>
  <c r="AB226" i="35"/>
  <c r="AA226" i="35"/>
  <c r="Z226" i="35"/>
  <c r="Y226" i="35"/>
  <c r="X226" i="35"/>
  <c r="W226" i="35"/>
  <c r="T226" i="35"/>
  <c r="O226" i="35"/>
  <c r="N226" i="35"/>
  <c r="M226" i="35"/>
  <c r="L226" i="35"/>
  <c r="K226" i="35"/>
  <c r="J226" i="35"/>
  <c r="I226" i="35"/>
  <c r="H226" i="35"/>
  <c r="BK225" i="35"/>
  <c r="BJ225" i="35"/>
  <c r="BI225" i="35"/>
  <c r="AY225" i="35"/>
  <c r="AX225" i="35"/>
  <c r="AW225" i="35"/>
  <c r="AR225" i="35"/>
  <c r="AQ225" i="35"/>
  <c r="BH225" i="35" s="1"/>
  <c r="AP225" i="35"/>
  <c r="AV225" i="35" s="1"/>
  <c r="AO225" i="35"/>
  <c r="AL225" i="35"/>
  <c r="AK225" i="35"/>
  <c r="AJ225" i="35"/>
  <c r="AI225" i="35"/>
  <c r="AF225" i="35"/>
  <c r="AC225" i="35"/>
  <c r="AB225" i="35"/>
  <c r="AA225" i="35"/>
  <c r="Z225" i="35"/>
  <c r="Y225" i="35"/>
  <c r="X225" i="35"/>
  <c r="W225" i="35"/>
  <c r="T225" i="35"/>
  <c r="O225" i="35"/>
  <c r="N225" i="35"/>
  <c r="M225" i="35"/>
  <c r="L225" i="35"/>
  <c r="K225" i="35"/>
  <c r="J225" i="35"/>
  <c r="I225" i="35"/>
  <c r="H225" i="35"/>
  <c r="BJ224" i="35"/>
  <c r="BI224" i="35"/>
  <c r="BH224" i="35"/>
  <c r="BA224" i="35"/>
  <c r="AY224" i="35"/>
  <c r="AX224" i="35"/>
  <c r="AW224" i="35"/>
  <c r="AV224" i="35"/>
  <c r="AR224" i="35"/>
  <c r="AQ224" i="35"/>
  <c r="AP224" i="35"/>
  <c r="BG224" i="35" s="1"/>
  <c r="AO224" i="35"/>
  <c r="AL224" i="35"/>
  <c r="AK224" i="35"/>
  <c r="AM224" i="35" s="1"/>
  <c r="AJ224" i="35"/>
  <c r="AI224" i="35"/>
  <c r="AF224" i="35"/>
  <c r="AC224" i="35"/>
  <c r="AB224" i="35"/>
  <c r="AA224" i="35"/>
  <c r="Z224" i="35"/>
  <c r="Y224" i="35"/>
  <c r="X224" i="35"/>
  <c r="T224" i="35"/>
  <c r="O224" i="35"/>
  <c r="N224" i="35"/>
  <c r="M224" i="35"/>
  <c r="L224" i="35"/>
  <c r="K224" i="35"/>
  <c r="J224" i="35"/>
  <c r="I224" i="35"/>
  <c r="H224" i="35"/>
  <c r="BJ223" i="35"/>
  <c r="BI223" i="35"/>
  <c r="BH223" i="35"/>
  <c r="BG223" i="35"/>
  <c r="BC223" i="35"/>
  <c r="BA223" i="35"/>
  <c r="AZ223" i="35"/>
  <c r="AY223" i="35"/>
  <c r="AX223" i="35"/>
  <c r="AW223" i="35"/>
  <c r="AV223" i="35"/>
  <c r="AU223" i="35"/>
  <c r="AR223" i="35"/>
  <c r="AQ223" i="35"/>
  <c r="AP223" i="35"/>
  <c r="BF223" i="35" s="1"/>
  <c r="AO223" i="35"/>
  <c r="AM223" i="35"/>
  <c r="AL223" i="35"/>
  <c r="AK223" i="35"/>
  <c r="AI223" i="35"/>
  <c r="AJ223" i="35" s="1"/>
  <c r="AF223" i="35"/>
  <c r="AC223" i="35"/>
  <c r="AB223" i="35"/>
  <c r="AA223" i="35"/>
  <c r="Z223" i="35"/>
  <c r="Y223" i="35"/>
  <c r="X223" i="35"/>
  <c r="T223" i="35"/>
  <c r="O223" i="35"/>
  <c r="N223" i="35"/>
  <c r="M223" i="35"/>
  <c r="L223" i="35"/>
  <c r="K223" i="35"/>
  <c r="J223" i="35"/>
  <c r="I223" i="35"/>
  <c r="H223" i="35"/>
  <c r="BK222" i="35"/>
  <c r="BJ222" i="35"/>
  <c r="BI222" i="35"/>
  <c r="BH222" i="35"/>
  <c r="BG222" i="35"/>
  <c r="BF222" i="35"/>
  <c r="BA222" i="35"/>
  <c r="AZ222" i="35"/>
  <c r="AY222" i="35"/>
  <c r="AW222" i="35"/>
  <c r="AV222" i="35"/>
  <c r="AU222" i="35"/>
  <c r="AT222" i="35"/>
  <c r="AR222" i="35"/>
  <c r="AQ222" i="35"/>
  <c r="AP222" i="35"/>
  <c r="BE222" i="35" s="1"/>
  <c r="AO222" i="35"/>
  <c r="AL222" i="35"/>
  <c r="AM222" i="35" s="1"/>
  <c r="AK222" i="35"/>
  <c r="AI222" i="35"/>
  <c r="AJ222" i="35" s="1"/>
  <c r="AF222" i="35"/>
  <c r="AC222" i="35"/>
  <c r="AB222" i="35"/>
  <c r="AA222" i="35"/>
  <c r="Z222" i="35"/>
  <c r="Y222" i="35"/>
  <c r="X222" i="35"/>
  <c r="T222" i="35"/>
  <c r="W222" i="35" s="1"/>
  <c r="O222" i="35"/>
  <c r="N222" i="35"/>
  <c r="M222" i="35"/>
  <c r="L222" i="35"/>
  <c r="K222" i="35"/>
  <c r="J222" i="35"/>
  <c r="I222" i="35"/>
  <c r="H222" i="35"/>
  <c r="BK221" i="35"/>
  <c r="BJ221" i="35"/>
  <c r="BI221" i="35"/>
  <c r="BH221" i="35"/>
  <c r="BG221" i="35"/>
  <c r="BF221" i="35"/>
  <c r="BE221" i="35"/>
  <c r="BA221" i="35"/>
  <c r="AZ221" i="35"/>
  <c r="AY221" i="35"/>
  <c r="AX221" i="35"/>
  <c r="AW221" i="35"/>
  <c r="AV221" i="35"/>
  <c r="AU221" i="35"/>
  <c r="AT221" i="35"/>
  <c r="AS221" i="35"/>
  <c r="AR221" i="35"/>
  <c r="AQ221" i="35"/>
  <c r="AP221" i="35"/>
  <c r="BD221" i="35" s="1"/>
  <c r="AO221" i="35"/>
  <c r="AL221" i="35"/>
  <c r="AK221" i="35"/>
  <c r="AM221" i="35" s="1"/>
  <c r="AI221" i="35"/>
  <c r="AJ221" i="35" s="1"/>
  <c r="AF221" i="35"/>
  <c r="AC221" i="35"/>
  <c r="AB221" i="35"/>
  <c r="AA221" i="35"/>
  <c r="Z221" i="35"/>
  <c r="Y221" i="35"/>
  <c r="X221" i="35"/>
  <c r="W221" i="35"/>
  <c r="T221" i="35"/>
  <c r="O221" i="35"/>
  <c r="N221" i="35"/>
  <c r="M221" i="35"/>
  <c r="L221" i="35"/>
  <c r="K221" i="35"/>
  <c r="J221" i="35"/>
  <c r="I221" i="35"/>
  <c r="H221" i="35"/>
  <c r="BJ220" i="35"/>
  <c r="BI220" i="35"/>
  <c r="BH220" i="35"/>
  <c r="BG220" i="35"/>
  <c r="BF220" i="35"/>
  <c r="BE220" i="35"/>
  <c r="BD220" i="35"/>
  <c r="AZ220" i="35"/>
  <c r="AY220" i="35"/>
  <c r="AX220" i="35"/>
  <c r="AW220" i="35"/>
  <c r="AV220" i="35"/>
  <c r="AU220" i="35"/>
  <c r="AT220" i="35"/>
  <c r="AS220" i="35"/>
  <c r="AR220" i="35"/>
  <c r="AQ220" i="35"/>
  <c r="AP220" i="35"/>
  <c r="BC220" i="35" s="1"/>
  <c r="AO220" i="35"/>
  <c r="AL220" i="35"/>
  <c r="AK220" i="35"/>
  <c r="AM220" i="35" s="1"/>
  <c r="AJ220" i="35"/>
  <c r="AI220" i="35"/>
  <c r="AF220" i="35"/>
  <c r="AC220" i="35"/>
  <c r="AB220" i="35"/>
  <c r="AA220" i="35"/>
  <c r="Z220" i="35"/>
  <c r="Y220" i="35"/>
  <c r="X220" i="35"/>
  <c r="T220" i="35"/>
  <c r="BK220" i="35" s="1"/>
  <c r="O220" i="35"/>
  <c r="N220" i="35"/>
  <c r="M220" i="35"/>
  <c r="L220" i="35"/>
  <c r="K220" i="35"/>
  <c r="J220" i="35"/>
  <c r="I220" i="35"/>
  <c r="H220" i="35"/>
  <c r="BJ219" i="35"/>
  <c r="BI219" i="35"/>
  <c r="BG219" i="35"/>
  <c r="BF219" i="35"/>
  <c r="BE219" i="35"/>
  <c r="BD219" i="35"/>
  <c r="BC219" i="35"/>
  <c r="AY219" i="35"/>
  <c r="AX219" i="35"/>
  <c r="AW219" i="35"/>
  <c r="AV219" i="35"/>
  <c r="AU219" i="35"/>
  <c r="AT219" i="35"/>
  <c r="AS219" i="35"/>
  <c r="AR219" i="35"/>
  <c r="AQ219" i="35"/>
  <c r="BH219" i="35" s="1"/>
  <c r="AP219" i="35"/>
  <c r="BB219" i="35" s="1"/>
  <c r="AO219" i="35"/>
  <c r="AL219" i="35"/>
  <c r="AK219" i="35"/>
  <c r="AM219" i="35" s="1"/>
  <c r="AI219" i="35"/>
  <c r="AJ219" i="35" s="1"/>
  <c r="AF219" i="35"/>
  <c r="AC219" i="35"/>
  <c r="AB219" i="35"/>
  <c r="AA219" i="35"/>
  <c r="Z219" i="35"/>
  <c r="Y219" i="35"/>
  <c r="X219" i="35"/>
  <c r="T219" i="35"/>
  <c r="BK219" i="35" s="1"/>
  <c r="O219" i="35"/>
  <c r="N219" i="35"/>
  <c r="M219" i="35"/>
  <c r="L219" i="35"/>
  <c r="K219" i="35"/>
  <c r="J219" i="35"/>
  <c r="I219" i="35"/>
  <c r="H219" i="35"/>
  <c r="BJ218" i="35"/>
  <c r="BI218" i="35"/>
  <c r="BD218" i="35"/>
  <c r="BC218" i="35"/>
  <c r="AR218" i="35"/>
  <c r="AQ218" i="35"/>
  <c r="BH218" i="35" s="1"/>
  <c r="AP218" i="35"/>
  <c r="BA218" i="35" s="1"/>
  <c r="AO218" i="35"/>
  <c r="AL218" i="35"/>
  <c r="AK218" i="35"/>
  <c r="AM218" i="35" s="1"/>
  <c r="AI218" i="35"/>
  <c r="AJ218" i="35" s="1"/>
  <c r="AF218" i="35"/>
  <c r="AC218" i="35"/>
  <c r="AB218" i="35"/>
  <c r="AA218" i="35"/>
  <c r="Z218" i="35"/>
  <c r="Y218" i="35"/>
  <c r="X218" i="35"/>
  <c r="T218" i="35"/>
  <c r="BK218" i="35" s="1"/>
  <c r="O218" i="35"/>
  <c r="N218" i="35"/>
  <c r="M218" i="35"/>
  <c r="L218" i="35"/>
  <c r="K218" i="35"/>
  <c r="J218" i="35"/>
  <c r="I218" i="35"/>
  <c r="H218" i="35"/>
  <c r="BJ217" i="35"/>
  <c r="BI217" i="35"/>
  <c r="BC217" i="35"/>
  <c r="BB217" i="35"/>
  <c r="AR217" i="35"/>
  <c r="AQ217" i="35"/>
  <c r="BH217" i="35" s="1"/>
  <c r="AP217" i="35"/>
  <c r="AO217" i="35"/>
  <c r="AL217" i="35"/>
  <c r="AK217" i="35"/>
  <c r="AM217" i="35" s="1"/>
  <c r="AI217" i="35"/>
  <c r="AJ217" i="35" s="1"/>
  <c r="AF217" i="35"/>
  <c r="AC217" i="35"/>
  <c r="AB217" i="35"/>
  <c r="AA217" i="35"/>
  <c r="Z217" i="35"/>
  <c r="Y217" i="35"/>
  <c r="X217" i="35"/>
  <c r="T217" i="35"/>
  <c r="BK217" i="35" s="1"/>
  <c r="O217" i="35"/>
  <c r="N217" i="35"/>
  <c r="M217" i="35"/>
  <c r="L217" i="35"/>
  <c r="K217" i="35"/>
  <c r="J217" i="35"/>
  <c r="I217" i="35"/>
  <c r="H217" i="35"/>
  <c r="BJ216" i="35"/>
  <c r="BI216" i="35"/>
  <c r="AR216" i="35"/>
  <c r="AQ216" i="35"/>
  <c r="BH216" i="35" s="1"/>
  <c r="AP216" i="35"/>
  <c r="AO216" i="35"/>
  <c r="AM216" i="35"/>
  <c r="AL216" i="35"/>
  <c r="AK216" i="35"/>
  <c r="AI216" i="35"/>
  <c r="AJ216" i="35" s="1"/>
  <c r="AF216" i="35"/>
  <c r="AC216" i="35"/>
  <c r="AB216" i="35"/>
  <c r="AA216" i="35"/>
  <c r="Z216" i="35"/>
  <c r="Y216" i="35"/>
  <c r="X216" i="35"/>
  <c r="T216" i="35"/>
  <c r="BK216" i="35" s="1"/>
  <c r="O216" i="35"/>
  <c r="N216" i="35"/>
  <c r="M216" i="35"/>
  <c r="L216" i="35"/>
  <c r="K216" i="35"/>
  <c r="J216" i="35"/>
  <c r="I216" i="35"/>
  <c r="H216" i="35"/>
  <c r="BK215" i="35"/>
  <c r="BJ215" i="35"/>
  <c r="BI215" i="35"/>
  <c r="BD215" i="35"/>
  <c r="BA215" i="35"/>
  <c r="AZ215" i="35"/>
  <c r="AY215" i="35"/>
  <c r="AR215" i="35"/>
  <c r="AQ215" i="35"/>
  <c r="BH215" i="35" s="1"/>
  <c r="AP215" i="35"/>
  <c r="AX215" i="35" s="1"/>
  <c r="AO215" i="35"/>
  <c r="AM215" i="35"/>
  <c r="AL215" i="35"/>
  <c r="AK215" i="35"/>
  <c r="AI215" i="35"/>
  <c r="AJ215" i="35" s="1"/>
  <c r="AF215" i="35"/>
  <c r="AC215" i="35"/>
  <c r="AB215" i="35"/>
  <c r="AA215" i="35"/>
  <c r="Z215" i="35"/>
  <c r="Y215" i="35"/>
  <c r="X215" i="35"/>
  <c r="T215" i="35"/>
  <c r="W215" i="35" s="1"/>
  <c r="O215" i="35"/>
  <c r="N215" i="35"/>
  <c r="M215" i="35"/>
  <c r="L215" i="35"/>
  <c r="K215" i="35"/>
  <c r="J215" i="35"/>
  <c r="I215" i="35"/>
  <c r="H215" i="35"/>
  <c r="BK214" i="35"/>
  <c r="BJ214" i="35"/>
  <c r="BI214" i="35"/>
  <c r="BD214" i="35"/>
  <c r="BC214" i="35"/>
  <c r="BA214" i="35"/>
  <c r="AZ214" i="35"/>
  <c r="AY214" i="35"/>
  <c r="AX214" i="35"/>
  <c r="AR214" i="35"/>
  <c r="AQ214" i="35"/>
  <c r="BH214" i="35" s="1"/>
  <c r="AP214" i="35"/>
  <c r="AW214" i="35" s="1"/>
  <c r="AO214" i="35"/>
  <c r="AL214" i="35"/>
  <c r="AM214" i="35" s="1"/>
  <c r="AK214" i="35"/>
  <c r="AI214" i="35"/>
  <c r="AJ214" i="35" s="1"/>
  <c r="AF214" i="35"/>
  <c r="AC214" i="35"/>
  <c r="AB214" i="35"/>
  <c r="AA214" i="35"/>
  <c r="Z214" i="35"/>
  <c r="Y214" i="35"/>
  <c r="X214" i="35"/>
  <c r="W214" i="35"/>
  <c r="T214" i="35"/>
  <c r="O214" i="35"/>
  <c r="N214" i="35"/>
  <c r="M214" i="35"/>
  <c r="L214" i="35"/>
  <c r="K214" i="35"/>
  <c r="J214" i="35"/>
  <c r="I214" i="35"/>
  <c r="H214" i="35"/>
  <c r="BK213" i="35"/>
  <c r="BJ213" i="35"/>
  <c r="BI213" i="35"/>
  <c r="AY213" i="35"/>
  <c r="AX213" i="35"/>
  <c r="AW213" i="35"/>
  <c r="AR213" i="35"/>
  <c r="AQ213" i="35"/>
  <c r="BH213" i="35" s="1"/>
  <c r="AP213" i="35"/>
  <c r="AV213" i="35" s="1"/>
  <c r="AO213" i="35"/>
  <c r="AL213" i="35"/>
  <c r="AK213" i="35"/>
  <c r="AM213" i="35" s="1"/>
  <c r="AJ213" i="35"/>
  <c r="AI213" i="35"/>
  <c r="AF213" i="35"/>
  <c r="AC213" i="35"/>
  <c r="AB213" i="35"/>
  <c r="AA213" i="35"/>
  <c r="Z213" i="35"/>
  <c r="Y213" i="35"/>
  <c r="X213" i="35"/>
  <c r="W213" i="35"/>
  <c r="T213" i="35"/>
  <c r="O213" i="35"/>
  <c r="N213" i="35"/>
  <c r="M213" i="35"/>
  <c r="L213" i="35"/>
  <c r="K213" i="35"/>
  <c r="J213" i="35"/>
  <c r="I213" i="35"/>
  <c r="H213" i="35"/>
  <c r="BJ212" i="35"/>
  <c r="BI212" i="35"/>
  <c r="BH212" i="35"/>
  <c r="BA212" i="35"/>
  <c r="AY212" i="35"/>
  <c r="AX212" i="35"/>
  <c r="AW212" i="35"/>
  <c r="AV212" i="35"/>
  <c r="AR212" i="35"/>
  <c r="AQ212" i="35"/>
  <c r="AP212" i="35"/>
  <c r="BG212" i="35" s="1"/>
  <c r="AO212" i="35"/>
  <c r="AL212" i="35"/>
  <c r="AK212" i="35"/>
  <c r="AM212" i="35" s="1"/>
  <c r="AJ212" i="35"/>
  <c r="AI212" i="35"/>
  <c r="AF212" i="35"/>
  <c r="AC212" i="35"/>
  <c r="AB212" i="35"/>
  <c r="AA212" i="35"/>
  <c r="Z212" i="35"/>
  <c r="Y212" i="35"/>
  <c r="X212" i="35"/>
  <c r="T212" i="35"/>
  <c r="BK212" i="35" s="1"/>
  <c r="O212" i="35"/>
  <c r="N212" i="35"/>
  <c r="M212" i="35"/>
  <c r="L212" i="35"/>
  <c r="K212" i="35"/>
  <c r="J212" i="35"/>
  <c r="I212" i="35"/>
  <c r="H212" i="35"/>
  <c r="BJ211" i="35"/>
  <c r="BI211" i="35"/>
  <c r="BH211" i="35"/>
  <c r="BG211" i="35"/>
  <c r="BA211" i="35"/>
  <c r="AZ211" i="35"/>
  <c r="AY211" i="35"/>
  <c r="AX211" i="35"/>
  <c r="AW211" i="35"/>
  <c r="AV211" i="35"/>
  <c r="AU211" i="35"/>
  <c r="AR211" i="35"/>
  <c r="AQ211" i="35"/>
  <c r="AP211" i="35"/>
  <c r="BF211" i="35" s="1"/>
  <c r="AO211" i="35"/>
  <c r="AM211" i="35"/>
  <c r="AL211" i="35"/>
  <c r="AK211" i="35"/>
  <c r="AI211" i="35"/>
  <c r="AJ211" i="35" s="1"/>
  <c r="AF211" i="35"/>
  <c r="AC211" i="35"/>
  <c r="AB211" i="35"/>
  <c r="AA211" i="35"/>
  <c r="Z211" i="35"/>
  <c r="Y211" i="35"/>
  <c r="X211" i="35"/>
  <c r="T211" i="35"/>
  <c r="O211" i="35"/>
  <c r="N211" i="35"/>
  <c r="M211" i="35"/>
  <c r="L211" i="35"/>
  <c r="K211" i="35"/>
  <c r="J211" i="35"/>
  <c r="I211" i="35"/>
  <c r="H211" i="35"/>
  <c r="BK210" i="35"/>
  <c r="BJ210" i="35"/>
  <c r="BI210" i="35"/>
  <c r="BH210" i="35"/>
  <c r="BG210" i="35"/>
  <c r="BF210" i="35"/>
  <c r="BA210" i="35"/>
  <c r="AZ210" i="35"/>
  <c r="AY210" i="35"/>
  <c r="AX210" i="35"/>
  <c r="AW210" i="35"/>
  <c r="AV210" i="35"/>
  <c r="AU210" i="35"/>
  <c r="AT210" i="35"/>
  <c r="AR210" i="35"/>
  <c r="AQ210" i="35"/>
  <c r="AP210" i="35"/>
  <c r="BE210" i="35" s="1"/>
  <c r="AO210" i="35"/>
  <c r="AL210" i="35"/>
  <c r="AM210" i="35" s="1"/>
  <c r="AK210" i="35"/>
  <c r="AI210" i="35"/>
  <c r="AJ210" i="35" s="1"/>
  <c r="AF210" i="35"/>
  <c r="AC210" i="35"/>
  <c r="AB210" i="35"/>
  <c r="AA210" i="35"/>
  <c r="Z210" i="35"/>
  <c r="Y210" i="35"/>
  <c r="X210" i="35"/>
  <c r="T210" i="35"/>
  <c r="W210" i="35" s="1"/>
  <c r="O210" i="35"/>
  <c r="N210" i="35"/>
  <c r="M210" i="35"/>
  <c r="L210" i="35"/>
  <c r="K210" i="35"/>
  <c r="J210" i="35"/>
  <c r="I210" i="35"/>
  <c r="H210" i="35"/>
  <c r="BK209" i="35"/>
  <c r="BJ209" i="35"/>
  <c r="BI209" i="35"/>
  <c r="BH209" i="35"/>
  <c r="BG209" i="35"/>
  <c r="BF209" i="35"/>
  <c r="BE209" i="35"/>
  <c r="BA209" i="35"/>
  <c r="AZ209" i="35"/>
  <c r="AY209" i="35"/>
  <c r="AX209" i="35"/>
  <c r="AW209" i="35"/>
  <c r="AV209" i="35"/>
  <c r="AU209" i="35"/>
  <c r="AT209" i="35"/>
  <c r="AS209" i="35"/>
  <c r="AR209" i="35"/>
  <c r="AQ209" i="35"/>
  <c r="AP209" i="35"/>
  <c r="BD209" i="35" s="1"/>
  <c r="AO209" i="35"/>
  <c r="AL209" i="35"/>
  <c r="AK209" i="35"/>
  <c r="AM209" i="35" s="1"/>
  <c r="AI209" i="35"/>
  <c r="AJ209" i="35" s="1"/>
  <c r="AF209" i="35"/>
  <c r="AC209" i="35"/>
  <c r="AB209" i="35"/>
  <c r="AA209" i="35"/>
  <c r="Z209" i="35"/>
  <c r="Y209" i="35"/>
  <c r="X209" i="35"/>
  <c r="W209" i="35"/>
  <c r="T209" i="35"/>
  <c r="O209" i="35"/>
  <c r="N209" i="35"/>
  <c r="M209" i="35"/>
  <c r="L209" i="35"/>
  <c r="K209" i="35"/>
  <c r="J209" i="35"/>
  <c r="I209" i="35"/>
  <c r="H209" i="35"/>
  <c r="BJ208" i="35"/>
  <c r="BI208" i="35"/>
  <c r="BH208" i="35"/>
  <c r="BG208" i="35"/>
  <c r="BF208" i="35"/>
  <c r="BE208" i="35"/>
  <c r="BD208" i="35"/>
  <c r="AZ208" i="35"/>
  <c r="AY208" i="35"/>
  <c r="AX208" i="35"/>
  <c r="AW208" i="35"/>
  <c r="AV208" i="35"/>
  <c r="AU208" i="35"/>
  <c r="AT208" i="35"/>
  <c r="AS208" i="35"/>
  <c r="AR208" i="35"/>
  <c r="AQ208" i="35"/>
  <c r="AP208" i="35"/>
  <c r="BC208" i="35" s="1"/>
  <c r="AO208" i="35"/>
  <c r="AL208" i="35"/>
  <c r="AK208" i="35"/>
  <c r="AM208" i="35" s="1"/>
  <c r="AJ208" i="35"/>
  <c r="AI208" i="35"/>
  <c r="AF208" i="35"/>
  <c r="AC208" i="35"/>
  <c r="AB208" i="35"/>
  <c r="AA208" i="35"/>
  <c r="Z208" i="35"/>
  <c r="Y208" i="35"/>
  <c r="X208" i="35"/>
  <c r="T208" i="35"/>
  <c r="BK208" i="35" s="1"/>
  <c r="O208" i="35"/>
  <c r="N208" i="35"/>
  <c r="M208" i="35"/>
  <c r="L208" i="35"/>
  <c r="K208" i="35"/>
  <c r="J208" i="35"/>
  <c r="I208" i="35"/>
  <c r="H208" i="35"/>
  <c r="BJ207" i="35"/>
  <c r="BI207" i="35"/>
  <c r="BG207" i="35"/>
  <c r="BF207" i="35"/>
  <c r="BE207" i="35"/>
  <c r="BD207" i="35"/>
  <c r="BC207" i="35"/>
  <c r="AY207" i="35"/>
  <c r="AX207" i="35"/>
  <c r="AW207" i="35"/>
  <c r="AV207" i="35"/>
  <c r="AU207" i="35"/>
  <c r="AT207" i="35"/>
  <c r="AS207" i="35"/>
  <c r="AR207" i="35"/>
  <c r="AQ207" i="35"/>
  <c r="BH207" i="35" s="1"/>
  <c r="AP207" i="35"/>
  <c r="BB207" i="35" s="1"/>
  <c r="AO207" i="35"/>
  <c r="AL207" i="35"/>
  <c r="AK207" i="35"/>
  <c r="AM207" i="35" s="1"/>
  <c r="AI207" i="35"/>
  <c r="AJ207" i="35" s="1"/>
  <c r="AF207" i="35"/>
  <c r="AC207" i="35"/>
  <c r="AB207" i="35"/>
  <c r="AA207" i="35"/>
  <c r="Z207" i="35"/>
  <c r="Y207" i="35"/>
  <c r="X207" i="35"/>
  <c r="T207" i="35"/>
  <c r="BK207" i="35" s="1"/>
  <c r="O207" i="35"/>
  <c r="N207" i="35"/>
  <c r="M207" i="35"/>
  <c r="L207" i="35"/>
  <c r="K207" i="35"/>
  <c r="J207" i="35"/>
  <c r="I207" i="35"/>
  <c r="H207" i="35"/>
  <c r="BJ206" i="35"/>
  <c r="BI206" i="35"/>
  <c r="BD206" i="35"/>
  <c r="BC206" i="35"/>
  <c r="AR206" i="35"/>
  <c r="AQ206" i="35"/>
  <c r="BH206" i="35" s="1"/>
  <c r="AP206" i="35"/>
  <c r="BA206" i="35" s="1"/>
  <c r="AO206" i="35"/>
  <c r="AL206" i="35"/>
  <c r="AK206" i="35"/>
  <c r="AM206" i="35" s="1"/>
  <c r="AI206" i="35"/>
  <c r="AJ206" i="35" s="1"/>
  <c r="AF206" i="35"/>
  <c r="AC206" i="35"/>
  <c r="AB206" i="35"/>
  <c r="AA206" i="35"/>
  <c r="Z206" i="35"/>
  <c r="Y206" i="35"/>
  <c r="X206" i="35"/>
  <c r="T206" i="35"/>
  <c r="BK206" i="35" s="1"/>
  <c r="O206" i="35"/>
  <c r="N206" i="35"/>
  <c r="M206" i="35"/>
  <c r="L206" i="35"/>
  <c r="K206" i="35"/>
  <c r="J206" i="35"/>
  <c r="I206" i="35"/>
  <c r="H206" i="35"/>
  <c r="BJ205" i="35"/>
  <c r="BI205" i="35"/>
  <c r="BC205" i="35"/>
  <c r="BB205" i="35"/>
  <c r="AR205" i="35"/>
  <c r="AQ205" i="35"/>
  <c r="BH205" i="35" s="1"/>
  <c r="AP205" i="35"/>
  <c r="AO205" i="35"/>
  <c r="AL205" i="35"/>
  <c r="AK205" i="35"/>
  <c r="AM205" i="35" s="1"/>
  <c r="AI205" i="35"/>
  <c r="AJ205" i="35" s="1"/>
  <c r="AF205" i="35"/>
  <c r="AC205" i="35"/>
  <c r="AB205" i="35"/>
  <c r="AA205" i="35"/>
  <c r="Z205" i="35"/>
  <c r="Y205" i="35"/>
  <c r="X205" i="35"/>
  <c r="T205" i="35"/>
  <c r="BK205" i="35" s="1"/>
  <c r="O205" i="35"/>
  <c r="N205" i="35"/>
  <c r="M205" i="35"/>
  <c r="L205" i="35"/>
  <c r="K205" i="35"/>
  <c r="J205" i="35"/>
  <c r="I205" i="35"/>
  <c r="H205" i="35"/>
  <c r="BJ204" i="35"/>
  <c r="BI204" i="35"/>
  <c r="BB204" i="35"/>
  <c r="BA204" i="35"/>
  <c r="AR204" i="35"/>
  <c r="AQ204" i="35"/>
  <c r="BH204" i="35" s="1"/>
  <c r="AP204" i="35"/>
  <c r="AO204" i="35"/>
  <c r="AM204" i="35"/>
  <c r="AL204" i="35"/>
  <c r="AK204" i="35"/>
  <c r="AI204" i="35"/>
  <c r="AJ204" i="35" s="1"/>
  <c r="AF204" i="35"/>
  <c r="AC204" i="35"/>
  <c r="AB204" i="35"/>
  <c r="AA204" i="35"/>
  <c r="Z204" i="35"/>
  <c r="Y204" i="35"/>
  <c r="X204" i="35"/>
  <c r="T204" i="35"/>
  <c r="BK204" i="35" s="1"/>
  <c r="O204" i="35"/>
  <c r="N204" i="35"/>
  <c r="M204" i="35"/>
  <c r="L204" i="35"/>
  <c r="K204" i="35"/>
  <c r="J204" i="35"/>
  <c r="I204" i="35"/>
  <c r="H204" i="35"/>
  <c r="BK203" i="35"/>
  <c r="BJ203" i="35"/>
  <c r="BI203" i="35"/>
  <c r="BD203" i="35"/>
  <c r="BA203" i="35"/>
  <c r="AZ203" i="35"/>
  <c r="AY203" i="35"/>
  <c r="AR203" i="35"/>
  <c r="AQ203" i="35"/>
  <c r="BH203" i="35" s="1"/>
  <c r="AP203" i="35"/>
  <c r="AX203" i="35" s="1"/>
  <c r="AO203" i="35"/>
  <c r="AM203" i="35"/>
  <c r="AL203" i="35"/>
  <c r="AK203" i="35"/>
  <c r="AI203" i="35"/>
  <c r="AJ203" i="35" s="1"/>
  <c r="AF203" i="35"/>
  <c r="AC203" i="35"/>
  <c r="AB203" i="35"/>
  <c r="AA203" i="35"/>
  <c r="Z203" i="35"/>
  <c r="Y203" i="35"/>
  <c r="X203" i="35"/>
  <c r="T203" i="35"/>
  <c r="W203" i="35" s="1"/>
  <c r="O203" i="35"/>
  <c r="N203" i="35"/>
  <c r="M203" i="35"/>
  <c r="L203" i="35"/>
  <c r="K203" i="35"/>
  <c r="J203" i="35"/>
  <c r="I203" i="35"/>
  <c r="H203" i="35"/>
  <c r="BK202" i="35"/>
  <c r="BJ202" i="35"/>
  <c r="BI202" i="35"/>
  <c r="BD202" i="35"/>
  <c r="BC202" i="35"/>
  <c r="BA202" i="35"/>
  <c r="AZ202" i="35"/>
  <c r="AY202" i="35"/>
  <c r="AX202" i="35"/>
  <c r="AR202" i="35"/>
  <c r="AQ202" i="35"/>
  <c r="BH202" i="35" s="1"/>
  <c r="AP202" i="35"/>
  <c r="AW202" i="35" s="1"/>
  <c r="AO202" i="35"/>
  <c r="AM202" i="35"/>
  <c r="AL202" i="35"/>
  <c r="AK202" i="35"/>
  <c r="AI202" i="35"/>
  <c r="AJ202" i="35" s="1"/>
  <c r="AF202" i="35"/>
  <c r="AC202" i="35"/>
  <c r="AB202" i="35"/>
  <c r="AA202" i="35"/>
  <c r="Z202" i="35"/>
  <c r="Y202" i="35"/>
  <c r="X202" i="35"/>
  <c r="W202" i="35"/>
  <c r="T202" i="35"/>
  <c r="O202" i="35"/>
  <c r="N202" i="35"/>
  <c r="M202" i="35"/>
  <c r="L202" i="35"/>
  <c r="K202" i="35"/>
  <c r="J202" i="35"/>
  <c r="I202" i="35"/>
  <c r="H202" i="35"/>
  <c r="BK201" i="35"/>
  <c r="BJ201" i="35"/>
  <c r="BI201" i="35"/>
  <c r="AY201" i="35"/>
  <c r="AX201" i="35"/>
  <c r="AW201" i="35"/>
  <c r="AR201" i="35"/>
  <c r="AQ201" i="35"/>
  <c r="BH201" i="35" s="1"/>
  <c r="AP201" i="35"/>
  <c r="AV201" i="35" s="1"/>
  <c r="AO201" i="35"/>
  <c r="AL201" i="35"/>
  <c r="AK201" i="35"/>
  <c r="AM201" i="35" s="1"/>
  <c r="AJ201" i="35"/>
  <c r="AI201" i="35"/>
  <c r="AF201" i="35"/>
  <c r="AC201" i="35"/>
  <c r="AB201" i="35"/>
  <c r="AA201" i="35"/>
  <c r="Z201" i="35"/>
  <c r="Y201" i="35"/>
  <c r="X201" i="35"/>
  <c r="W201" i="35"/>
  <c r="T201" i="35"/>
  <c r="O201" i="35"/>
  <c r="N201" i="35"/>
  <c r="M201" i="35"/>
  <c r="L201" i="35"/>
  <c r="K201" i="35"/>
  <c r="J201" i="35"/>
  <c r="I201" i="35"/>
  <c r="H201" i="35"/>
  <c r="BJ200" i="35"/>
  <c r="BI200" i="35"/>
  <c r="BH200" i="35"/>
  <c r="BA200" i="35"/>
  <c r="AY200" i="35"/>
  <c r="AX200" i="35"/>
  <c r="AW200" i="35"/>
  <c r="AV200" i="35"/>
  <c r="AR200" i="35"/>
  <c r="AQ200" i="35"/>
  <c r="AP200" i="35"/>
  <c r="BG200" i="35" s="1"/>
  <c r="AO200" i="35"/>
  <c r="AL200" i="35"/>
  <c r="AK200" i="35"/>
  <c r="AM200" i="35" s="1"/>
  <c r="AJ200" i="35"/>
  <c r="AI200" i="35"/>
  <c r="AF200" i="35"/>
  <c r="AC200" i="35"/>
  <c r="AB200" i="35"/>
  <c r="AA200" i="35"/>
  <c r="Z200" i="35"/>
  <c r="Y200" i="35"/>
  <c r="X200" i="35"/>
  <c r="W200" i="35"/>
  <c r="T200" i="35"/>
  <c r="BK200" i="35" s="1"/>
  <c r="O200" i="35"/>
  <c r="N200" i="35"/>
  <c r="M200" i="35"/>
  <c r="L200" i="35"/>
  <c r="K200" i="35"/>
  <c r="J200" i="35"/>
  <c r="I200" i="35"/>
  <c r="H200" i="35"/>
  <c r="BJ199" i="35"/>
  <c r="BI199" i="35"/>
  <c r="BH199" i="35"/>
  <c r="BG199" i="35"/>
  <c r="BA199" i="35"/>
  <c r="AZ199" i="35"/>
  <c r="AY199" i="35"/>
  <c r="AX199" i="35"/>
  <c r="AW199" i="35"/>
  <c r="AV199" i="35"/>
  <c r="AU199" i="35"/>
  <c r="AR199" i="35"/>
  <c r="AQ199" i="35"/>
  <c r="AP199" i="35"/>
  <c r="BF199" i="35" s="1"/>
  <c r="AO199" i="35"/>
  <c r="AM199" i="35"/>
  <c r="AL199" i="35"/>
  <c r="AK199" i="35"/>
  <c r="AI199" i="35"/>
  <c r="AJ199" i="35" s="1"/>
  <c r="AF199" i="35"/>
  <c r="AC199" i="35"/>
  <c r="AB199" i="35"/>
  <c r="AA199" i="35"/>
  <c r="Z199" i="35"/>
  <c r="Y199" i="35"/>
  <c r="X199" i="35"/>
  <c r="T199" i="35"/>
  <c r="O199" i="35"/>
  <c r="N199" i="35"/>
  <c r="M199" i="35"/>
  <c r="L199" i="35"/>
  <c r="K199" i="35"/>
  <c r="J199" i="35"/>
  <c r="I199" i="35"/>
  <c r="H199" i="35"/>
  <c r="BK198" i="35"/>
  <c r="BJ198" i="35"/>
  <c r="BI198" i="35"/>
  <c r="BH198" i="35"/>
  <c r="BG198" i="35"/>
  <c r="BF198" i="35"/>
  <c r="AZ198" i="35"/>
  <c r="AY198" i="35"/>
  <c r="AX198" i="35"/>
  <c r="AW198" i="35"/>
  <c r="AV198" i="35"/>
  <c r="AU198" i="35"/>
  <c r="AT198" i="35"/>
  <c r="AR198" i="35"/>
  <c r="AQ198" i="35"/>
  <c r="AP198" i="35"/>
  <c r="BE198" i="35" s="1"/>
  <c r="AO198" i="35"/>
  <c r="AL198" i="35"/>
  <c r="AM198" i="35" s="1"/>
  <c r="AK198" i="35"/>
  <c r="AI198" i="35"/>
  <c r="AJ198" i="35" s="1"/>
  <c r="AF198" i="35"/>
  <c r="AC198" i="35"/>
  <c r="AB198" i="35"/>
  <c r="AA198" i="35"/>
  <c r="Z198" i="35"/>
  <c r="Y198" i="35"/>
  <c r="X198" i="35"/>
  <c r="T198" i="35"/>
  <c r="W198" i="35" s="1"/>
  <c r="O198" i="35"/>
  <c r="N198" i="35"/>
  <c r="M198" i="35"/>
  <c r="L198" i="35"/>
  <c r="K198" i="35"/>
  <c r="J198" i="35"/>
  <c r="I198" i="35"/>
  <c r="H198" i="35"/>
  <c r="BK197" i="35"/>
  <c r="BJ197" i="35"/>
  <c r="BI197" i="35"/>
  <c r="BH197" i="35"/>
  <c r="BG197" i="35"/>
  <c r="BF197" i="35"/>
  <c r="BE197" i="35"/>
  <c r="AY197" i="35"/>
  <c r="AX197" i="35"/>
  <c r="AW197" i="35"/>
  <c r="AV197" i="35"/>
  <c r="AU197" i="35"/>
  <c r="AT197" i="35"/>
  <c r="AS197" i="35"/>
  <c r="AR197" i="35"/>
  <c r="AQ197" i="35"/>
  <c r="AP197" i="35"/>
  <c r="BD197" i="35" s="1"/>
  <c r="AO197" i="35"/>
  <c r="AL197" i="35"/>
  <c r="AK197" i="35"/>
  <c r="AM197" i="35" s="1"/>
  <c r="AI197" i="35"/>
  <c r="AJ197" i="35" s="1"/>
  <c r="AF197" i="35"/>
  <c r="AC197" i="35"/>
  <c r="AB197" i="35"/>
  <c r="AA197" i="35"/>
  <c r="Z197" i="35"/>
  <c r="Y197" i="35"/>
  <c r="X197" i="35"/>
  <c r="W197" i="35"/>
  <c r="T197" i="35"/>
  <c r="O197" i="35"/>
  <c r="N197" i="35"/>
  <c r="M197" i="35"/>
  <c r="L197" i="35"/>
  <c r="K197" i="35"/>
  <c r="J197" i="35"/>
  <c r="I197" i="35"/>
  <c r="H197" i="35"/>
  <c r="BJ196" i="35"/>
  <c r="BI196" i="35"/>
  <c r="BH196" i="35"/>
  <c r="BG196" i="35"/>
  <c r="BF196" i="35"/>
  <c r="BE196" i="35"/>
  <c r="BD196" i="35"/>
  <c r="AX196" i="35"/>
  <c r="AW196" i="35"/>
  <c r="AV196" i="35"/>
  <c r="AU196" i="35"/>
  <c r="AT196" i="35"/>
  <c r="AS196" i="35"/>
  <c r="AR196" i="35"/>
  <c r="AQ196" i="35"/>
  <c r="AP196" i="35"/>
  <c r="BC196" i="35" s="1"/>
  <c r="AO196" i="35"/>
  <c r="AL196" i="35"/>
  <c r="AK196" i="35"/>
  <c r="AM196" i="35" s="1"/>
  <c r="AJ196" i="35"/>
  <c r="AI196" i="35"/>
  <c r="AF196" i="35"/>
  <c r="AC196" i="35"/>
  <c r="AB196" i="35"/>
  <c r="AA196" i="35"/>
  <c r="Z196" i="35"/>
  <c r="Y196" i="35"/>
  <c r="X196" i="35"/>
  <c r="T196" i="35"/>
  <c r="BK196" i="35" s="1"/>
  <c r="O196" i="35"/>
  <c r="N196" i="35"/>
  <c r="M196" i="35"/>
  <c r="L196" i="35"/>
  <c r="K196" i="35"/>
  <c r="J196" i="35"/>
  <c r="I196" i="35"/>
  <c r="H196" i="35"/>
  <c r="BJ195" i="35"/>
  <c r="BI195" i="35"/>
  <c r="BG195" i="35"/>
  <c r="BF195" i="35"/>
  <c r="BE195" i="35"/>
  <c r="BD195" i="35"/>
  <c r="BC195" i="35"/>
  <c r="AW195" i="35"/>
  <c r="AV195" i="35"/>
  <c r="AU195" i="35"/>
  <c r="AT195" i="35"/>
  <c r="AS195" i="35"/>
  <c r="AR195" i="35"/>
  <c r="AQ195" i="35"/>
  <c r="BH195" i="35" s="1"/>
  <c r="AP195" i="35"/>
  <c r="BB195" i="35" s="1"/>
  <c r="AO195" i="35"/>
  <c r="AL195" i="35"/>
  <c r="AK195" i="35"/>
  <c r="AM195" i="35" s="1"/>
  <c r="AI195" i="35"/>
  <c r="AJ195" i="35" s="1"/>
  <c r="AF195" i="35"/>
  <c r="AC195" i="35"/>
  <c r="AB195" i="35"/>
  <c r="AA195" i="35"/>
  <c r="Z195" i="35"/>
  <c r="Y195" i="35"/>
  <c r="X195" i="35"/>
  <c r="T195" i="35"/>
  <c r="BK195" i="35" s="1"/>
  <c r="O195" i="35"/>
  <c r="N195" i="35"/>
  <c r="M195" i="35"/>
  <c r="L195" i="35"/>
  <c r="K195" i="35"/>
  <c r="J195" i="35"/>
  <c r="I195" i="35"/>
  <c r="H195" i="35"/>
  <c r="BJ194" i="35"/>
  <c r="BI194" i="35"/>
  <c r="BD194" i="35"/>
  <c r="BC194" i="35"/>
  <c r="AR194" i="35"/>
  <c r="AQ194" i="35"/>
  <c r="BH194" i="35" s="1"/>
  <c r="AP194" i="35"/>
  <c r="BA194" i="35" s="1"/>
  <c r="AO194" i="35"/>
  <c r="AL194" i="35"/>
  <c r="AK194" i="35"/>
  <c r="AM194" i="35" s="1"/>
  <c r="AI194" i="35"/>
  <c r="AJ194" i="35" s="1"/>
  <c r="AF194" i="35"/>
  <c r="AC194" i="35"/>
  <c r="AB194" i="35"/>
  <c r="AA194" i="35"/>
  <c r="Z194" i="35"/>
  <c r="Y194" i="35"/>
  <c r="X194" i="35"/>
  <c r="T194" i="35"/>
  <c r="BK194" i="35" s="1"/>
  <c r="O194" i="35"/>
  <c r="N194" i="35"/>
  <c r="M194" i="35"/>
  <c r="L194" i="35"/>
  <c r="K194" i="35"/>
  <c r="J194" i="35"/>
  <c r="I194" i="35"/>
  <c r="H194" i="35"/>
  <c r="BJ193" i="35"/>
  <c r="BI193" i="35"/>
  <c r="BC193" i="35"/>
  <c r="BB193" i="35"/>
  <c r="AR193" i="35"/>
  <c r="AQ193" i="35"/>
  <c r="BH193" i="35" s="1"/>
  <c r="AP193" i="35"/>
  <c r="AO193" i="35"/>
  <c r="AM193" i="35"/>
  <c r="AL193" i="35"/>
  <c r="AK193" i="35"/>
  <c r="AI193" i="35"/>
  <c r="AJ193" i="35" s="1"/>
  <c r="AF193" i="35"/>
  <c r="AC193" i="35"/>
  <c r="AB193" i="35"/>
  <c r="AA193" i="35"/>
  <c r="Z193" i="35"/>
  <c r="Y193" i="35"/>
  <c r="X193" i="35"/>
  <c r="T193" i="35"/>
  <c r="BK193" i="35" s="1"/>
  <c r="O193" i="35"/>
  <c r="N193" i="35"/>
  <c r="M193" i="35"/>
  <c r="L193" i="35"/>
  <c r="K193" i="35"/>
  <c r="J193" i="35"/>
  <c r="I193" i="35"/>
  <c r="H193" i="35"/>
  <c r="BJ192" i="35"/>
  <c r="BI192" i="35"/>
  <c r="AR192" i="35"/>
  <c r="AQ192" i="35"/>
  <c r="BH192" i="35" s="1"/>
  <c r="AP192" i="35"/>
  <c r="AO192" i="35"/>
  <c r="AM192" i="35"/>
  <c r="AL192" i="35"/>
  <c r="AK192" i="35"/>
  <c r="AJ192" i="35"/>
  <c r="AI192" i="35"/>
  <c r="AF192" i="35"/>
  <c r="AC192" i="35"/>
  <c r="AB192" i="35"/>
  <c r="AA192" i="35"/>
  <c r="Z192" i="35"/>
  <c r="Y192" i="35"/>
  <c r="X192" i="35"/>
  <c r="T192" i="35"/>
  <c r="BK192" i="35" s="1"/>
  <c r="O192" i="35"/>
  <c r="N192" i="35"/>
  <c r="M192" i="35"/>
  <c r="L192" i="35"/>
  <c r="K192" i="35"/>
  <c r="J192" i="35"/>
  <c r="I192" i="35"/>
  <c r="H192" i="35"/>
  <c r="BK191" i="35"/>
  <c r="BJ191" i="35"/>
  <c r="BI191" i="35"/>
  <c r="BD191" i="35"/>
  <c r="BA191" i="35"/>
  <c r="AZ191" i="35"/>
  <c r="AY191" i="35"/>
  <c r="AR191" i="35"/>
  <c r="AQ191" i="35"/>
  <c r="BH191" i="35" s="1"/>
  <c r="AP191" i="35"/>
  <c r="AX191" i="35" s="1"/>
  <c r="AO191" i="35"/>
  <c r="AM191" i="35"/>
  <c r="AL191" i="35"/>
  <c r="AK191" i="35"/>
  <c r="AI191" i="35"/>
  <c r="AJ191" i="35" s="1"/>
  <c r="AF191" i="35"/>
  <c r="AC191" i="35"/>
  <c r="AB191" i="35"/>
  <c r="AA191" i="35"/>
  <c r="Z191" i="35"/>
  <c r="Y191" i="35"/>
  <c r="X191" i="35"/>
  <c r="T191" i="35"/>
  <c r="W191" i="35" s="1"/>
  <c r="O191" i="35"/>
  <c r="N191" i="35"/>
  <c r="M191" i="35"/>
  <c r="L191" i="35"/>
  <c r="K191" i="35"/>
  <c r="J191" i="35"/>
  <c r="I191" i="35"/>
  <c r="H191" i="35"/>
  <c r="BK190" i="35"/>
  <c r="BJ190" i="35"/>
  <c r="BI190" i="35"/>
  <c r="BD190" i="35"/>
  <c r="BC190" i="35"/>
  <c r="BA190" i="35"/>
  <c r="AZ190" i="35"/>
  <c r="AY190" i="35"/>
  <c r="AX190" i="35"/>
  <c r="AR190" i="35"/>
  <c r="AQ190" i="35"/>
  <c r="BH190" i="35" s="1"/>
  <c r="AP190" i="35"/>
  <c r="AW190" i="35" s="1"/>
  <c r="AO190" i="35"/>
  <c r="AM190" i="35"/>
  <c r="AL190" i="35"/>
  <c r="AK190" i="35"/>
  <c r="AI190" i="35"/>
  <c r="AJ190" i="35" s="1"/>
  <c r="AF190" i="35"/>
  <c r="AC190" i="35"/>
  <c r="AB190" i="35"/>
  <c r="AA190" i="35"/>
  <c r="Z190" i="35"/>
  <c r="Y190" i="35"/>
  <c r="X190" i="35"/>
  <c r="W190" i="35"/>
  <c r="T190" i="35"/>
  <c r="O190" i="35"/>
  <c r="N190" i="35"/>
  <c r="M190" i="35"/>
  <c r="L190" i="35"/>
  <c r="K190" i="35"/>
  <c r="J190" i="35"/>
  <c r="I190" i="35"/>
  <c r="H190" i="35"/>
  <c r="BK189" i="35"/>
  <c r="BJ189" i="35"/>
  <c r="BI189" i="35"/>
  <c r="AY189" i="35"/>
  <c r="AX189" i="35"/>
  <c r="AW189" i="35"/>
  <c r="AR189" i="35"/>
  <c r="AQ189" i="35"/>
  <c r="BH189" i="35" s="1"/>
  <c r="AP189" i="35"/>
  <c r="AV189" i="35" s="1"/>
  <c r="AO189" i="35"/>
  <c r="AL189" i="35"/>
  <c r="AK189" i="35"/>
  <c r="AJ189" i="35"/>
  <c r="AI189" i="35"/>
  <c r="AF189" i="35"/>
  <c r="AC189" i="35"/>
  <c r="AB189" i="35"/>
  <c r="AA189" i="35"/>
  <c r="Z189" i="35"/>
  <c r="Y189" i="35"/>
  <c r="X189" i="35"/>
  <c r="T189" i="35"/>
  <c r="W189" i="35" s="1"/>
  <c r="O189" i="35"/>
  <c r="N189" i="35"/>
  <c r="M189" i="35"/>
  <c r="L189" i="35"/>
  <c r="K189" i="35"/>
  <c r="J189" i="35"/>
  <c r="I189" i="35"/>
  <c r="H189" i="35"/>
  <c r="BJ188" i="35"/>
  <c r="BI188" i="35"/>
  <c r="BH188" i="35"/>
  <c r="BA188" i="35"/>
  <c r="AY188" i="35"/>
  <c r="AX188" i="35"/>
  <c r="AW188" i="35"/>
  <c r="AV188" i="35"/>
  <c r="AR188" i="35"/>
  <c r="AQ188" i="35"/>
  <c r="AP188" i="35"/>
  <c r="BG188" i="35" s="1"/>
  <c r="AO188" i="35"/>
  <c r="AL188" i="35"/>
  <c r="AK188" i="35"/>
  <c r="AM188" i="35" s="1"/>
  <c r="AI188" i="35"/>
  <c r="AJ188" i="35" s="1"/>
  <c r="AF188" i="35"/>
  <c r="AC188" i="35"/>
  <c r="AB188" i="35"/>
  <c r="AA188" i="35"/>
  <c r="Z188" i="35"/>
  <c r="Y188" i="35"/>
  <c r="X188" i="35"/>
  <c r="W188" i="35"/>
  <c r="T188" i="35"/>
  <c r="BK188" i="35" s="1"/>
  <c r="O188" i="35"/>
  <c r="N188" i="35"/>
  <c r="M188" i="35"/>
  <c r="L188" i="35"/>
  <c r="K188" i="35"/>
  <c r="J188" i="35"/>
  <c r="I188" i="35"/>
  <c r="H188" i="35"/>
  <c r="BJ187" i="35"/>
  <c r="BI187" i="35"/>
  <c r="BH187" i="35"/>
  <c r="BG187" i="35"/>
  <c r="BA187" i="35"/>
  <c r="AZ187" i="35"/>
  <c r="AY187" i="35"/>
  <c r="AX187" i="35"/>
  <c r="AW187" i="35"/>
  <c r="AV187" i="35"/>
  <c r="AU187" i="35"/>
  <c r="AR187" i="35"/>
  <c r="AQ187" i="35"/>
  <c r="AP187" i="35"/>
  <c r="BF187" i="35" s="1"/>
  <c r="AO187" i="35"/>
  <c r="AM187" i="35"/>
  <c r="AL187" i="35"/>
  <c r="AK187" i="35"/>
  <c r="AJ187" i="35"/>
  <c r="AI187" i="35"/>
  <c r="AF187" i="35"/>
  <c r="AC187" i="35"/>
  <c r="AB187" i="35"/>
  <c r="AA187" i="35"/>
  <c r="Z187" i="35"/>
  <c r="Y187" i="35"/>
  <c r="X187" i="35"/>
  <c r="T187" i="35"/>
  <c r="O187" i="35"/>
  <c r="N187" i="35"/>
  <c r="M187" i="35"/>
  <c r="L187" i="35"/>
  <c r="K187" i="35"/>
  <c r="J187" i="35"/>
  <c r="I187" i="35"/>
  <c r="H187" i="35"/>
  <c r="BK186" i="35"/>
  <c r="BJ186" i="35"/>
  <c r="BI186" i="35"/>
  <c r="BH186" i="35"/>
  <c r="BG186" i="35"/>
  <c r="BF186" i="35"/>
  <c r="AZ186" i="35"/>
  <c r="AY186" i="35"/>
  <c r="AX186" i="35"/>
  <c r="AW186" i="35"/>
  <c r="AV186" i="35"/>
  <c r="AU186" i="35"/>
  <c r="AT186" i="35"/>
  <c r="AR186" i="35"/>
  <c r="AQ186" i="35"/>
  <c r="AP186" i="35"/>
  <c r="BE186" i="35" s="1"/>
  <c r="AO186" i="35"/>
  <c r="AL186" i="35"/>
  <c r="AM186" i="35" s="1"/>
  <c r="AK186" i="35"/>
  <c r="AI186" i="35"/>
  <c r="AJ186" i="35" s="1"/>
  <c r="AF186" i="35"/>
  <c r="AC186" i="35"/>
  <c r="AB186" i="35"/>
  <c r="AA186" i="35"/>
  <c r="Z186" i="35"/>
  <c r="Y186" i="35"/>
  <c r="X186" i="35"/>
  <c r="T186" i="35"/>
  <c r="W186" i="35" s="1"/>
  <c r="O186" i="35"/>
  <c r="N186" i="35"/>
  <c r="M186" i="35"/>
  <c r="L186" i="35"/>
  <c r="K186" i="35"/>
  <c r="J186" i="35"/>
  <c r="I186" i="35"/>
  <c r="H186" i="35"/>
  <c r="BK185" i="35"/>
  <c r="BJ185" i="35"/>
  <c r="BI185" i="35"/>
  <c r="BH185" i="35"/>
  <c r="BG185" i="35"/>
  <c r="BF185" i="35"/>
  <c r="BE185" i="35"/>
  <c r="AY185" i="35"/>
  <c r="AX185" i="35"/>
  <c r="AW185" i="35"/>
  <c r="AV185" i="35"/>
  <c r="AU185" i="35"/>
  <c r="AT185" i="35"/>
  <c r="AS185" i="35"/>
  <c r="AR185" i="35"/>
  <c r="AQ185" i="35"/>
  <c r="AP185" i="35"/>
  <c r="BD185" i="35" s="1"/>
  <c r="AO185" i="35"/>
  <c r="AL185" i="35"/>
  <c r="AK185" i="35"/>
  <c r="AM185" i="35" s="1"/>
  <c r="AI185" i="35"/>
  <c r="AJ185" i="35" s="1"/>
  <c r="AF185" i="35"/>
  <c r="AC185" i="35"/>
  <c r="AB185" i="35"/>
  <c r="AA185" i="35"/>
  <c r="Z185" i="35"/>
  <c r="Y185" i="35"/>
  <c r="X185" i="35"/>
  <c r="W185" i="35"/>
  <c r="T185" i="35"/>
  <c r="O185" i="35"/>
  <c r="N185" i="35"/>
  <c r="M185" i="35"/>
  <c r="L185" i="35"/>
  <c r="K185" i="35"/>
  <c r="J185" i="35"/>
  <c r="I185" i="35"/>
  <c r="H185" i="35"/>
  <c r="BJ184" i="35"/>
  <c r="BI184" i="35"/>
  <c r="BH184" i="35"/>
  <c r="BG184" i="35"/>
  <c r="BF184" i="35"/>
  <c r="BE184" i="35"/>
  <c r="BD184" i="35"/>
  <c r="AX184" i="35"/>
  <c r="AW184" i="35"/>
  <c r="AV184" i="35"/>
  <c r="AU184" i="35"/>
  <c r="AT184" i="35"/>
  <c r="AS184" i="35"/>
  <c r="AR184" i="35"/>
  <c r="AQ184" i="35"/>
  <c r="AP184" i="35"/>
  <c r="BC184" i="35" s="1"/>
  <c r="AO184" i="35"/>
  <c r="AL184" i="35"/>
  <c r="AK184" i="35"/>
  <c r="AM184" i="35" s="1"/>
  <c r="AJ184" i="35"/>
  <c r="AI184" i="35"/>
  <c r="AF184" i="35"/>
  <c r="AC184" i="35"/>
  <c r="AB184" i="35"/>
  <c r="AA184" i="35"/>
  <c r="Z184" i="35"/>
  <c r="Y184" i="35"/>
  <c r="X184" i="35"/>
  <c r="T184" i="35"/>
  <c r="BK184" i="35" s="1"/>
  <c r="O184" i="35"/>
  <c r="N184" i="35"/>
  <c r="M184" i="35"/>
  <c r="L184" i="35"/>
  <c r="K184" i="35"/>
  <c r="J184" i="35"/>
  <c r="I184" i="35"/>
  <c r="H184" i="35"/>
  <c r="BJ183" i="35"/>
  <c r="BI183" i="35"/>
  <c r="BG183" i="35"/>
  <c r="BF183" i="35"/>
  <c r="BE183" i="35"/>
  <c r="BD183" i="35"/>
  <c r="BC183" i="35"/>
  <c r="AW183" i="35"/>
  <c r="AV183" i="35"/>
  <c r="AU183" i="35"/>
  <c r="AT183" i="35"/>
  <c r="AS183" i="35"/>
  <c r="AR183" i="35"/>
  <c r="AQ183" i="35"/>
  <c r="BH183" i="35" s="1"/>
  <c r="AP183" i="35"/>
  <c r="BB183" i="35" s="1"/>
  <c r="AO183" i="35"/>
  <c r="AL183" i="35"/>
  <c r="AM183" i="35" s="1"/>
  <c r="AK183" i="35"/>
  <c r="AI183" i="35"/>
  <c r="AJ183" i="35" s="1"/>
  <c r="AF183" i="35"/>
  <c r="AC183" i="35"/>
  <c r="AB183" i="35"/>
  <c r="AA183" i="35"/>
  <c r="Z183" i="35"/>
  <c r="Y183" i="35"/>
  <c r="X183" i="35"/>
  <c r="T183" i="35"/>
  <c r="BK183" i="35" s="1"/>
  <c r="O183" i="35"/>
  <c r="N183" i="35"/>
  <c r="M183" i="35"/>
  <c r="L183" i="35"/>
  <c r="K183" i="35"/>
  <c r="J183" i="35"/>
  <c r="I183" i="35"/>
  <c r="H183" i="35"/>
  <c r="BJ182" i="35"/>
  <c r="BI182" i="35"/>
  <c r="BD182" i="35"/>
  <c r="BC182" i="35"/>
  <c r="BB182" i="35"/>
  <c r="AR182" i="35"/>
  <c r="AQ182" i="35"/>
  <c r="BH182" i="35" s="1"/>
  <c r="AP182" i="35"/>
  <c r="AO182" i="35"/>
  <c r="AL182" i="35"/>
  <c r="AK182" i="35"/>
  <c r="AM182" i="35" s="1"/>
  <c r="AI182" i="35"/>
  <c r="AJ182" i="35" s="1"/>
  <c r="AF182" i="35"/>
  <c r="AC182" i="35"/>
  <c r="AB182" i="35"/>
  <c r="AA182" i="35"/>
  <c r="Z182" i="35"/>
  <c r="Y182" i="35"/>
  <c r="X182" i="35"/>
  <c r="T182" i="35"/>
  <c r="BK182" i="35" s="1"/>
  <c r="O182" i="35"/>
  <c r="N182" i="35"/>
  <c r="M182" i="35"/>
  <c r="L182" i="35"/>
  <c r="K182" i="35"/>
  <c r="J182" i="35"/>
  <c r="I182" i="35"/>
  <c r="H182" i="35"/>
  <c r="BJ181" i="35"/>
  <c r="BI181" i="35"/>
  <c r="AR181" i="35"/>
  <c r="AQ181" i="35"/>
  <c r="BH181" i="35" s="1"/>
  <c r="AP181" i="35"/>
  <c r="AO181" i="35"/>
  <c r="AL181" i="35"/>
  <c r="AK181" i="35"/>
  <c r="AM181" i="35" s="1"/>
  <c r="AI181" i="35"/>
  <c r="AJ181" i="35" s="1"/>
  <c r="AF181" i="35"/>
  <c r="AC181" i="35"/>
  <c r="AB181" i="35"/>
  <c r="AA181" i="35"/>
  <c r="Z181" i="35"/>
  <c r="Y181" i="35"/>
  <c r="X181" i="35"/>
  <c r="T181" i="35"/>
  <c r="BK181" i="35" s="1"/>
  <c r="O181" i="35"/>
  <c r="N181" i="35"/>
  <c r="M181" i="35"/>
  <c r="L181" i="35"/>
  <c r="K181" i="35"/>
  <c r="J181" i="35"/>
  <c r="I181" i="35"/>
  <c r="H181" i="35"/>
  <c r="BJ180" i="35"/>
  <c r="BI180" i="35"/>
  <c r="BB180" i="35"/>
  <c r="BA180" i="35"/>
  <c r="AZ180" i="35"/>
  <c r="AS180" i="35"/>
  <c r="AR180" i="35"/>
  <c r="AQ180" i="35"/>
  <c r="BH180" i="35" s="1"/>
  <c r="AP180" i="35"/>
  <c r="AO180" i="35"/>
  <c r="AM180" i="35"/>
  <c r="AL180" i="35"/>
  <c r="AK180" i="35"/>
  <c r="AI180" i="35"/>
  <c r="AJ180" i="35" s="1"/>
  <c r="AF180" i="35"/>
  <c r="AC180" i="35"/>
  <c r="AB180" i="35"/>
  <c r="AA180" i="35"/>
  <c r="Z180" i="35"/>
  <c r="Y180" i="35"/>
  <c r="X180" i="35"/>
  <c r="T180" i="35"/>
  <c r="BK180" i="35" s="1"/>
  <c r="O180" i="35"/>
  <c r="N180" i="35"/>
  <c r="M180" i="35"/>
  <c r="L180" i="35"/>
  <c r="K180" i="35"/>
  <c r="J180" i="35"/>
  <c r="I180" i="35"/>
  <c r="H180" i="35"/>
  <c r="BK179" i="35"/>
  <c r="BJ179" i="35"/>
  <c r="BI179" i="35"/>
  <c r="BD179" i="35"/>
  <c r="BA179" i="35"/>
  <c r="AZ179" i="35"/>
  <c r="AY179" i="35"/>
  <c r="AR179" i="35"/>
  <c r="AQ179" i="35"/>
  <c r="BH179" i="35" s="1"/>
  <c r="AP179" i="35"/>
  <c r="AX179" i="35" s="1"/>
  <c r="AO179" i="35"/>
  <c r="AM179" i="35"/>
  <c r="AL179" i="35"/>
  <c r="AK179" i="35"/>
  <c r="AI179" i="35"/>
  <c r="AJ179" i="35" s="1"/>
  <c r="AF179" i="35"/>
  <c r="AC179" i="35"/>
  <c r="AB179" i="35"/>
  <c r="AA179" i="35"/>
  <c r="Z179" i="35"/>
  <c r="Y179" i="35"/>
  <c r="X179" i="35"/>
  <c r="T179" i="35"/>
  <c r="W179" i="35" s="1"/>
  <c r="O179" i="35"/>
  <c r="N179" i="35"/>
  <c r="M179" i="35"/>
  <c r="L179" i="35"/>
  <c r="K179" i="35"/>
  <c r="J179" i="35"/>
  <c r="I179" i="35"/>
  <c r="H179" i="35"/>
  <c r="BK178" i="35"/>
  <c r="BJ178" i="35"/>
  <c r="BI178" i="35"/>
  <c r="BD178" i="35"/>
  <c r="BC178" i="35"/>
  <c r="BA178" i="35"/>
  <c r="AZ178" i="35"/>
  <c r="AY178" i="35"/>
  <c r="AX178" i="35"/>
  <c r="AR178" i="35"/>
  <c r="AQ178" i="35"/>
  <c r="BH178" i="35" s="1"/>
  <c r="AP178" i="35"/>
  <c r="AW178" i="35" s="1"/>
  <c r="AO178" i="35"/>
  <c r="AL178" i="35"/>
  <c r="AM178" i="35" s="1"/>
  <c r="AK178" i="35"/>
  <c r="AJ178" i="35"/>
  <c r="AI178" i="35"/>
  <c r="AF178" i="35"/>
  <c r="AC178" i="35"/>
  <c r="AB178" i="35"/>
  <c r="AA178" i="35"/>
  <c r="Z178" i="35"/>
  <c r="Y178" i="35"/>
  <c r="X178" i="35"/>
  <c r="W178" i="35"/>
  <c r="T178" i="35"/>
  <c r="O178" i="35"/>
  <c r="N178" i="35"/>
  <c r="M178" i="35"/>
  <c r="L178" i="35"/>
  <c r="K178" i="35"/>
  <c r="J178" i="35"/>
  <c r="I178" i="35"/>
  <c r="H178" i="35"/>
  <c r="BJ177" i="35"/>
  <c r="BI177" i="35"/>
  <c r="BB177" i="35"/>
  <c r="AX177" i="35"/>
  <c r="AW177" i="35"/>
  <c r="AR177" i="35"/>
  <c r="AQ177" i="35"/>
  <c r="BH177" i="35" s="1"/>
  <c r="AP177" i="35"/>
  <c r="AY177" i="35" s="1"/>
  <c r="AO177" i="35"/>
  <c r="AL177" i="35"/>
  <c r="AK177" i="35"/>
  <c r="AJ177" i="35"/>
  <c r="AI177" i="35"/>
  <c r="AF177" i="35"/>
  <c r="AC177" i="35"/>
  <c r="AB177" i="35"/>
  <c r="AA177" i="35"/>
  <c r="Z177" i="35"/>
  <c r="Y177" i="35"/>
  <c r="X177" i="35"/>
  <c r="T177" i="35"/>
  <c r="W177" i="35" s="1"/>
  <c r="O177" i="35"/>
  <c r="N177" i="35"/>
  <c r="M177" i="35"/>
  <c r="L177" i="35"/>
  <c r="K177" i="35"/>
  <c r="J177" i="35"/>
  <c r="I177" i="35"/>
  <c r="H177" i="35"/>
  <c r="BJ176" i="35"/>
  <c r="BI176" i="35"/>
  <c r="BH176" i="35"/>
  <c r="BA176" i="35"/>
  <c r="AY176" i="35"/>
  <c r="AX176" i="35"/>
  <c r="AW176" i="35"/>
  <c r="AV176" i="35"/>
  <c r="AR176" i="35"/>
  <c r="AQ176" i="35"/>
  <c r="AP176" i="35"/>
  <c r="BG176" i="35" s="1"/>
  <c r="AO176" i="35"/>
  <c r="AL176" i="35"/>
  <c r="AK176" i="35"/>
  <c r="AM176" i="35" s="1"/>
  <c r="AI176" i="35"/>
  <c r="AJ176" i="35" s="1"/>
  <c r="AF176" i="35"/>
  <c r="AC176" i="35"/>
  <c r="AB176" i="35"/>
  <c r="AA176" i="35"/>
  <c r="Z176" i="35"/>
  <c r="Y176" i="35"/>
  <c r="X176" i="35"/>
  <c r="T176" i="35"/>
  <c r="BK176" i="35" s="1"/>
  <c r="O176" i="35"/>
  <c r="N176" i="35"/>
  <c r="M176" i="35"/>
  <c r="L176" i="35"/>
  <c r="K176" i="35"/>
  <c r="J176" i="35"/>
  <c r="I176" i="35"/>
  <c r="H176" i="35"/>
  <c r="BJ175" i="35"/>
  <c r="BI175" i="35"/>
  <c r="BH175" i="35"/>
  <c r="BG175" i="35"/>
  <c r="BA175" i="35"/>
  <c r="AZ175" i="35"/>
  <c r="AY175" i="35"/>
  <c r="AX175" i="35"/>
  <c r="AW175" i="35"/>
  <c r="AV175" i="35"/>
  <c r="AU175" i="35"/>
  <c r="AR175" i="35"/>
  <c r="AQ175" i="35"/>
  <c r="AP175" i="35"/>
  <c r="BF175" i="35" s="1"/>
  <c r="AO175" i="35"/>
  <c r="AM175" i="35"/>
  <c r="AL175" i="35"/>
  <c r="AK175" i="35"/>
  <c r="AJ175" i="35"/>
  <c r="AI175" i="35"/>
  <c r="AF175" i="35"/>
  <c r="AC175" i="35"/>
  <c r="AB175" i="35"/>
  <c r="AA175" i="35"/>
  <c r="Z175" i="35"/>
  <c r="Y175" i="35"/>
  <c r="X175" i="35"/>
  <c r="T175" i="35"/>
  <c r="O175" i="35"/>
  <c r="N175" i="35"/>
  <c r="M175" i="35"/>
  <c r="L175" i="35"/>
  <c r="K175" i="35"/>
  <c r="J175" i="35"/>
  <c r="I175" i="35"/>
  <c r="H175" i="35"/>
  <c r="BK174" i="35"/>
  <c r="BJ174" i="35"/>
  <c r="BI174" i="35"/>
  <c r="BH174" i="35"/>
  <c r="BG174" i="35"/>
  <c r="BF174" i="35"/>
  <c r="AZ174" i="35"/>
  <c r="AY174" i="35"/>
  <c r="AX174" i="35"/>
  <c r="AW174" i="35"/>
  <c r="AV174" i="35"/>
  <c r="AU174" i="35"/>
  <c r="AT174" i="35"/>
  <c r="AR174" i="35"/>
  <c r="AQ174" i="35"/>
  <c r="AP174" i="35"/>
  <c r="BE174" i="35" s="1"/>
  <c r="AO174" i="35"/>
  <c r="AL174" i="35"/>
  <c r="AM174" i="35" s="1"/>
  <c r="AK174" i="35"/>
  <c r="AI174" i="35"/>
  <c r="AJ174" i="35" s="1"/>
  <c r="AF174" i="35"/>
  <c r="AC174" i="35"/>
  <c r="AB174" i="35"/>
  <c r="AA174" i="35"/>
  <c r="Z174" i="35"/>
  <c r="Y174" i="35"/>
  <c r="X174" i="35"/>
  <c r="T174" i="35"/>
  <c r="W174" i="35" s="1"/>
  <c r="O174" i="35"/>
  <c r="N174" i="35"/>
  <c r="M174" i="35"/>
  <c r="L174" i="35"/>
  <c r="K174" i="35"/>
  <c r="J174" i="35"/>
  <c r="I174" i="35"/>
  <c r="H174" i="35"/>
  <c r="BK173" i="35"/>
  <c r="BJ173" i="35"/>
  <c r="BI173" i="35"/>
  <c r="BH173" i="35"/>
  <c r="BG173" i="35"/>
  <c r="BF173" i="35"/>
  <c r="BE173" i="35"/>
  <c r="AY173" i="35"/>
  <c r="AX173" i="35"/>
  <c r="AW173" i="35"/>
  <c r="AV173" i="35"/>
  <c r="AU173" i="35"/>
  <c r="AT173" i="35"/>
  <c r="AS173" i="35"/>
  <c r="AR173" i="35"/>
  <c r="AQ173" i="35"/>
  <c r="AP173" i="35"/>
  <c r="BD173" i="35" s="1"/>
  <c r="AO173" i="35"/>
  <c r="AL173" i="35"/>
  <c r="AK173" i="35"/>
  <c r="AM173" i="35" s="1"/>
  <c r="AI173" i="35"/>
  <c r="AJ173" i="35" s="1"/>
  <c r="AF173" i="35"/>
  <c r="AC173" i="35"/>
  <c r="AB173" i="35"/>
  <c r="AA173" i="35"/>
  <c r="Z173" i="35"/>
  <c r="Y173" i="35"/>
  <c r="X173" i="35"/>
  <c r="W173" i="35"/>
  <c r="T173" i="35"/>
  <c r="O173" i="35"/>
  <c r="N173" i="35"/>
  <c r="M173" i="35"/>
  <c r="L173" i="35"/>
  <c r="K173" i="35"/>
  <c r="J173" i="35"/>
  <c r="I173" i="35"/>
  <c r="H173" i="35"/>
  <c r="BJ172" i="35"/>
  <c r="BI172" i="35"/>
  <c r="BH172" i="35"/>
  <c r="BG172" i="35"/>
  <c r="BF172" i="35"/>
  <c r="BE172" i="35"/>
  <c r="BD172" i="35"/>
  <c r="AX172" i="35"/>
  <c r="AW172" i="35"/>
  <c r="AV172" i="35"/>
  <c r="AU172" i="35"/>
  <c r="AT172" i="35"/>
  <c r="AS172" i="35"/>
  <c r="AR172" i="35"/>
  <c r="AQ172" i="35"/>
  <c r="AP172" i="35"/>
  <c r="BC172" i="35" s="1"/>
  <c r="AO172" i="35"/>
  <c r="AL172" i="35"/>
  <c r="AK172" i="35"/>
  <c r="AM172" i="35" s="1"/>
  <c r="AJ172" i="35"/>
  <c r="AI172" i="35"/>
  <c r="AF172" i="35"/>
  <c r="AC172" i="35"/>
  <c r="AB172" i="35"/>
  <c r="AA172" i="35"/>
  <c r="Z172" i="35"/>
  <c r="Y172" i="35"/>
  <c r="X172" i="35"/>
  <c r="T172" i="35"/>
  <c r="O172" i="35"/>
  <c r="N172" i="35"/>
  <c r="M172" i="35"/>
  <c r="L172" i="35"/>
  <c r="K172" i="35"/>
  <c r="J172" i="35"/>
  <c r="I172" i="35"/>
  <c r="H172" i="35"/>
  <c r="BJ171" i="35"/>
  <c r="BI171" i="35"/>
  <c r="BG171" i="35"/>
  <c r="BF171" i="35"/>
  <c r="BE171" i="35"/>
  <c r="BD171" i="35"/>
  <c r="BC171" i="35"/>
  <c r="AW171" i="35"/>
  <c r="AV171" i="35"/>
  <c r="AU171" i="35"/>
  <c r="AT171" i="35"/>
  <c r="AS171" i="35"/>
  <c r="AR171" i="35"/>
  <c r="AQ171" i="35"/>
  <c r="BH171" i="35" s="1"/>
  <c r="AP171" i="35"/>
  <c r="BB171" i="35" s="1"/>
  <c r="AO171" i="35"/>
  <c r="AL171" i="35"/>
  <c r="AK171" i="35"/>
  <c r="AM171" i="35" s="1"/>
  <c r="AI171" i="35"/>
  <c r="AJ171" i="35" s="1"/>
  <c r="AF171" i="35"/>
  <c r="AC171" i="35"/>
  <c r="AB171" i="35"/>
  <c r="AA171" i="35"/>
  <c r="Z171" i="35"/>
  <c r="Y171" i="35"/>
  <c r="X171" i="35"/>
  <c r="T171" i="35"/>
  <c r="BK171" i="35" s="1"/>
  <c r="O171" i="35"/>
  <c r="N171" i="35"/>
  <c r="M171" i="35"/>
  <c r="L171" i="35"/>
  <c r="K171" i="35"/>
  <c r="J171" i="35"/>
  <c r="I171" i="35"/>
  <c r="H171" i="35"/>
  <c r="BJ170" i="35"/>
  <c r="BI170" i="35"/>
  <c r="BD170" i="35"/>
  <c r="BC170" i="35"/>
  <c r="AR170" i="35"/>
  <c r="AQ170" i="35"/>
  <c r="BH170" i="35" s="1"/>
  <c r="AP170" i="35"/>
  <c r="BG170" i="35" s="1"/>
  <c r="AO170" i="35"/>
  <c r="AM170" i="35"/>
  <c r="AL170" i="35"/>
  <c r="AK170" i="35"/>
  <c r="AI170" i="35"/>
  <c r="AJ170" i="35" s="1"/>
  <c r="AF170" i="35"/>
  <c r="AC170" i="35"/>
  <c r="AB170" i="35"/>
  <c r="AA170" i="35"/>
  <c r="Z170" i="35"/>
  <c r="Y170" i="35"/>
  <c r="X170" i="35"/>
  <c r="T170" i="35"/>
  <c r="BK170" i="35" s="1"/>
  <c r="O170" i="35"/>
  <c r="N170" i="35"/>
  <c r="M170" i="35"/>
  <c r="L170" i="35"/>
  <c r="K170" i="35"/>
  <c r="J170" i="35"/>
  <c r="I170" i="35"/>
  <c r="H170" i="35"/>
  <c r="BJ169" i="35"/>
  <c r="BI169" i="35"/>
  <c r="BB169" i="35"/>
  <c r="AT169" i="35"/>
  <c r="AR169" i="35"/>
  <c r="AQ169" i="35"/>
  <c r="BH169" i="35" s="1"/>
  <c r="AP169" i="35"/>
  <c r="AO169" i="35"/>
  <c r="AL169" i="35"/>
  <c r="AK169" i="35"/>
  <c r="AM169" i="35" s="1"/>
  <c r="AI169" i="35"/>
  <c r="AJ169" i="35" s="1"/>
  <c r="AF169" i="35"/>
  <c r="AC169" i="35"/>
  <c r="AB169" i="35"/>
  <c r="AA169" i="35"/>
  <c r="Z169" i="35"/>
  <c r="Y169" i="35"/>
  <c r="X169" i="35"/>
  <c r="T169" i="35"/>
  <c r="BK169" i="35" s="1"/>
  <c r="O169" i="35"/>
  <c r="N169" i="35"/>
  <c r="M169" i="35"/>
  <c r="L169" i="35"/>
  <c r="K169" i="35"/>
  <c r="J169" i="35"/>
  <c r="I169" i="35"/>
  <c r="H169" i="35"/>
  <c r="BJ168" i="35"/>
  <c r="BI168" i="35"/>
  <c r="AR168" i="35"/>
  <c r="AQ168" i="35"/>
  <c r="BH168" i="35" s="1"/>
  <c r="AP168" i="35"/>
  <c r="BE168" i="35" s="1"/>
  <c r="AO168" i="35"/>
  <c r="AM168" i="35"/>
  <c r="AL168" i="35"/>
  <c r="AK168" i="35"/>
  <c r="AI168" i="35"/>
  <c r="AJ168" i="35" s="1"/>
  <c r="AF168" i="35"/>
  <c r="AC168" i="35"/>
  <c r="AB168" i="35"/>
  <c r="AA168" i="35"/>
  <c r="Z168" i="35"/>
  <c r="Y168" i="35"/>
  <c r="X168" i="35"/>
  <c r="T168" i="35"/>
  <c r="BK168" i="35" s="1"/>
  <c r="O168" i="35"/>
  <c r="N168" i="35"/>
  <c r="M168" i="35"/>
  <c r="L168" i="35"/>
  <c r="K168" i="35"/>
  <c r="J168" i="35"/>
  <c r="I168" i="35"/>
  <c r="H168" i="35"/>
  <c r="BK167" i="35"/>
  <c r="BJ167" i="35"/>
  <c r="BI167" i="35"/>
  <c r="BD167" i="35"/>
  <c r="BA167" i="35"/>
  <c r="AZ167" i="35"/>
  <c r="AY167" i="35"/>
  <c r="AR167" i="35"/>
  <c r="AQ167" i="35"/>
  <c r="BH167" i="35" s="1"/>
  <c r="AP167" i="35"/>
  <c r="AX167" i="35" s="1"/>
  <c r="AO167" i="35"/>
  <c r="AM167" i="35"/>
  <c r="AL167" i="35"/>
  <c r="AK167" i="35"/>
  <c r="AI167" i="35"/>
  <c r="AJ167" i="35" s="1"/>
  <c r="AF167" i="35"/>
  <c r="AC167" i="35"/>
  <c r="AB167" i="35"/>
  <c r="AA167" i="35"/>
  <c r="Z167" i="35"/>
  <c r="Y167" i="35"/>
  <c r="X167" i="35"/>
  <c r="T167" i="35"/>
  <c r="W167" i="35" s="1"/>
  <c r="O167" i="35"/>
  <c r="N167" i="35"/>
  <c r="M167" i="35"/>
  <c r="L167" i="35"/>
  <c r="K167" i="35"/>
  <c r="J167" i="35"/>
  <c r="I167" i="35"/>
  <c r="H167" i="35"/>
  <c r="BK166" i="35"/>
  <c r="BJ166" i="35"/>
  <c r="BI166" i="35"/>
  <c r="BD166" i="35"/>
  <c r="BC166" i="35"/>
  <c r="BA166" i="35"/>
  <c r="AZ166" i="35"/>
  <c r="AY166" i="35"/>
  <c r="AX166" i="35"/>
  <c r="AR166" i="35"/>
  <c r="AQ166" i="35"/>
  <c r="BH166" i="35" s="1"/>
  <c r="AP166" i="35"/>
  <c r="AW166" i="35" s="1"/>
  <c r="AO166" i="35"/>
  <c r="AL166" i="35"/>
  <c r="AM166" i="35" s="1"/>
  <c r="AK166" i="35"/>
  <c r="AI166" i="35"/>
  <c r="AJ166" i="35" s="1"/>
  <c r="AF166" i="35"/>
  <c r="AC166" i="35"/>
  <c r="AB166" i="35"/>
  <c r="AA166" i="35"/>
  <c r="Z166" i="35"/>
  <c r="Y166" i="35"/>
  <c r="X166" i="35"/>
  <c r="W166" i="35"/>
  <c r="T166" i="35"/>
  <c r="O166" i="35"/>
  <c r="N166" i="35"/>
  <c r="M166" i="35"/>
  <c r="L166" i="35"/>
  <c r="K166" i="35"/>
  <c r="J166" i="35"/>
  <c r="I166" i="35"/>
  <c r="H166" i="35"/>
  <c r="BK165" i="35"/>
  <c r="BJ165" i="35"/>
  <c r="BI165" i="35"/>
  <c r="AR165" i="35"/>
  <c r="AQ165" i="35"/>
  <c r="BH165" i="35" s="1"/>
  <c r="AP165" i="35"/>
  <c r="AO165" i="35"/>
  <c r="AL165" i="35"/>
  <c r="AK165" i="35"/>
  <c r="AM165" i="35" s="1"/>
  <c r="AJ165" i="35"/>
  <c r="AI165" i="35"/>
  <c r="AF165" i="35"/>
  <c r="AC165" i="35"/>
  <c r="AB165" i="35"/>
  <c r="AA165" i="35"/>
  <c r="Z165" i="35"/>
  <c r="Y165" i="35"/>
  <c r="X165" i="35"/>
  <c r="W165" i="35"/>
  <c r="T165" i="35"/>
  <c r="O165" i="35"/>
  <c r="N165" i="35"/>
  <c r="M165" i="35"/>
  <c r="L165" i="35"/>
  <c r="K165" i="35"/>
  <c r="J165" i="35"/>
  <c r="I165" i="35"/>
  <c r="H165" i="35"/>
  <c r="BJ164" i="35"/>
  <c r="BI164" i="35"/>
  <c r="BH164" i="35"/>
  <c r="BA164" i="35"/>
  <c r="AY164" i="35"/>
  <c r="AX164" i="35"/>
  <c r="AW164" i="35"/>
  <c r="AV164" i="35"/>
  <c r="AR164" i="35"/>
  <c r="AQ164" i="35"/>
  <c r="AP164" i="35"/>
  <c r="BG164" i="35" s="1"/>
  <c r="AO164" i="35"/>
  <c r="AL164" i="35"/>
  <c r="AK164" i="35"/>
  <c r="AJ164" i="35"/>
  <c r="AI164" i="35"/>
  <c r="AF164" i="35"/>
  <c r="AC164" i="35"/>
  <c r="AB164" i="35"/>
  <c r="AA164" i="35"/>
  <c r="Z164" i="35"/>
  <c r="Y164" i="35"/>
  <c r="X164" i="35"/>
  <c r="T164" i="35"/>
  <c r="BK164" i="35" s="1"/>
  <c r="O164" i="35"/>
  <c r="N164" i="35"/>
  <c r="M164" i="35"/>
  <c r="L164" i="35"/>
  <c r="K164" i="35"/>
  <c r="J164" i="35"/>
  <c r="I164" i="35"/>
  <c r="H164" i="35"/>
  <c r="BJ163" i="35"/>
  <c r="BI163" i="35"/>
  <c r="BH163" i="35"/>
  <c r="BG163" i="35"/>
  <c r="BA163" i="35"/>
  <c r="AZ163" i="35"/>
  <c r="AY163" i="35"/>
  <c r="AX163" i="35"/>
  <c r="AW163" i="35"/>
  <c r="AV163" i="35"/>
  <c r="AU163" i="35"/>
  <c r="AR163" i="35"/>
  <c r="AQ163" i="35"/>
  <c r="AP163" i="35"/>
  <c r="BF163" i="35" s="1"/>
  <c r="AO163" i="35"/>
  <c r="AL163" i="35"/>
  <c r="AK163" i="35"/>
  <c r="AM163" i="35" s="1"/>
  <c r="AI163" i="35"/>
  <c r="AJ163" i="35" s="1"/>
  <c r="AF163" i="35"/>
  <c r="AC163" i="35"/>
  <c r="AB163" i="35"/>
  <c r="AA163" i="35"/>
  <c r="Z163" i="35"/>
  <c r="Y163" i="35"/>
  <c r="X163" i="35"/>
  <c r="W163" i="35"/>
  <c r="T163" i="35"/>
  <c r="BK163" i="35" s="1"/>
  <c r="O163" i="35"/>
  <c r="N163" i="35"/>
  <c r="M163" i="35"/>
  <c r="L163" i="35"/>
  <c r="K163" i="35"/>
  <c r="J163" i="35"/>
  <c r="I163" i="35"/>
  <c r="H163" i="35"/>
  <c r="BJ162" i="35"/>
  <c r="BI162" i="35"/>
  <c r="BH162" i="35"/>
  <c r="BG162" i="35"/>
  <c r="BF162" i="35"/>
  <c r="AZ162" i="35"/>
  <c r="AY162" i="35"/>
  <c r="AX162" i="35"/>
  <c r="AW162" i="35"/>
  <c r="AV162" i="35"/>
  <c r="AU162" i="35"/>
  <c r="AT162" i="35"/>
  <c r="AR162" i="35"/>
  <c r="AQ162" i="35"/>
  <c r="AP162" i="35"/>
  <c r="BE162" i="35" s="1"/>
  <c r="AO162" i="35"/>
  <c r="AL162" i="35"/>
  <c r="AM162" i="35" s="1"/>
  <c r="AK162" i="35"/>
  <c r="AJ162" i="35"/>
  <c r="AI162" i="35"/>
  <c r="AF162" i="35"/>
  <c r="AC162" i="35"/>
  <c r="AB162" i="35"/>
  <c r="AA162" i="35"/>
  <c r="Z162" i="35"/>
  <c r="Y162" i="35"/>
  <c r="X162" i="35"/>
  <c r="T162" i="35"/>
  <c r="W162" i="35" s="1"/>
  <c r="O162" i="35"/>
  <c r="N162" i="35"/>
  <c r="M162" i="35"/>
  <c r="L162" i="35"/>
  <c r="K162" i="35"/>
  <c r="J162" i="35"/>
  <c r="I162" i="35"/>
  <c r="H162" i="35"/>
  <c r="BK161" i="35"/>
  <c r="BJ161" i="35"/>
  <c r="BI161" i="35"/>
  <c r="BH161" i="35"/>
  <c r="BG161" i="35"/>
  <c r="BF161" i="35"/>
  <c r="BE161" i="35"/>
  <c r="AY161" i="35"/>
  <c r="AX161" i="35"/>
  <c r="AW161" i="35"/>
  <c r="AV161" i="35"/>
  <c r="AU161" i="35"/>
  <c r="AT161" i="35"/>
  <c r="AS161" i="35"/>
  <c r="AR161" i="35"/>
  <c r="AQ161" i="35"/>
  <c r="AP161" i="35"/>
  <c r="BD161" i="35" s="1"/>
  <c r="AO161" i="35"/>
  <c r="AL161" i="35"/>
  <c r="AK161" i="35"/>
  <c r="AM161" i="35" s="1"/>
  <c r="AI161" i="35"/>
  <c r="AJ161" i="35" s="1"/>
  <c r="AF161" i="35"/>
  <c r="AC161" i="35"/>
  <c r="AB161" i="35"/>
  <c r="AA161" i="35"/>
  <c r="Z161" i="35"/>
  <c r="Y161" i="35"/>
  <c r="X161" i="35"/>
  <c r="W161" i="35"/>
  <c r="T161" i="35"/>
  <c r="O161" i="35"/>
  <c r="N161" i="35"/>
  <c r="M161" i="35"/>
  <c r="L161" i="35"/>
  <c r="K161" i="35"/>
  <c r="J161" i="35"/>
  <c r="I161" i="35"/>
  <c r="H161" i="35"/>
  <c r="BJ160" i="35"/>
  <c r="BI160" i="35"/>
  <c r="BH160" i="35"/>
  <c r="BG160" i="35"/>
  <c r="BF160" i="35"/>
  <c r="BE160" i="35"/>
  <c r="BD160" i="35"/>
  <c r="AX160" i="35"/>
  <c r="AW160" i="35"/>
  <c r="AV160" i="35"/>
  <c r="AU160" i="35"/>
  <c r="AT160" i="35"/>
  <c r="AS160" i="35"/>
  <c r="AR160" i="35"/>
  <c r="AQ160" i="35"/>
  <c r="AP160" i="35"/>
  <c r="BC160" i="35" s="1"/>
  <c r="AO160" i="35"/>
  <c r="AL160" i="35"/>
  <c r="AK160" i="35"/>
  <c r="AM160" i="35" s="1"/>
  <c r="AJ160" i="35"/>
  <c r="AI160" i="35"/>
  <c r="AF160" i="35"/>
  <c r="AC160" i="35"/>
  <c r="AB160" i="35"/>
  <c r="AA160" i="35"/>
  <c r="Z160" i="35"/>
  <c r="Y160" i="35"/>
  <c r="X160" i="35"/>
  <c r="W160" i="35"/>
  <c r="T160" i="35"/>
  <c r="BK160" i="35" s="1"/>
  <c r="O160" i="35"/>
  <c r="N160" i="35"/>
  <c r="M160" i="35"/>
  <c r="L160" i="35"/>
  <c r="K160" i="35"/>
  <c r="J160" i="35"/>
  <c r="I160" i="35"/>
  <c r="H160" i="35"/>
  <c r="BJ159" i="35"/>
  <c r="BI159" i="35"/>
  <c r="BG159" i="35"/>
  <c r="BF159" i="35"/>
  <c r="BE159" i="35"/>
  <c r="BD159" i="35"/>
  <c r="BC159" i="35"/>
  <c r="AW159" i="35"/>
  <c r="AV159" i="35"/>
  <c r="AU159" i="35"/>
  <c r="AT159" i="35"/>
  <c r="AS159" i="35"/>
  <c r="AR159" i="35"/>
  <c r="AQ159" i="35"/>
  <c r="BH159" i="35" s="1"/>
  <c r="AP159" i="35"/>
  <c r="BB159" i="35" s="1"/>
  <c r="AO159" i="35"/>
  <c r="AM159" i="35"/>
  <c r="AL159" i="35"/>
  <c r="AK159" i="35"/>
  <c r="AJ159" i="35"/>
  <c r="AI159" i="35"/>
  <c r="AF159" i="35"/>
  <c r="AC159" i="35"/>
  <c r="AB159" i="35"/>
  <c r="AA159" i="35"/>
  <c r="Z159" i="35"/>
  <c r="Y159" i="35"/>
  <c r="X159" i="35"/>
  <c r="T159" i="35"/>
  <c r="O159" i="35"/>
  <c r="N159" i="35"/>
  <c r="M159" i="35"/>
  <c r="L159" i="35"/>
  <c r="K159" i="35"/>
  <c r="J159" i="35"/>
  <c r="I159" i="35"/>
  <c r="H159" i="35"/>
  <c r="BJ158" i="35"/>
  <c r="BI158" i="35"/>
  <c r="BH158" i="35"/>
  <c r="BE158" i="35"/>
  <c r="BD158" i="35"/>
  <c r="AR158" i="35"/>
  <c r="AQ158" i="35"/>
  <c r="AP158" i="35"/>
  <c r="BG158" i="35" s="1"/>
  <c r="AO158" i="35"/>
  <c r="AL158" i="35"/>
  <c r="AK158" i="35"/>
  <c r="AM158" i="35" s="1"/>
  <c r="AI158" i="35"/>
  <c r="AJ158" i="35" s="1"/>
  <c r="AF158" i="35"/>
  <c r="AC158" i="35"/>
  <c r="AB158" i="35"/>
  <c r="AA158" i="35"/>
  <c r="Z158" i="35"/>
  <c r="Y158" i="35"/>
  <c r="X158" i="35"/>
  <c r="T158" i="35"/>
  <c r="BK158" i="35" s="1"/>
  <c r="O158" i="35"/>
  <c r="N158" i="35"/>
  <c r="M158" i="35"/>
  <c r="L158" i="35"/>
  <c r="K158" i="35"/>
  <c r="J158" i="35"/>
  <c r="I158" i="35"/>
  <c r="H158" i="35"/>
  <c r="BJ157" i="35"/>
  <c r="BI157" i="35"/>
  <c r="BG157" i="35"/>
  <c r="BF157" i="35"/>
  <c r="BD157" i="35"/>
  <c r="BC157" i="35"/>
  <c r="BB157" i="35"/>
  <c r="AU157" i="35"/>
  <c r="AT157" i="35"/>
  <c r="AR157" i="35"/>
  <c r="AQ157" i="35"/>
  <c r="BH157" i="35" s="1"/>
  <c r="AP157" i="35"/>
  <c r="AO157" i="35"/>
  <c r="AL157" i="35"/>
  <c r="AK157" i="35"/>
  <c r="AM157" i="35" s="1"/>
  <c r="AI157" i="35"/>
  <c r="AJ157" i="35" s="1"/>
  <c r="AF157" i="35"/>
  <c r="AC157" i="35"/>
  <c r="AB157" i="35"/>
  <c r="AA157" i="35"/>
  <c r="Z157" i="35"/>
  <c r="Y157" i="35"/>
  <c r="X157" i="35"/>
  <c r="T157" i="35"/>
  <c r="BK157" i="35" s="1"/>
  <c r="O157" i="35"/>
  <c r="N157" i="35"/>
  <c r="M157" i="35"/>
  <c r="L157" i="35"/>
  <c r="K157" i="35"/>
  <c r="J157" i="35"/>
  <c r="I157" i="35"/>
  <c r="H157" i="35"/>
  <c r="BJ156" i="35"/>
  <c r="BI156" i="35"/>
  <c r="BF156" i="35"/>
  <c r="BE156" i="35"/>
  <c r="BC156" i="35"/>
  <c r="BB156" i="35"/>
  <c r="BA156" i="35"/>
  <c r="AZ156" i="35"/>
  <c r="AT156" i="35"/>
  <c r="AR156" i="35"/>
  <c r="AQ156" i="35"/>
  <c r="BH156" i="35" s="1"/>
  <c r="AP156" i="35"/>
  <c r="AO156" i="35"/>
  <c r="AM156" i="35"/>
  <c r="AL156" i="35"/>
  <c r="AK156" i="35"/>
  <c r="AI156" i="35"/>
  <c r="AJ156" i="35" s="1"/>
  <c r="AF156" i="35"/>
  <c r="AC156" i="35"/>
  <c r="AB156" i="35"/>
  <c r="AA156" i="35"/>
  <c r="Z156" i="35"/>
  <c r="Y156" i="35"/>
  <c r="X156" i="35"/>
  <c r="T156" i="35"/>
  <c r="BK156" i="35" s="1"/>
  <c r="O156" i="35"/>
  <c r="N156" i="35"/>
  <c r="M156" i="35"/>
  <c r="L156" i="35"/>
  <c r="K156" i="35"/>
  <c r="J156" i="35"/>
  <c r="I156" i="35"/>
  <c r="H156" i="35"/>
  <c r="BK155" i="35"/>
  <c r="BJ155" i="35"/>
  <c r="BI155" i="35"/>
  <c r="BD155" i="35"/>
  <c r="BB155" i="35"/>
  <c r="BA155" i="35"/>
  <c r="AZ155" i="35"/>
  <c r="AY155" i="35"/>
  <c r="AR155" i="35"/>
  <c r="AQ155" i="35"/>
  <c r="BH155" i="35" s="1"/>
  <c r="AP155" i="35"/>
  <c r="AO155" i="35"/>
  <c r="AL155" i="35"/>
  <c r="AM155" i="35" s="1"/>
  <c r="AK155" i="35"/>
  <c r="AI155" i="35"/>
  <c r="AJ155" i="35" s="1"/>
  <c r="AF155" i="35"/>
  <c r="AC155" i="35"/>
  <c r="AB155" i="35"/>
  <c r="AA155" i="35"/>
  <c r="Z155" i="35"/>
  <c r="Y155" i="35"/>
  <c r="X155" i="35"/>
  <c r="T155" i="35"/>
  <c r="W155" i="35" s="1"/>
  <c r="O155" i="35"/>
  <c r="N155" i="35"/>
  <c r="M155" i="35"/>
  <c r="L155" i="35"/>
  <c r="K155" i="35"/>
  <c r="J155" i="35"/>
  <c r="I155" i="35"/>
  <c r="H155" i="35"/>
  <c r="BK154" i="35"/>
  <c r="BJ154" i="35"/>
  <c r="BI154" i="35"/>
  <c r="BC154" i="35"/>
  <c r="BA154" i="35"/>
  <c r="AZ154" i="35"/>
  <c r="AY154" i="35"/>
  <c r="AX154" i="35"/>
  <c r="AR154" i="35"/>
  <c r="AQ154" i="35"/>
  <c r="BH154" i="35" s="1"/>
  <c r="AP154" i="35"/>
  <c r="AW154" i="35" s="1"/>
  <c r="AO154" i="35"/>
  <c r="AL154" i="35"/>
  <c r="AK154" i="35"/>
  <c r="AM154" i="35" s="1"/>
  <c r="AJ154" i="35"/>
  <c r="AI154" i="35"/>
  <c r="AF154" i="35"/>
  <c r="AC154" i="35"/>
  <c r="AB154" i="35"/>
  <c r="AA154" i="35"/>
  <c r="Z154" i="35"/>
  <c r="Y154" i="35"/>
  <c r="X154" i="35"/>
  <c r="W154" i="35"/>
  <c r="T154" i="35"/>
  <c r="O154" i="35"/>
  <c r="N154" i="35"/>
  <c r="M154" i="35"/>
  <c r="L154" i="35"/>
  <c r="K154" i="35"/>
  <c r="J154" i="35"/>
  <c r="I154" i="35"/>
  <c r="H154" i="35"/>
  <c r="BJ153" i="35"/>
  <c r="BI153" i="35"/>
  <c r="BC153" i="35"/>
  <c r="BA153" i="35"/>
  <c r="AZ153" i="35"/>
  <c r="AY153" i="35"/>
  <c r="AX153" i="35"/>
  <c r="AW153" i="35"/>
  <c r="AR153" i="35"/>
  <c r="AQ153" i="35"/>
  <c r="BH153" i="35" s="1"/>
  <c r="AP153" i="35"/>
  <c r="BB153" i="35" s="1"/>
  <c r="AO153" i="35"/>
  <c r="AL153" i="35"/>
  <c r="AK153" i="35"/>
  <c r="AM153" i="35" s="1"/>
  <c r="AJ153" i="35"/>
  <c r="AI153" i="35"/>
  <c r="AF153" i="35"/>
  <c r="AC153" i="35"/>
  <c r="AB153" i="35"/>
  <c r="AA153" i="35"/>
  <c r="Z153" i="35"/>
  <c r="Y153" i="35"/>
  <c r="X153" i="35"/>
  <c r="T153" i="35"/>
  <c r="BK153" i="35" s="1"/>
  <c r="O153" i="35"/>
  <c r="N153" i="35"/>
  <c r="M153" i="35"/>
  <c r="L153" i="35"/>
  <c r="K153" i="35"/>
  <c r="J153" i="35"/>
  <c r="I153" i="35"/>
  <c r="H153" i="35"/>
  <c r="BK152" i="35"/>
  <c r="BJ152" i="35"/>
  <c r="BI152" i="35"/>
  <c r="BH152" i="35"/>
  <c r="BA152" i="35"/>
  <c r="AZ152" i="35"/>
  <c r="AY152" i="35"/>
  <c r="AW152" i="35"/>
  <c r="AV152" i="35"/>
  <c r="AR152" i="35"/>
  <c r="AQ152" i="35"/>
  <c r="AP152" i="35"/>
  <c r="BB152" i="35" s="1"/>
  <c r="AO152" i="35"/>
  <c r="AL152" i="35"/>
  <c r="AK152" i="35"/>
  <c r="AM152" i="35" s="1"/>
  <c r="AI152" i="35"/>
  <c r="AJ152" i="35" s="1"/>
  <c r="AF152" i="35"/>
  <c r="AC152" i="35"/>
  <c r="AB152" i="35"/>
  <c r="AA152" i="35"/>
  <c r="Z152" i="35"/>
  <c r="Y152" i="35"/>
  <c r="X152" i="35"/>
  <c r="W152" i="35"/>
  <c r="T152" i="35"/>
  <c r="O152" i="35"/>
  <c r="N152" i="35"/>
  <c r="M152" i="35"/>
  <c r="L152" i="35"/>
  <c r="K152" i="35"/>
  <c r="J152" i="35"/>
  <c r="I152" i="35"/>
  <c r="H152" i="35"/>
  <c r="BK151" i="35"/>
  <c r="BJ151" i="35"/>
  <c r="BI151" i="35"/>
  <c r="BH151" i="35"/>
  <c r="BA151" i="35"/>
  <c r="AZ151" i="35"/>
  <c r="AY151" i="35"/>
  <c r="AX151" i="35"/>
  <c r="AW151" i="35"/>
  <c r="AV151" i="35"/>
  <c r="AU151" i="35"/>
  <c r="AR151" i="35"/>
  <c r="AQ151" i="35"/>
  <c r="AP151" i="35"/>
  <c r="AO151" i="35"/>
  <c r="AL151" i="35"/>
  <c r="AK151" i="35"/>
  <c r="AM151" i="35" s="1"/>
  <c r="AI151" i="35"/>
  <c r="AJ151" i="35" s="1"/>
  <c r="BG151" i="35" s="1"/>
  <c r="AF151" i="35"/>
  <c r="AC151" i="35"/>
  <c r="AB151" i="35"/>
  <c r="AA151" i="35"/>
  <c r="Z151" i="35"/>
  <c r="Y151" i="35"/>
  <c r="X151" i="35"/>
  <c r="W151" i="35"/>
  <c r="T151" i="35"/>
  <c r="O151" i="35"/>
  <c r="N151" i="35"/>
  <c r="M151" i="35"/>
  <c r="L151" i="35"/>
  <c r="K151" i="35"/>
  <c r="J151" i="35"/>
  <c r="I151" i="35"/>
  <c r="H151" i="35"/>
  <c r="BJ150" i="35"/>
  <c r="BI150" i="35"/>
  <c r="BF150" i="35"/>
  <c r="BC150" i="35"/>
  <c r="BA150" i="35"/>
  <c r="AZ150" i="35"/>
  <c r="AY150" i="35"/>
  <c r="AX150" i="35"/>
  <c r="AW150" i="35"/>
  <c r="AV150" i="35"/>
  <c r="AU150" i="35"/>
  <c r="AT150" i="35"/>
  <c r="AR150" i="35"/>
  <c r="AQ150" i="35"/>
  <c r="BH150" i="35" s="1"/>
  <c r="AP150" i="35"/>
  <c r="BE150" i="35" s="1"/>
  <c r="AO150" i="35"/>
  <c r="AL150" i="35"/>
  <c r="AK150" i="35"/>
  <c r="BD150" i="35" s="1"/>
  <c r="AJ150" i="35"/>
  <c r="BG150" i="35" s="1"/>
  <c r="AI150" i="35"/>
  <c r="AF150" i="35"/>
  <c r="AC150" i="35"/>
  <c r="AB150" i="35"/>
  <c r="AA150" i="35"/>
  <c r="Z150" i="35"/>
  <c r="Y150" i="35"/>
  <c r="X150" i="35"/>
  <c r="T150" i="35"/>
  <c r="O150" i="35"/>
  <c r="N150" i="35"/>
  <c r="M150" i="35"/>
  <c r="L150" i="35"/>
  <c r="K150" i="35"/>
  <c r="J150" i="35"/>
  <c r="I150" i="35"/>
  <c r="H150" i="35"/>
  <c r="BJ149" i="35"/>
  <c r="BI149" i="35"/>
  <c r="BH149" i="35"/>
  <c r="BE149" i="35"/>
  <c r="AX149" i="35"/>
  <c r="AW149" i="35"/>
  <c r="AV149" i="35"/>
  <c r="AT149" i="35"/>
  <c r="AS149" i="35"/>
  <c r="AR149" i="35"/>
  <c r="AQ149" i="35"/>
  <c r="AP149" i="35"/>
  <c r="BD149" i="35" s="1"/>
  <c r="AO149" i="35"/>
  <c r="AL149" i="35"/>
  <c r="AK149" i="35"/>
  <c r="AM149" i="35" s="1"/>
  <c r="AI149" i="35"/>
  <c r="AJ149" i="35" s="1"/>
  <c r="AF149" i="35"/>
  <c r="AC149" i="35"/>
  <c r="AB149" i="35"/>
  <c r="AA149" i="35"/>
  <c r="Z149" i="35"/>
  <c r="Y149" i="35"/>
  <c r="X149" i="35"/>
  <c r="W149" i="35"/>
  <c r="T149" i="35"/>
  <c r="BK149" i="35" s="1"/>
  <c r="O149" i="35"/>
  <c r="N149" i="35"/>
  <c r="M149" i="35"/>
  <c r="L149" i="35"/>
  <c r="K149" i="35"/>
  <c r="J149" i="35"/>
  <c r="I149" i="35"/>
  <c r="H149" i="35"/>
  <c r="BJ148" i="35"/>
  <c r="BI148" i="35"/>
  <c r="BH148" i="35"/>
  <c r="BG148" i="35"/>
  <c r="BE148" i="35"/>
  <c r="BD148" i="35"/>
  <c r="BA148" i="35"/>
  <c r="AY148" i="35"/>
  <c r="AW148" i="35"/>
  <c r="AV148" i="35"/>
  <c r="AU148" i="35"/>
  <c r="AT148" i="35"/>
  <c r="AS148" i="35"/>
  <c r="AR148" i="35"/>
  <c r="AQ148" i="35"/>
  <c r="AP148" i="35"/>
  <c r="BC148" i="35" s="1"/>
  <c r="AO148" i="35"/>
  <c r="AL148" i="35"/>
  <c r="AK148" i="35"/>
  <c r="AM148" i="35" s="1"/>
  <c r="AJ148" i="35"/>
  <c r="AI148" i="35"/>
  <c r="BF148" i="35" s="1"/>
  <c r="AF148" i="35"/>
  <c r="AC148" i="35"/>
  <c r="AB148" i="35"/>
  <c r="AA148" i="35"/>
  <c r="Z148" i="35"/>
  <c r="Y148" i="35"/>
  <c r="X148" i="35"/>
  <c r="T148" i="35"/>
  <c r="BK148" i="35" s="1"/>
  <c r="O148" i="35"/>
  <c r="N148" i="35"/>
  <c r="M148" i="35"/>
  <c r="L148" i="35"/>
  <c r="K148" i="35"/>
  <c r="J148" i="35"/>
  <c r="I148" i="35"/>
  <c r="H148" i="35"/>
  <c r="BJ147" i="35"/>
  <c r="BI147" i="35"/>
  <c r="BH147" i="35"/>
  <c r="BF147" i="35"/>
  <c r="BE147" i="35"/>
  <c r="BD147" i="35"/>
  <c r="BC147" i="35"/>
  <c r="BA147" i="35"/>
  <c r="AZ147" i="35"/>
  <c r="AX147" i="35"/>
  <c r="AW147" i="35"/>
  <c r="AV147" i="35"/>
  <c r="AU147" i="35"/>
  <c r="AT147" i="35"/>
  <c r="AS147" i="35"/>
  <c r="AR147" i="35"/>
  <c r="AQ147" i="35"/>
  <c r="AP147" i="35"/>
  <c r="BB147" i="35" s="1"/>
  <c r="AO147" i="35"/>
  <c r="AM147" i="35"/>
  <c r="AL147" i="35"/>
  <c r="AK147" i="35"/>
  <c r="AI147" i="35"/>
  <c r="AJ147" i="35" s="1"/>
  <c r="BG147" i="35" s="1"/>
  <c r="AF147" i="35"/>
  <c r="AC147" i="35"/>
  <c r="AB147" i="35"/>
  <c r="AA147" i="35"/>
  <c r="Z147" i="35"/>
  <c r="Y147" i="35"/>
  <c r="X147" i="35"/>
  <c r="W147" i="35"/>
  <c r="T147" i="35"/>
  <c r="BK147" i="35" s="1"/>
  <c r="O147" i="35"/>
  <c r="N147" i="35"/>
  <c r="M147" i="35"/>
  <c r="L147" i="35"/>
  <c r="K147" i="35"/>
  <c r="J147" i="35"/>
  <c r="I147" i="35"/>
  <c r="H147" i="35"/>
  <c r="BK146" i="35"/>
  <c r="BJ146" i="35"/>
  <c r="BI146" i="35"/>
  <c r="BG146" i="35"/>
  <c r="BE146" i="35"/>
  <c r="BC146" i="35"/>
  <c r="AU146" i="35"/>
  <c r="AS146" i="35"/>
  <c r="AR146" i="35"/>
  <c r="AQ146" i="35"/>
  <c r="BH146" i="35" s="1"/>
  <c r="AP146" i="35"/>
  <c r="BA146" i="35" s="1"/>
  <c r="AO146" i="35"/>
  <c r="AL146" i="35"/>
  <c r="AM146" i="35" s="1"/>
  <c r="AK146" i="35"/>
  <c r="AJ146" i="35"/>
  <c r="AI146" i="35"/>
  <c r="AF146" i="35"/>
  <c r="AC146" i="35"/>
  <c r="AB146" i="35"/>
  <c r="AA146" i="35"/>
  <c r="Z146" i="35"/>
  <c r="Y146" i="35"/>
  <c r="X146" i="35"/>
  <c r="T146" i="35"/>
  <c r="W146" i="35" s="1"/>
  <c r="O146" i="35"/>
  <c r="N146" i="35"/>
  <c r="M146" i="35"/>
  <c r="L146" i="35"/>
  <c r="K146" i="35"/>
  <c r="J146" i="35"/>
  <c r="I146" i="35"/>
  <c r="H146" i="35"/>
  <c r="BK145" i="35"/>
  <c r="BJ145" i="35"/>
  <c r="BI145" i="35"/>
  <c r="BD145" i="35"/>
  <c r="BB145" i="35"/>
  <c r="AR145" i="35"/>
  <c r="AQ145" i="35"/>
  <c r="BH145" i="35" s="1"/>
  <c r="AP145" i="35"/>
  <c r="AO145" i="35"/>
  <c r="AL145" i="35"/>
  <c r="AK145" i="35"/>
  <c r="AM145" i="35" s="1"/>
  <c r="AI145" i="35"/>
  <c r="AJ145" i="35" s="1"/>
  <c r="AF145" i="35"/>
  <c r="AC145" i="35"/>
  <c r="AB145" i="35"/>
  <c r="AA145" i="35"/>
  <c r="Z145" i="35"/>
  <c r="Y145" i="35"/>
  <c r="X145" i="35"/>
  <c r="W145" i="35"/>
  <c r="T145" i="35"/>
  <c r="O145" i="35"/>
  <c r="N145" i="35"/>
  <c r="M145" i="35"/>
  <c r="L145" i="35"/>
  <c r="K145" i="35"/>
  <c r="J145" i="35"/>
  <c r="I145" i="35"/>
  <c r="H145" i="35"/>
  <c r="BJ144" i="35"/>
  <c r="BI144" i="35"/>
  <c r="BE144" i="35"/>
  <c r="BD144" i="35"/>
  <c r="BC144" i="35"/>
  <c r="BA144" i="35"/>
  <c r="AZ144" i="35"/>
  <c r="AW144" i="35"/>
  <c r="AS144" i="35"/>
  <c r="AR144" i="35"/>
  <c r="AQ144" i="35"/>
  <c r="BH144" i="35" s="1"/>
  <c r="AP144" i="35"/>
  <c r="AY144" i="35" s="1"/>
  <c r="AO144" i="35"/>
  <c r="AM144" i="35"/>
  <c r="AL144" i="35"/>
  <c r="AK144" i="35"/>
  <c r="AJ144" i="35"/>
  <c r="AI144" i="35"/>
  <c r="AF144" i="35"/>
  <c r="AC144" i="35"/>
  <c r="AB144" i="35"/>
  <c r="AA144" i="35"/>
  <c r="Z144" i="35"/>
  <c r="Y144" i="35"/>
  <c r="X144" i="35"/>
  <c r="T144" i="35"/>
  <c r="BK144" i="35" s="1"/>
  <c r="O144" i="35"/>
  <c r="N144" i="35"/>
  <c r="M144" i="35"/>
  <c r="L144" i="35"/>
  <c r="K144" i="35"/>
  <c r="J144" i="35"/>
  <c r="I144" i="35"/>
  <c r="H144" i="35"/>
  <c r="BK143" i="35"/>
  <c r="BJ143" i="35"/>
  <c r="BI143" i="35"/>
  <c r="BB143" i="35"/>
  <c r="AZ143" i="35"/>
  <c r="AR143" i="35"/>
  <c r="AQ143" i="35"/>
  <c r="BH143" i="35" s="1"/>
  <c r="AP143" i="35"/>
  <c r="AO143" i="35"/>
  <c r="AM143" i="35"/>
  <c r="AL143" i="35"/>
  <c r="AK143" i="35"/>
  <c r="AI143" i="35"/>
  <c r="AJ143" i="35" s="1"/>
  <c r="AF143" i="35"/>
  <c r="AC143" i="35"/>
  <c r="AB143" i="35"/>
  <c r="AA143" i="35"/>
  <c r="Z143" i="35"/>
  <c r="Y143" i="35"/>
  <c r="X143" i="35"/>
  <c r="T143" i="35"/>
  <c r="W143" i="35" s="1"/>
  <c r="O143" i="35"/>
  <c r="N143" i="35"/>
  <c r="M143" i="35"/>
  <c r="L143" i="35"/>
  <c r="K143" i="35"/>
  <c r="J143" i="35"/>
  <c r="I143" i="35"/>
  <c r="H143" i="35"/>
  <c r="BK142" i="35"/>
  <c r="BJ142" i="35"/>
  <c r="BI142" i="35"/>
  <c r="BC142" i="35"/>
  <c r="BA142" i="35"/>
  <c r="AY142" i="35"/>
  <c r="AX142" i="35"/>
  <c r="AR142" i="35"/>
  <c r="AQ142" i="35"/>
  <c r="BH142" i="35" s="1"/>
  <c r="AP142" i="35"/>
  <c r="AW142" i="35" s="1"/>
  <c r="AO142" i="35"/>
  <c r="AL142" i="35"/>
  <c r="AK142" i="35"/>
  <c r="AM142" i="35" s="1"/>
  <c r="AI142" i="35"/>
  <c r="AJ142" i="35" s="1"/>
  <c r="AF142" i="35"/>
  <c r="AC142" i="35"/>
  <c r="AB142" i="35"/>
  <c r="AA142" i="35"/>
  <c r="Z142" i="35"/>
  <c r="Y142" i="35"/>
  <c r="X142" i="35"/>
  <c r="W142" i="35"/>
  <c r="T142" i="35"/>
  <c r="O142" i="35"/>
  <c r="N142" i="35"/>
  <c r="M142" i="35"/>
  <c r="L142" i="35"/>
  <c r="K142" i="35"/>
  <c r="J142" i="35"/>
  <c r="I142" i="35"/>
  <c r="H142" i="35"/>
  <c r="BJ141" i="35"/>
  <c r="BI141" i="35"/>
  <c r="AZ141" i="35"/>
  <c r="AX141" i="35"/>
  <c r="AR141" i="35"/>
  <c r="AQ141" i="35"/>
  <c r="BH141" i="35" s="1"/>
  <c r="AP141" i="35"/>
  <c r="AV141" i="35" s="1"/>
  <c r="AO141" i="35"/>
  <c r="AL141" i="35"/>
  <c r="AK141" i="35"/>
  <c r="AM141" i="35" s="1"/>
  <c r="AJ141" i="35"/>
  <c r="AI141" i="35"/>
  <c r="AF141" i="35"/>
  <c r="AC141" i="35"/>
  <c r="AB141" i="35"/>
  <c r="AA141" i="35"/>
  <c r="Z141" i="35"/>
  <c r="Y141" i="35"/>
  <c r="X141" i="35"/>
  <c r="W141" i="35"/>
  <c r="T141" i="35"/>
  <c r="BK141" i="35" s="1"/>
  <c r="O141" i="35"/>
  <c r="N141" i="35"/>
  <c r="M141" i="35"/>
  <c r="L141" i="35"/>
  <c r="K141" i="35"/>
  <c r="J141" i="35"/>
  <c r="I141" i="35"/>
  <c r="H141" i="35"/>
  <c r="BK140" i="35"/>
  <c r="BJ140" i="35"/>
  <c r="BI140" i="35"/>
  <c r="BH140" i="35"/>
  <c r="BC140" i="35"/>
  <c r="BA140" i="35"/>
  <c r="AZ140" i="35"/>
  <c r="AY140" i="35"/>
  <c r="AX140" i="35"/>
  <c r="AW140" i="35"/>
  <c r="AV140" i="35"/>
  <c r="AT140" i="35"/>
  <c r="AS140" i="35"/>
  <c r="AR140" i="35"/>
  <c r="AQ140" i="35"/>
  <c r="AP140" i="35"/>
  <c r="AO140" i="35"/>
  <c r="AL140" i="35"/>
  <c r="AK140" i="35"/>
  <c r="AJ140" i="35"/>
  <c r="AI140" i="35"/>
  <c r="BF140" i="35" s="1"/>
  <c r="AF140" i="35"/>
  <c r="AC140" i="35"/>
  <c r="AB140" i="35"/>
  <c r="AA140" i="35"/>
  <c r="Z140" i="35"/>
  <c r="Y140" i="35"/>
  <c r="X140" i="35"/>
  <c r="T140" i="35"/>
  <c r="W140" i="35" s="1"/>
  <c r="O140" i="35"/>
  <c r="N140" i="35"/>
  <c r="M140" i="35"/>
  <c r="L140" i="35"/>
  <c r="K140" i="35"/>
  <c r="J140" i="35"/>
  <c r="I140" i="35"/>
  <c r="H140" i="35"/>
  <c r="BK139" i="35"/>
  <c r="BJ139" i="35"/>
  <c r="BI139" i="35"/>
  <c r="BH139" i="35"/>
  <c r="AZ139" i="35"/>
  <c r="AY139" i="35"/>
  <c r="AX139" i="35"/>
  <c r="AW139" i="35"/>
  <c r="AV139" i="35"/>
  <c r="AU139" i="35"/>
  <c r="AR139" i="35"/>
  <c r="AQ139" i="35"/>
  <c r="AP139" i="35"/>
  <c r="BF139" i="35" s="1"/>
  <c r="AO139" i="35"/>
  <c r="AL139" i="35"/>
  <c r="AK139" i="35"/>
  <c r="AI139" i="35"/>
  <c r="AJ139" i="35" s="1"/>
  <c r="BG139" i="35" s="1"/>
  <c r="AF139" i="35"/>
  <c r="AC139" i="35"/>
  <c r="AB139" i="35"/>
  <c r="AA139" i="35"/>
  <c r="Z139" i="35"/>
  <c r="Y139" i="35"/>
  <c r="X139" i="35"/>
  <c r="W139" i="35"/>
  <c r="T139" i="35"/>
  <c r="O139" i="35"/>
  <c r="N139" i="35"/>
  <c r="M139" i="35"/>
  <c r="L139" i="35"/>
  <c r="K139" i="35"/>
  <c r="J139" i="35"/>
  <c r="I139" i="35"/>
  <c r="H139" i="35"/>
  <c r="BJ138" i="35"/>
  <c r="BI138" i="35"/>
  <c r="BF138" i="35"/>
  <c r="BC138" i="35"/>
  <c r="BA138" i="35"/>
  <c r="AZ138" i="35"/>
  <c r="AY138" i="35"/>
  <c r="AX138" i="35"/>
  <c r="AW138" i="35"/>
  <c r="AV138" i="35"/>
  <c r="AU138" i="35"/>
  <c r="AT138" i="35"/>
  <c r="AR138" i="35"/>
  <c r="AQ138" i="35"/>
  <c r="BH138" i="35" s="1"/>
  <c r="AP138" i="35"/>
  <c r="BE138" i="35" s="1"/>
  <c r="AO138" i="35"/>
  <c r="AL138" i="35"/>
  <c r="AK138" i="35"/>
  <c r="BD138" i="35" s="1"/>
  <c r="AJ138" i="35"/>
  <c r="BG138" i="35" s="1"/>
  <c r="AI138" i="35"/>
  <c r="AF138" i="35"/>
  <c r="AC138" i="35"/>
  <c r="AB138" i="35"/>
  <c r="AA138" i="35"/>
  <c r="Z138" i="35"/>
  <c r="Y138" i="35"/>
  <c r="X138" i="35"/>
  <c r="T138" i="35"/>
  <c r="O138" i="35"/>
  <c r="N138" i="35"/>
  <c r="M138" i="35"/>
  <c r="L138" i="35"/>
  <c r="K138" i="35"/>
  <c r="J138" i="35"/>
  <c r="I138" i="35"/>
  <c r="H138" i="35"/>
  <c r="BJ137" i="35"/>
  <c r="BI137" i="35"/>
  <c r="BH137" i="35"/>
  <c r="BE137" i="35"/>
  <c r="AX137" i="35"/>
  <c r="AW137" i="35"/>
  <c r="AV137" i="35"/>
  <c r="AT137" i="35"/>
  <c r="AS137" i="35"/>
  <c r="AR137" i="35"/>
  <c r="AQ137" i="35"/>
  <c r="AP137" i="35"/>
  <c r="BD137" i="35" s="1"/>
  <c r="AO137" i="35"/>
  <c r="AL137" i="35"/>
  <c r="AK137" i="35"/>
  <c r="AM137" i="35" s="1"/>
  <c r="AI137" i="35"/>
  <c r="AJ137" i="35" s="1"/>
  <c r="AF137" i="35"/>
  <c r="AC137" i="35"/>
  <c r="AB137" i="35"/>
  <c r="AA137" i="35"/>
  <c r="Z137" i="35"/>
  <c r="Y137" i="35"/>
  <c r="X137" i="35"/>
  <c r="W137" i="35"/>
  <c r="T137" i="35"/>
  <c r="BK137" i="35" s="1"/>
  <c r="O137" i="35"/>
  <c r="N137" i="35"/>
  <c r="M137" i="35"/>
  <c r="L137" i="35"/>
  <c r="K137" i="35"/>
  <c r="J137" i="35"/>
  <c r="I137" i="35"/>
  <c r="H137" i="35"/>
  <c r="BJ136" i="35"/>
  <c r="BI136" i="35"/>
  <c r="BH136" i="35"/>
  <c r="BG136" i="35"/>
  <c r="BE136" i="35"/>
  <c r="BD136" i="35"/>
  <c r="BA136" i="35"/>
  <c r="AY136" i="35"/>
  <c r="AW136" i="35"/>
  <c r="AV136" i="35"/>
  <c r="AU136" i="35"/>
  <c r="AT136" i="35"/>
  <c r="AS136" i="35"/>
  <c r="AR136" i="35"/>
  <c r="AQ136" i="35"/>
  <c r="AP136" i="35"/>
  <c r="BC136" i="35" s="1"/>
  <c r="AO136" i="35"/>
  <c r="AL136" i="35"/>
  <c r="AK136" i="35"/>
  <c r="AM136" i="35" s="1"/>
  <c r="AJ136" i="35"/>
  <c r="AI136" i="35"/>
  <c r="BF136" i="35" s="1"/>
  <c r="AF136" i="35"/>
  <c r="AC136" i="35"/>
  <c r="AB136" i="35"/>
  <c r="AA136" i="35"/>
  <c r="Z136" i="35"/>
  <c r="Y136" i="35"/>
  <c r="X136" i="35"/>
  <c r="T136" i="35"/>
  <c r="BK136" i="35" s="1"/>
  <c r="O136" i="35"/>
  <c r="N136" i="35"/>
  <c r="M136" i="35"/>
  <c r="L136" i="35"/>
  <c r="K136" i="35"/>
  <c r="J136" i="35"/>
  <c r="I136" i="35"/>
  <c r="H136" i="35"/>
  <c r="BJ135" i="35"/>
  <c r="BI135" i="35"/>
  <c r="BH135" i="35"/>
  <c r="BF135" i="35"/>
  <c r="BE135" i="35"/>
  <c r="BD135" i="35"/>
  <c r="BC135" i="35"/>
  <c r="BA135" i="35"/>
  <c r="AZ135" i="35"/>
  <c r="AX135" i="35"/>
  <c r="AW135" i="35"/>
  <c r="AV135" i="35"/>
  <c r="AU135" i="35"/>
  <c r="AT135" i="35"/>
  <c r="AS135" i="35"/>
  <c r="AR135" i="35"/>
  <c r="AQ135" i="35"/>
  <c r="AP135" i="35"/>
  <c r="BB135" i="35" s="1"/>
  <c r="AO135" i="35"/>
  <c r="AM135" i="35"/>
  <c r="AL135" i="35"/>
  <c r="AK135" i="35"/>
  <c r="AI135" i="35"/>
  <c r="AJ135" i="35" s="1"/>
  <c r="BG135" i="35" s="1"/>
  <c r="AF135" i="35"/>
  <c r="AC135" i="35"/>
  <c r="AB135" i="35"/>
  <c r="AA135" i="35"/>
  <c r="Z135" i="35"/>
  <c r="Y135" i="35"/>
  <c r="X135" i="35"/>
  <c r="W135" i="35"/>
  <c r="T135" i="35"/>
  <c r="BK135" i="35" s="1"/>
  <c r="O135" i="35"/>
  <c r="N135" i="35"/>
  <c r="M135" i="35"/>
  <c r="L135" i="35"/>
  <c r="K135" i="35"/>
  <c r="J135" i="35"/>
  <c r="I135" i="35"/>
  <c r="H135" i="35"/>
  <c r="BK134" i="35"/>
  <c r="BJ134" i="35"/>
  <c r="BI134" i="35"/>
  <c r="BG134" i="35"/>
  <c r="BE134" i="35"/>
  <c r="BC134" i="35"/>
  <c r="AU134" i="35"/>
  <c r="AS134" i="35"/>
  <c r="AR134" i="35"/>
  <c r="AQ134" i="35"/>
  <c r="BH134" i="35" s="1"/>
  <c r="AP134" i="35"/>
  <c r="BA134" i="35" s="1"/>
  <c r="AO134" i="35"/>
  <c r="AL134" i="35"/>
  <c r="AM134" i="35" s="1"/>
  <c r="AK134" i="35"/>
  <c r="AJ134" i="35"/>
  <c r="AI134" i="35"/>
  <c r="AF134" i="35"/>
  <c r="AC134" i="35"/>
  <c r="AB134" i="35"/>
  <c r="AA134" i="35"/>
  <c r="Z134" i="35"/>
  <c r="Y134" i="35"/>
  <c r="X134" i="35"/>
  <c r="T134" i="35"/>
  <c r="W134" i="35" s="1"/>
  <c r="O134" i="35"/>
  <c r="N134" i="35"/>
  <c r="M134" i="35"/>
  <c r="L134" i="35"/>
  <c r="K134" i="35"/>
  <c r="J134" i="35"/>
  <c r="I134" i="35"/>
  <c r="H134" i="35"/>
  <c r="BK133" i="35"/>
  <c r="BJ133" i="35"/>
  <c r="BI133" i="35"/>
  <c r="BD133" i="35"/>
  <c r="BB133" i="35"/>
  <c r="AR133" i="35"/>
  <c r="AQ133" i="35"/>
  <c r="BH133" i="35" s="1"/>
  <c r="AP133" i="35"/>
  <c r="AO133" i="35"/>
  <c r="AL133" i="35"/>
  <c r="AK133" i="35"/>
  <c r="AM133" i="35" s="1"/>
  <c r="AI133" i="35"/>
  <c r="AJ133" i="35" s="1"/>
  <c r="AF133" i="35"/>
  <c r="AC133" i="35"/>
  <c r="AB133" i="35"/>
  <c r="AA133" i="35"/>
  <c r="Z133" i="35"/>
  <c r="Y133" i="35"/>
  <c r="X133" i="35"/>
  <c r="W133" i="35"/>
  <c r="T133" i="35"/>
  <c r="O133" i="35"/>
  <c r="N133" i="35"/>
  <c r="M133" i="35"/>
  <c r="L133" i="35"/>
  <c r="K133" i="35"/>
  <c r="J133" i="35"/>
  <c r="I133" i="35"/>
  <c r="H133" i="35"/>
  <c r="BJ132" i="35"/>
  <c r="BI132" i="35"/>
  <c r="BE132" i="35"/>
  <c r="BD132" i="35"/>
  <c r="BC132" i="35"/>
  <c r="BA132" i="35"/>
  <c r="AZ132" i="35"/>
  <c r="AW132" i="35"/>
  <c r="AS132" i="35"/>
  <c r="AR132" i="35"/>
  <c r="AQ132" i="35"/>
  <c r="BH132" i="35" s="1"/>
  <c r="AP132" i="35"/>
  <c r="AY132" i="35" s="1"/>
  <c r="AO132" i="35"/>
  <c r="AM132" i="35"/>
  <c r="AL132" i="35"/>
  <c r="AK132" i="35"/>
  <c r="AJ132" i="35"/>
  <c r="AI132" i="35"/>
  <c r="AF132" i="35"/>
  <c r="AC132" i="35"/>
  <c r="AB132" i="35"/>
  <c r="AA132" i="35"/>
  <c r="Z132" i="35"/>
  <c r="Y132" i="35"/>
  <c r="X132" i="35"/>
  <c r="T132" i="35"/>
  <c r="BK132" i="35" s="1"/>
  <c r="O132" i="35"/>
  <c r="N132" i="35"/>
  <c r="M132" i="35"/>
  <c r="L132" i="35"/>
  <c r="K132" i="35"/>
  <c r="J132" i="35"/>
  <c r="I132" i="35"/>
  <c r="H132" i="35"/>
  <c r="BK131" i="35"/>
  <c r="BJ131" i="35"/>
  <c r="BI131" i="35"/>
  <c r="BB131" i="35"/>
  <c r="AZ131" i="35"/>
  <c r="AR131" i="35"/>
  <c r="AQ131" i="35"/>
  <c r="BH131" i="35" s="1"/>
  <c r="AP131" i="35"/>
  <c r="AO131" i="35"/>
  <c r="AM131" i="35"/>
  <c r="AL131" i="35"/>
  <c r="AK131" i="35"/>
  <c r="AI131" i="35"/>
  <c r="AJ131" i="35" s="1"/>
  <c r="AF131" i="35"/>
  <c r="AC131" i="35"/>
  <c r="AB131" i="35"/>
  <c r="AA131" i="35"/>
  <c r="Z131" i="35"/>
  <c r="Y131" i="35"/>
  <c r="X131" i="35"/>
  <c r="T131" i="35"/>
  <c r="W131" i="35" s="1"/>
  <c r="O131" i="35"/>
  <c r="N131" i="35"/>
  <c r="M131" i="35"/>
  <c r="L131" i="35"/>
  <c r="K131" i="35"/>
  <c r="J131" i="35"/>
  <c r="I131" i="35"/>
  <c r="H131" i="35"/>
  <c r="BK130" i="35"/>
  <c r="BJ130" i="35"/>
  <c r="BI130" i="35"/>
  <c r="BC130" i="35"/>
  <c r="BA130" i="35"/>
  <c r="AY130" i="35"/>
  <c r="AX130" i="35"/>
  <c r="AR130" i="35"/>
  <c r="AQ130" i="35"/>
  <c r="BH130" i="35" s="1"/>
  <c r="AP130" i="35"/>
  <c r="AW130" i="35" s="1"/>
  <c r="AO130" i="35"/>
  <c r="AL130" i="35"/>
  <c r="AK130" i="35"/>
  <c r="AM130" i="35" s="1"/>
  <c r="AI130" i="35"/>
  <c r="AJ130" i="35" s="1"/>
  <c r="AF130" i="35"/>
  <c r="AC130" i="35"/>
  <c r="AB130" i="35"/>
  <c r="AA130" i="35"/>
  <c r="Z130" i="35"/>
  <c r="Y130" i="35"/>
  <c r="X130" i="35"/>
  <c r="W130" i="35"/>
  <c r="T130" i="35"/>
  <c r="O130" i="35"/>
  <c r="N130" i="35"/>
  <c r="M130" i="35"/>
  <c r="L130" i="35"/>
  <c r="K130" i="35"/>
  <c r="J130" i="35"/>
  <c r="I130" i="35"/>
  <c r="H130" i="35"/>
  <c r="BJ129" i="35"/>
  <c r="BI129" i="35"/>
  <c r="AZ129" i="35"/>
  <c r="AX129" i="35"/>
  <c r="AR129" i="35"/>
  <c r="AQ129" i="35"/>
  <c r="BH129" i="35" s="1"/>
  <c r="AP129" i="35"/>
  <c r="AV129" i="35" s="1"/>
  <c r="AO129" i="35"/>
  <c r="AL129" i="35"/>
  <c r="AK129" i="35"/>
  <c r="AM129" i="35" s="1"/>
  <c r="AJ129" i="35"/>
  <c r="AI129" i="35"/>
  <c r="AF129" i="35"/>
  <c r="AC129" i="35"/>
  <c r="AB129" i="35"/>
  <c r="AA129" i="35"/>
  <c r="Z129" i="35"/>
  <c r="Y129" i="35"/>
  <c r="X129" i="35"/>
  <c r="W129" i="35"/>
  <c r="T129" i="35"/>
  <c r="BK129" i="35" s="1"/>
  <c r="O129" i="35"/>
  <c r="N129" i="35"/>
  <c r="M129" i="35"/>
  <c r="L129" i="35"/>
  <c r="K129" i="35"/>
  <c r="J129" i="35"/>
  <c r="I129" i="35"/>
  <c r="H129" i="35"/>
  <c r="BK128" i="35"/>
  <c r="BJ128" i="35"/>
  <c r="BI128" i="35"/>
  <c r="BH128" i="35"/>
  <c r="BC128" i="35"/>
  <c r="BA128" i="35"/>
  <c r="AZ128" i="35"/>
  <c r="AY128" i="35"/>
  <c r="AX128" i="35"/>
  <c r="AW128" i="35"/>
  <c r="AV128" i="35"/>
  <c r="AS128" i="35"/>
  <c r="AR128" i="35"/>
  <c r="AQ128" i="35"/>
  <c r="AP128" i="35"/>
  <c r="AO128" i="35"/>
  <c r="AL128" i="35"/>
  <c r="AK128" i="35"/>
  <c r="AJ128" i="35"/>
  <c r="AI128" i="35"/>
  <c r="AF128" i="35"/>
  <c r="AC128" i="35"/>
  <c r="AB128" i="35"/>
  <c r="AA128" i="35"/>
  <c r="Z128" i="35"/>
  <c r="Y128" i="35"/>
  <c r="X128" i="35"/>
  <c r="T128" i="35"/>
  <c r="W128" i="35" s="1"/>
  <c r="O128" i="35"/>
  <c r="N128" i="35"/>
  <c r="M128" i="35"/>
  <c r="L128" i="35"/>
  <c r="K128" i="35"/>
  <c r="J128" i="35"/>
  <c r="I128" i="35"/>
  <c r="H128" i="35"/>
  <c r="BK127" i="35"/>
  <c r="BJ127" i="35"/>
  <c r="BI127" i="35"/>
  <c r="BH127" i="35"/>
  <c r="AZ127" i="35"/>
  <c r="AY127" i="35"/>
  <c r="AX127" i="35"/>
  <c r="AW127" i="35"/>
  <c r="AV127" i="35"/>
  <c r="AU127" i="35"/>
  <c r="AR127" i="35"/>
  <c r="AQ127" i="35"/>
  <c r="AP127" i="35"/>
  <c r="BF127" i="35" s="1"/>
  <c r="AO127" i="35"/>
  <c r="AL127" i="35"/>
  <c r="AK127" i="35"/>
  <c r="BD127" i="35" s="1"/>
  <c r="AI127" i="35"/>
  <c r="AJ127" i="35" s="1"/>
  <c r="BG127" i="35" s="1"/>
  <c r="AF127" i="35"/>
  <c r="AC127" i="35"/>
  <c r="AB127" i="35"/>
  <c r="AA127" i="35"/>
  <c r="Z127" i="35"/>
  <c r="Y127" i="35"/>
  <c r="X127" i="35"/>
  <c r="W127" i="35"/>
  <c r="T127" i="35"/>
  <c r="O127" i="35"/>
  <c r="N127" i="35"/>
  <c r="M127" i="35"/>
  <c r="L127" i="35"/>
  <c r="K127" i="35"/>
  <c r="J127" i="35"/>
  <c r="I127" i="35"/>
  <c r="H127" i="35"/>
  <c r="BK126" i="35"/>
  <c r="BJ126" i="35"/>
  <c r="BI126" i="35"/>
  <c r="BF126" i="35"/>
  <c r="BC126" i="35"/>
  <c r="BA126" i="35"/>
  <c r="AZ126" i="35"/>
  <c r="AY126" i="35"/>
  <c r="AX126" i="35"/>
  <c r="AW126" i="35"/>
  <c r="AV126" i="35"/>
  <c r="AU126" i="35"/>
  <c r="AT126" i="35"/>
  <c r="AR126" i="35"/>
  <c r="AQ126" i="35"/>
  <c r="BH126" i="35" s="1"/>
  <c r="AP126" i="35"/>
  <c r="BE126" i="35" s="1"/>
  <c r="AO126" i="35"/>
  <c r="AL126" i="35"/>
  <c r="AK126" i="35"/>
  <c r="BD126" i="35" s="1"/>
  <c r="AJ126" i="35"/>
  <c r="BG126" i="35" s="1"/>
  <c r="AI126" i="35"/>
  <c r="AF126" i="35"/>
  <c r="AC126" i="35"/>
  <c r="AB126" i="35"/>
  <c r="AA126" i="35"/>
  <c r="Z126" i="35"/>
  <c r="Y126" i="35"/>
  <c r="X126" i="35"/>
  <c r="T126" i="35"/>
  <c r="W126" i="35" s="1"/>
  <c r="O126" i="35"/>
  <c r="N126" i="35"/>
  <c r="M126" i="35"/>
  <c r="L126" i="35"/>
  <c r="K126" i="35"/>
  <c r="J126" i="35"/>
  <c r="I126" i="35"/>
  <c r="H126" i="35"/>
  <c r="BJ125" i="35"/>
  <c r="BI125" i="35"/>
  <c r="BH125" i="35"/>
  <c r="BE125" i="35"/>
  <c r="AX125" i="35"/>
  <c r="AW125" i="35"/>
  <c r="AV125" i="35"/>
  <c r="AT125" i="35"/>
  <c r="AS125" i="35"/>
  <c r="AR125" i="35"/>
  <c r="AQ125" i="35"/>
  <c r="AP125" i="35"/>
  <c r="BD125" i="35" s="1"/>
  <c r="AO125" i="35"/>
  <c r="AL125" i="35"/>
  <c r="AK125" i="35"/>
  <c r="AM125" i="35" s="1"/>
  <c r="AI125" i="35"/>
  <c r="AJ125" i="35" s="1"/>
  <c r="AF125" i="35"/>
  <c r="AC125" i="35"/>
  <c r="AB125" i="35"/>
  <c r="AA125" i="35"/>
  <c r="Z125" i="35"/>
  <c r="Y125" i="35"/>
  <c r="X125" i="35"/>
  <c r="W125" i="35"/>
  <c r="T125" i="35"/>
  <c r="BK125" i="35" s="1"/>
  <c r="O125" i="35"/>
  <c r="N125" i="35"/>
  <c r="M125" i="35"/>
  <c r="L125" i="35"/>
  <c r="K125" i="35"/>
  <c r="J125" i="35"/>
  <c r="I125" i="35"/>
  <c r="H125" i="35"/>
  <c r="BJ124" i="35"/>
  <c r="BI124" i="35"/>
  <c r="BH124" i="35"/>
  <c r="BE124" i="35"/>
  <c r="BD124" i="35"/>
  <c r="BA124" i="35"/>
  <c r="AY124" i="35"/>
  <c r="AX124" i="35"/>
  <c r="AW124" i="35"/>
  <c r="AV124" i="35"/>
  <c r="AU124" i="35"/>
  <c r="AT124" i="35"/>
  <c r="AS124" i="35"/>
  <c r="AR124" i="35"/>
  <c r="AQ124" i="35"/>
  <c r="AP124" i="35"/>
  <c r="BC124" i="35" s="1"/>
  <c r="AO124" i="35"/>
  <c r="AL124" i="35"/>
  <c r="AK124" i="35"/>
  <c r="AM124" i="35" s="1"/>
  <c r="AJ124" i="35"/>
  <c r="BG124" i="35" s="1"/>
  <c r="AI124" i="35"/>
  <c r="BF124" i="35" s="1"/>
  <c r="AF124" i="35"/>
  <c r="AC124" i="35"/>
  <c r="AB124" i="35"/>
  <c r="AA124" i="35"/>
  <c r="Z124" i="35"/>
  <c r="Y124" i="35"/>
  <c r="X124" i="35"/>
  <c r="T124" i="35"/>
  <c r="O124" i="35"/>
  <c r="N124" i="35"/>
  <c r="M124" i="35"/>
  <c r="L124" i="35"/>
  <c r="K124" i="35"/>
  <c r="J124" i="35"/>
  <c r="I124" i="35"/>
  <c r="H124" i="35"/>
  <c r="BJ123" i="35"/>
  <c r="BI123" i="35"/>
  <c r="BE123" i="35"/>
  <c r="BD123" i="35"/>
  <c r="BC123" i="35"/>
  <c r="BA123" i="35"/>
  <c r="AZ123" i="35"/>
  <c r="AX123" i="35"/>
  <c r="AW123" i="35"/>
  <c r="AV123" i="35"/>
  <c r="AU123" i="35"/>
  <c r="AT123" i="35"/>
  <c r="AS123" i="35"/>
  <c r="AR123" i="35"/>
  <c r="AQ123" i="35"/>
  <c r="BH123" i="35" s="1"/>
  <c r="AP123" i="35"/>
  <c r="BB123" i="35" s="1"/>
  <c r="AO123" i="35"/>
  <c r="AM123" i="35"/>
  <c r="AL123" i="35"/>
  <c r="AK123" i="35"/>
  <c r="AI123" i="35"/>
  <c r="AJ123" i="35" s="1"/>
  <c r="BG123" i="35" s="1"/>
  <c r="AF123" i="35"/>
  <c r="AC123" i="35"/>
  <c r="AB123" i="35"/>
  <c r="AA123" i="35"/>
  <c r="Z123" i="35"/>
  <c r="Y123" i="35"/>
  <c r="X123" i="35"/>
  <c r="W123" i="35"/>
  <c r="T123" i="35"/>
  <c r="BK123" i="35" s="1"/>
  <c r="O123" i="35"/>
  <c r="N123" i="35"/>
  <c r="M123" i="35"/>
  <c r="L123" i="35"/>
  <c r="K123" i="35"/>
  <c r="J123" i="35"/>
  <c r="I123" i="35"/>
  <c r="H123" i="35"/>
  <c r="BK122" i="35"/>
  <c r="BJ122" i="35"/>
  <c r="BI122" i="35"/>
  <c r="AR122" i="35"/>
  <c r="AQ122" i="35"/>
  <c r="BH122" i="35" s="1"/>
  <c r="AP122" i="35"/>
  <c r="AO122" i="35"/>
  <c r="AL122" i="35"/>
  <c r="AM122" i="35" s="1"/>
  <c r="AK122" i="35"/>
  <c r="AJ122" i="35"/>
  <c r="AI122" i="35"/>
  <c r="AF122" i="35"/>
  <c r="AC122" i="35"/>
  <c r="AB122" i="35"/>
  <c r="AA122" i="35"/>
  <c r="Z122" i="35"/>
  <c r="Y122" i="35"/>
  <c r="X122" i="35"/>
  <c r="T122" i="35"/>
  <c r="W122" i="35" s="1"/>
  <c r="O122" i="35"/>
  <c r="N122" i="35"/>
  <c r="M122" i="35"/>
  <c r="L122" i="35"/>
  <c r="K122" i="35"/>
  <c r="J122" i="35"/>
  <c r="I122" i="35"/>
  <c r="H122" i="35"/>
  <c r="BJ121" i="35"/>
  <c r="BI121" i="35"/>
  <c r="BF121" i="35"/>
  <c r="BD121" i="35"/>
  <c r="BB121" i="35"/>
  <c r="AR121" i="35"/>
  <c r="AQ121" i="35"/>
  <c r="BH121" i="35" s="1"/>
  <c r="AP121" i="35"/>
  <c r="AO121" i="35"/>
  <c r="AL121" i="35"/>
  <c r="AK121" i="35"/>
  <c r="AM121" i="35" s="1"/>
  <c r="AI121" i="35"/>
  <c r="AJ121" i="35" s="1"/>
  <c r="AF121" i="35"/>
  <c r="AC121" i="35"/>
  <c r="AB121" i="35"/>
  <c r="AA121" i="35"/>
  <c r="Z121" i="35"/>
  <c r="Y121" i="35"/>
  <c r="X121" i="35"/>
  <c r="W121" i="35"/>
  <c r="T121" i="35"/>
  <c r="BK121" i="35" s="1"/>
  <c r="O121" i="35"/>
  <c r="N121" i="35"/>
  <c r="M121" i="35"/>
  <c r="L121" i="35"/>
  <c r="K121" i="35"/>
  <c r="J121" i="35"/>
  <c r="I121" i="35"/>
  <c r="H121" i="35"/>
  <c r="BJ120" i="35"/>
  <c r="BI120" i="35"/>
  <c r="BE120" i="35"/>
  <c r="BD120" i="35"/>
  <c r="BC120" i="35"/>
  <c r="BA120" i="35"/>
  <c r="AZ120" i="35"/>
  <c r="AW120" i="35"/>
  <c r="AS120" i="35"/>
  <c r="AR120" i="35"/>
  <c r="AQ120" i="35"/>
  <c r="BH120" i="35" s="1"/>
  <c r="AP120" i="35"/>
  <c r="AY120" i="35" s="1"/>
  <c r="AO120" i="35"/>
  <c r="AM120" i="35"/>
  <c r="AL120" i="35"/>
  <c r="AK120" i="35"/>
  <c r="AJ120" i="35"/>
  <c r="AI120" i="35"/>
  <c r="AF120" i="35"/>
  <c r="AC120" i="35"/>
  <c r="AB120" i="35"/>
  <c r="AA120" i="35"/>
  <c r="Z120" i="35"/>
  <c r="Y120" i="35"/>
  <c r="X120" i="35"/>
  <c r="T120" i="35"/>
  <c r="BK120" i="35" s="1"/>
  <c r="O120" i="35"/>
  <c r="N120" i="35"/>
  <c r="M120" i="35"/>
  <c r="L120" i="35"/>
  <c r="K120" i="35"/>
  <c r="J120" i="35"/>
  <c r="I120" i="35"/>
  <c r="H120" i="35"/>
  <c r="BK119" i="35"/>
  <c r="BJ119" i="35"/>
  <c r="BI119" i="35"/>
  <c r="BD119" i="35"/>
  <c r="BC119" i="35"/>
  <c r="BB119" i="35"/>
  <c r="AZ119" i="35"/>
  <c r="AY119" i="35"/>
  <c r="AR119" i="35"/>
  <c r="AQ119" i="35"/>
  <c r="BH119" i="35" s="1"/>
  <c r="AP119" i="35"/>
  <c r="AO119" i="35"/>
  <c r="AL119" i="35"/>
  <c r="AM119" i="35" s="1"/>
  <c r="AK119" i="35"/>
  <c r="AI119" i="35"/>
  <c r="AJ119" i="35" s="1"/>
  <c r="AF119" i="35"/>
  <c r="AC119" i="35"/>
  <c r="AB119" i="35"/>
  <c r="AA119" i="35"/>
  <c r="Z119" i="35"/>
  <c r="Y119" i="35"/>
  <c r="X119" i="35"/>
  <c r="T119" i="35"/>
  <c r="W119" i="35" s="1"/>
  <c r="O119" i="35"/>
  <c r="N119" i="35"/>
  <c r="M119" i="35"/>
  <c r="L119" i="35"/>
  <c r="K119" i="35"/>
  <c r="J119" i="35"/>
  <c r="I119" i="35"/>
  <c r="H119" i="35"/>
  <c r="BK118" i="35"/>
  <c r="BJ118" i="35"/>
  <c r="BI118" i="35"/>
  <c r="AR118" i="35"/>
  <c r="AQ118" i="35"/>
  <c r="BH118" i="35" s="1"/>
  <c r="AP118" i="35"/>
  <c r="AO118" i="35"/>
  <c r="AL118" i="35"/>
  <c r="AK118" i="35"/>
  <c r="AI118" i="35"/>
  <c r="AJ118" i="35" s="1"/>
  <c r="AF118" i="35"/>
  <c r="AC118" i="35"/>
  <c r="AB118" i="35"/>
  <c r="AA118" i="35"/>
  <c r="Z118" i="35"/>
  <c r="Y118" i="35"/>
  <c r="X118" i="35"/>
  <c r="W118" i="35"/>
  <c r="T118" i="35"/>
  <c r="O118" i="35"/>
  <c r="N118" i="35"/>
  <c r="M118" i="35"/>
  <c r="L118" i="35"/>
  <c r="K118" i="35"/>
  <c r="J118" i="35"/>
  <c r="I118" i="35"/>
  <c r="H118" i="35"/>
  <c r="BJ117" i="35"/>
  <c r="BI117" i="35"/>
  <c r="BB117" i="35"/>
  <c r="AZ117" i="35"/>
  <c r="AX117" i="35"/>
  <c r="AR117" i="35"/>
  <c r="AQ117" i="35"/>
  <c r="BH117" i="35" s="1"/>
  <c r="AP117" i="35"/>
  <c r="BA117" i="35" s="1"/>
  <c r="AO117" i="35"/>
  <c r="AM117" i="35"/>
  <c r="AL117" i="35"/>
  <c r="AK117" i="35"/>
  <c r="AJ117" i="35"/>
  <c r="AI117" i="35"/>
  <c r="AF117" i="35"/>
  <c r="AC117" i="35"/>
  <c r="AB117" i="35"/>
  <c r="AA117" i="35"/>
  <c r="Z117" i="35"/>
  <c r="Y117" i="35"/>
  <c r="X117" i="35"/>
  <c r="W117" i="35"/>
  <c r="T117" i="35"/>
  <c r="BK117" i="35" s="1"/>
  <c r="O117" i="35"/>
  <c r="N117" i="35"/>
  <c r="M117" i="35"/>
  <c r="L117" i="35"/>
  <c r="K117" i="35"/>
  <c r="J117" i="35"/>
  <c r="I117" i="35"/>
  <c r="H117" i="35"/>
  <c r="BK116" i="35"/>
  <c r="BJ116" i="35"/>
  <c r="BI116" i="35"/>
  <c r="BH116" i="35"/>
  <c r="BC116" i="35"/>
  <c r="BA116" i="35"/>
  <c r="AZ116" i="35"/>
  <c r="AY116" i="35"/>
  <c r="AX116" i="35"/>
  <c r="AW116" i="35"/>
  <c r="AV116" i="35"/>
  <c r="AS116" i="35"/>
  <c r="AR116" i="35"/>
  <c r="AQ116" i="35"/>
  <c r="AP116" i="35"/>
  <c r="AO116" i="35"/>
  <c r="AL116" i="35"/>
  <c r="AK116" i="35"/>
  <c r="AJ116" i="35"/>
  <c r="AI116" i="35"/>
  <c r="AF116" i="35"/>
  <c r="AC116" i="35"/>
  <c r="AB116" i="35"/>
  <c r="AA116" i="35"/>
  <c r="Z116" i="35"/>
  <c r="Y116" i="35"/>
  <c r="X116" i="35"/>
  <c r="T116" i="35"/>
  <c r="W116" i="35" s="1"/>
  <c r="O116" i="35"/>
  <c r="N116" i="35"/>
  <c r="M116" i="35"/>
  <c r="L116" i="35"/>
  <c r="K116" i="35"/>
  <c r="J116" i="35"/>
  <c r="I116" i="35"/>
  <c r="H116" i="35"/>
  <c r="BK115" i="35"/>
  <c r="BJ115" i="35"/>
  <c r="BI115" i="35"/>
  <c r="BH115" i="35"/>
  <c r="BG115" i="35"/>
  <c r="AZ115" i="35"/>
  <c r="AY115" i="35"/>
  <c r="AX115" i="35"/>
  <c r="AW115" i="35"/>
  <c r="AV115" i="35"/>
  <c r="AU115" i="35"/>
  <c r="AR115" i="35"/>
  <c r="AQ115" i="35"/>
  <c r="AP115" i="35"/>
  <c r="AO115" i="35"/>
  <c r="AL115" i="35"/>
  <c r="AK115" i="35"/>
  <c r="BD115" i="35" s="1"/>
  <c r="AI115" i="35"/>
  <c r="AJ115" i="35" s="1"/>
  <c r="AF115" i="35"/>
  <c r="AC115" i="35"/>
  <c r="AB115" i="35"/>
  <c r="AA115" i="35"/>
  <c r="Z115" i="35"/>
  <c r="Y115" i="35"/>
  <c r="X115" i="35"/>
  <c r="W115" i="35"/>
  <c r="T115" i="35"/>
  <c r="O115" i="35"/>
  <c r="N115" i="35"/>
  <c r="M115" i="35"/>
  <c r="L115" i="35"/>
  <c r="K115" i="35"/>
  <c r="J115" i="35"/>
  <c r="I115" i="35"/>
  <c r="H115" i="35"/>
  <c r="BJ114" i="35"/>
  <c r="BI114" i="35"/>
  <c r="BF114" i="35"/>
  <c r="BC114" i="35"/>
  <c r="BA114" i="35"/>
  <c r="AY114" i="35"/>
  <c r="AX114" i="35"/>
  <c r="AW114" i="35"/>
  <c r="AV114" i="35"/>
  <c r="AU114" i="35"/>
  <c r="AT114" i="35"/>
  <c r="AR114" i="35"/>
  <c r="AQ114" i="35"/>
  <c r="BH114" i="35" s="1"/>
  <c r="AP114" i="35"/>
  <c r="AO114" i="35"/>
  <c r="AL114" i="35"/>
  <c r="AK114" i="35"/>
  <c r="AM114" i="35" s="1"/>
  <c r="AJ114" i="35"/>
  <c r="BG114" i="35" s="1"/>
  <c r="AI114" i="35"/>
  <c r="AF114" i="35"/>
  <c r="AC114" i="35"/>
  <c r="AB114" i="35"/>
  <c r="AA114" i="35"/>
  <c r="Z114" i="35"/>
  <c r="Y114" i="35"/>
  <c r="X114" i="35"/>
  <c r="T114" i="35"/>
  <c r="O114" i="35"/>
  <c r="N114" i="35"/>
  <c r="M114" i="35"/>
  <c r="L114" i="35"/>
  <c r="K114" i="35"/>
  <c r="J114" i="35"/>
  <c r="I114" i="35"/>
  <c r="H114" i="35"/>
  <c r="BJ113" i="35"/>
  <c r="BI113" i="35"/>
  <c r="BH113" i="35"/>
  <c r="BF113" i="35"/>
  <c r="BE113" i="35"/>
  <c r="AX113" i="35"/>
  <c r="AW113" i="35"/>
  <c r="AV113" i="35"/>
  <c r="AT113" i="35"/>
  <c r="AS113" i="35"/>
  <c r="AR113" i="35"/>
  <c r="AQ113" i="35"/>
  <c r="AP113" i="35"/>
  <c r="AO113" i="35"/>
  <c r="AL113" i="35"/>
  <c r="AK113" i="35"/>
  <c r="AM113" i="35" s="1"/>
  <c r="AJ113" i="35"/>
  <c r="AI113" i="35"/>
  <c r="AF113" i="35"/>
  <c r="AC113" i="35"/>
  <c r="AB113" i="35"/>
  <c r="AA113" i="35"/>
  <c r="Z113" i="35"/>
  <c r="Y113" i="35"/>
  <c r="X113" i="35"/>
  <c r="W113" i="35"/>
  <c r="T113" i="35"/>
  <c r="BK113" i="35" s="1"/>
  <c r="O113" i="35"/>
  <c r="N113" i="35"/>
  <c r="M113" i="35"/>
  <c r="L113" i="35"/>
  <c r="K113" i="35"/>
  <c r="J113" i="35"/>
  <c r="I113" i="35"/>
  <c r="H113" i="35"/>
  <c r="BJ112" i="35"/>
  <c r="BI112" i="35"/>
  <c r="BH112" i="35"/>
  <c r="BG112" i="35"/>
  <c r="BE112" i="35"/>
  <c r="BD112" i="35"/>
  <c r="BA112" i="35"/>
  <c r="AY112" i="35"/>
  <c r="AW112" i="35"/>
  <c r="AV112" i="35"/>
  <c r="AU112" i="35"/>
  <c r="AT112" i="35"/>
  <c r="AS112" i="35"/>
  <c r="AR112" i="35"/>
  <c r="AQ112" i="35"/>
  <c r="AP112" i="35"/>
  <c r="BC112" i="35" s="1"/>
  <c r="AO112" i="35"/>
  <c r="AL112" i="35"/>
  <c r="AK112" i="35"/>
  <c r="AM112" i="35" s="1"/>
  <c r="AJ112" i="35"/>
  <c r="AI112" i="35"/>
  <c r="BF112" i="35" s="1"/>
  <c r="AF112" i="35"/>
  <c r="AC112" i="35"/>
  <c r="AB112" i="35"/>
  <c r="AA112" i="35"/>
  <c r="Z112" i="35"/>
  <c r="Y112" i="35"/>
  <c r="X112" i="35"/>
  <c r="T112" i="35"/>
  <c r="O112" i="35"/>
  <c r="N112" i="35"/>
  <c r="M112" i="35"/>
  <c r="L112" i="35"/>
  <c r="K112" i="35"/>
  <c r="J112" i="35"/>
  <c r="I112" i="35"/>
  <c r="H112" i="35"/>
  <c r="BJ111" i="35"/>
  <c r="BI111" i="35"/>
  <c r="BF111" i="35"/>
  <c r="BE111" i="35"/>
  <c r="BD111" i="35"/>
  <c r="BC111" i="35"/>
  <c r="AZ111" i="35"/>
  <c r="AX111" i="35"/>
  <c r="AV111" i="35"/>
  <c r="AU111" i="35"/>
  <c r="AT111" i="35"/>
  <c r="AS111" i="35"/>
  <c r="AR111" i="35"/>
  <c r="AQ111" i="35"/>
  <c r="BH111" i="35" s="1"/>
  <c r="AP111" i="35"/>
  <c r="BB111" i="35" s="1"/>
  <c r="AO111" i="35"/>
  <c r="AM111" i="35"/>
  <c r="AL111" i="35"/>
  <c r="AK111" i="35"/>
  <c r="AI111" i="35"/>
  <c r="AJ111" i="35" s="1"/>
  <c r="BG111" i="35" s="1"/>
  <c r="AF111" i="35"/>
  <c r="AC111" i="35"/>
  <c r="AB111" i="35"/>
  <c r="AA111" i="35"/>
  <c r="Z111" i="35"/>
  <c r="Y111" i="35"/>
  <c r="X111" i="35"/>
  <c r="W111" i="35"/>
  <c r="T111" i="35"/>
  <c r="BK111" i="35" s="1"/>
  <c r="O111" i="35"/>
  <c r="N111" i="35"/>
  <c r="M111" i="35"/>
  <c r="L111" i="35"/>
  <c r="K111" i="35"/>
  <c r="J111" i="35"/>
  <c r="I111" i="35"/>
  <c r="H111" i="35"/>
  <c r="BK110" i="35"/>
  <c r="BJ110" i="35"/>
  <c r="BI110" i="35"/>
  <c r="BG110" i="35"/>
  <c r="BF110" i="35"/>
  <c r="BC110" i="35"/>
  <c r="AU110" i="35"/>
  <c r="AT110" i="35"/>
  <c r="AR110" i="35"/>
  <c r="AQ110" i="35"/>
  <c r="BH110" i="35" s="1"/>
  <c r="AP110" i="35"/>
  <c r="BE110" i="35" s="1"/>
  <c r="AO110" i="35"/>
  <c r="AL110" i="35"/>
  <c r="AM110" i="35" s="1"/>
  <c r="AK110" i="35"/>
  <c r="AJ110" i="35"/>
  <c r="AI110" i="35"/>
  <c r="AF110" i="35"/>
  <c r="AC110" i="35"/>
  <c r="AB110" i="35"/>
  <c r="AA110" i="35"/>
  <c r="Z110" i="35"/>
  <c r="Y110" i="35"/>
  <c r="X110" i="35"/>
  <c r="T110" i="35"/>
  <c r="W110" i="35" s="1"/>
  <c r="O110" i="35"/>
  <c r="N110" i="35"/>
  <c r="M110" i="35"/>
  <c r="L110" i="35"/>
  <c r="K110" i="35"/>
  <c r="J110" i="35"/>
  <c r="I110" i="35"/>
  <c r="H110" i="35"/>
  <c r="BJ109" i="35"/>
  <c r="BI109" i="35"/>
  <c r="BF109" i="35"/>
  <c r="BE109" i="35"/>
  <c r="BB109" i="35"/>
  <c r="AT109" i="35"/>
  <c r="AS109" i="35"/>
  <c r="AR109" i="35"/>
  <c r="AQ109" i="35"/>
  <c r="BH109" i="35" s="1"/>
  <c r="AP109" i="35"/>
  <c r="BD109" i="35" s="1"/>
  <c r="AO109" i="35"/>
  <c r="AL109" i="35"/>
  <c r="AK109" i="35"/>
  <c r="AM109" i="35" s="1"/>
  <c r="AI109" i="35"/>
  <c r="AJ109" i="35" s="1"/>
  <c r="AF109" i="35"/>
  <c r="AC109" i="35"/>
  <c r="AB109" i="35"/>
  <c r="AA109" i="35"/>
  <c r="Z109" i="35"/>
  <c r="Y109" i="35"/>
  <c r="X109" i="35"/>
  <c r="W109" i="35"/>
  <c r="T109" i="35"/>
  <c r="BK109" i="35" s="1"/>
  <c r="O109" i="35"/>
  <c r="N109" i="35"/>
  <c r="M109" i="35"/>
  <c r="L109" i="35"/>
  <c r="K109" i="35"/>
  <c r="J109" i="35"/>
  <c r="I109" i="35"/>
  <c r="H109" i="35"/>
  <c r="BJ108" i="35"/>
  <c r="BI108" i="35"/>
  <c r="BE108" i="35"/>
  <c r="BD108" i="35"/>
  <c r="BC108" i="35"/>
  <c r="BA108" i="35"/>
  <c r="AZ108" i="35"/>
  <c r="AW108" i="35"/>
  <c r="AS108" i="35"/>
  <c r="AR108" i="35"/>
  <c r="AQ108" i="35"/>
  <c r="BH108" i="35" s="1"/>
  <c r="AP108" i="35"/>
  <c r="AY108" i="35" s="1"/>
  <c r="AO108" i="35"/>
  <c r="AM108" i="35"/>
  <c r="AL108" i="35"/>
  <c r="AK108" i="35"/>
  <c r="AJ108" i="35"/>
  <c r="AI108" i="35"/>
  <c r="AF108" i="35"/>
  <c r="AC108" i="35"/>
  <c r="AB108" i="35"/>
  <c r="AA108" i="35"/>
  <c r="Z108" i="35"/>
  <c r="Y108" i="35"/>
  <c r="X108" i="35"/>
  <c r="T108" i="35"/>
  <c r="BK108" i="35" s="1"/>
  <c r="O108" i="35"/>
  <c r="N108" i="35"/>
  <c r="M108" i="35"/>
  <c r="L108" i="35"/>
  <c r="K108" i="35"/>
  <c r="J108" i="35"/>
  <c r="I108" i="35"/>
  <c r="H108" i="35"/>
  <c r="BK107" i="35"/>
  <c r="BJ107" i="35"/>
  <c r="BI107" i="35"/>
  <c r="BC107" i="35"/>
  <c r="AY107" i="35"/>
  <c r="AR107" i="35"/>
  <c r="AQ107" i="35"/>
  <c r="BH107" i="35" s="1"/>
  <c r="AP107" i="35"/>
  <c r="AO107" i="35"/>
  <c r="AL107" i="35"/>
  <c r="AM107" i="35" s="1"/>
  <c r="AK107" i="35"/>
  <c r="AI107" i="35"/>
  <c r="AJ107" i="35" s="1"/>
  <c r="AF107" i="35"/>
  <c r="AC107" i="35"/>
  <c r="AB107" i="35"/>
  <c r="AA107" i="35"/>
  <c r="Z107" i="35"/>
  <c r="Y107" i="35"/>
  <c r="X107" i="35"/>
  <c r="T107" i="35"/>
  <c r="W107" i="35" s="1"/>
  <c r="O107" i="35"/>
  <c r="N107" i="35"/>
  <c r="M107" i="35"/>
  <c r="L107" i="35"/>
  <c r="K107" i="35"/>
  <c r="J107" i="35"/>
  <c r="I107" i="35"/>
  <c r="H107" i="35"/>
  <c r="BK106" i="35"/>
  <c r="BJ106" i="35"/>
  <c r="BI106" i="35"/>
  <c r="BA106" i="35"/>
  <c r="AY106" i="35"/>
  <c r="AR106" i="35"/>
  <c r="AQ106" i="35"/>
  <c r="BH106" i="35" s="1"/>
  <c r="AP106" i="35"/>
  <c r="AO106" i="35"/>
  <c r="AL106" i="35"/>
  <c r="AK106" i="35"/>
  <c r="AM106" i="35" s="1"/>
  <c r="AI106" i="35"/>
  <c r="AJ106" i="35" s="1"/>
  <c r="AF106" i="35"/>
  <c r="AC106" i="35"/>
  <c r="AB106" i="35"/>
  <c r="AA106" i="35"/>
  <c r="Z106" i="35"/>
  <c r="Y106" i="35"/>
  <c r="X106" i="35"/>
  <c r="W106" i="35"/>
  <c r="T106" i="35"/>
  <c r="O106" i="35"/>
  <c r="N106" i="35"/>
  <c r="M106" i="35"/>
  <c r="L106" i="35"/>
  <c r="K106" i="35"/>
  <c r="J106" i="35"/>
  <c r="I106" i="35"/>
  <c r="H106" i="35"/>
  <c r="BJ105" i="35"/>
  <c r="BI105" i="35"/>
  <c r="BA105" i="35"/>
  <c r="AX105" i="35"/>
  <c r="AW105" i="35"/>
  <c r="AR105" i="35"/>
  <c r="AQ105" i="35"/>
  <c r="BH105" i="35" s="1"/>
  <c r="AP105" i="35"/>
  <c r="BB105" i="35" s="1"/>
  <c r="AO105" i="35"/>
  <c r="AL105" i="35"/>
  <c r="AK105" i="35"/>
  <c r="AM105" i="35" s="1"/>
  <c r="AJ105" i="35"/>
  <c r="AI105" i="35"/>
  <c r="AF105" i="35"/>
  <c r="AC105" i="35"/>
  <c r="AB105" i="35"/>
  <c r="AA105" i="35"/>
  <c r="Z105" i="35"/>
  <c r="Y105" i="35"/>
  <c r="X105" i="35"/>
  <c r="T105" i="35"/>
  <c r="BK105" i="35" s="1"/>
  <c r="O105" i="35"/>
  <c r="N105" i="35"/>
  <c r="M105" i="35"/>
  <c r="L105" i="35"/>
  <c r="K105" i="35"/>
  <c r="J105" i="35"/>
  <c r="I105" i="35"/>
  <c r="H105" i="35"/>
  <c r="BK104" i="35"/>
  <c r="BJ104" i="35"/>
  <c r="BI104" i="35"/>
  <c r="BH104" i="35"/>
  <c r="BC104" i="35"/>
  <c r="BA104" i="35"/>
  <c r="AZ104" i="35"/>
  <c r="AY104" i="35"/>
  <c r="AX104" i="35"/>
  <c r="AW104" i="35"/>
  <c r="AV104" i="35"/>
  <c r="AS104" i="35"/>
  <c r="AR104" i="35"/>
  <c r="AQ104" i="35"/>
  <c r="AP104" i="35"/>
  <c r="AO104" i="35"/>
  <c r="AM104" i="35"/>
  <c r="AL104" i="35"/>
  <c r="BE104" i="35" s="1"/>
  <c r="AK104" i="35"/>
  <c r="AI104" i="35"/>
  <c r="AJ104" i="35" s="1"/>
  <c r="AF104" i="35"/>
  <c r="AC104" i="35"/>
  <c r="AB104" i="35"/>
  <c r="AA104" i="35"/>
  <c r="Z104" i="35"/>
  <c r="Y104" i="35"/>
  <c r="X104" i="35"/>
  <c r="T104" i="35"/>
  <c r="W104" i="35" s="1"/>
  <c r="O104" i="35"/>
  <c r="N104" i="35"/>
  <c r="M104" i="35"/>
  <c r="L104" i="35"/>
  <c r="K104" i="35"/>
  <c r="J104" i="35"/>
  <c r="I104" i="35"/>
  <c r="H104" i="35"/>
  <c r="BK103" i="35"/>
  <c r="BJ103" i="35"/>
  <c r="BI103" i="35"/>
  <c r="BH103" i="35"/>
  <c r="BG103" i="35"/>
  <c r="AZ103" i="35"/>
  <c r="AY103" i="35"/>
  <c r="AX103" i="35"/>
  <c r="AW103" i="35"/>
  <c r="AV103" i="35"/>
  <c r="AU103" i="35"/>
  <c r="AR103" i="35"/>
  <c r="AQ103" i="35"/>
  <c r="AP103" i="35"/>
  <c r="AO103" i="35"/>
  <c r="AM103" i="35"/>
  <c r="AL103" i="35"/>
  <c r="AK103" i="35"/>
  <c r="BD103" i="35" s="1"/>
  <c r="AI103" i="35"/>
  <c r="AJ103" i="35" s="1"/>
  <c r="AF103" i="35"/>
  <c r="AC103" i="35"/>
  <c r="AB103" i="35"/>
  <c r="AA103" i="35"/>
  <c r="Z103" i="35"/>
  <c r="Y103" i="35"/>
  <c r="X103" i="35"/>
  <c r="W103" i="35"/>
  <c r="T103" i="35"/>
  <c r="O103" i="35"/>
  <c r="N103" i="35"/>
  <c r="M103" i="35"/>
  <c r="L103" i="35"/>
  <c r="K103" i="35"/>
  <c r="J103" i="35"/>
  <c r="I103" i="35"/>
  <c r="H103" i="35"/>
  <c r="BJ102" i="35"/>
  <c r="BI102" i="35"/>
  <c r="BG102" i="35"/>
  <c r="BF102" i="35"/>
  <c r="BC102" i="35"/>
  <c r="BA102" i="35"/>
  <c r="AY102" i="35"/>
  <c r="AX102" i="35"/>
  <c r="AW102" i="35"/>
  <c r="AV102" i="35"/>
  <c r="AU102" i="35"/>
  <c r="AT102" i="35"/>
  <c r="AR102" i="35"/>
  <c r="AQ102" i="35"/>
  <c r="BH102" i="35" s="1"/>
  <c r="AP102" i="35"/>
  <c r="BE102" i="35" s="1"/>
  <c r="AO102" i="35"/>
  <c r="AL102" i="35"/>
  <c r="AK102" i="35"/>
  <c r="AJ102" i="35"/>
  <c r="AI102" i="35"/>
  <c r="AF102" i="35"/>
  <c r="AC102" i="35"/>
  <c r="AB102" i="35"/>
  <c r="AA102" i="35"/>
  <c r="Z102" i="35"/>
  <c r="Y102" i="35"/>
  <c r="X102" i="35"/>
  <c r="W102" i="35"/>
  <c r="T102" i="35"/>
  <c r="BK102" i="35" s="1"/>
  <c r="O102" i="35"/>
  <c r="N102" i="35"/>
  <c r="M102" i="35"/>
  <c r="L102" i="35"/>
  <c r="K102" i="35"/>
  <c r="J102" i="35"/>
  <c r="I102" i="35"/>
  <c r="H102" i="35"/>
  <c r="BJ101" i="35"/>
  <c r="BI101" i="35"/>
  <c r="BH101" i="35"/>
  <c r="BF101" i="35"/>
  <c r="AW101" i="35"/>
  <c r="AT101" i="35"/>
  <c r="AS101" i="35"/>
  <c r="AR101" i="35"/>
  <c r="AQ101" i="35"/>
  <c r="AP101" i="35"/>
  <c r="AO101" i="35"/>
  <c r="AL101" i="35"/>
  <c r="AK101" i="35"/>
  <c r="AM101" i="35" s="1"/>
  <c r="AI101" i="35"/>
  <c r="AJ101" i="35" s="1"/>
  <c r="AF101" i="35"/>
  <c r="AC101" i="35"/>
  <c r="AB101" i="35"/>
  <c r="AA101" i="35"/>
  <c r="Z101" i="35"/>
  <c r="Y101" i="35"/>
  <c r="X101" i="35"/>
  <c r="T101" i="35"/>
  <c r="BK101" i="35" s="1"/>
  <c r="O101" i="35"/>
  <c r="N101" i="35"/>
  <c r="M101" i="35"/>
  <c r="L101" i="35"/>
  <c r="K101" i="35"/>
  <c r="J101" i="35"/>
  <c r="I101" i="35"/>
  <c r="H101" i="35"/>
  <c r="BJ100" i="35"/>
  <c r="BI100" i="35"/>
  <c r="BH100" i="35"/>
  <c r="BE100" i="35"/>
  <c r="BD100" i="35"/>
  <c r="BA100" i="35"/>
  <c r="AY100" i="35"/>
  <c r="AW100" i="35"/>
  <c r="AV100" i="35"/>
  <c r="AU100" i="35"/>
  <c r="AT100" i="35"/>
  <c r="AS100" i="35"/>
  <c r="AR100" i="35"/>
  <c r="AQ100" i="35"/>
  <c r="AP100" i="35"/>
  <c r="BC100" i="35" s="1"/>
  <c r="AO100" i="35"/>
  <c r="AL100" i="35"/>
  <c r="AK100" i="35"/>
  <c r="AM100" i="35" s="1"/>
  <c r="AJ100" i="35"/>
  <c r="BG100" i="35" s="1"/>
  <c r="AI100" i="35"/>
  <c r="BF100" i="35" s="1"/>
  <c r="AF100" i="35"/>
  <c r="AC100" i="35"/>
  <c r="AB100" i="35"/>
  <c r="AA100" i="35"/>
  <c r="Z100" i="35"/>
  <c r="Y100" i="35"/>
  <c r="X100" i="35"/>
  <c r="T100" i="35"/>
  <c r="O100" i="35"/>
  <c r="N100" i="35"/>
  <c r="M100" i="35"/>
  <c r="L100" i="35"/>
  <c r="K100" i="35"/>
  <c r="J100" i="35"/>
  <c r="I100" i="35"/>
  <c r="H100" i="35"/>
  <c r="BJ99" i="35"/>
  <c r="BI99" i="35"/>
  <c r="BG99" i="35"/>
  <c r="BF99" i="35"/>
  <c r="BE99" i="35"/>
  <c r="BD99" i="35"/>
  <c r="AZ99" i="35"/>
  <c r="AX99" i="35"/>
  <c r="AV99" i="35"/>
  <c r="AU99" i="35"/>
  <c r="AT99" i="35"/>
  <c r="AS99" i="35"/>
  <c r="AR99" i="35"/>
  <c r="AQ99" i="35"/>
  <c r="BH99" i="35" s="1"/>
  <c r="AP99" i="35"/>
  <c r="AO99" i="35"/>
  <c r="AM99" i="35"/>
  <c r="AL99" i="35"/>
  <c r="AK99" i="35"/>
  <c r="AI99" i="35"/>
  <c r="AJ99" i="35" s="1"/>
  <c r="BC99" i="35" s="1"/>
  <c r="AF99" i="35"/>
  <c r="AC99" i="35"/>
  <c r="AB99" i="35"/>
  <c r="AA99" i="35"/>
  <c r="Z99" i="35"/>
  <c r="Y99" i="35"/>
  <c r="X99" i="35"/>
  <c r="W99" i="35"/>
  <c r="T99" i="35"/>
  <c r="BK99" i="35" s="1"/>
  <c r="O99" i="35"/>
  <c r="N99" i="35"/>
  <c r="M99" i="35"/>
  <c r="L99" i="35"/>
  <c r="K99" i="35"/>
  <c r="J99" i="35"/>
  <c r="I99" i="35"/>
  <c r="H99" i="35"/>
  <c r="BK98" i="35"/>
  <c r="BJ98" i="35"/>
  <c r="BI98" i="35"/>
  <c r="BF98" i="35"/>
  <c r="BC98" i="35"/>
  <c r="BB98" i="35"/>
  <c r="AR98" i="35"/>
  <c r="AQ98" i="35"/>
  <c r="BH98" i="35" s="1"/>
  <c r="AP98" i="35"/>
  <c r="BG98" i="35" s="1"/>
  <c r="AO98" i="35"/>
  <c r="AL98" i="35"/>
  <c r="AM98" i="35" s="1"/>
  <c r="AK98" i="35"/>
  <c r="AJ98" i="35"/>
  <c r="AI98" i="35"/>
  <c r="AF98" i="35"/>
  <c r="AC98" i="35"/>
  <c r="AB98" i="35"/>
  <c r="AA98" i="35"/>
  <c r="Z98" i="35"/>
  <c r="Y98" i="35"/>
  <c r="X98" i="35"/>
  <c r="T98" i="35"/>
  <c r="W98" i="35" s="1"/>
  <c r="O98" i="35"/>
  <c r="N98" i="35"/>
  <c r="M98" i="35"/>
  <c r="L98" i="35"/>
  <c r="K98" i="35"/>
  <c r="J98" i="35"/>
  <c r="I98" i="35"/>
  <c r="H98" i="35"/>
  <c r="BJ97" i="35"/>
  <c r="BI97" i="35"/>
  <c r="BF97" i="35"/>
  <c r="BD97" i="35"/>
  <c r="BB97" i="35"/>
  <c r="AR97" i="35"/>
  <c r="AQ97" i="35"/>
  <c r="BH97" i="35" s="1"/>
  <c r="AP97" i="35"/>
  <c r="BE97" i="35" s="1"/>
  <c r="AO97" i="35"/>
  <c r="AL97" i="35"/>
  <c r="AK97" i="35"/>
  <c r="AM97" i="35" s="1"/>
  <c r="AI97" i="35"/>
  <c r="AJ97" i="35" s="1"/>
  <c r="AF97" i="35"/>
  <c r="AC97" i="35"/>
  <c r="AB97" i="35"/>
  <c r="AA97" i="35"/>
  <c r="Z97" i="35"/>
  <c r="Y97" i="35"/>
  <c r="X97" i="35"/>
  <c r="W97" i="35"/>
  <c r="T97" i="35"/>
  <c r="BK97" i="35" s="1"/>
  <c r="O97" i="35"/>
  <c r="N97" i="35"/>
  <c r="M97" i="35"/>
  <c r="L97" i="35"/>
  <c r="K97" i="35"/>
  <c r="J97" i="35"/>
  <c r="I97" i="35"/>
  <c r="H97" i="35"/>
  <c r="BJ96" i="35"/>
  <c r="BI96" i="35"/>
  <c r="BE96" i="35"/>
  <c r="AR96" i="35"/>
  <c r="AQ96" i="35"/>
  <c r="BH96" i="35" s="1"/>
  <c r="AP96" i="35"/>
  <c r="BD96" i="35" s="1"/>
  <c r="AO96" i="35"/>
  <c r="AM96" i="35"/>
  <c r="AL96" i="35"/>
  <c r="AK96" i="35"/>
  <c r="AJ96" i="35"/>
  <c r="BC96" i="35" s="1"/>
  <c r="AI96" i="35"/>
  <c r="AF96" i="35"/>
  <c r="AC96" i="35"/>
  <c r="AB96" i="35"/>
  <c r="AA96" i="35"/>
  <c r="Z96" i="35"/>
  <c r="Y96" i="35"/>
  <c r="X96" i="35"/>
  <c r="T96" i="35"/>
  <c r="O96" i="35"/>
  <c r="N96" i="35"/>
  <c r="M96" i="35"/>
  <c r="L96" i="35"/>
  <c r="K96" i="35"/>
  <c r="J96" i="35"/>
  <c r="I96" i="35"/>
  <c r="H96" i="35"/>
  <c r="BK95" i="35"/>
  <c r="BJ95" i="35"/>
  <c r="BI95" i="35"/>
  <c r="BH95" i="35"/>
  <c r="BC95" i="35"/>
  <c r="AR95" i="35"/>
  <c r="AQ95" i="35"/>
  <c r="AP95" i="35"/>
  <c r="BD95" i="35" s="1"/>
  <c r="AO95" i="35"/>
  <c r="AM95" i="35"/>
  <c r="AL95" i="35"/>
  <c r="AK95" i="35"/>
  <c r="AI95" i="35"/>
  <c r="AJ95" i="35" s="1"/>
  <c r="AF95" i="35"/>
  <c r="AC95" i="35"/>
  <c r="AB95" i="35"/>
  <c r="AA95" i="35"/>
  <c r="Z95" i="35"/>
  <c r="Y95" i="35"/>
  <c r="X95" i="35"/>
  <c r="T95" i="35"/>
  <c r="W95" i="35" s="1"/>
  <c r="O95" i="35"/>
  <c r="N95" i="35"/>
  <c r="M95" i="35"/>
  <c r="L95" i="35"/>
  <c r="K95" i="35"/>
  <c r="J95" i="35"/>
  <c r="I95" i="35"/>
  <c r="H95" i="35"/>
  <c r="BK94" i="35"/>
  <c r="BJ94" i="35"/>
  <c r="BI94" i="35"/>
  <c r="BE94" i="35"/>
  <c r="BC94" i="35"/>
  <c r="BB94" i="35"/>
  <c r="BA94" i="35"/>
  <c r="AX94" i="35"/>
  <c r="AU94" i="35"/>
  <c r="AR94" i="35"/>
  <c r="AQ94" i="35"/>
  <c r="BH94" i="35" s="1"/>
  <c r="AP94" i="35"/>
  <c r="AO94" i="35"/>
  <c r="AL94" i="35"/>
  <c r="AK94" i="35"/>
  <c r="AI94" i="35"/>
  <c r="AJ94" i="35" s="1"/>
  <c r="AF94" i="35"/>
  <c r="AC94" i="35"/>
  <c r="AB94" i="35"/>
  <c r="AA94" i="35"/>
  <c r="Z94" i="35"/>
  <c r="Y94" i="35"/>
  <c r="X94" i="35"/>
  <c r="W94" i="35"/>
  <c r="T94" i="35"/>
  <c r="O94" i="35"/>
  <c r="N94" i="35"/>
  <c r="M94" i="35"/>
  <c r="L94" i="35"/>
  <c r="K94" i="35"/>
  <c r="J94" i="35"/>
  <c r="I94" i="35"/>
  <c r="H94" i="35"/>
  <c r="BK93" i="35"/>
  <c r="BJ93" i="35"/>
  <c r="BI93" i="35"/>
  <c r="BF93" i="35"/>
  <c r="BD93" i="35"/>
  <c r="AZ93" i="35"/>
  <c r="AW93" i="35"/>
  <c r="AT93" i="35"/>
  <c r="AR93" i="35"/>
  <c r="AQ93" i="35"/>
  <c r="BH93" i="35" s="1"/>
  <c r="AP93" i="35"/>
  <c r="AO93" i="35"/>
  <c r="AM93" i="35"/>
  <c r="AL93" i="35"/>
  <c r="AK93" i="35"/>
  <c r="AJ93" i="35"/>
  <c r="AY93" i="35" s="1"/>
  <c r="AI93" i="35"/>
  <c r="AF93" i="35"/>
  <c r="AC93" i="35"/>
  <c r="AB93" i="35"/>
  <c r="AA93" i="35"/>
  <c r="Z93" i="35"/>
  <c r="Y93" i="35"/>
  <c r="X93" i="35"/>
  <c r="T93" i="35"/>
  <c r="W93" i="35" s="1"/>
  <c r="O93" i="35"/>
  <c r="N93" i="35"/>
  <c r="M93" i="35"/>
  <c r="L93" i="35"/>
  <c r="K93" i="35"/>
  <c r="J93" i="35"/>
  <c r="I93" i="35"/>
  <c r="H93" i="35"/>
  <c r="BK92" i="35"/>
  <c r="BJ92" i="35"/>
  <c r="BI92" i="35"/>
  <c r="BH92" i="35"/>
  <c r="BE92" i="35"/>
  <c r="BC92" i="35"/>
  <c r="BA92" i="35"/>
  <c r="AZ92" i="35"/>
  <c r="AW92" i="35"/>
  <c r="AS92" i="35"/>
  <c r="AR92" i="35"/>
  <c r="AQ92" i="35"/>
  <c r="AP92" i="35"/>
  <c r="BG92" i="35" s="1"/>
  <c r="AO92" i="35"/>
  <c r="AL92" i="35"/>
  <c r="AK92" i="35"/>
  <c r="AM92" i="35" s="1"/>
  <c r="AJ92" i="35"/>
  <c r="AY92" i="35" s="1"/>
  <c r="AI92" i="35"/>
  <c r="AX92" i="35" s="1"/>
  <c r="AF92" i="35"/>
  <c r="AC92" i="35"/>
  <c r="AB92" i="35"/>
  <c r="AA92" i="35"/>
  <c r="Z92" i="35"/>
  <c r="Y92" i="35"/>
  <c r="X92" i="35"/>
  <c r="T92" i="35"/>
  <c r="W92" i="35" s="1"/>
  <c r="O92" i="35"/>
  <c r="N92" i="35"/>
  <c r="M92" i="35"/>
  <c r="L92" i="35"/>
  <c r="K92" i="35"/>
  <c r="J92" i="35"/>
  <c r="I92" i="35"/>
  <c r="H92" i="35"/>
  <c r="BJ91" i="35"/>
  <c r="BI91" i="35"/>
  <c r="BH91" i="35"/>
  <c r="BB91" i="35"/>
  <c r="AY91" i="35"/>
  <c r="AR91" i="35"/>
  <c r="AQ91" i="35"/>
  <c r="AP91" i="35"/>
  <c r="BG91" i="35" s="1"/>
  <c r="AO91" i="35"/>
  <c r="AL91" i="35"/>
  <c r="AK91" i="35"/>
  <c r="AJ91" i="35"/>
  <c r="AI91" i="35"/>
  <c r="AF91" i="35"/>
  <c r="AC91" i="35"/>
  <c r="AB91" i="35"/>
  <c r="AA91" i="35"/>
  <c r="Z91" i="35"/>
  <c r="Y91" i="35"/>
  <c r="X91" i="35"/>
  <c r="T91" i="35"/>
  <c r="O91" i="35"/>
  <c r="N91" i="35"/>
  <c r="M91" i="35"/>
  <c r="L91" i="35"/>
  <c r="K91" i="35"/>
  <c r="J91" i="35"/>
  <c r="I91" i="35"/>
  <c r="H91" i="35"/>
  <c r="BK90" i="35"/>
  <c r="BJ90" i="35"/>
  <c r="BI90" i="35"/>
  <c r="BH90" i="35"/>
  <c r="BG90" i="35"/>
  <c r="BF90" i="35"/>
  <c r="BC90" i="35"/>
  <c r="BA90" i="35"/>
  <c r="AV90" i="35"/>
  <c r="AU90" i="35"/>
  <c r="AT90" i="35"/>
  <c r="AR90" i="35"/>
  <c r="AQ90" i="35"/>
  <c r="AP90" i="35"/>
  <c r="BE90" i="35" s="1"/>
  <c r="AO90" i="35"/>
  <c r="AL90" i="35"/>
  <c r="AW90" i="35" s="1"/>
  <c r="AK90" i="35"/>
  <c r="AI90" i="35"/>
  <c r="AJ90" i="35" s="1"/>
  <c r="AY90" i="35" s="1"/>
  <c r="AF90" i="35"/>
  <c r="AC90" i="35"/>
  <c r="AB90" i="35"/>
  <c r="AA90" i="35"/>
  <c r="Z90" i="35"/>
  <c r="Y90" i="35"/>
  <c r="X90" i="35"/>
  <c r="W90" i="35"/>
  <c r="T90" i="35"/>
  <c r="O90" i="35"/>
  <c r="N90" i="35"/>
  <c r="M90" i="35"/>
  <c r="L90" i="35"/>
  <c r="K90" i="35"/>
  <c r="J90" i="35"/>
  <c r="I90" i="35"/>
  <c r="H90" i="35"/>
  <c r="BJ89" i="35"/>
  <c r="BI89" i="35"/>
  <c r="BH89" i="35"/>
  <c r="BG89" i="35"/>
  <c r="BF89" i="35"/>
  <c r="BE89" i="35"/>
  <c r="BA89" i="35"/>
  <c r="AZ89" i="35"/>
  <c r="AX89" i="35"/>
  <c r="AW89" i="35"/>
  <c r="AV89" i="35"/>
  <c r="AU89" i="35"/>
  <c r="AS89" i="35"/>
  <c r="AR89" i="35"/>
  <c r="AQ89" i="35"/>
  <c r="AP89" i="35"/>
  <c r="AO89" i="35"/>
  <c r="AL89" i="35"/>
  <c r="AK89" i="35"/>
  <c r="AM89" i="35" s="1"/>
  <c r="AI89" i="35"/>
  <c r="AJ89" i="35" s="1"/>
  <c r="AY89" i="35" s="1"/>
  <c r="AF89" i="35"/>
  <c r="AC89" i="35"/>
  <c r="AB89" i="35"/>
  <c r="AA89" i="35"/>
  <c r="Z89" i="35"/>
  <c r="Y89" i="35"/>
  <c r="X89" i="35"/>
  <c r="W89" i="35"/>
  <c r="T89" i="35"/>
  <c r="BK89" i="35" s="1"/>
  <c r="O89" i="35"/>
  <c r="N89" i="35"/>
  <c r="M89" i="35"/>
  <c r="L89" i="35"/>
  <c r="K89" i="35"/>
  <c r="J89" i="35"/>
  <c r="I89" i="35"/>
  <c r="H89" i="35"/>
  <c r="BJ88" i="35"/>
  <c r="BI88" i="35"/>
  <c r="BH88" i="35"/>
  <c r="BG88" i="35"/>
  <c r="BF88" i="35"/>
  <c r="AZ88" i="35"/>
  <c r="AW88" i="35"/>
  <c r="AU88" i="35"/>
  <c r="AT88" i="35"/>
  <c r="AR88" i="35"/>
  <c r="AQ88" i="35"/>
  <c r="AP88" i="35"/>
  <c r="BE88" i="35" s="1"/>
  <c r="AO88" i="35"/>
  <c r="AM88" i="35"/>
  <c r="AL88" i="35"/>
  <c r="AK88" i="35"/>
  <c r="AJ88" i="35"/>
  <c r="AY88" i="35" s="1"/>
  <c r="AI88" i="35"/>
  <c r="AF88" i="35"/>
  <c r="AC88" i="35"/>
  <c r="AB88" i="35"/>
  <c r="AA88" i="35"/>
  <c r="Z88" i="35"/>
  <c r="Y88" i="35"/>
  <c r="X88" i="35"/>
  <c r="T88" i="35"/>
  <c r="O88" i="35"/>
  <c r="N88" i="35"/>
  <c r="M88" i="35"/>
  <c r="L88" i="35"/>
  <c r="K88" i="35"/>
  <c r="J88" i="35"/>
  <c r="I88" i="35"/>
  <c r="H88" i="35"/>
  <c r="BK87" i="35"/>
  <c r="BJ87" i="35"/>
  <c r="BI87" i="35"/>
  <c r="BH87" i="35"/>
  <c r="BF87" i="35"/>
  <c r="BE87" i="35"/>
  <c r="AV87" i="35"/>
  <c r="AT87" i="35"/>
  <c r="AS87" i="35"/>
  <c r="AR87" i="35"/>
  <c r="AQ87" i="35"/>
  <c r="AP87" i="35"/>
  <c r="BD87" i="35" s="1"/>
  <c r="AO87" i="35"/>
  <c r="AL87" i="35"/>
  <c r="AK87" i="35"/>
  <c r="AM87" i="35" s="1"/>
  <c r="AI87" i="35"/>
  <c r="AF87" i="35"/>
  <c r="AC87" i="35"/>
  <c r="AB87" i="35"/>
  <c r="AA87" i="35"/>
  <c r="Z87" i="35"/>
  <c r="Y87" i="35"/>
  <c r="X87" i="35"/>
  <c r="W87" i="35"/>
  <c r="T87" i="35"/>
  <c r="O87" i="35"/>
  <c r="N87" i="35"/>
  <c r="M87" i="35"/>
  <c r="L87" i="35"/>
  <c r="K87" i="35"/>
  <c r="J87" i="35"/>
  <c r="I87" i="35"/>
  <c r="H87" i="35"/>
  <c r="BJ86" i="35"/>
  <c r="BI86" i="35"/>
  <c r="BH86" i="35"/>
  <c r="BG86" i="35"/>
  <c r="BF86" i="35"/>
  <c r="BE86" i="35"/>
  <c r="BD86" i="35"/>
  <c r="BA86" i="35"/>
  <c r="AZ86" i="35"/>
  <c r="AX86" i="35"/>
  <c r="AW86" i="35"/>
  <c r="AU86" i="35"/>
  <c r="AT86" i="35"/>
  <c r="AS86" i="35"/>
  <c r="AR86" i="35"/>
  <c r="AQ86" i="35"/>
  <c r="AP86" i="35"/>
  <c r="BC86" i="35" s="1"/>
  <c r="AO86" i="35"/>
  <c r="AL86" i="35"/>
  <c r="AK86" i="35"/>
  <c r="AM86" i="35" s="1"/>
  <c r="AJ86" i="35"/>
  <c r="AI86" i="35"/>
  <c r="AF86" i="35"/>
  <c r="AC86" i="35"/>
  <c r="AB86" i="35"/>
  <c r="AA86" i="35"/>
  <c r="Z86" i="35"/>
  <c r="Y86" i="35"/>
  <c r="X86" i="35"/>
  <c r="W86" i="35"/>
  <c r="T86" i="35"/>
  <c r="BK86" i="35" s="1"/>
  <c r="O86" i="35"/>
  <c r="N86" i="35"/>
  <c r="M86" i="35"/>
  <c r="L86" i="35"/>
  <c r="K86" i="35"/>
  <c r="J86" i="35"/>
  <c r="I86" i="35"/>
  <c r="H86" i="35"/>
  <c r="BJ85" i="35"/>
  <c r="BI85" i="35"/>
  <c r="BG85" i="35"/>
  <c r="BF85" i="35"/>
  <c r="BE85" i="35"/>
  <c r="BD85" i="35"/>
  <c r="BC85" i="35"/>
  <c r="AZ85" i="35"/>
  <c r="AW85" i="35"/>
  <c r="AV85" i="35"/>
  <c r="AU85" i="35"/>
  <c r="AT85" i="35"/>
  <c r="AS85" i="35"/>
  <c r="AR85" i="35"/>
  <c r="AQ85" i="35"/>
  <c r="BH85" i="35" s="1"/>
  <c r="AP85" i="35"/>
  <c r="BB85" i="35" s="1"/>
  <c r="AO85" i="35"/>
  <c r="AM85" i="35"/>
  <c r="AL85" i="35"/>
  <c r="BA85" i="35" s="1"/>
  <c r="AK85" i="35"/>
  <c r="AJ85" i="35"/>
  <c r="AY85" i="35" s="1"/>
  <c r="AI85" i="35"/>
  <c r="AF85" i="35"/>
  <c r="AC85" i="35"/>
  <c r="AB85" i="35"/>
  <c r="AA85" i="35"/>
  <c r="Z85" i="35"/>
  <c r="Y85" i="35"/>
  <c r="X85" i="35"/>
  <c r="T85" i="35"/>
  <c r="BK85" i="35" s="1"/>
  <c r="O85" i="35"/>
  <c r="N85" i="35"/>
  <c r="M85" i="35"/>
  <c r="L85" i="35"/>
  <c r="K85" i="35"/>
  <c r="J85" i="35"/>
  <c r="I85" i="35"/>
  <c r="H85" i="35"/>
  <c r="BK84" i="35"/>
  <c r="BJ84" i="35"/>
  <c r="BI84" i="35"/>
  <c r="BE84" i="35"/>
  <c r="BC84" i="35"/>
  <c r="AS84" i="35"/>
  <c r="AR84" i="35"/>
  <c r="AQ84" i="35"/>
  <c r="BH84" i="35" s="1"/>
  <c r="AP84" i="35"/>
  <c r="BA84" i="35" s="1"/>
  <c r="AO84" i="35"/>
  <c r="AL84" i="35"/>
  <c r="AK84" i="35"/>
  <c r="AM84" i="35" s="1"/>
  <c r="AI84" i="35"/>
  <c r="AJ84" i="35" s="1"/>
  <c r="AF84" i="35"/>
  <c r="AC84" i="35"/>
  <c r="AB84" i="35"/>
  <c r="AA84" i="35"/>
  <c r="Z84" i="35"/>
  <c r="Y84" i="35"/>
  <c r="X84" i="35"/>
  <c r="W84" i="35"/>
  <c r="T84" i="35"/>
  <c r="O84" i="35"/>
  <c r="N84" i="35"/>
  <c r="M84" i="35"/>
  <c r="L84" i="35"/>
  <c r="K84" i="35"/>
  <c r="J84" i="35"/>
  <c r="I84" i="35"/>
  <c r="H84" i="35"/>
  <c r="BJ83" i="35"/>
  <c r="BI83" i="35"/>
  <c r="BD83" i="35"/>
  <c r="BB83" i="35"/>
  <c r="AR83" i="35"/>
  <c r="AQ83" i="35"/>
  <c r="BH83" i="35" s="1"/>
  <c r="AP83" i="35"/>
  <c r="AO83" i="35"/>
  <c r="AL83" i="35"/>
  <c r="AK83" i="35"/>
  <c r="AM83" i="35" s="1"/>
  <c r="AJ83" i="35"/>
  <c r="AI83" i="35"/>
  <c r="AF83" i="35"/>
  <c r="AC83" i="35"/>
  <c r="AB83" i="35"/>
  <c r="AA83" i="35"/>
  <c r="Z83" i="35"/>
  <c r="Y83" i="35"/>
  <c r="X83" i="35"/>
  <c r="W83" i="35"/>
  <c r="T83" i="35"/>
  <c r="BK83" i="35" s="1"/>
  <c r="O83" i="35"/>
  <c r="N83" i="35"/>
  <c r="M83" i="35"/>
  <c r="L83" i="35"/>
  <c r="K83" i="35"/>
  <c r="J83" i="35"/>
  <c r="I83" i="35"/>
  <c r="H83" i="35"/>
  <c r="BJ82" i="35"/>
  <c r="BI82" i="35"/>
  <c r="BF82" i="35"/>
  <c r="BE82" i="35"/>
  <c r="BC82" i="35"/>
  <c r="BA82" i="35"/>
  <c r="AZ82" i="35"/>
  <c r="AT82" i="35"/>
  <c r="AS82" i="35"/>
  <c r="AR82" i="35"/>
  <c r="AQ82" i="35"/>
  <c r="BH82" i="35" s="1"/>
  <c r="AP82" i="35"/>
  <c r="AY82" i="35" s="1"/>
  <c r="AO82" i="35"/>
  <c r="AM82" i="35"/>
  <c r="AL82" i="35"/>
  <c r="AK82" i="35"/>
  <c r="AJ82" i="35"/>
  <c r="AI82" i="35"/>
  <c r="AF82" i="35"/>
  <c r="AC82" i="35"/>
  <c r="AB82" i="35"/>
  <c r="AA82" i="35"/>
  <c r="Z82" i="35"/>
  <c r="Y82" i="35"/>
  <c r="X82" i="35"/>
  <c r="T82" i="35"/>
  <c r="BK82" i="35" s="1"/>
  <c r="O82" i="35"/>
  <c r="N82" i="35"/>
  <c r="M82" i="35"/>
  <c r="L82" i="35"/>
  <c r="K82" i="35"/>
  <c r="J82" i="35"/>
  <c r="I82" i="35"/>
  <c r="H82" i="35"/>
  <c r="BK81" i="35"/>
  <c r="BJ81" i="35"/>
  <c r="BI81" i="35"/>
  <c r="BH81" i="35"/>
  <c r="AR81" i="35"/>
  <c r="AQ81" i="35"/>
  <c r="AP81" i="35"/>
  <c r="BB81" i="35" s="1"/>
  <c r="AO81" i="35"/>
  <c r="AM81" i="35"/>
  <c r="AL81" i="35"/>
  <c r="AK81" i="35"/>
  <c r="AI81" i="35"/>
  <c r="AJ81" i="35" s="1"/>
  <c r="AF81" i="35"/>
  <c r="AC81" i="35"/>
  <c r="AB81" i="35"/>
  <c r="AA81" i="35"/>
  <c r="Z81" i="35"/>
  <c r="Y81" i="35"/>
  <c r="X81" i="35"/>
  <c r="T81" i="35"/>
  <c r="W81" i="35" s="1"/>
  <c r="O81" i="35"/>
  <c r="N81" i="35"/>
  <c r="M81" i="35"/>
  <c r="L81" i="35"/>
  <c r="K81" i="35"/>
  <c r="J81" i="35"/>
  <c r="I81" i="35"/>
  <c r="H81" i="35"/>
  <c r="BK80" i="35"/>
  <c r="BJ80" i="35"/>
  <c r="BI80" i="35"/>
  <c r="BG80" i="35"/>
  <c r="BF80" i="35"/>
  <c r="BD80" i="35"/>
  <c r="BC80" i="35"/>
  <c r="BA80" i="35"/>
  <c r="AZ80" i="35"/>
  <c r="AX80" i="35"/>
  <c r="AU80" i="35"/>
  <c r="AT80" i="35"/>
  <c r="AR80" i="35"/>
  <c r="AQ80" i="35"/>
  <c r="BH80" i="35" s="1"/>
  <c r="AP80" i="35"/>
  <c r="AW80" i="35" s="1"/>
  <c r="AO80" i="35"/>
  <c r="AL80" i="35"/>
  <c r="AK80" i="35"/>
  <c r="AV80" i="35" s="1"/>
  <c r="AI80" i="35"/>
  <c r="AJ80" i="35" s="1"/>
  <c r="AY80" i="35" s="1"/>
  <c r="AF80" i="35"/>
  <c r="AC80" i="35"/>
  <c r="AB80" i="35"/>
  <c r="AA80" i="35"/>
  <c r="Z80" i="35"/>
  <c r="Y80" i="35"/>
  <c r="X80" i="35"/>
  <c r="W80" i="35"/>
  <c r="T80" i="35"/>
  <c r="O80" i="35"/>
  <c r="N80" i="35"/>
  <c r="M80" i="35"/>
  <c r="L80" i="35"/>
  <c r="K80" i="35"/>
  <c r="J80" i="35"/>
  <c r="I80" i="35"/>
  <c r="H80" i="35"/>
  <c r="BJ79" i="35"/>
  <c r="BI79" i="35"/>
  <c r="BC79" i="35"/>
  <c r="AZ79" i="35"/>
  <c r="AX79" i="35"/>
  <c r="AW79" i="35"/>
  <c r="AR79" i="35"/>
  <c r="AQ79" i="35"/>
  <c r="BH79" i="35" s="1"/>
  <c r="AP79" i="35"/>
  <c r="AO79" i="35"/>
  <c r="AM79" i="35"/>
  <c r="AL79" i="35"/>
  <c r="AK79" i="35"/>
  <c r="AJ79" i="35"/>
  <c r="AI79" i="35"/>
  <c r="AF79" i="35"/>
  <c r="AC79" i="35"/>
  <c r="AB79" i="35"/>
  <c r="AA79" i="35"/>
  <c r="Z79" i="35"/>
  <c r="Y79" i="35"/>
  <c r="X79" i="35"/>
  <c r="W79" i="35"/>
  <c r="T79" i="35"/>
  <c r="BK79" i="35" s="1"/>
  <c r="O79" i="35"/>
  <c r="N79" i="35"/>
  <c r="M79" i="35"/>
  <c r="L79" i="35"/>
  <c r="K79" i="35"/>
  <c r="J79" i="35"/>
  <c r="I79" i="35"/>
  <c r="H79" i="35"/>
  <c r="BJ78" i="35"/>
  <c r="BI78" i="35"/>
  <c r="BH78" i="35"/>
  <c r="AW78" i="35"/>
  <c r="AV78" i="35"/>
  <c r="AR78" i="35"/>
  <c r="AQ78" i="35"/>
  <c r="AP78" i="35"/>
  <c r="BG78" i="35" s="1"/>
  <c r="AO78" i="35"/>
  <c r="AL78" i="35"/>
  <c r="AK78" i="35"/>
  <c r="AJ78" i="35"/>
  <c r="AY78" i="35" s="1"/>
  <c r="AI78" i="35"/>
  <c r="AF78" i="35"/>
  <c r="AC78" i="35"/>
  <c r="AB78" i="35"/>
  <c r="AA78" i="35"/>
  <c r="Z78" i="35"/>
  <c r="Y78" i="35"/>
  <c r="X78" i="35"/>
  <c r="T78" i="35"/>
  <c r="W78" i="35" s="1"/>
  <c r="O78" i="35"/>
  <c r="N78" i="35"/>
  <c r="M78" i="35"/>
  <c r="L78" i="35"/>
  <c r="K78" i="35"/>
  <c r="J78" i="35"/>
  <c r="I78" i="35"/>
  <c r="H78" i="35"/>
  <c r="BJ77" i="35"/>
  <c r="BI77" i="35"/>
  <c r="BH77" i="35"/>
  <c r="BG77" i="35"/>
  <c r="BE77" i="35"/>
  <c r="BD77" i="35"/>
  <c r="BC77" i="35"/>
  <c r="BA77" i="35"/>
  <c r="AZ77" i="35"/>
  <c r="AW77" i="35"/>
  <c r="AU77" i="35"/>
  <c r="AS77" i="35"/>
  <c r="AR77" i="35"/>
  <c r="AQ77" i="35"/>
  <c r="AP77" i="35"/>
  <c r="BF77" i="35" s="1"/>
  <c r="AO77" i="35"/>
  <c r="AL77" i="35"/>
  <c r="AK77" i="35"/>
  <c r="AM77" i="35" s="1"/>
  <c r="AI77" i="35"/>
  <c r="AJ77" i="35" s="1"/>
  <c r="AY77" i="35" s="1"/>
  <c r="AF77" i="35"/>
  <c r="AC77" i="35"/>
  <c r="AB77" i="35"/>
  <c r="AA77" i="35"/>
  <c r="Z77" i="35"/>
  <c r="Y77" i="35"/>
  <c r="X77" i="35"/>
  <c r="W77" i="35"/>
  <c r="T77" i="35"/>
  <c r="BK77" i="35" s="1"/>
  <c r="O77" i="35"/>
  <c r="N77" i="35"/>
  <c r="M77" i="35"/>
  <c r="L77" i="35"/>
  <c r="K77" i="35"/>
  <c r="J77" i="35"/>
  <c r="I77" i="35"/>
  <c r="H77" i="35"/>
  <c r="BJ76" i="35"/>
  <c r="BI76" i="35"/>
  <c r="BG76" i="35"/>
  <c r="BF76" i="35"/>
  <c r="BC76" i="35"/>
  <c r="AZ76" i="35"/>
  <c r="AW76" i="35"/>
  <c r="AV76" i="35"/>
  <c r="AU76" i="35"/>
  <c r="AT76" i="35"/>
  <c r="AR76" i="35"/>
  <c r="AQ76" i="35"/>
  <c r="BH76" i="35" s="1"/>
  <c r="AP76" i="35"/>
  <c r="BE76" i="35" s="1"/>
  <c r="AO76" i="35"/>
  <c r="AM76" i="35"/>
  <c r="AL76" i="35"/>
  <c r="AK76" i="35"/>
  <c r="AJ76" i="35"/>
  <c r="AY76" i="35" s="1"/>
  <c r="AI76" i="35"/>
  <c r="AF76" i="35"/>
  <c r="AC76" i="35"/>
  <c r="AB76" i="35"/>
  <c r="AA76" i="35"/>
  <c r="Z76" i="35"/>
  <c r="Y76" i="35"/>
  <c r="X76" i="35"/>
  <c r="T76" i="35"/>
  <c r="O76" i="35"/>
  <c r="N76" i="35"/>
  <c r="M76" i="35"/>
  <c r="L76" i="35"/>
  <c r="K76" i="35"/>
  <c r="J76" i="35"/>
  <c r="I76" i="35"/>
  <c r="H76" i="35"/>
  <c r="BK75" i="35"/>
  <c r="BJ75" i="35"/>
  <c r="BI75" i="35"/>
  <c r="BH75" i="35"/>
  <c r="BF75" i="35"/>
  <c r="BE75" i="35"/>
  <c r="AV75" i="35"/>
  <c r="AT75" i="35"/>
  <c r="AS75" i="35"/>
  <c r="AR75" i="35"/>
  <c r="AQ75" i="35"/>
  <c r="AP75" i="35"/>
  <c r="BD75" i="35" s="1"/>
  <c r="AO75" i="35"/>
  <c r="AL75" i="35"/>
  <c r="AK75" i="35"/>
  <c r="AM75" i="35" s="1"/>
  <c r="AI75" i="35"/>
  <c r="AF75" i="35"/>
  <c r="AC75" i="35"/>
  <c r="AB75" i="35"/>
  <c r="AA75" i="35"/>
  <c r="Z75" i="35"/>
  <c r="Y75" i="35"/>
  <c r="X75" i="35"/>
  <c r="W75" i="35"/>
  <c r="T75" i="35"/>
  <c r="O75" i="35"/>
  <c r="N75" i="35"/>
  <c r="M75" i="35"/>
  <c r="L75" i="35"/>
  <c r="K75" i="35"/>
  <c r="J75" i="35"/>
  <c r="I75" i="35"/>
  <c r="H75" i="35"/>
  <c r="BJ74" i="35"/>
  <c r="BI74" i="35"/>
  <c r="BH74" i="35"/>
  <c r="BG74" i="35"/>
  <c r="BF74" i="35"/>
  <c r="BE74" i="35"/>
  <c r="BD74" i="35"/>
  <c r="BA74" i="35"/>
  <c r="AX74" i="35"/>
  <c r="AW74" i="35"/>
  <c r="AU74" i="35"/>
  <c r="AT74" i="35"/>
  <c r="AS74" i="35"/>
  <c r="AR74" i="35"/>
  <c r="AQ74" i="35"/>
  <c r="AP74" i="35"/>
  <c r="BC74" i="35" s="1"/>
  <c r="AO74" i="35"/>
  <c r="AL74" i="35"/>
  <c r="AK74" i="35"/>
  <c r="AZ74" i="35" s="1"/>
  <c r="AJ74" i="35"/>
  <c r="AI74" i="35"/>
  <c r="AF74" i="35"/>
  <c r="AC74" i="35"/>
  <c r="AB74" i="35"/>
  <c r="AA74" i="35"/>
  <c r="Z74" i="35"/>
  <c r="Y74" i="35"/>
  <c r="X74" i="35"/>
  <c r="W74" i="35"/>
  <c r="T74" i="35"/>
  <c r="BK74" i="35" s="1"/>
  <c r="O74" i="35"/>
  <c r="N74" i="35"/>
  <c r="M74" i="35"/>
  <c r="L74" i="35"/>
  <c r="K74" i="35"/>
  <c r="J74" i="35"/>
  <c r="I74" i="35"/>
  <c r="H74" i="35"/>
  <c r="BJ73" i="35"/>
  <c r="BI73" i="35"/>
  <c r="BG73" i="35"/>
  <c r="BF73" i="35"/>
  <c r="BE73" i="35"/>
  <c r="BD73" i="35"/>
  <c r="BC73" i="35"/>
  <c r="AZ73" i="35"/>
  <c r="AW73" i="35"/>
  <c r="AV73" i="35"/>
  <c r="AU73" i="35"/>
  <c r="AT73" i="35"/>
  <c r="AS73" i="35"/>
  <c r="AR73" i="35"/>
  <c r="AQ73" i="35"/>
  <c r="BH73" i="35" s="1"/>
  <c r="AP73" i="35"/>
  <c r="BB73" i="35" s="1"/>
  <c r="AO73" i="35"/>
  <c r="AM73" i="35"/>
  <c r="AL73" i="35"/>
  <c r="BA73" i="35" s="1"/>
  <c r="AK73" i="35"/>
  <c r="AJ73" i="35"/>
  <c r="AY73" i="35" s="1"/>
  <c r="AI73" i="35"/>
  <c r="AF73" i="35"/>
  <c r="AC73" i="35"/>
  <c r="AB73" i="35"/>
  <c r="AA73" i="35"/>
  <c r="Z73" i="35"/>
  <c r="Y73" i="35"/>
  <c r="X73" i="35"/>
  <c r="T73" i="35"/>
  <c r="BK73" i="35" s="1"/>
  <c r="O73" i="35"/>
  <c r="N73" i="35"/>
  <c r="M73" i="35"/>
  <c r="L73" i="35"/>
  <c r="K73" i="35"/>
  <c r="J73" i="35"/>
  <c r="I73" i="35"/>
  <c r="H73" i="35"/>
  <c r="BK72" i="35"/>
  <c r="BJ72" i="35"/>
  <c r="BI72" i="35"/>
  <c r="BE72" i="35"/>
  <c r="AS72" i="35"/>
  <c r="AR72" i="35"/>
  <c r="AQ72" i="35"/>
  <c r="BH72" i="35" s="1"/>
  <c r="AP72" i="35"/>
  <c r="BA72" i="35" s="1"/>
  <c r="AO72" i="35"/>
  <c r="AL72" i="35"/>
  <c r="AK72" i="35"/>
  <c r="AM72" i="35" s="1"/>
  <c r="AI72" i="35"/>
  <c r="AJ72" i="35" s="1"/>
  <c r="BC72" i="35" s="1"/>
  <c r="AF72" i="35"/>
  <c r="AC72" i="35"/>
  <c r="AB72" i="35"/>
  <c r="AA72" i="35"/>
  <c r="Z72" i="35"/>
  <c r="Y72" i="35"/>
  <c r="X72" i="35"/>
  <c r="W72" i="35"/>
  <c r="T72" i="35"/>
  <c r="O72" i="35"/>
  <c r="N72" i="35"/>
  <c r="M72" i="35"/>
  <c r="L72" i="35"/>
  <c r="K72" i="35"/>
  <c r="J72" i="35"/>
  <c r="I72" i="35"/>
  <c r="H72" i="35"/>
  <c r="BJ71" i="35"/>
  <c r="BI71" i="35"/>
  <c r="BD71" i="35"/>
  <c r="AR71" i="35"/>
  <c r="AQ71" i="35"/>
  <c r="BH71" i="35" s="1"/>
  <c r="AP71" i="35"/>
  <c r="AO71" i="35"/>
  <c r="AL71" i="35"/>
  <c r="AK71" i="35"/>
  <c r="AM71" i="35" s="1"/>
  <c r="AJ71" i="35"/>
  <c r="AI71" i="35"/>
  <c r="AF71" i="35"/>
  <c r="AC71" i="35"/>
  <c r="AB71" i="35"/>
  <c r="AA71" i="35"/>
  <c r="Z71" i="35"/>
  <c r="Y71" i="35"/>
  <c r="X71" i="35"/>
  <c r="W71" i="35"/>
  <c r="T71" i="35"/>
  <c r="BK71" i="35" s="1"/>
  <c r="O71" i="35"/>
  <c r="N71" i="35"/>
  <c r="M71" i="35"/>
  <c r="L71" i="35"/>
  <c r="K71" i="35"/>
  <c r="J71" i="35"/>
  <c r="I71" i="35"/>
  <c r="H71" i="35"/>
  <c r="BJ70" i="35"/>
  <c r="BI70" i="35"/>
  <c r="BF70" i="35"/>
  <c r="BE70" i="35"/>
  <c r="BC70" i="35"/>
  <c r="BA70" i="35"/>
  <c r="AZ70" i="35"/>
  <c r="AT70" i="35"/>
  <c r="AS70" i="35"/>
  <c r="AR70" i="35"/>
  <c r="AQ70" i="35"/>
  <c r="BH70" i="35" s="1"/>
  <c r="AP70" i="35"/>
  <c r="AY70" i="35" s="1"/>
  <c r="AO70" i="35"/>
  <c r="AM70" i="35"/>
  <c r="AL70" i="35"/>
  <c r="AK70" i="35"/>
  <c r="AJ70" i="35"/>
  <c r="AI70" i="35"/>
  <c r="AF70" i="35"/>
  <c r="AC70" i="35"/>
  <c r="AB70" i="35"/>
  <c r="AA70" i="35"/>
  <c r="Z70" i="35"/>
  <c r="Y70" i="35"/>
  <c r="X70" i="35"/>
  <c r="T70" i="35"/>
  <c r="BK70" i="35" s="1"/>
  <c r="O70" i="35"/>
  <c r="N70" i="35"/>
  <c r="M70" i="35"/>
  <c r="L70" i="35"/>
  <c r="K70" i="35"/>
  <c r="J70" i="35"/>
  <c r="I70" i="35"/>
  <c r="H70" i="35"/>
  <c r="BK69" i="35"/>
  <c r="BJ69" i="35"/>
  <c r="BI69" i="35"/>
  <c r="BH69" i="35"/>
  <c r="BB69" i="35"/>
  <c r="AZ69" i="35"/>
  <c r="AR69" i="35"/>
  <c r="AQ69" i="35"/>
  <c r="AP69" i="35"/>
  <c r="AO69" i="35"/>
  <c r="AM69" i="35"/>
  <c r="AL69" i="35"/>
  <c r="AK69" i="35"/>
  <c r="AI69" i="35"/>
  <c r="AJ69" i="35" s="1"/>
  <c r="AF69" i="35"/>
  <c r="AC69" i="35"/>
  <c r="AB69" i="35"/>
  <c r="AA69" i="35"/>
  <c r="Z69" i="35"/>
  <c r="Y69" i="35"/>
  <c r="X69" i="35"/>
  <c r="T69" i="35"/>
  <c r="W69" i="35" s="1"/>
  <c r="O69" i="35"/>
  <c r="N69" i="35"/>
  <c r="M69" i="35"/>
  <c r="L69" i="35"/>
  <c r="K69" i="35"/>
  <c r="J69" i="35"/>
  <c r="I69" i="35"/>
  <c r="H69" i="35"/>
  <c r="BK68" i="35"/>
  <c r="BJ68" i="35"/>
  <c r="BI68" i="35"/>
  <c r="BG68" i="35"/>
  <c r="BF68" i="35"/>
  <c r="BD68" i="35"/>
  <c r="BC68" i="35"/>
  <c r="BA68" i="35"/>
  <c r="AZ68" i="35"/>
  <c r="AX68" i="35"/>
  <c r="AU68" i="35"/>
  <c r="AT68" i="35"/>
  <c r="AR68" i="35"/>
  <c r="AQ68" i="35"/>
  <c r="BH68" i="35" s="1"/>
  <c r="AP68" i="35"/>
  <c r="AW68" i="35" s="1"/>
  <c r="AO68" i="35"/>
  <c r="AL68" i="35"/>
  <c r="AK68" i="35"/>
  <c r="AV68" i="35" s="1"/>
  <c r="AI68" i="35"/>
  <c r="AJ68" i="35" s="1"/>
  <c r="AY68" i="35" s="1"/>
  <c r="AF68" i="35"/>
  <c r="AC68" i="35"/>
  <c r="AB68" i="35"/>
  <c r="AA68" i="35"/>
  <c r="Z68" i="35"/>
  <c r="Y68" i="35"/>
  <c r="X68" i="35"/>
  <c r="W68" i="35"/>
  <c r="T68" i="35"/>
  <c r="O68" i="35"/>
  <c r="N68" i="35"/>
  <c r="M68" i="35"/>
  <c r="L68" i="35"/>
  <c r="K68" i="35"/>
  <c r="J68" i="35"/>
  <c r="I68" i="35"/>
  <c r="H68" i="35"/>
  <c r="BJ67" i="35"/>
  <c r="BI67" i="35"/>
  <c r="AZ67" i="35"/>
  <c r="AX67" i="35"/>
  <c r="AW67" i="35"/>
  <c r="AR67" i="35"/>
  <c r="AQ67" i="35"/>
  <c r="BH67" i="35" s="1"/>
  <c r="AP67" i="35"/>
  <c r="AO67" i="35"/>
  <c r="AM67" i="35"/>
  <c r="AL67" i="35"/>
  <c r="AK67" i="35"/>
  <c r="AJ67" i="35"/>
  <c r="BC67" i="35" s="1"/>
  <c r="AI67" i="35"/>
  <c r="AF67" i="35"/>
  <c r="AC67" i="35"/>
  <c r="AB67" i="35"/>
  <c r="AA67" i="35"/>
  <c r="Z67" i="35"/>
  <c r="Y67" i="35"/>
  <c r="X67" i="35"/>
  <c r="W67" i="35"/>
  <c r="T67" i="35"/>
  <c r="BK67" i="35" s="1"/>
  <c r="O67" i="35"/>
  <c r="N67" i="35"/>
  <c r="M67" i="35"/>
  <c r="L67" i="35"/>
  <c r="K67" i="35"/>
  <c r="J67" i="35"/>
  <c r="I67" i="35"/>
  <c r="H67" i="35"/>
  <c r="BK66" i="35"/>
  <c r="BJ66" i="35"/>
  <c r="BI66" i="35"/>
  <c r="BH66" i="35"/>
  <c r="AY66" i="35"/>
  <c r="AW66" i="35"/>
  <c r="AV66" i="35"/>
  <c r="AR66" i="35"/>
  <c r="AQ66" i="35"/>
  <c r="AP66" i="35"/>
  <c r="BG66" i="35" s="1"/>
  <c r="AO66" i="35"/>
  <c r="AL66" i="35"/>
  <c r="AK66" i="35"/>
  <c r="AJ66" i="35"/>
  <c r="AI66" i="35"/>
  <c r="AF66" i="35"/>
  <c r="AC66" i="35"/>
  <c r="AB66" i="35"/>
  <c r="AA66" i="35"/>
  <c r="Z66" i="35"/>
  <c r="Y66" i="35"/>
  <c r="X66" i="35"/>
  <c r="T66" i="35"/>
  <c r="W66" i="35" s="1"/>
  <c r="O66" i="35"/>
  <c r="N66" i="35"/>
  <c r="M66" i="35"/>
  <c r="L66" i="35"/>
  <c r="K66" i="35"/>
  <c r="J66" i="35"/>
  <c r="I66" i="35"/>
  <c r="H66" i="35"/>
  <c r="BJ65" i="35"/>
  <c r="BI65" i="35"/>
  <c r="BH65" i="35"/>
  <c r="BG65" i="35"/>
  <c r="BE65" i="35"/>
  <c r="BD65" i="35"/>
  <c r="BA65" i="35"/>
  <c r="AX65" i="35"/>
  <c r="AW65" i="35"/>
  <c r="AV65" i="35"/>
  <c r="AU65" i="35"/>
  <c r="AS65" i="35"/>
  <c r="AR65" i="35"/>
  <c r="AQ65" i="35"/>
  <c r="AP65" i="35"/>
  <c r="BF65" i="35" s="1"/>
  <c r="AO65" i="35"/>
  <c r="AL65" i="35"/>
  <c r="AK65" i="35"/>
  <c r="AI65" i="35"/>
  <c r="AJ65" i="35" s="1"/>
  <c r="AF65" i="35"/>
  <c r="AC65" i="35"/>
  <c r="AB65" i="35"/>
  <c r="AA65" i="35"/>
  <c r="Z65" i="35"/>
  <c r="Y65" i="35"/>
  <c r="X65" i="35"/>
  <c r="W65" i="35"/>
  <c r="T65" i="35"/>
  <c r="BK65" i="35" s="1"/>
  <c r="O65" i="35"/>
  <c r="N65" i="35"/>
  <c r="M65" i="35"/>
  <c r="L65" i="35"/>
  <c r="K65" i="35"/>
  <c r="J65" i="35"/>
  <c r="I65" i="35"/>
  <c r="H65" i="35"/>
  <c r="BJ64" i="35"/>
  <c r="BI64" i="35"/>
  <c r="BG64" i="35"/>
  <c r="BF64" i="35"/>
  <c r="AZ64" i="35"/>
  <c r="AW64" i="35"/>
  <c r="AV64" i="35"/>
  <c r="AU64" i="35"/>
  <c r="AT64" i="35"/>
  <c r="AR64" i="35"/>
  <c r="AQ64" i="35"/>
  <c r="BH64" i="35" s="1"/>
  <c r="AP64" i="35"/>
  <c r="BE64" i="35" s="1"/>
  <c r="AO64" i="35"/>
  <c r="AM64" i="35"/>
  <c r="AL64" i="35"/>
  <c r="AK64" i="35"/>
  <c r="AJ64" i="35"/>
  <c r="AI64" i="35"/>
  <c r="AF64" i="35"/>
  <c r="AC64" i="35"/>
  <c r="AB64" i="35"/>
  <c r="AA64" i="35"/>
  <c r="Z64" i="35"/>
  <c r="Y64" i="35"/>
  <c r="X64" i="35"/>
  <c r="T64" i="35"/>
  <c r="O64" i="35"/>
  <c r="N64" i="35"/>
  <c r="M64" i="35"/>
  <c r="L64" i="35"/>
  <c r="K64" i="35"/>
  <c r="J64" i="35"/>
  <c r="I64" i="35"/>
  <c r="H64" i="35"/>
  <c r="BK63" i="35"/>
  <c r="BJ63" i="35"/>
  <c r="BI63" i="35"/>
  <c r="BH63" i="35"/>
  <c r="BF63" i="35"/>
  <c r="BE63" i="35"/>
  <c r="AV63" i="35"/>
  <c r="AT63" i="35"/>
  <c r="AS63" i="35"/>
  <c r="AR63" i="35"/>
  <c r="AQ63" i="35"/>
  <c r="AP63" i="35"/>
  <c r="BD63" i="35" s="1"/>
  <c r="AO63" i="35"/>
  <c r="AL63" i="35"/>
  <c r="AK63" i="35"/>
  <c r="AM63" i="35" s="1"/>
  <c r="AI63" i="35"/>
  <c r="AF63" i="35"/>
  <c r="AC63" i="35"/>
  <c r="AB63" i="35"/>
  <c r="AA63" i="35"/>
  <c r="Z63" i="35"/>
  <c r="Y63" i="35"/>
  <c r="X63" i="35"/>
  <c r="W63" i="35"/>
  <c r="T63" i="35"/>
  <c r="O63" i="35"/>
  <c r="N63" i="35"/>
  <c r="M63" i="35"/>
  <c r="L63" i="35"/>
  <c r="K63" i="35"/>
  <c r="J63" i="35"/>
  <c r="I63" i="35"/>
  <c r="H63" i="35"/>
  <c r="BK62" i="35"/>
  <c r="BJ62" i="35"/>
  <c r="BI62" i="35"/>
  <c r="BH62" i="35"/>
  <c r="BG62" i="35"/>
  <c r="BF62" i="35"/>
  <c r="BE62" i="35"/>
  <c r="BD62" i="35"/>
  <c r="BA62" i="35"/>
  <c r="AZ62" i="35"/>
  <c r="AY62" i="35"/>
  <c r="AX62" i="35"/>
  <c r="AU62" i="35"/>
  <c r="AT62" i="35"/>
  <c r="AS62" i="35"/>
  <c r="AR62" i="35"/>
  <c r="AQ62" i="35"/>
  <c r="AP62" i="35"/>
  <c r="BC62" i="35" s="1"/>
  <c r="AO62" i="35"/>
  <c r="AL62" i="35"/>
  <c r="AW62" i="35" s="1"/>
  <c r="AK62" i="35"/>
  <c r="AM62" i="35" s="1"/>
  <c r="AJ62" i="35"/>
  <c r="AI62" i="35"/>
  <c r="AF62" i="35"/>
  <c r="AC62" i="35"/>
  <c r="AB62" i="35"/>
  <c r="AA62" i="35"/>
  <c r="Z62" i="35"/>
  <c r="Y62" i="35"/>
  <c r="X62" i="35"/>
  <c r="W62" i="35"/>
  <c r="T62" i="35"/>
  <c r="O62" i="35"/>
  <c r="N62" i="35"/>
  <c r="M62" i="35"/>
  <c r="L62" i="35"/>
  <c r="K62" i="35"/>
  <c r="J62" i="35"/>
  <c r="I62" i="35"/>
  <c r="H62" i="35"/>
  <c r="BJ61" i="35"/>
  <c r="BI61" i="35"/>
  <c r="BF61" i="35"/>
  <c r="BE61" i="35"/>
  <c r="BD61" i="35"/>
  <c r="BC61" i="35"/>
  <c r="BA61" i="35"/>
  <c r="AZ61" i="35"/>
  <c r="AX61" i="35"/>
  <c r="AW61" i="35"/>
  <c r="AT61" i="35"/>
  <c r="AS61" i="35"/>
  <c r="AR61" i="35"/>
  <c r="AQ61" i="35"/>
  <c r="BH61" i="35" s="1"/>
  <c r="AP61" i="35"/>
  <c r="BB61" i="35" s="1"/>
  <c r="AO61" i="35"/>
  <c r="AL61" i="35"/>
  <c r="AK61" i="35"/>
  <c r="AJ61" i="35"/>
  <c r="AY61" i="35" s="1"/>
  <c r="AI61" i="35"/>
  <c r="AF61" i="35"/>
  <c r="AC61" i="35"/>
  <c r="AB61" i="35"/>
  <c r="AA61" i="35"/>
  <c r="Z61" i="35"/>
  <c r="Y61" i="35"/>
  <c r="X61" i="35"/>
  <c r="W61" i="35"/>
  <c r="T61" i="35"/>
  <c r="BK61" i="35" s="1"/>
  <c r="O61" i="35"/>
  <c r="N61" i="35"/>
  <c r="M61" i="35"/>
  <c r="L61" i="35"/>
  <c r="K61" i="35"/>
  <c r="J61" i="35"/>
  <c r="I61" i="35"/>
  <c r="H61" i="35"/>
  <c r="BJ60" i="35"/>
  <c r="BI60" i="35"/>
  <c r="BE60" i="35"/>
  <c r="BC60" i="35"/>
  <c r="AW60" i="35"/>
  <c r="AS60" i="35"/>
  <c r="AR60" i="35"/>
  <c r="AQ60" i="35"/>
  <c r="BH60" i="35" s="1"/>
  <c r="AP60" i="35"/>
  <c r="BA60" i="35" s="1"/>
  <c r="AO60" i="35"/>
  <c r="AL60" i="35"/>
  <c r="AK60" i="35"/>
  <c r="AM60" i="35" s="1"/>
  <c r="AJ60" i="35"/>
  <c r="AI60" i="35"/>
  <c r="AF60" i="35"/>
  <c r="AC60" i="35"/>
  <c r="AB60" i="35"/>
  <c r="AA60" i="35"/>
  <c r="Z60" i="35"/>
  <c r="Y60" i="35"/>
  <c r="X60" i="35"/>
  <c r="T60" i="35"/>
  <c r="O60" i="35"/>
  <c r="N60" i="35"/>
  <c r="M60" i="35"/>
  <c r="L60" i="35"/>
  <c r="K60" i="35"/>
  <c r="J60" i="35"/>
  <c r="I60" i="35"/>
  <c r="H60" i="35"/>
  <c r="BJ59" i="35"/>
  <c r="BI59" i="35"/>
  <c r="BH59" i="35"/>
  <c r="BD59" i="35"/>
  <c r="BB59" i="35"/>
  <c r="AV59" i="35"/>
  <c r="AR59" i="35"/>
  <c r="AQ59" i="35"/>
  <c r="AP59" i="35"/>
  <c r="AO59" i="35"/>
  <c r="AL59" i="35"/>
  <c r="AK59" i="35"/>
  <c r="AM59" i="35" s="1"/>
  <c r="AI59" i="35"/>
  <c r="AJ59" i="35" s="1"/>
  <c r="AF59" i="35"/>
  <c r="AC59" i="35"/>
  <c r="AB59" i="35"/>
  <c r="AA59" i="35"/>
  <c r="Z59" i="35"/>
  <c r="Y59" i="35"/>
  <c r="X59" i="35"/>
  <c r="W59" i="35"/>
  <c r="T59" i="35"/>
  <c r="BK59" i="35" s="1"/>
  <c r="O59" i="35"/>
  <c r="N59" i="35"/>
  <c r="M59" i="35"/>
  <c r="L59" i="35"/>
  <c r="K59" i="35"/>
  <c r="J59" i="35"/>
  <c r="I59" i="35"/>
  <c r="H59" i="35"/>
  <c r="BJ58" i="35"/>
  <c r="BI58" i="35"/>
  <c r="BG58" i="35"/>
  <c r="BF58" i="35"/>
  <c r="BE58" i="35"/>
  <c r="BC58" i="35"/>
  <c r="BA58" i="35"/>
  <c r="AZ58" i="35"/>
  <c r="AW58" i="35"/>
  <c r="AU58" i="35"/>
  <c r="AT58" i="35"/>
  <c r="AS58" i="35"/>
  <c r="AR58" i="35"/>
  <c r="AQ58" i="35"/>
  <c r="BH58" i="35" s="1"/>
  <c r="AP58" i="35"/>
  <c r="AY58" i="35" s="1"/>
  <c r="AO58" i="35"/>
  <c r="AM58" i="35"/>
  <c r="AL58" i="35"/>
  <c r="AK58" i="35"/>
  <c r="AJ58" i="35"/>
  <c r="AI58" i="35"/>
  <c r="AF58" i="35"/>
  <c r="AC58" i="35"/>
  <c r="AB58" i="35"/>
  <c r="AA58" i="35"/>
  <c r="Z58" i="35"/>
  <c r="Y58" i="35"/>
  <c r="X58" i="35"/>
  <c r="T58" i="35"/>
  <c r="BK58" i="35" s="1"/>
  <c r="O58" i="35"/>
  <c r="N58" i="35"/>
  <c r="M58" i="35"/>
  <c r="L58" i="35"/>
  <c r="K58" i="35"/>
  <c r="J58" i="35"/>
  <c r="I58" i="35"/>
  <c r="H58" i="35"/>
  <c r="BK57" i="35"/>
  <c r="BJ57" i="35"/>
  <c r="BI57" i="35"/>
  <c r="BH57" i="35"/>
  <c r="BF57" i="35"/>
  <c r="BB57" i="35"/>
  <c r="AT57" i="35"/>
  <c r="AR57" i="35"/>
  <c r="AQ57" i="35"/>
  <c r="AP57" i="35"/>
  <c r="AZ57" i="35" s="1"/>
  <c r="AO57" i="35"/>
  <c r="AM57" i="35"/>
  <c r="AL57" i="35"/>
  <c r="AK57" i="35"/>
  <c r="AI57" i="35"/>
  <c r="AJ57" i="35" s="1"/>
  <c r="AF57" i="35"/>
  <c r="AC57" i="35"/>
  <c r="AB57" i="35"/>
  <c r="AA57" i="35"/>
  <c r="Z57" i="35"/>
  <c r="Y57" i="35"/>
  <c r="X57" i="35"/>
  <c r="T57" i="35"/>
  <c r="W57" i="35" s="1"/>
  <c r="O57" i="35"/>
  <c r="N57" i="35"/>
  <c r="M57" i="35"/>
  <c r="L57" i="35"/>
  <c r="K57" i="35"/>
  <c r="J57" i="35"/>
  <c r="I57" i="35"/>
  <c r="H57" i="35"/>
  <c r="BK56" i="35"/>
  <c r="BJ56" i="35"/>
  <c r="BI56" i="35"/>
  <c r="BG56" i="35"/>
  <c r="BF56" i="35"/>
  <c r="BE56" i="35"/>
  <c r="BD56" i="35"/>
  <c r="AY56" i="35"/>
  <c r="AX56" i="35"/>
  <c r="AU56" i="35"/>
  <c r="AT56" i="35"/>
  <c r="AS56" i="35"/>
  <c r="AR56" i="35"/>
  <c r="AQ56" i="35"/>
  <c r="BH56" i="35" s="1"/>
  <c r="AP56" i="35"/>
  <c r="AO56" i="35"/>
  <c r="AL56" i="35"/>
  <c r="BA56" i="35" s="1"/>
  <c r="AK56" i="35"/>
  <c r="AZ56" i="35" s="1"/>
  <c r="AI56" i="35"/>
  <c r="AJ56" i="35" s="1"/>
  <c r="BC56" i="35" s="1"/>
  <c r="AF56" i="35"/>
  <c r="AC56" i="35"/>
  <c r="AB56" i="35"/>
  <c r="AA56" i="35"/>
  <c r="Z56" i="35"/>
  <c r="Y56" i="35"/>
  <c r="X56" i="35"/>
  <c r="W56" i="35"/>
  <c r="T56" i="35"/>
  <c r="O56" i="35"/>
  <c r="N56" i="35"/>
  <c r="M56" i="35"/>
  <c r="L56" i="35"/>
  <c r="K56" i="35"/>
  <c r="J56" i="35"/>
  <c r="I56" i="35"/>
  <c r="H56" i="35"/>
  <c r="BJ55" i="35"/>
  <c r="BI55" i="35"/>
  <c r="BD55" i="35"/>
  <c r="AX55" i="35"/>
  <c r="AW55" i="35"/>
  <c r="AR55" i="35"/>
  <c r="AQ55" i="35"/>
  <c r="BH55" i="35" s="1"/>
  <c r="AP55" i="35"/>
  <c r="AV55" i="35" s="1"/>
  <c r="AO55" i="35"/>
  <c r="AM55" i="35"/>
  <c r="AL55" i="35"/>
  <c r="AK55" i="35"/>
  <c r="AZ55" i="35" s="1"/>
  <c r="AJ55" i="35"/>
  <c r="BC55" i="35" s="1"/>
  <c r="AI55" i="35"/>
  <c r="AF55" i="35"/>
  <c r="AC55" i="35"/>
  <c r="AB55" i="35"/>
  <c r="AA55" i="35"/>
  <c r="Z55" i="35"/>
  <c r="Y55" i="35"/>
  <c r="X55" i="35"/>
  <c r="W55" i="35"/>
  <c r="T55" i="35"/>
  <c r="BK55" i="35" s="1"/>
  <c r="O55" i="35"/>
  <c r="N55" i="35"/>
  <c r="M55" i="35"/>
  <c r="L55" i="35"/>
  <c r="K55" i="35"/>
  <c r="J55" i="35"/>
  <c r="I55" i="35"/>
  <c r="H55" i="35"/>
  <c r="BJ54" i="35"/>
  <c r="BI54" i="35"/>
  <c r="AY54" i="35"/>
  <c r="AW54" i="35"/>
  <c r="AV54" i="35"/>
  <c r="AR54" i="35"/>
  <c r="AQ54" i="35"/>
  <c r="BH54" i="35" s="1"/>
  <c r="AP54" i="35"/>
  <c r="BG54" i="35" s="1"/>
  <c r="AO54" i="35"/>
  <c r="AL54" i="35"/>
  <c r="AK54" i="35"/>
  <c r="AM54" i="35" s="1"/>
  <c r="AJ54" i="35"/>
  <c r="BC54" i="35" s="1"/>
  <c r="AI54" i="35"/>
  <c r="AF54" i="35"/>
  <c r="AC54" i="35"/>
  <c r="AB54" i="35"/>
  <c r="AA54" i="35"/>
  <c r="Z54" i="35"/>
  <c r="Y54" i="35"/>
  <c r="X54" i="35"/>
  <c r="T54" i="35"/>
  <c r="W54" i="35" s="1"/>
  <c r="O54" i="35"/>
  <c r="N54" i="35"/>
  <c r="M54" i="35"/>
  <c r="L54" i="35"/>
  <c r="K54" i="35"/>
  <c r="J54" i="35"/>
  <c r="I54" i="35"/>
  <c r="H54" i="35"/>
  <c r="BJ53" i="35"/>
  <c r="BI53" i="35"/>
  <c r="BH53" i="35"/>
  <c r="BB53" i="35"/>
  <c r="AV53" i="35"/>
  <c r="AR53" i="35"/>
  <c r="AQ53" i="35"/>
  <c r="AP53" i="35"/>
  <c r="AX53" i="35" s="1"/>
  <c r="AO53" i="35"/>
  <c r="AL53" i="35"/>
  <c r="AK53" i="35"/>
  <c r="AM53" i="35" s="1"/>
  <c r="AI53" i="35"/>
  <c r="AJ53" i="35" s="1"/>
  <c r="AF53" i="35"/>
  <c r="AC53" i="35"/>
  <c r="AB53" i="35"/>
  <c r="AA53" i="35"/>
  <c r="Z53" i="35"/>
  <c r="Y53" i="35"/>
  <c r="X53" i="35"/>
  <c r="W53" i="35"/>
  <c r="T53" i="35"/>
  <c r="BK53" i="35" s="1"/>
  <c r="O53" i="35"/>
  <c r="N53" i="35"/>
  <c r="M53" i="35"/>
  <c r="L53" i="35"/>
  <c r="K53" i="35"/>
  <c r="J53" i="35"/>
  <c r="I53" i="35"/>
  <c r="H53" i="35"/>
  <c r="BJ52" i="35"/>
  <c r="BI52" i="35"/>
  <c r="BG52" i="35"/>
  <c r="BF52" i="35"/>
  <c r="BC52" i="35"/>
  <c r="BA52" i="35"/>
  <c r="AZ52" i="35"/>
  <c r="AW52" i="35"/>
  <c r="AV52" i="35"/>
  <c r="AU52" i="35"/>
  <c r="AT52" i="35"/>
  <c r="AR52" i="35"/>
  <c r="AQ52" i="35"/>
  <c r="BH52" i="35" s="1"/>
  <c r="AP52" i="35"/>
  <c r="BE52" i="35" s="1"/>
  <c r="AO52" i="35"/>
  <c r="AM52" i="35"/>
  <c r="AL52" i="35"/>
  <c r="AK52" i="35"/>
  <c r="AJ52" i="35"/>
  <c r="AY52" i="35" s="1"/>
  <c r="AI52" i="35"/>
  <c r="AF52" i="35"/>
  <c r="AC52" i="35"/>
  <c r="AB52" i="35"/>
  <c r="AA52" i="35"/>
  <c r="Z52" i="35"/>
  <c r="Y52" i="35"/>
  <c r="X52" i="35"/>
  <c r="T52" i="35"/>
  <c r="O52" i="35"/>
  <c r="N52" i="35"/>
  <c r="M52" i="35"/>
  <c r="L52" i="35"/>
  <c r="K52" i="35"/>
  <c r="J52" i="35"/>
  <c r="I52" i="35"/>
  <c r="H52" i="35"/>
  <c r="BK51" i="35"/>
  <c r="BJ51" i="35"/>
  <c r="BI51" i="35"/>
  <c r="BH51" i="35"/>
  <c r="BF51" i="35"/>
  <c r="BE51" i="35"/>
  <c r="AZ51" i="35"/>
  <c r="AV51" i="35"/>
  <c r="AT51" i="35"/>
  <c r="AS51" i="35"/>
  <c r="AR51" i="35"/>
  <c r="AQ51" i="35"/>
  <c r="AP51" i="35"/>
  <c r="BD51" i="35" s="1"/>
  <c r="AO51" i="35"/>
  <c r="AM51" i="35"/>
  <c r="AL51" i="35"/>
  <c r="AK51" i="35"/>
  <c r="AI51" i="35"/>
  <c r="AF51" i="35"/>
  <c r="AC51" i="35"/>
  <c r="AB51" i="35"/>
  <c r="AA51" i="35"/>
  <c r="Z51" i="35"/>
  <c r="Y51" i="35"/>
  <c r="X51" i="35"/>
  <c r="W51" i="35"/>
  <c r="T51" i="35"/>
  <c r="O51" i="35"/>
  <c r="N51" i="35"/>
  <c r="M51" i="35"/>
  <c r="L51" i="35"/>
  <c r="K51" i="35"/>
  <c r="J51" i="35"/>
  <c r="I51" i="35"/>
  <c r="H51" i="35"/>
  <c r="BK50" i="35"/>
  <c r="BJ50" i="35"/>
  <c r="BI50" i="35"/>
  <c r="BG50" i="35"/>
  <c r="BF50" i="35"/>
  <c r="BE50" i="35"/>
  <c r="BD50" i="35"/>
  <c r="BA50" i="35"/>
  <c r="AZ50" i="35"/>
  <c r="AY50" i="35"/>
  <c r="AX50" i="35"/>
  <c r="AU50" i="35"/>
  <c r="AT50" i="35"/>
  <c r="AS50" i="35"/>
  <c r="AR50" i="35"/>
  <c r="AQ50" i="35"/>
  <c r="BH50" i="35" s="1"/>
  <c r="AP50" i="35"/>
  <c r="BC50" i="35" s="1"/>
  <c r="AO50" i="35"/>
  <c r="AL50" i="35"/>
  <c r="AW50" i="35" s="1"/>
  <c r="AK50" i="35"/>
  <c r="AM50" i="35" s="1"/>
  <c r="AJ50" i="35"/>
  <c r="AI50" i="35"/>
  <c r="AF50" i="35"/>
  <c r="AC50" i="35"/>
  <c r="AB50" i="35"/>
  <c r="AA50" i="35"/>
  <c r="Z50" i="35"/>
  <c r="Y50" i="35"/>
  <c r="X50" i="35"/>
  <c r="W50" i="35"/>
  <c r="T50" i="35"/>
  <c r="O50" i="35"/>
  <c r="N50" i="35"/>
  <c r="M50" i="35"/>
  <c r="L50" i="35"/>
  <c r="K50" i="35"/>
  <c r="J50" i="35"/>
  <c r="I50" i="35"/>
  <c r="H50" i="35"/>
  <c r="BJ49" i="35"/>
  <c r="BI49" i="35"/>
  <c r="BF49" i="35"/>
  <c r="BE49" i="35"/>
  <c r="BD49" i="35"/>
  <c r="BC49" i="35"/>
  <c r="AZ49" i="35"/>
  <c r="AX49" i="35"/>
  <c r="AW49" i="35"/>
  <c r="AT49" i="35"/>
  <c r="AS49" i="35"/>
  <c r="AR49" i="35"/>
  <c r="AQ49" i="35"/>
  <c r="BH49" i="35" s="1"/>
  <c r="AP49" i="35"/>
  <c r="BB49" i="35" s="1"/>
  <c r="AO49" i="35"/>
  <c r="AL49" i="35"/>
  <c r="AK49" i="35"/>
  <c r="AJ49" i="35"/>
  <c r="AY49" i="35" s="1"/>
  <c r="AI49" i="35"/>
  <c r="AF49" i="35"/>
  <c r="AC49" i="35"/>
  <c r="AB49" i="35"/>
  <c r="AA49" i="35"/>
  <c r="Z49" i="35"/>
  <c r="Y49" i="35"/>
  <c r="X49" i="35"/>
  <c r="W49" i="35"/>
  <c r="T49" i="35"/>
  <c r="BK49" i="35" s="1"/>
  <c r="O49" i="35"/>
  <c r="N49" i="35"/>
  <c r="M49" i="35"/>
  <c r="L49" i="35"/>
  <c r="K49" i="35"/>
  <c r="J49" i="35"/>
  <c r="I49" i="35"/>
  <c r="H49" i="35"/>
  <c r="BJ48" i="35"/>
  <c r="BI48" i="35"/>
  <c r="BE48" i="35"/>
  <c r="BC48" i="35"/>
  <c r="AW48" i="35"/>
  <c r="AS48" i="35"/>
  <c r="AR48" i="35"/>
  <c r="AQ48" i="35"/>
  <c r="BH48" i="35" s="1"/>
  <c r="AP48" i="35"/>
  <c r="BA48" i="35" s="1"/>
  <c r="AO48" i="35"/>
  <c r="AL48" i="35"/>
  <c r="AK48" i="35"/>
  <c r="AM48" i="35" s="1"/>
  <c r="AJ48" i="35"/>
  <c r="AI48" i="35"/>
  <c r="AF48" i="35"/>
  <c r="AC48" i="35"/>
  <c r="AB48" i="35"/>
  <c r="AA48" i="35"/>
  <c r="Z48" i="35"/>
  <c r="Y48" i="35"/>
  <c r="X48" i="35"/>
  <c r="T48" i="35"/>
  <c r="O48" i="35"/>
  <c r="N48" i="35"/>
  <c r="M48" i="35"/>
  <c r="L48" i="35"/>
  <c r="K48" i="35"/>
  <c r="J48" i="35"/>
  <c r="I48" i="35"/>
  <c r="H48" i="35"/>
  <c r="BJ47" i="35"/>
  <c r="BI47" i="35"/>
  <c r="BH47" i="35"/>
  <c r="BD47" i="35"/>
  <c r="AR47" i="35"/>
  <c r="AQ47" i="35"/>
  <c r="AP47" i="35"/>
  <c r="AO47" i="35"/>
  <c r="AL47" i="35"/>
  <c r="AK47" i="35"/>
  <c r="AM47" i="35" s="1"/>
  <c r="AI47" i="35"/>
  <c r="AJ47" i="35" s="1"/>
  <c r="AF47" i="35"/>
  <c r="AC47" i="35"/>
  <c r="AB47" i="35"/>
  <c r="AA47" i="35"/>
  <c r="Z47" i="35"/>
  <c r="Y47" i="35"/>
  <c r="X47" i="35"/>
  <c r="W47" i="35"/>
  <c r="T47" i="35"/>
  <c r="BK47" i="35" s="1"/>
  <c r="O47" i="35"/>
  <c r="N47" i="35"/>
  <c r="M47" i="35"/>
  <c r="L47" i="35"/>
  <c r="K47" i="35"/>
  <c r="J47" i="35"/>
  <c r="I47" i="35"/>
  <c r="H47" i="35"/>
  <c r="BJ46" i="35"/>
  <c r="BI46" i="35"/>
  <c r="BG46" i="35"/>
  <c r="BF46" i="35"/>
  <c r="BE46" i="35"/>
  <c r="BC46" i="35"/>
  <c r="BA46" i="35"/>
  <c r="AZ46" i="35"/>
  <c r="AU46" i="35"/>
  <c r="AT46" i="35"/>
  <c r="AS46" i="35"/>
  <c r="AR46" i="35"/>
  <c r="AQ46" i="35"/>
  <c r="BH46" i="35" s="1"/>
  <c r="AP46" i="35"/>
  <c r="AY46" i="35" s="1"/>
  <c r="AO46" i="35"/>
  <c r="AM46" i="35"/>
  <c r="AL46" i="35"/>
  <c r="AK46" i="35"/>
  <c r="AJ46" i="35"/>
  <c r="AI46" i="35"/>
  <c r="AF46" i="35"/>
  <c r="AC46" i="35"/>
  <c r="AB46" i="35"/>
  <c r="AA46" i="35"/>
  <c r="Z46" i="35"/>
  <c r="Y46" i="35"/>
  <c r="X46" i="35"/>
  <c r="T46" i="35"/>
  <c r="BK46" i="35" s="1"/>
  <c r="O46" i="35"/>
  <c r="N46" i="35"/>
  <c r="M46" i="35"/>
  <c r="L46" i="35"/>
  <c r="K46" i="35"/>
  <c r="J46" i="35"/>
  <c r="I46" i="35"/>
  <c r="H46" i="35"/>
  <c r="BK45" i="35"/>
  <c r="BJ45" i="35"/>
  <c r="BI45" i="35"/>
  <c r="BH45" i="35"/>
  <c r="BB45" i="35"/>
  <c r="AT45" i="35"/>
  <c r="AR45" i="35"/>
  <c r="AQ45" i="35"/>
  <c r="AP45" i="35"/>
  <c r="BF45" i="35" s="1"/>
  <c r="AO45" i="35"/>
  <c r="AM45" i="35"/>
  <c r="AL45" i="35"/>
  <c r="AK45" i="35"/>
  <c r="AI45" i="35"/>
  <c r="AJ45" i="35" s="1"/>
  <c r="AF45" i="35"/>
  <c r="AC45" i="35"/>
  <c r="AB45" i="35"/>
  <c r="AA45" i="35"/>
  <c r="Z45" i="35"/>
  <c r="Y45" i="35"/>
  <c r="X45" i="35"/>
  <c r="T45" i="35"/>
  <c r="W45" i="35" s="1"/>
  <c r="O45" i="35"/>
  <c r="N45" i="35"/>
  <c r="M45" i="35"/>
  <c r="L45" i="35"/>
  <c r="K45" i="35"/>
  <c r="J45" i="35"/>
  <c r="I45" i="35"/>
  <c r="H45" i="35"/>
  <c r="BK44" i="35"/>
  <c r="BJ44" i="35"/>
  <c r="BI44" i="35"/>
  <c r="BG44" i="35"/>
  <c r="BE44" i="35"/>
  <c r="BD44" i="35"/>
  <c r="BC44" i="35"/>
  <c r="AY44" i="35"/>
  <c r="AX44" i="35"/>
  <c r="AU44" i="35"/>
  <c r="AS44" i="35"/>
  <c r="AR44" i="35"/>
  <c r="AQ44" i="35"/>
  <c r="BH44" i="35" s="1"/>
  <c r="AP44" i="35"/>
  <c r="AO44" i="35"/>
  <c r="AL44" i="35"/>
  <c r="BA44" i="35" s="1"/>
  <c r="AK44" i="35"/>
  <c r="AZ44" i="35" s="1"/>
  <c r="AJ44" i="35"/>
  <c r="AI44" i="35"/>
  <c r="AF44" i="35"/>
  <c r="AC44" i="35"/>
  <c r="AB44" i="35"/>
  <c r="AA44" i="35"/>
  <c r="Z44" i="35"/>
  <c r="Y44" i="35"/>
  <c r="X44" i="35"/>
  <c r="W44" i="35"/>
  <c r="T44" i="35"/>
  <c r="O44" i="35"/>
  <c r="N44" i="35"/>
  <c r="M44" i="35"/>
  <c r="L44" i="35"/>
  <c r="K44" i="35"/>
  <c r="J44" i="35"/>
  <c r="I44" i="35"/>
  <c r="H44" i="35"/>
  <c r="BJ43" i="35"/>
  <c r="BI43" i="35"/>
  <c r="BD43" i="35"/>
  <c r="AZ43" i="35"/>
  <c r="AX43" i="35"/>
  <c r="AW43" i="35"/>
  <c r="AR43" i="35"/>
  <c r="AQ43" i="35"/>
  <c r="BH43" i="35" s="1"/>
  <c r="AP43" i="35"/>
  <c r="AV43" i="35" s="1"/>
  <c r="AO43" i="35"/>
  <c r="AM43" i="35"/>
  <c r="AL43" i="35"/>
  <c r="AK43" i="35"/>
  <c r="AJ43" i="35"/>
  <c r="BC43" i="35" s="1"/>
  <c r="AI43" i="35"/>
  <c r="AF43" i="35"/>
  <c r="AC43" i="35"/>
  <c r="AB43" i="35"/>
  <c r="AA43" i="35"/>
  <c r="Z43" i="35"/>
  <c r="Y43" i="35"/>
  <c r="X43" i="35"/>
  <c r="W43" i="35"/>
  <c r="T43" i="35"/>
  <c r="BK43" i="35" s="1"/>
  <c r="O43" i="35"/>
  <c r="N43" i="35"/>
  <c r="M43" i="35"/>
  <c r="L43" i="35"/>
  <c r="K43" i="35"/>
  <c r="J43" i="35"/>
  <c r="I43" i="35"/>
  <c r="H43" i="35"/>
  <c r="BJ42" i="35"/>
  <c r="BI42" i="35"/>
  <c r="BC42" i="35"/>
  <c r="AW42" i="35"/>
  <c r="AV42" i="35"/>
  <c r="AR42" i="35"/>
  <c r="AQ42" i="35"/>
  <c r="BH42" i="35" s="1"/>
  <c r="AP42" i="35"/>
  <c r="BG42" i="35" s="1"/>
  <c r="AO42" i="35"/>
  <c r="AL42" i="35"/>
  <c r="AK42" i="35"/>
  <c r="AM42" i="35" s="1"/>
  <c r="AJ42" i="35"/>
  <c r="AY42" i="35" s="1"/>
  <c r="AI42" i="35"/>
  <c r="AF42" i="35"/>
  <c r="AC42" i="35"/>
  <c r="AB42" i="35"/>
  <c r="AA42" i="35"/>
  <c r="Z42" i="35"/>
  <c r="Y42" i="35"/>
  <c r="X42" i="35"/>
  <c r="T42" i="35"/>
  <c r="W42" i="35" s="1"/>
  <c r="O42" i="35"/>
  <c r="N42" i="35"/>
  <c r="M42" i="35"/>
  <c r="L42" i="35"/>
  <c r="K42" i="35"/>
  <c r="J42" i="35"/>
  <c r="I42" i="35"/>
  <c r="H42" i="35"/>
  <c r="BJ41" i="35"/>
  <c r="BI41" i="35"/>
  <c r="BH41" i="35"/>
  <c r="BB41" i="35"/>
  <c r="AV41" i="35"/>
  <c r="AR41" i="35"/>
  <c r="AQ41" i="35"/>
  <c r="AP41" i="35"/>
  <c r="AX41" i="35" s="1"/>
  <c r="AO41" i="35"/>
  <c r="AL41" i="35"/>
  <c r="AK41" i="35"/>
  <c r="AM41" i="35" s="1"/>
  <c r="AI41" i="35"/>
  <c r="AJ41" i="35" s="1"/>
  <c r="AF41" i="35"/>
  <c r="AC41" i="35"/>
  <c r="AB41" i="35"/>
  <c r="AA41" i="35"/>
  <c r="Z41" i="35"/>
  <c r="Y41" i="35"/>
  <c r="X41" i="35"/>
  <c r="W41" i="35"/>
  <c r="T41" i="35"/>
  <c r="BK41" i="35" s="1"/>
  <c r="O41" i="35"/>
  <c r="N41" i="35"/>
  <c r="M41" i="35"/>
  <c r="L41" i="35"/>
  <c r="K41" i="35"/>
  <c r="J41" i="35"/>
  <c r="I41" i="35"/>
  <c r="H41" i="35"/>
  <c r="BJ40" i="35"/>
  <c r="BI40" i="35"/>
  <c r="BG40" i="35"/>
  <c r="BF40" i="35"/>
  <c r="BC40" i="35"/>
  <c r="BA40" i="35"/>
  <c r="AZ40" i="35"/>
  <c r="AW40" i="35"/>
  <c r="AV40" i="35"/>
  <c r="AU40" i="35"/>
  <c r="AT40" i="35"/>
  <c r="AR40" i="35"/>
  <c r="AQ40" i="35"/>
  <c r="BH40" i="35" s="1"/>
  <c r="AP40" i="35"/>
  <c r="BE40" i="35" s="1"/>
  <c r="AO40" i="35"/>
  <c r="AM40" i="35"/>
  <c r="AL40" i="35"/>
  <c r="AK40" i="35"/>
  <c r="AJ40" i="35"/>
  <c r="AY40" i="35" s="1"/>
  <c r="AI40" i="35"/>
  <c r="AF40" i="35"/>
  <c r="AC40" i="35"/>
  <c r="AB40" i="35"/>
  <c r="AA40" i="35"/>
  <c r="Z40" i="35"/>
  <c r="Y40" i="35"/>
  <c r="X40" i="35"/>
  <c r="T40" i="35"/>
  <c r="O40" i="35"/>
  <c r="N40" i="35"/>
  <c r="M40" i="35"/>
  <c r="L40" i="35"/>
  <c r="K40" i="35"/>
  <c r="J40" i="35"/>
  <c r="I40" i="35"/>
  <c r="H40" i="35"/>
  <c r="BK39" i="35"/>
  <c r="BJ39" i="35"/>
  <c r="BI39" i="35"/>
  <c r="BH39" i="35"/>
  <c r="BF39" i="35"/>
  <c r="BE39" i="35"/>
  <c r="AZ39" i="35"/>
  <c r="AV39" i="35"/>
  <c r="AT39" i="35"/>
  <c r="AS39" i="35"/>
  <c r="AR39" i="35"/>
  <c r="AQ39" i="35"/>
  <c r="AP39" i="35"/>
  <c r="BD39" i="35" s="1"/>
  <c r="AO39" i="35"/>
  <c r="AM39" i="35"/>
  <c r="AL39" i="35"/>
  <c r="AK39" i="35"/>
  <c r="AI39" i="35"/>
  <c r="AF39" i="35"/>
  <c r="AC39" i="35"/>
  <c r="AB39" i="35"/>
  <c r="AA39" i="35"/>
  <c r="Z39" i="35"/>
  <c r="Y39" i="35"/>
  <c r="X39" i="35"/>
  <c r="W39" i="35"/>
  <c r="T39" i="35"/>
  <c r="O39" i="35"/>
  <c r="N39" i="35"/>
  <c r="M39" i="35"/>
  <c r="L39" i="35"/>
  <c r="K39" i="35"/>
  <c r="J39" i="35"/>
  <c r="I39" i="35"/>
  <c r="H39" i="35"/>
  <c r="BK38" i="35"/>
  <c r="BJ38" i="35"/>
  <c r="BI38" i="35"/>
  <c r="BG38" i="35"/>
  <c r="BF38" i="35"/>
  <c r="BE38" i="35"/>
  <c r="BD38" i="35"/>
  <c r="BA38" i="35"/>
  <c r="AZ38" i="35"/>
  <c r="AY38" i="35"/>
  <c r="AX38" i="35"/>
  <c r="AU38" i="35"/>
  <c r="AT38" i="35"/>
  <c r="AS38" i="35"/>
  <c r="AR38" i="35"/>
  <c r="AQ38" i="35"/>
  <c r="BH38" i="35" s="1"/>
  <c r="AP38" i="35"/>
  <c r="BC38" i="35" s="1"/>
  <c r="AO38" i="35"/>
  <c r="AL38" i="35"/>
  <c r="AW38" i="35" s="1"/>
  <c r="AK38" i="35"/>
  <c r="AJ38" i="35"/>
  <c r="AI38" i="35"/>
  <c r="AF38" i="35"/>
  <c r="AC38" i="35"/>
  <c r="AB38" i="35"/>
  <c r="AA38" i="35"/>
  <c r="Z38" i="35"/>
  <c r="Y38" i="35"/>
  <c r="X38" i="35"/>
  <c r="W38" i="35"/>
  <c r="T38" i="35"/>
  <c r="O38" i="35"/>
  <c r="N38" i="35"/>
  <c r="M38" i="35"/>
  <c r="L38" i="35"/>
  <c r="K38" i="35"/>
  <c r="J38" i="35"/>
  <c r="I38" i="35"/>
  <c r="H38" i="35"/>
  <c r="BJ37" i="35"/>
  <c r="BI37" i="35"/>
  <c r="BF37" i="35"/>
  <c r="BE37" i="35"/>
  <c r="BD37" i="35"/>
  <c r="BC37" i="35"/>
  <c r="AZ37" i="35"/>
  <c r="AX37" i="35"/>
  <c r="AW37" i="35"/>
  <c r="AT37" i="35"/>
  <c r="AS37" i="35"/>
  <c r="AR37" i="35"/>
  <c r="AQ37" i="35"/>
  <c r="BH37" i="35" s="1"/>
  <c r="AP37" i="35"/>
  <c r="BB37" i="35" s="1"/>
  <c r="AO37" i="35"/>
  <c r="AL37" i="35"/>
  <c r="AK37" i="35"/>
  <c r="AJ37" i="35"/>
  <c r="AY37" i="35" s="1"/>
  <c r="AI37" i="35"/>
  <c r="AF37" i="35"/>
  <c r="AC37" i="35"/>
  <c r="AB37" i="35"/>
  <c r="AA37" i="35"/>
  <c r="Z37" i="35"/>
  <c r="Y37" i="35"/>
  <c r="X37" i="35"/>
  <c r="W37" i="35"/>
  <c r="T37" i="35"/>
  <c r="BK37" i="35" s="1"/>
  <c r="O37" i="35"/>
  <c r="N37" i="35"/>
  <c r="M37" i="35"/>
  <c r="L37" i="35"/>
  <c r="K37" i="35"/>
  <c r="J37" i="35"/>
  <c r="I37" i="35"/>
  <c r="H37" i="35"/>
  <c r="BJ36" i="35"/>
  <c r="BI36" i="35"/>
  <c r="BC36" i="35"/>
  <c r="BB36" i="35"/>
  <c r="AW36" i="35"/>
  <c r="AS36" i="35"/>
  <c r="AR36" i="35"/>
  <c r="AQ36" i="35"/>
  <c r="BH36" i="35" s="1"/>
  <c r="AP36" i="35"/>
  <c r="BE36" i="35" s="1"/>
  <c r="AO36" i="35"/>
  <c r="AL36" i="35"/>
  <c r="AK36" i="35"/>
  <c r="AM36" i="35" s="1"/>
  <c r="AJ36" i="35"/>
  <c r="AI36" i="35"/>
  <c r="AF36" i="35"/>
  <c r="AC36" i="35"/>
  <c r="AB36" i="35"/>
  <c r="AA36" i="35"/>
  <c r="Z36" i="35"/>
  <c r="Y36" i="35"/>
  <c r="X36" i="35"/>
  <c r="T36" i="35"/>
  <c r="O36" i="35"/>
  <c r="N36" i="35"/>
  <c r="M36" i="35"/>
  <c r="L36" i="35"/>
  <c r="K36" i="35"/>
  <c r="J36" i="35"/>
  <c r="I36" i="35"/>
  <c r="H36" i="35"/>
  <c r="BJ35" i="35"/>
  <c r="BI35" i="35"/>
  <c r="BH35" i="35"/>
  <c r="BA35" i="35"/>
  <c r="AR35" i="35"/>
  <c r="AQ35" i="35"/>
  <c r="AP35" i="35"/>
  <c r="BD35" i="35" s="1"/>
  <c r="AO35" i="35"/>
  <c r="AL35" i="35"/>
  <c r="AK35" i="35"/>
  <c r="AM35" i="35" s="1"/>
  <c r="AI35" i="35"/>
  <c r="AJ35" i="35" s="1"/>
  <c r="AF35" i="35"/>
  <c r="AC35" i="35"/>
  <c r="AB35" i="35"/>
  <c r="AA35" i="35"/>
  <c r="Z35" i="35"/>
  <c r="Y35" i="35"/>
  <c r="X35" i="35"/>
  <c r="W35" i="35"/>
  <c r="T35" i="35"/>
  <c r="BK35" i="35" s="1"/>
  <c r="O35" i="35"/>
  <c r="N35" i="35"/>
  <c r="M35" i="35"/>
  <c r="L35" i="35"/>
  <c r="K35" i="35"/>
  <c r="J35" i="35"/>
  <c r="I35" i="35"/>
  <c r="H35" i="35"/>
  <c r="BJ34" i="35"/>
  <c r="BI34" i="35"/>
  <c r="BG34" i="35"/>
  <c r="BF34" i="35"/>
  <c r="BE34" i="35"/>
  <c r="BC34" i="35"/>
  <c r="BA34" i="35"/>
  <c r="AZ34" i="35"/>
  <c r="AW34" i="35"/>
  <c r="AU34" i="35"/>
  <c r="AT34" i="35"/>
  <c r="AS34" i="35"/>
  <c r="AR34" i="35"/>
  <c r="AQ34" i="35"/>
  <c r="BH34" i="35" s="1"/>
  <c r="AP34" i="35"/>
  <c r="AY34" i="35" s="1"/>
  <c r="AO34" i="35"/>
  <c r="AM34" i="35"/>
  <c r="AL34" i="35"/>
  <c r="AK34" i="35"/>
  <c r="AJ34" i="35"/>
  <c r="AI34" i="35"/>
  <c r="AF34" i="35"/>
  <c r="AC34" i="35"/>
  <c r="AB34" i="35"/>
  <c r="AA34" i="35"/>
  <c r="Z34" i="35"/>
  <c r="Y34" i="35"/>
  <c r="X34" i="35"/>
  <c r="T34" i="35"/>
  <c r="BK34" i="35" s="1"/>
  <c r="O34" i="35"/>
  <c r="N34" i="35"/>
  <c r="M34" i="35"/>
  <c r="L34" i="35"/>
  <c r="K34" i="35"/>
  <c r="J34" i="35"/>
  <c r="I34" i="35"/>
  <c r="H34" i="35"/>
  <c r="BK33" i="35"/>
  <c r="BJ33" i="35"/>
  <c r="BI33" i="35"/>
  <c r="BH33" i="35"/>
  <c r="AR33" i="35"/>
  <c r="AQ33" i="35"/>
  <c r="AP33" i="35"/>
  <c r="AO33" i="35"/>
  <c r="AM33" i="35"/>
  <c r="AL33" i="35"/>
  <c r="AK33" i="35"/>
  <c r="AI33" i="35"/>
  <c r="AJ33" i="35" s="1"/>
  <c r="AF33" i="35"/>
  <c r="AC33" i="35"/>
  <c r="AB33" i="35"/>
  <c r="AA33" i="35"/>
  <c r="Z33" i="35"/>
  <c r="Y33" i="35"/>
  <c r="X33" i="35"/>
  <c r="W33" i="35"/>
  <c r="T33" i="35"/>
  <c r="O33" i="35"/>
  <c r="N33" i="35"/>
  <c r="M33" i="35"/>
  <c r="L33" i="35"/>
  <c r="K33" i="35"/>
  <c r="J33" i="35"/>
  <c r="I33" i="35"/>
  <c r="H33" i="35"/>
  <c r="BK32" i="35"/>
  <c r="BJ32" i="35"/>
  <c r="BI32" i="35"/>
  <c r="BG32" i="35"/>
  <c r="BE32" i="35"/>
  <c r="BD32" i="35"/>
  <c r="BC32" i="35"/>
  <c r="AY32" i="35"/>
  <c r="AX32" i="35"/>
  <c r="AU32" i="35"/>
  <c r="AS32" i="35"/>
  <c r="AR32" i="35"/>
  <c r="AQ32" i="35"/>
  <c r="BH32" i="35" s="1"/>
  <c r="AP32" i="35"/>
  <c r="AV32" i="35" s="1"/>
  <c r="AO32" i="35"/>
  <c r="AL32" i="35"/>
  <c r="AW32" i="35" s="1"/>
  <c r="AK32" i="35"/>
  <c r="AJ32" i="35"/>
  <c r="AI32" i="35"/>
  <c r="AF32" i="35"/>
  <c r="AC32" i="35"/>
  <c r="AB32" i="35"/>
  <c r="AA32" i="35"/>
  <c r="Z32" i="35"/>
  <c r="Y32" i="35"/>
  <c r="X32" i="35"/>
  <c r="W32" i="35"/>
  <c r="T32" i="35"/>
  <c r="O32" i="35"/>
  <c r="N32" i="35"/>
  <c r="M32" i="35"/>
  <c r="L32" i="35"/>
  <c r="K32" i="35"/>
  <c r="J32" i="35"/>
  <c r="I32" i="35"/>
  <c r="H32" i="35"/>
  <c r="BJ31" i="35"/>
  <c r="BI31" i="35"/>
  <c r="BD31" i="35"/>
  <c r="AX31" i="35"/>
  <c r="AW31" i="35"/>
  <c r="AR31" i="35"/>
  <c r="AQ31" i="35"/>
  <c r="BH31" i="35" s="1"/>
  <c r="AP31" i="35"/>
  <c r="AO31" i="35"/>
  <c r="AM31" i="35"/>
  <c r="AL31" i="35"/>
  <c r="AK31" i="35"/>
  <c r="AZ31" i="35" s="1"/>
  <c r="AJ31" i="35"/>
  <c r="BC31" i="35" s="1"/>
  <c r="AI31" i="35"/>
  <c r="AF31" i="35"/>
  <c r="AC31" i="35"/>
  <c r="AB31" i="35"/>
  <c r="AA31" i="35"/>
  <c r="Z31" i="35"/>
  <c r="Y31" i="35"/>
  <c r="X31" i="35"/>
  <c r="T31" i="35"/>
  <c r="BK31" i="35" s="1"/>
  <c r="O31" i="35"/>
  <c r="N31" i="35"/>
  <c r="M31" i="35"/>
  <c r="L31" i="35"/>
  <c r="K31" i="35"/>
  <c r="J31" i="35"/>
  <c r="I31" i="35"/>
  <c r="H31" i="35"/>
  <c r="BJ30" i="35"/>
  <c r="BI30" i="35"/>
  <c r="BH30" i="35"/>
  <c r="AR30" i="35"/>
  <c r="AQ30" i="35"/>
  <c r="AP30" i="35"/>
  <c r="BC30" i="35" s="1"/>
  <c r="AO30" i="35"/>
  <c r="AL30" i="35"/>
  <c r="AK30" i="35"/>
  <c r="AJ30" i="35"/>
  <c r="AI30" i="35"/>
  <c r="AF30" i="35"/>
  <c r="AC30" i="35"/>
  <c r="AB30" i="35"/>
  <c r="AA30" i="35"/>
  <c r="Z30" i="35"/>
  <c r="Y30" i="35"/>
  <c r="X30" i="35"/>
  <c r="AE61" i="35" s="1"/>
  <c r="T30" i="35"/>
  <c r="W30" i="35" s="1"/>
  <c r="O30" i="35"/>
  <c r="N30" i="35"/>
  <c r="M30" i="35"/>
  <c r="L30" i="35"/>
  <c r="K30" i="35"/>
  <c r="J30" i="35"/>
  <c r="I30" i="35"/>
  <c r="H30" i="35"/>
  <c r="BJ29" i="35"/>
  <c r="BI29" i="35"/>
  <c r="BH29" i="35"/>
  <c r="BB29" i="35"/>
  <c r="AX29" i="35"/>
  <c r="AU29" i="35"/>
  <c r="AR29" i="35"/>
  <c r="AQ29" i="35"/>
  <c r="AP29" i="35"/>
  <c r="BG29" i="35" s="1"/>
  <c r="AO29" i="35"/>
  <c r="AL29" i="35"/>
  <c r="AK29" i="35"/>
  <c r="AM29" i="35" s="1"/>
  <c r="AI29" i="35"/>
  <c r="AJ29" i="35" s="1"/>
  <c r="AF29" i="35"/>
  <c r="AC29" i="35"/>
  <c r="AB29" i="35"/>
  <c r="AA29" i="35"/>
  <c r="Z29" i="35"/>
  <c r="Y29" i="35"/>
  <c r="X29" i="35"/>
  <c r="T29" i="35"/>
  <c r="O29" i="35"/>
  <c r="N29" i="35"/>
  <c r="M29" i="35"/>
  <c r="L29" i="35"/>
  <c r="K29" i="35"/>
  <c r="J29" i="35"/>
  <c r="I29" i="35"/>
  <c r="H29" i="35"/>
  <c r="BJ28" i="35"/>
  <c r="BI28" i="35"/>
  <c r="BH28" i="35"/>
  <c r="BA28" i="35"/>
  <c r="AV28" i="35"/>
  <c r="AR28" i="35"/>
  <c r="AQ28" i="35"/>
  <c r="AP28" i="35"/>
  <c r="BG28" i="35" s="1"/>
  <c r="AO28" i="35"/>
  <c r="AL28" i="35"/>
  <c r="AK28" i="35"/>
  <c r="AM28" i="35" s="1"/>
  <c r="AI28" i="35"/>
  <c r="AJ28" i="35" s="1"/>
  <c r="AF28" i="35"/>
  <c r="AC28" i="35"/>
  <c r="AB28" i="35"/>
  <c r="AA28" i="35"/>
  <c r="Z28" i="35"/>
  <c r="Y28" i="35"/>
  <c r="X28" i="35"/>
  <c r="W28" i="35"/>
  <c r="T28" i="35"/>
  <c r="BK28" i="35" s="1"/>
  <c r="O28" i="35"/>
  <c r="N28" i="35"/>
  <c r="M28" i="35"/>
  <c r="L28" i="35"/>
  <c r="K28" i="35"/>
  <c r="J28" i="35"/>
  <c r="I28" i="35"/>
  <c r="H28" i="35"/>
  <c r="BK27" i="35"/>
  <c r="BJ27" i="35"/>
  <c r="BI27" i="35"/>
  <c r="BG27" i="35"/>
  <c r="BF27" i="35"/>
  <c r="BE27" i="35"/>
  <c r="BC27" i="35"/>
  <c r="BA27" i="35"/>
  <c r="AZ27" i="35"/>
  <c r="AW27" i="35"/>
  <c r="AV27" i="35"/>
  <c r="AU27" i="35"/>
  <c r="AT27" i="35"/>
  <c r="AS27" i="35"/>
  <c r="AR27" i="35"/>
  <c r="AQ27" i="35"/>
  <c r="BH27" i="35" s="1"/>
  <c r="AP27" i="35"/>
  <c r="BD27" i="35" s="1"/>
  <c r="AO27" i="35"/>
  <c r="AM27" i="35"/>
  <c r="AL27" i="35"/>
  <c r="AK27" i="35"/>
  <c r="AJ27" i="35"/>
  <c r="AY27" i="35" s="1"/>
  <c r="AI27" i="35"/>
  <c r="AF27" i="35"/>
  <c r="AC27" i="35"/>
  <c r="AB27" i="35"/>
  <c r="AA27" i="35"/>
  <c r="Z27" i="35"/>
  <c r="Y27" i="35"/>
  <c r="X27" i="35"/>
  <c r="W27" i="35"/>
  <c r="T27" i="35"/>
  <c r="O27" i="35"/>
  <c r="N27" i="35"/>
  <c r="M27" i="35"/>
  <c r="L27" i="35"/>
  <c r="K27" i="35"/>
  <c r="J27" i="35"/>
  <c r="I27" i="35"/>
  <c r="H27" i="35"/>
  <c r="BJ26" i="35"/>
  <c r="BI26" i="35"/>
  <c r="BG26" i="35"/>
  <c r="BF26" i="35"/>
  <c r="BE26" i="35"/>
  <c r="BC26" i="35"/>
  <c r="BA26" i="35"/>
  <c r="AZ26" i="35"/>
  <c r="AW26" i="35"/>
  <c r="AV26" i="35"/>
  <c r="AU26" i="35"/>
  <c r="AT26" i="35"/>
  <c r="AS26" i="35"/>
  <c r="AR26" i="35"/>
  <c r="AQ26" i="35"/>
  <c r="BH26" i="35" s="1"/>
  <c r="AP26" i="35"/>
  <c r="BD26" i="35" s="1"/>
  <c r="AO26" i="35"/>
  <c r="AM26" i="35"/>
  <c r="AL26" i="35"/>
  <c r="AK26" i="35"/>
  <c r="AJ26" i="35"/>
  <c r="AY26" i="35" s="1"/>
  <c r="AI26" i="35"/>
  <c r="AF26" i="35"/>
  <c r="AC26" i="35"/>
  <c r="AB26" i="35"/>
  <c r="AA26" i="35"/>
  <c r="Z26" i="35"/>
  <c r="Y26" i="35"/>
  <c r="X26" i="35"/>
  <c r="T26" i="35"/>
  <c r="O26" i="35"/>
  <c r="N26" i="35"/>
  <c r="M26" i="35"/>
  <c r="L26" i="35"/>
  <c r="K26" i="35"/>
  <c r="J26" i="35"/>
  <c r="I26" i="35"/>
  <c r="H26" i="35"/>
  <c r="BK25" i="35"/>
  <c r="BJ25" i="35"/>
  <c r="BI25" i="35"/>
  <c r="BH25" i="35"/>
  <c r="BF25" i="35"/>
  <c r="BE25" i="35"/>
  <c r="BD25" i="35"/>
  <c r="AZ25" i="35"/>
  <c r="AV25" i="35"/>
  <c r="AT25" i="35"/>
  <c r="AS25" i="35"/>
  <c r="AR25" i="35"/>
  <c r="AQ25" i="35"/>
  <c r="AP25" i="35"/>
  <c r="AO25" i="35"/>
  <c r="AM25" i="35"/>
  <c r="AL25" i="35"/>
  <c r="AK25" i="35"/>
  <c r="AI25" i="35"/>
  <c r="AF25" i="35"/>
  <c r="AC25" i="35"/>
  <c r="AB25" i="35"/>
  <c r="AA25" i="35"/>
  <c r="Z25" i="35"/>
  <c r="Y25" i="35"/>
  <c r="X25" i="35"/>
  <c r="T25" i="35"/>
  <c r="W25" i="35" s="1"/>
  <c r="O25" i="35"/>
  <c r="N25" i="35"/>
  <c r="M25" i="35"/>
  <c r="L25" i="35"/>
  <c r="K25" i="35"/>
  <c r="J25" i="35"/>
  <c r="I25" i="35"/>
  <c r="H25" i="35"/>
  <c r="BK24" i="35"/>
  <c r="BJ24" i="35"/>
  <c r="BI24" i="35"/>
  <c r="BH24" i="35"/>
  <c r="BF24" i="35"/>
  <c r="BE24" i="35"/>
  <c r="BD24" i="35"/>
  <c r="AZ24" i="35"/>
  <c r="AV24" i="35"/>
  <c r="AT24" i="35"/>
  <c r="AS24" i="35"/>
  <c r="AR24" i="35"/>
  <c r="AQ24" i="35"/>
  <c r="AP24" i="35"/>
  <c r="AO24" i="35"/>
  <c r="AM24" i="35"/>
  <c r="AL24" i="35"/>
  <c r="AK24" i="35"/>
  <c r="AI24" i="35"/>
  <c r="AF24" i="35"/>
  <c r="AD24" i="35"/>
  <c r="AC24" i="35"/>
  <c r="AB24" i="35"/>
  <c r="AA24" i="35"/>
  <c r="Z24" i="35"/>
  <c r="Y24" i="35"/>
  <c r="X24" i="35"/>
  <c r="W24" i="35"/>
  <c r="T24" i="35"/>
  <c r="O24" i="35"/>
  <c r="N24" i="35"/>
  <c r="M24" i="35"/>
  <c r="L24" i="35"/>
  <c r="K24" i="35"/>
  <c r="J24" i="35"/>
  <c r="I24" i="35"/>
  <c r="H24" i="35"/>
  <c r="BK23" i="35"/>
  <c r="BJ23" i="35"/>
  <c r="BI23" i="35"/>
  <c r="BG23" i="35"/>
  <c r="BF23" i="35"/>
  <c r="BE23" i="35"/>
  <c r="BD23" i="35"/>
  <c r="BC23" i="35"/>
  <c r="AY23" i="35"/>
  <c r="AX23" i="35"/>
  <c r="AU23" i="35"/>
  <c r="AT23" i="35"/>
  <c r="AS23" i="35"/>
  <c r="AR23" i="35"/>
  <c r="AQ23" i="35"/>
  <c r="BH23" i="35" s="1"/>
  <c r="AP23" i="35"/>
  <c r="BB23" i="35" s="1"/>
  <c r="AO23" i="35"/>
  <c r="AL23" i="35"/>
  <c r="AK23" i="35"/>
  <c r="AJ23" i="35"/>
  <c r="AI23" i="35"/>
  <c r="AF23" i="35"/>
  <c r="AC23" i="35"/>
  <c r="AB23" i="35"/>
  <c r="AA23" i="35"/>
  <c r="Z23" i="35"/>
  <c r="Y23" i="35"/>
  <c r="X23" i="35"/>
  <c r="W23" i="35"/>
  <c r="T23" i="35"/>
  <c r="O23" i="35"/>
  <c r="N23" i="35"/>
  <c r="M23" i="35"/>
  <c r="L23" i="35"/>
  <c r="K23" i="35"/>
  <c r="J23" i="35"/>
  <c r="I23" i="35"/>
  <c r="H23" i="35"/>
  <c r="BK22" i="35"/>
  <c r="BJ22" i="35"/>
  <c r="BI22" i="35"/>
  <c r="BG22" i="35"/>
  <c r="BF22" i="35"/>
  <c r="BE22" i="35"/>
  <c r="BD22" i="35"/>
  <c r="BC22" i="35"/>
  <c r="AY22" i="35"/>
  <c r="AX22" i="35"/>
  <c r="AU22" i="35"/>
  <c r="AT22" i="35"/>
  <c r="AS22" i="35"/>
  <c r="AR22" i="35"/>
  <c r="AQ22" i="35"/>
  <c r="BH22" i="35" s="1"/>
  <c r="AP22" i="35"/>
  <c r="BB22" i="35" s="1"/>
  <c r="AO22" i="35"/>
  <c r="AL22" i="35"/>
  <c r="AK22" i="35"/>
  <c r="AJ22" i="35"/>
  <c r="AI22" i="35"/>
  <c r="AF22" i="35"/>
  <c r="AC22" i="35"/>
  <c r="AB22" i="35"/>
  <c r="AA22" i="35"/>
  <c r="Z22" i="35"/>
  <c r="Y22" i="35"/>
  <c r="X22" i="35"/>
  <c r="AE85" i="35" s="1"/>
  <c r="W22" i="35"/>
  <c r="T22" i="35"/>
  <c r="O22" i="35"/>
  <c r="N22" i="35"/>
  <c r="M22" i="35"/>
  <c r="L22" i="35"/>
  <c r="K22" i="35"/>
  <c r="J22" i="35"/>
  <c r="I22" i="35"/>
  <c r="H22" i="35"/>
  <c r="BJ21" i="35"/>
  <c r="BI21" i="35"/>
  <c r="AR21" i="35"/>
  <c r="AQ21" i="35"/>
  <c r="BH21" i="35" s="1"/>
  <c r="AP21" i="35"/>
  <c r="BF21" i="35" s="1"/>
  <c r="AO21" i="35"/>
  <c r="AL21" i="35"/>
  <c r="AK21" i="35"/>
  <c r="AM21" i="35" s="1"/>
  <c r="AJ21" i="35"/>
  <c r="AI21" i="35"/>
  <c r="AF21" i="35"/>
  <c r="AC21" i="35"/>
  <c r="AB21" i="35"/>
  <c r="AA21" i="35"/>
  <c r="Z21" i="35"/>
  <c r="Y21" i="35"/>
  <c r="X21" i="35"/>
  <c r="W21" i="35"/>
  <c r="T21" i="35"/>
  <c r="BK21" i="35" s="1"/>
  <c r="O21" i="35"/>
  <c r="N21" i="35"/>
  <c r="M21" i="35"/>
  <c r="L21" i="35"/>
  <c r="K21" i="35"/>
  <c r="J21" i="35"/>
  <c r="I21" i="35"/>
  <c r="H21" i="35"/>
  <c r="BK20" i="35"/>
  <c r="BJ20" i="35"/>
  <c r="BI20" i="35"/>
  <c r="BG20" i="35"/>
  <c r="BF20" i="35"/>
  <c r="BE20" i="35"/>
  <c r="BD20" i="35"/>
  <c r="BC20" i="35"/>
  <c r="BA20" i="35"/>
  <c r="AZ20" i="35"/>
  <c r="AY20" i="35"/>
  <c r="AX20" i="35"/>
  <c r="AU20" i="35"/>
  <c r="AT20" i="35"/>
  <c r="AS20" i="35"/>
  <c r="AR20" i="35"/>
  <c r="AQ20" i="35"/>
  <c r="BH20" i="35" s="1"/>
  <c r="AP20" i="35"/>
  <c r="BB20" i="35" s="1"/>
  <c r="AO20" i="35"/>
  <c r="AL20" i="35"/>
  <c r="AW20" i="35" s="1"/>
  <c r="AK20" i="35"/>
  <c r="AJ20" i="35"/>
  <c r="AI20" i="35"/>
  <c r="AF20" i="35"/>
  <c r="AD20" i="35"/>
  <c r="AC20" i="35"/>
  <c r="AB20" i="35"/>
  <c r="AA20" i="35"/>
  <c r="Z20" i="35"/>
  <c r="Y20" i="35"/>
  <c r="X20" i="35"/>
  <c r="W20" i="35"/>
  <c r="T20" i="35"/>
  <c r="O20" i="35"/>
  <c r="N20" i="35"/>
  <c r="M20" i="35"/>
  <c r="L20" i="35"/>
  <c r="K20" i="35"/>
  <c r="J20" i="35"/>
  <c r="I20" i="35"/>
  <c r="H20" i="35"/>
  <c r="BK19" i="35"/>
  <c r="BJ19" i="35"/>
  <c r="BI19" i="35"/>
  <c r="BG19" i="35"/>
  <c r="BF19" i="35"/>
  <c r="BE19" i="35"/>
  <c r="BD19" i="35"/>
  <c r="BC19" i="35"/>
  <c r="BA19" i="35"/>
  <c r="AZ19" i="35"/>
  <c r="AY19" i="35"/>
  <c r="AX19" i="35"/>
  <c r="AU19" i="35"/>
  <c r="AT19" i="35"/>
  <c r="AS19" i="35"/>
  <c r="AR19" i="35"/>
  <c r="AQ19" i="35"/>
  <c r="BH19" i="35" s="1"/>
  <c r="AP19" i="35"/>
  <c r="BB19" i="35" s="1"/>
  <c r="AO19" i="35"/>
  <c r="AL19" i="35"/>
  <c r="AW19" i="35" s="1"/>
  <c r="AK19" i="35"/>
  <c r="AJ19" i="35"/>
  <c r="AI19" i="35"/>
  <c r="AF19" i="35"/>
  <c r="AC19" i="35"/>
  <c r="AB19" i="35"/>
  <c r="AA19" i="35"/>
  <c r="Z19" i="35"/>
  <c r="Y19" i="35"/>
  <c r="X19" i="35"/>
  <c r="W19" i="35"/>
  <c r="T19" i="35"/>
  <c r="O19" i="35"/>
  <c r="N19" i="35"/>
  <c r="M19" i="35"/>
  <c r="L19" i="35"/>
  <c r="K19" i="35"/>
  <c r="J19" i="35"/>
  <c r="I19" i="35"/>
  <c r="H19" i="35"/>
  <c r="BK18" i="35"/>
  <c r="BJ18" i="35"/>
  <c r="BI18" i="35"/>
  <c r="BH18" i="35"/>
  <c r="BF18" i="35"/>
  <c r="BE18" i="35"/>
  <c r="BD18" i="35"/>
  <c r="AZ18" i="35"/>
  <c r="AV18" i="35"/>
  <c r="AT18" i="35"/>
  <c r="AS18" i="35"/>
  <c r="AR18" i="35"/>
  <c r="AQ18" i="35"/>
  <c r="AP18" i="35"/>
  <c r="BC18" i="35" s="1"/>
  <c r="AO18" i="35"/>
  <c r="AL18" i="35"/>
  <c r="AM18" i="35" s="1"/>
  <c r="AK18" i="35"/>
  <c r="AI18" i="35"/>
  <c r="AF18" i="35"/>
  <c r="AC18" i="35"/>
  <c r="AB18" i="35"/>
  <c r="AA18" i="35"/>
  <c r="Z18" i="35"/>
  <c r="Y18" i="35"/>
  <c r="X18" i="35"/>
  <c r="W18" i="35"/>
  <c r="T18" i="35"/>
  <c r="O18" i="35"/>
  <c r="N18" i="35"/>
  <c r="M18" i="35"/>
  <c r="L18" i="35"/>
  <c r="K18" i="35"/>
  <c r="J18" i="35"/>
  <c r="I18" i="35"/>
  <c r="H18" i="35"/>
  <c r="BJ17" i="35"/>
  <c r="BI17" i="35"/>
  <c r="BH17" i="35"/>
  <c r="BF17" i="35"/>
  <c r="BE17" i="35"/>
  <c r="BD17" i="35"/>
  <c r="BA17" i="35"/>
  <c r="AZ17" i="35"/>
  <c r="AV17" i="35"/>
  <c r="AT17" i="35"/>
  <c r="AS17" i="35"/>
  <c r="AR17" i="35"/>
  <c r="AQ17" i="35"/>
  <c r="AP17" i="35"/>
  <c r="BC17" i="35" s="1"/>
  <c r="AO17" i="35"/>
  <c r="AM17" i="35"/>
  <c r="AL17" i="35"/>
  <c r="AK17" i="35"/>
  <c r="AI17" i="35"/>
  <c r="AF17" i="35"/>
  <c r="AC17" i="35"/>
  <c r="AB17" i="35"/>
  <c r="AA17" i="35"/>
  <c r="Z17" i="35"/>
  <c r="Y17" i="35"/>
  <c r="X17" i="35"/>
  <c r="T17" i="35"/>
  <c r="W17" i="35" s="1"/>
  <c r="O17" i="35"/>
  <c r="N17" i="35"/>
  <c r="M17" i="35"/>
  <c r="L17" i="35"/>
  <c r="K17" i="35"/>
  <c r="J17" i="35"/>
  <c r="I17" i="35"/>
  <c r="H17" i="35"/>
  <c r="BJ16" i="35"/>
  <c r="BI16" i="35"/>
  <c r="BF16" i="35"/>
  <c r="BB16" i="35"/>
  <c r="AZ16" i="35"/>
  <c r="AU16" i="35"/>
  <c r="AR16" i="35"/>
  <c r="AQ16" i="35"/>
  <c r="BH16" i="35" s="1"/>
  <c r="AP16" i="35"/>
  <c r="BE16" i="35" s="1"/>
  <c r="AO16" i="35"/>
  <c r="AM16" i="35"/>
  <c r="AL16" i="35"/>
  <c r="AK16" i="35"/>
  <c r="AJ16" i="35"/>
  <c r="AI16" i="35"/>
  <c r="AF16" i="35"/>
  <c r="AC16" i="35"/>
  <c r="AB16" i="35"/>
  <c r="AA16" i="35"/>
  <c r="Z16" i="35"/>
  <c r="Y16" i="35"/>
  <c r="X16" i="35"/>
  <c r="T16" i="35"/>
  <c r="O16" i="35"/>
  <c r="N16" i="35"/>
  <c r="M16" i="35"/>
  <c r="L16" i="35"/>
  <c r="K16" i="35"/>
  <c r="J16" i="35"/>
  <c r="I16" i="35"/>
  <c r="H16" i="35"/>
  <c r="BN15" i="35"/>
  <c r="BK15" i="35"/>
  <c r="BJ15" i="35"/>
  <c r="BI15" i="35"/>
  <c r="BG15" i="35"/>
  <c r="BE15" i="35"/>
  <c r="BB15" i="35"/>
  <c r="AZ15" i="35"/>
  <c r="AW15" i="35"/>
  <c r="AU15" i="35"/>
  <c r="AS15" i="35"/>
  <c r="AR15" i="35"/>
  <c r="AQ15" i="35"/>
  <c r="BH15" i="35" s="1"/>
  <c r="AP15" i="35"/>
  <c r="AT15" i="35" s="1"/>
  <c r="AO15" i="35"/>
  <c r="AM15" i="35"/>
  <c r="AL15" i="35"/>
  <c r="BA15" i="35" s="1"/>
  <c r="AK15" i="35"/>
  <c r="AJ15" i="35"/>
  <c r="AY15" i="35" s="1"/>
  <c r="AI15" i="35"/>
  <c r="AF15" i="35"/>
  <c r="AE15" i="35"/>
  <c r="AC15" i="35"/>
  <c r="AB15" i="35"/>
  <c r="AA15" i="35"/>
  <c r="Z15" i="35"/>
  <c r="Y15" i="35"/>
  <c r="X15" i="35"/>
  <c r="W15" i="35"/>
  <c r="T15" i="35"/>
  <c r="O15" i="35"/>
  <c r="N15" i="35"/>
  <c r="M15" i="35"/>
  <c r="L15" i="35"/>
  <c r="K15" i="35"/>
  <c r="J15" i="35"/>
  <c r="I15" i="35"/>
  <c r="H15" i="35"/>
  <c r="BJ14" i="35"/>
  <c r="BI14" i="35"/>
  <c r="BF14" i="35"/>
  <c r="BB14" i="35"/>
  <c r="AZ14" i="35"/>
  <c r="AV14" i="35"/>
  <c r="AR14" i="35"/>
  <c r="AQ14" i="35"/>
  <c r="BH14" i="35" s="1"/>
  <c r="AP14" i="35"/>
  <c r="BC14" i="35" s="1"/>
  <c r="AO14" i="35"/>
  <c r="AL14" i="35"/>
  <c r="AK14" i="35"/>
  <c r="AM14" i="35" s="1"/>
  <c r="AI14" i="35"/>
  <c r="AJ14" i="35" s="1"/>
  <c r="AF14" i="35"/>
  <c r="AC14" i="35"/>
  <c r="AB14" i="35"/>
  <c r="AA14" i="35"/>
  <c r="Z14" i="35"/>
  <c r="Y14" i="35"/>
  <c r="X14" i="35"/>
  <c r="W14" i="35"/>
  <c r="T14" i="35"/>
  <c r="BK14" i="35" s="1"/>
  <c r="O14" i="35"/>
  <c r="N14" i="35"/>
  <c r="M14" i="35"/>
  <c r="L14" i="35"/>
  <c r="K14" i="35"/>
  <c r="J14" i="35"/>
  <c r="I14" i="35"/>
  <c r="H14" i="35"/>
  <c r="BJ13" i="35"/>
  <c r="BI13" i="35"/>
  <c r="BF13" i="35"/>
  <c r="BB13" i="35"/>
  <c r="BA13" i="35"/>
  <c r="AV13" i="35"/>
  <c r="AU13" i="35"/>
  <c r="AT13" i="35"/>
  <c r="AR13" i="35"/>
  <c r="AQ13" i="35"/>
  <c r="BH13" i="35" s="1"/>
  <c r="AP13" i="35"/>
  <c r="AO13" i="35"/>
  <c r="AL13" i="35"/>
  <c r="AK13" i="35"/>
  <c r="AM13" i="35" s="1"/>
  <c r="AI13" i="35"/>
  <c r="AJ13" i="35" s="1"/>
  <c r="AF13" i="35"/>
  <c r="AC13" i="35"/>
  <c r="AB13" i="35"/>
  <c r="AA13" i="35"/>
  <c r="Z13" i="35"/>
  <c r="Y13" i="35"/>
  <c r="X13" i="35"/>
  <c r="T13" i="35"/>
  <c r="O13" i="35"/>
  <c r="N13" i="35"/>
  <c r="M13" i="35"/>
  <c r="L13" i="35"/>
  <c r="K13" i="35"/>
  <c r="J13" i="35"/>
  <c r="I13" i="35"/>
  <c r="H13" i="35"/>
  <c r="BK12" i="35"/>
  <c r="BJ12" i="35"/>
  <c r="BI12" i="35"/>
  <c r="BG12" i="35"/>
  <c r="BD12" i="35"/>
  <c r="BA12" i="35"/>
  <c r="AW12" i="35"/>
  <c r="AU12" i="35"/>
  <c r="AR12" i="35"/>
  <c r="AQ12" i="35"/>
  <c r="BH12" i="35" s="1"/>
  <c r="AP12" i="35"/>
  <c r="AV12" i="35" s="1"/>
  <c r="AO12" i="35"/>
  <c r="AL12" i="35"/>
  <c r="AK12" i="35"/>
  <c r="AI12" i="35"/>
  <c r="BB12" i="35" s="1"/>
  <c r="AF12" i="35"/>
  <c r="AC12" i="35"/>
  <c r="AB12" i="35"/>
  <c r="AA12" i="35"/>
  <c r="Z12" i="35"/>
  <c r="Y12" i="35"/>
  <c r="X12" i="35"/>
  <c r="T12" i="35"/>
  <c r="W12" i="35" s="1"/>
  <c r="O12" i="35"/>
  <c r="N12" i="35"/>
  <c r="M12" i="35"/>
  <c r="L12" i="35"/>
  <c r="K12" i="35"/>
  <c r="J12" i="35"/>
  <c r="I12" i="35"/>
  <c r="H12" i="35"/>
  <c r="BJ11" i="35"/>
  <c r="BI11" i="35"/>
  <c r="BH11" i="35"/>
  <c r="AY11" i="35"/>
  <c r="AV11" i="35"/>
  <c r="AR11" i="35"/>
  <c r="AQ11" i="35"/>
  <c r="AP11" i="35"/>
  <c r="BG11" i="35" s="1"/>
  <c r="AO11" i="35"/>
  <c r="AL11" i="35"/>
  <c r="AK11" i="35"/>
  <c r="AM11" i="35" s="1"/>
  <c r="AJ11" i="35"/>
  <c r="AI11" i="35"/>
  <c r="AF11" i="35"/>
  <c r="AD11" i="35"/>
  <c r="AC11" i="35"/>
  <c r="AB11" i="35"/>
  <c r="AA11" i="35"/>
  <c r="Z11" i="35"/>
  <c r="Y11" i="35"/>
  <c r="X11" i="35"/>
  <c r="T11" i="35"/>
  <c r="W11" i="35" s="1"/>
  <c r="O11" i="35"/>
  <c r="N11" i="35"/>
  <c r="M11" i="35"/>
  <c r="L11" i="35"/>
  <c r="K11" i="35"/>
  <c r="J11" i="35"/>
  <c r="I11" i="35"/>
  <c r="H11" i="35"/>
  <c r="BJ10" i="35"/>
  <c r="BI10" i="35"/>
  <c r="BH10" i="35"/>
  <c r="AR10" i="35"/>
  <c r="AQ10" i="35"/>
  <c r="AP10" i="35"/>
  <c r="AT10" i="35" s="1"/>
  <c r="AO10" i="35"/>
  <c r="AM10" i="35"/>
  <c r="AL10" i="35"/>
  <c r="AK10" i="35"/>
  <c r="AI10" i="35"/>
  <c r="AJ10" i="35" s="1"/>
  <c r="AF10" i="35"/>
  <c r="AC10" i="35"/>
  <c r="AB10" i="35"/>
  <c r="AA10" i="35"/>
  <c r="Z10" i="35"/>
  <c r="Y10" i="35"/>
  <c r="X10" i="35"/>
  <c r="W10" i="35"/>
  <c r="T10" i="35"/>
  <c r="BK10" i="35" s="1"/>
  <c r="O10" i="35"/>
  <c r="N10" i="35"/>
  <c r="M10" i="35"/>
  <c r="L10" i="35"/>
  <c r="K10" i="35"/>
  <c r="J10" i="35"/>
  <c r="I10" i="35"/>
  <c r="H10" i="35"/>
  <c r="BK9" i="35"/>
  <c r="BJ9" i="35"/>
  <c r="BI9" i="35"/>
  <c r="BG9" i="35"/>
  <c r="BF9" i="35"/>
  <c r="BE9" i="35"/>
  <c r="BD9" i="35"/>
  <c r="BA9" i="35"/>
  <c r="AX9" i="35"/>
  <c r="AU9" i="35"/>
  <c r="AT9" i="35"/>
  <c r="AS9" i="35"/>
  <c r="AR9" i="35"/>
  <c r="AQ9" i="35"/>
  <c r="BH9" i="35" s="1"/>
  <c r="AP9" i="35"/>
  <c r="BB9" i="35" s="1"/>
  <c r="AO9" i="35"/>
  <c r="AL9" i="35"/>
  <c r="AW9" i="35" s="1"/>
  <c r="AK9" i="35"/>
  <c r="AJ9" i="35"/>
  <c r="BC9" i="35" s="1"/>
  <c r="AI9" i="35"/>
  <c r="AF9" i="35"/>
  <c r="AD9" i="35"/>
  <c r="AC9" i="35"/>
  <c r="AB9" i="35"/>
  <c r="AA9" i="35"/>
  <c r="Z9" i="35"/>
  <c r="Y9" i="35"/>
  <c r="X9" i="35"/>
  <c r="AE14" i="35" s="1"/>
  <c r="W9" i="35"/>
  <c r="T9" i="35"/>
  <c r="O9" i="35"/>
  <c r="N9" i="35"/>
  <c r="M9" i="35"/>
  <c r="L9" i="35"/>
  <c r="K9" i="35"/>
  <c r="J9" i="35"/>
  <c r="I9" i="35"/>
  <c r="H9" i="35"/>
  <c r="BK8" i="35"/>
  <c r="BJ8" i="35"/>
  <c r="BI8" i="35"/>
  <c r="BH8" i="35"/>
  <c r="BG8" i="35"/>
  <c r="BE8" i="35"/>
  <c r="BB8" i="35"/>
  <c r="BA8" i="35"/>
  <c r="AV8" i="35"/>
  <c r="AU8" i="35"/>
  <c r="AS8" i="35"/>
  <c r="AR8" i="35"/>
  <c r="AQ8" i="35"/>
  <c r="AP8" i="35"/>
  <c r="AZ8" i="35" s="1"/>
  <c r="AO8" i="35"/>
  <c r="AM8" i="35"/>
  <c r="AL8" i="35"/>
  <c r="AK8" i="35"/>
  <c r="AI8" i="35"/>
  <c r="AJ8" i="35" s="1"/>
  <c r="AY8" i="35" s="1"/>
  <c r="AF8" i="35"/>
  <c r="AD8" i="35"/>
  <c r="AC8" i="35"/>
  <c r="AB8" i="35"/>
  <c r="AA8" i="35"/>
  <c r="Z8" i="35"/>
  <c r="Y8" i="35"/>
  <c r="X8" i="35"/>
  <c r="T8" i="35"/>
  <c r="W8" i="35" s="1"/>
  <c r="O8" i="35"/>
  <c r="N8" i="35"/>
  <c r="M8" i="35"/>
  <c r="L2" i="35" s="1"/>
  <c r="BN10" i="35" s="1"/>
  <c r="L8" i="35"/>
  <c r="K8" i="35"/>
  <c r="J8" i="35"/>
  <c r="I8" i="35"/>
  <c r="H8" i="35"/>
  <c r="BJ7" i="35"/>
  <c r="BI7" i="35"/>
  <c r="BH7" i="35"/>
  <c r="BF7" i="35"/>
  <c r="AR7" i="35"/>
  <c r="AQ7" i="35"/>
  <c r="AP7" i="35"/>
  <c r="BB7" i="35" s="1"/>
  <c r="AO7" i="35"/>
  <c r="AM7" i="35"/>
  <c r="AL7" i="35"/>
  <c r="AK7" i="35"/>
  <c r="AJ7" i="35"/>
  <c r="AI7" i="35"/>
  <c r="AF7" i="35"/>
  <c r="AE7" i="35"/>
  <c r="AC7" i="35"/>
  <c r="AB7" i="35"/>
  <c r="AA7" i="35"/>
  <c r="Z7" i="35"/>
  <c r="Y7" i="35"/>
  <c r="X7" i="35"/>
  <c r="W7" i="35"/>
  <c r="T7" i="35"/>
  <c r="BK7" i="35" s="1"/>
  <c r="O7" i="35"/>
  <c r="N7" i="35"/>
  <c r="M7" i="35"/>
  <c r="L7" i="35"/>
  <c r="K7" i="35"/>
  <c r="J7" i="35"/>
  <c r="I7" i="35"/>
  <c r="H7" i="35"/>
  <c r="BJ6" i="35"/>
  <c r="BI6" i="35"/>
  <c r="BH6" i="35"/>
  <c r="BB6" i="35"/>
  <c r="AW6" i="35"/>
  <c r="AU6" i="35"/>
  <c r="AR6" i="35"/>
  <c r="AQ6" i="35"/>
  <c r="AP6" i="35"/>
  <c r="BC6" i="35" s="1"/>
  <c r="AO6" i="35"/>
  <c r="AM6" i="35"/>
  <c r="AL6" i="35"/>
  <c r="AK6" i="35"/>
  <c r="AZ6" i="35" s="1"/>
  <c r="AI6" i="35"/>
  <c r="AJ6" i="35" s="1"/>
  <c r="AF6" i="35"/>
  <c r="AD6" i="35"/>
  <c r="AC6" i="35"/>
  <c r="AB6" i="35"/>
  <c r="AA6" i="35"/>
  <c r="Z6" i="35"/>
  <c r="Y6" i="35"/>
  <c r="X6" i="35"/>
  <c r="W6" i="35"/>
  <c r="T6" i="35"/>
  <c r="BK6" i="35" s="1"/>
  <c r="O6" i="35"/>
  <c r="N6" i="35"/>
  <c r="M6" i="35"/>
  <c r="L6" i="35"/>
  <c r="K6" i="35"/>
  <c r="J6" i="35"/>
  <c r="I6" i="35"/>
  <c r="H6" i="35"/>
  <c r="BJ5" i="35"/>
  <c r="BI5" i="35"/>
  <c r="BN14" i="35" s="1"/>
  <c r="BH5" i="35"/>
  <c r="BF5" i="35"/>
  <c r="AZ5" i="35"/>
  <c r="AX5" i="35"/>
  <c r="AV5" i="35"/>
  <c r="AT5" i="35"/>
  <c r="AR5" i="35"/>
  <c r="AQ5" i="35"/>
  <c r="AP5" i="35"/>
  <c r="BG5" i="35" s="1"/>
  <c r="AO5" i="35"/>
  <c r="AL5" i="35"/>
  <c r="AK5" i="35"/>
  <c r="AM5" i="35" s="1"/>
  <c r="AJ5" i="35"/>
  <c r="AI5" i="35"/>
  <c r="AG8" i="35" s="1"/>
  <c r="AH5" i="35"/>
  <c r="AF5" i="35"/>
  <c r="AG6" i="35" s="1"/>
  <c r="AD5" i="35"/>
  <c r="AC5" i="35"/>
  <c r="AB5" i="35"/>
  <c r="AA5" i="35"/>
  <c r="Z5" i="35"/>
  <c r="Y5" i="35"/>
  <c r="X5" i="35"/>
  <c r="W5" i="35"/>
  <c r="T5" i="35"/>
  <c r="BK5" i="35" s="1"/>
  <c r="O5" i="35"/>
  <c r="N2" i="35" s="1"/>
  <c r="N5" i="35"/>
  <c r="M5" i="35"/>
  <c r="L5" i="35"/>
  <c r="K5" i="35"/>
  <c r="J2" i="35" s="1"/>
  <c r="BN5" i="35" s="1"/>
  <c r="J5" i="35"/>
  <c r="I5" i="35"/>
  <c r="H2" i="35" s="1"/>
  <c r="BN7" i="35" s="1"/>
  <c r="H5" i="35"/>
  <c r="BN19" i="35" l="1"/>
  <c r="BN17" i="35"/>
  <c r="BN18" i="35"/>
  <c r="BN16" i="35"/>
  <c r="AE39" i="35"/>
  <c r="AE722" i="35"/>
  <c r="AD721" i="35"/>
  <c r="AE710" i="35"/>
  <c r="AD709" i="35"/>
  <c r="AE698" i="35"/>
  <c r="AD697" i="35"/>
  <c r="AE686" i="35"/>
  <c r="AD685" i="35"/>
  <c r="AE723" i="35"/>
  <c r="AD722" i="35"/>
  <c r="AE711" i="35"/>
  <c r="AD710" i="35"/>
  <c r="AE699" i="35"/>
  <c r="AD698" i="35"/>
  <c r="AE687" i="35"/>
  <c r="AE724" i="35"/>
  <c r="AD723" i="35"/>
  <c r="AE712" i="35"/>
  <c r="AD711" i="35"/>
  <c r="AE700" i="35"/>
  <c r="AD699" i="35"/>
  <c r="AE688" i="35"/>
  <c r="AD687" i="35"/>
  <c r="AE725" i="35"/>
  <c r="AD724" i="35"/>
  <c r="AE713" i="35"/>
  <c r="AD712" i="35"/>
  <c r="AE701" i="35"/>
  <c r="AD700" i="35"/>
  <c r="AE689" i="35"/>
  <c r="AD688" i="35"/>
  <c r="AE726" i="35"/>
  <c r="AD725" i="35"/>
  <c r="AE714" i="35"/>
  <c r="AD713" i="35"/>
  <c r="AE702" i="35"/>
  <c r="AD701" i="35"/>
  <c r="AE690" i="35"/>
  <c r="AD689" i="35"/>
  <c r="AE727" i="35"/>
  <c r="AD726" i="35"/>
  <c r="AE715" i="35"/>
  <c r="AD714" i="35"/>
  <c r="AE703" i="35"/>
  <c r="AD702" i="35"/>
  <c r="AD727" i="35"/>
  <c r="AE716" i="35"/>
  <c r="AD715" i="35"/>
  <c r="AE704" i="35"/>
  <c r="AD703" i="35"/>
  <c r="AE692" i="35"/>
  <c r="AD691" i="35"/>
  <c r="AE717" i="35"/>
  <c r="AD716" i="35"/>
  <c r="AE705" i="35"/>
  <c r="AD704" i="35"/>
  <c r="AE693" i="35"/>
  <c r="AD692" i="35"/>
  <c r="AE718" i="35"/>
  <c r="AD717" i="35"/>
  <c r="AE706" i="35"/>
  <c r="AD705" i="35"/>
  <c r="AE694" i="35"/>
  <c r="AD693" i="35"/>
  <c r="AE719" i="35"/>
  <c r="AD718" i="35"/>
  <c r="AE707" i="35"/>
  <c r="AD706" i="35"/>
  <c r="AE695" i="35"/>
  <c r="AD694" i="35"/>
  <c r="AE683" i="35"/>
  <c r="AD682" i="35"/>
  <c r="AE721" i="35"/>
  <c r="AD720" i="35"/>
  <c r="AE709" i="35"/>
  <c r="AD708" i="35"/>
  <c r="AE697" i="35"/>
  <c r="AD696" i="35"/>
  <c r="AE685" i="35"/>
  <c r="AD684" i="35"/>
  <c r="AD719" i="35"/>
  <c r="AE682" i="35"/>
  <c r="AE678" i="35"/>
  <c r="AD677" i="35"/>
  <c r="AE666" i="35"/>
  <c r="AD665" i="35"/>
  <c r="AE654" i="35"/>
  <c r="AD653" i="35"/>
  <c r="AE642" i="35"/>
  <c r="AD641" i="35"/>
  <c r="AE720" i="35"/>
  <c r="AE679" i="35"/>
  <c r="AD678" i="35"/>
  <c r="AE667" i="35"/>
  <c r="AD666" i="35"/>
  <c r="AE655" i="35"/>
  <c r="AD654" i="35"/>
  <c r="AE643" i="35"/>
  <c r="AD642" i="35"/>
  <c r="AE680" i="35"/>
  <c r="AD679" i="35"/>
  <c r="AE668" i="35"/>
  <c r="AD667" i="35"/>
  <c r="AE656" i="35"/>
  <c r="AD686" i="35"/>
  <c r="AE684" i="35"/>
  <c r="AD680" i="35"/>
  <c r="AE669" i="35"/>
  <c r="AD668" i="35"/>
  <c r="AE657" i="35"/>
  <c r="AD656" i="35"/>
  <c r="AE645" i="35"/>
  <c r="AD644" i="35"/>
  <c r="AD695" i="35"/>
  <c r="AE670" i="35"/>
  <c r="AD669" i="35"/>
  <c r="AE658" i="35"/>
  <c r="AD657" i="35"/>
  <c r="AE646" i="35"/>
  <c r="AD645" i="35"/>
  <c r="AE691" i="35"/>
  <c r="AD690" i="35"/>
  <c r="AE671" i="35"/>
  <c r="AD670" i="35"/>
  <c r="AE659" i="35"/>
  <c r="AD658" i="35"/>
  <c r="AE647" i="35"/>
  <c r="AD646" i="35"/>
  <c r="AE696" i="35"/>
  <c r="AE681" i="35"/>
  <c r="AE672" i="35"/>
  <c r="AD671" i="35"/>
  <c r="AE660" i="35"/>
  <c r="AD659" i="35"/>
  <c r="AD707" i="35"/>
  <c r="AD683" i="35"/>
  <c r="AD681" i="35"/>
  <c r="AE673" i="35"/>
  <c r="AD672" i="35"/>
  <c r="AE661" i="35"/>
  <c r="AD660" i="35"/>
  <c r="AE649" i="35"/>
  <c r="AD648" i="35"/>
  <c r="AE708" i="35"/>
  <c r="AE674" i="35"/>
  <c r="AD673" i="35"/>
  <c r="AE662" i="35"/>
  <c r="AD661" i="35"/>
  <c r="AE650" i="35"/>
  <c r="AD649" i="35"/>
  <c r="AE638" i="35"/>
  <c r="AD637" i="35"/>
  <c r="AE675" i="35"/>
  <c r="AD674" i="35"/>
  <c r="AE663" i="35"/>
  <c r="AD662" i="35"/>
  <c r="AE677" i="35"/>
  <c r="AD676" i="35"/>
  <c r="AE665" i="35"/>
  <c r="AD664" i="35"/>
  <c r="AE653" i="35"/>
  <c r="AD652" i="35"/>
  <c r="AD651" i="35"/>
  <c r="AE629" i="35"/>
  <c r="AD628" i="35"/>
  <c r="AE617" i="35"/>
  <c r="AD616" i="35"/>
  <c r="AE605" i="35"/>
  <c r="AD604" i="35"/>
  <c r="AD655" i="35"/>
  <c r="AD650" i="35"/>
  <c r="AE630" i="35"/>
  <c r="AD629" i="35"/>
  <c r="AE618" i="35"/>
  <c r="AD617" i="35"/>
  <c r="AE606" i="35"/>
  <c r="AD605" i="35"/>
  <c r="AE594" i="35"/>
  <c r="AD647" i="35"/>
  <c r="AE631" i="35"/>
  <c r="AD630" i="35"/>
  <c r="AE619" i="35"/>
  <c r="AD618" i="35"/>
  <c r="AE607" i="35"/>
  <c r="AD606" i="35"/>
  <c r="AE641" i="35"/>
  <c r="AE632" i="35"/>
  <c r="AD631" i="35"/>
  <c r="AE676" i="35"/>
  <c r="AE648" i="35"/>
  <c r="AE640" i="35"/>
  <c r="AE633" i="35"/>
  <c r="AD632" i="35"/>
  <c r="AE621" i="35"/>
  <c r="AD620" i="35"/>
  <c r="AE609" i="35"/>
  <c r="AD608" i="35"/>
  <c r="AE597" i="35"/>
  <c r="AD596" i="35"/>
  <c r="AD640" i="35"/>
  <c r="AE634" i="35"/>
  <c r="AD633" i="35"/>
  <c r="AE622" i="35"/>
  <c r="AD621" i="35"/>
  <c r="AE610" i="35"/>
  <c r="AD609" i="35"/>
  <c r="AE598" i="35"/>
  <c r="AD597" i="35"/>
  <c r="AE664" i="35"/>
  <c r="AE639" i="35"/>
  <c r="AE637" i="35"/>
  <c r="AE635" i="35"/>
  <c r="AD634" i="35"/>
  <c r="AE623" i="35"/>
  <c r="AD622" i="35"/>
  <c r="AE611" i="35"/>
  <c r="AD610" i="35"/>
  <c r="AE599" i="35"/>
  <c r="AD598" i="35"/>
  <c r="AD675" i="35"/>
  <c r="AD663" i="35"/>
  <c r="AD639" i="35"/>
  <c r="AD638" i="35"/>
  <c r="AE636" i="35"/>
  <c r="AD635" i="35"/>
  <c r="AE624" i="35"/>
  <c r="AD623" i="35"/>
  <c r="AE612" i="35"/>
  <c r="AD611" i="35"/>
  <c r="AD636" i="35"/>
  <c r="AE625" i="35"/>
  <c r="AD624" i="35"/>
  <c r="AE613" i="35"/>
  <c r="AD612" i="35"/>
  <c r="AE601" i="35"/>
  <c r="AD600" i="35"/>
  <c r="AE644" i="35"/>
  <c r="AE626" i="35"/>
  <c r="AD625" i="35"/>
  <c r="AE651" i="35"/>
  <c r="AE628" i="35"/>
  <c r="AD627" i="35"/>
  <c r="AE616" i="35"/>
  <c r="AD615" i="35"/>
  <c r="AD619" i="35"/>
  <c r="AE586" i="35"/>
  <c r="AD585" i="35"/>
  <c r="AE574" i="35"/>
  <c r="AD573" i="35"/>
  <c r="AE562" i="35"/>
  <c r="AD561" i="35"/>
  <c r="AD613" i="35"/>
  <c r="AE602" i="35"/>
  <c r="AE587" i="35"/>
  <c r="AD586" i="35"/>
  <c r="AE575" i="35"/>
  <c r="AD574" i="35"/>
  <c r="AE563" i="35"/>
  <c r="AD562" i="35"/>
  <c r="AE652" i="35"/>
  <c r="AD602" i="35"/>
  <c r="AD599" i="35"/>
  <c r="AE596" i="35"/>
  <c r="AE588" i="35"/>
  <c r="AD587" i="35"/>
  <c r="AE576" i="35"/>
  <c r="AD575" i="35"/>
  <c r="AE564" i="35"/>
  <c r="AD563" i="35"/>
  <c r="AE608" i="35"/>
  <c r="AE600" i="35"/>
  <c r="AE589" i="35"/>
  <c r="AD588" i="35"/>
  <c r="AE577" i="35"/>
  <c r="AD576" i="35"/>
  <c r="AD607" i="35"/>
  <c r="AE590" i="35"/>
  <c r="AD589" i="35"/>
  <c r="AE578" i="35"/>
  <c r="AD577" i="35"/>
  <c r="AE566" i="35"/>
  <c r="AD565" i="35"/>
  <c r="AD601" i="35"/>
  <c r="AE591" i="35"/>
  <c r="AD590" i="35"/>
  <c r="AE579" i="35"/>
  <c r="AD578" i="35"/>
  <c r="AE567" i="35"/>
  <c r="AD566" i="35"/>
  <c r="AE595" i="35"/>
  <c r="AE592" i="35"/>
  <c r="AD591" i="35"/>
  <c r="AE580" i="35"/>
  <c r="AD579" i="35"/>
  <c r="AE568" i="35"/>
  <c r="AD567" i="35"/>
  <c r="AE556" i="35"/>
  <c r="AD555" i="35"/>
  <c r="AD643" i="35"/>
  <c r="AE615" i="35"/>
  <c r="AE604" i="35"/>
  <c r="AD595" i="35"/>
  <c r="AE593" i="35"/>
  <c r="AD592" i="35"/>
  <c r="AE581" i="35"/>
  <c r="AD580" i="35"/>
  <c r="AE569" i="35"/>
  <c r="AD568" i="35"/>
  <c r="AE627" i="35"/>
  <c r="AE603" i="35"/>
  <c r="AD593" i="35"/>
  <c r="AE582" i="35"/>
  <c r="AD581" i="35"/>
  <c r="AE570" i="35"/>
  <c r="AD569" i="35"/>
  <c r="AD626" i="35"/>
  <c r="AE620" i="35"/>
  <c r="AD614" i="35"/>
  <c r="AD594" i="35"/>
  <c r="AE585" i="35"/>
  <c r="AD584" i="35"/>
  <c r="AE573" i="35"/>
  <c r="AD560" i="35"/>
  <c r="AE553" i="35"/>
  <c r="AD552" i="35"/>
  <c r="AE541" i="35"/>
  <c r="AD540" i="35"/>
  <c r="AE529" i="35"/>
  <c r="AD528" i="35"/>
  <c r="AE517" i="35"/>
  <c r="AD516" i="35"/>
  <c r="AE584" i="35"/>
  <c r="AE554" i="35"/>
  <c r="AD553" i="35"/>
  <c r="AE542" i="35"/>
  <c r="AD541" i="35"/>
  <c r="AE530" i="35"/>
  <c r="AD529" i="35"/>
  <c r="AE518" i="35"/>
  <c r="AD517" i="35"/>
  <c r="AE614" i="35"/>
  <c r="AE559" i="35"/>
  <c r="AD554" i="35"/>
  <c r="AE543" i="35"/>
  <c r="AD542" i="35"/>
  <c r="AE531" i="35"/>
  <c r="AD530" i="35"/>
  <c r="AE519" i="35"/>
  <c r="AD518" i="35"/>
  <c r="AE565" i="35"/>
  <c r="AD559" i="35"/>
  <c r="AE544" i="35"/>
  <c r="AD543" i="35"/>
  <c r="AE532" i="35"/>
  <c r="AD531" i="35"/>
  <c r="AE520" i="35"/>
  <c r="AD519" i="35"/>
  <c r="AE572" i="35"/>
  <c r="AE545" i="35"/>
  <c r="AD544" i="35"/>
  <c r="AE533" i="35"/>
  <c r="AD532" i="35"/>
  <c r="AE521" i="35"/>
  <c r="AD520" i="35"/>
  <c r="AE583" i="35"/>
  <c r="AD572" i="35"/>
  <c r="AD564" i="35"/>
  <c r="AE561" i="35"/>
  <c r="AE546" i="35"/>
  <c r="AD545" i="35"/>
  <c r="AE534" i="35"/>
  <c r="AD533" i="35"/>
  <c r="AE522" i="35"/>
  <c r="AD521" i="35"/>
  <c r="AD603" i="35"/>
  <c r="AD583" i="35"/>
  <c r="AE558" i="35"/>
  <c r="AE547" i="35"/>
  <c r="AD546" i="35"/>
  <c r="AE535" i="35"/>
  <c r="AD534" i="35"/>
  <c r="AE571" i="35"/>
  <c r="AD558" i="35"/>
  <c r="AE557" i="35"/>
  <c r="AE548" i="35"/>
  <c r="AD547" i="35"/>
  <c r="AE536" i="35"/>
  <c r="AD535" i="35"/>
  <c r="AE524" i="35"/>
  <c r="AD523" i="35"/>
  <c r="AD571" i="35"/>
  <c r="AD557" i="35"/>
  <c r="AE549" i="35"/>
  <c r="AD548" i="35"/>
  <c r="AE537" i="35"/>
  <c r="AD536" i="35"/>
  <c r="AE525" i="35"/>
  <c r="AD524" i="35"/>
  <c r="AD582" i="35"/>
  <c r="AD570" i="35"/>
  <c r="AE560" i="35"/>
  <c r="AE552" i="35"/>
  <c r="AD551" i="35"/>
  <c r="AE540" i="35"/>
  <c r="AD539" i="35"/>
  <c r="AE527" i="35"/>
  <c r="AE507" i="35"/>
  <c r="AD506" i="35"/>
  <c r="AE495" i="35"/>
  <c r="AD494" i="35"/>
  <c r="AE483" i="35"/>
  <c r="AD482" i="35"/>
  <c r="AE471" i="35"/>
  <c r="AD470" i="35"/>
  <c r="AE459" i="35"/>
  <c r="AD458" i="35"/>
  <c r="AD549" i="35"/>
  <c r="AD527" i="35"/>
  <c r="AE514" i="35"/>
  <c r="AE508" i="35"/>
  <c r="AD507" i="35"/>
  <c r="AE496" i="35"/>
  <c r="AD495" i="35"/>
  <c r="AE484" i="35"/>
  <c r="AD483" i="35"/>
  <c r="AE472" i="35"/>
  <c r="AD471" i="35"/>
  <c r="AD514" i="35"/>
  <c r="AE509" i="35"/>
  <c r="AD508" i="35"/>
  <c r="AE497" i="35"/>
  <c r="AD496" i="35"/>
  <c r="AE485" i="35"/>
  <c r="AD484" i="35"/>
  <c r="AE473" i="35"/>
  <c r="AD472" i="35"/>
  <c r="AE461" i="35"/>
  <c r="AD460" i="35"/>
  <c r="AE539" i="35"/>
  <c r="AE513" i="35"/>
  <c r="AE510" i="35"/>
  <c r="AD509" i="35"/>
  <c r="AE498" i="35"/>
  <c r="AD497" i="35"/>
  <c r="AE486" i="35"/>
  <c r="AD485" i="35"/>
  <c r="AE555" i="35"/>
  <c r="AE551" i="35"/>
  <c r="AD513" i="35"/>
  <c r="AE511" i="35"/>
  <c r="AD510" i="35"/>
  <c r="AE499" i="35"/>
  <c r="AD498" i="35"/>
  <c r="AE487" i="35"/>
  <c r="AD486" i="35"/>
  <c r="AE475" i="35"/>
  <c r="AD474" i="35"/>
  <c r="AE526" i="35"/>
  <c r="AD522" i="35"/>
  <c r="AD511" i="35"/>
  <c r="AE500" i="35"/>
  <c r="AD499" i="35"/>
  <c r="AE488" i="35"/>
  <c r="AD487" i="35"/>
  <c r="AE476" i="35"/>
  <c r="AD475" i="35"/>
  <c r="AE464" i="35"/>
  <c r="AD463" i="35"/>
  <c r="AD526" i="35"/>
  <c r="AE512" i="35"/>
  <c r="AE501" i="35"/>
  <c r="AD500" i="35"/>
  <c r="AE489" i="35"/>
  <c r="AD488" i="35"/>
  <c r="AD556" i="35"/>
  <c r="AD512" i="35"/>
  <c r="AE502" i="35"/>
  <c r="AD501" i="35"/>
  <c r="AE490" i="35"/>
  <c r="AD489" i="35"/>
  <c r="AE478" i="35"/>
  <c r="AD477" i="35"/>
  <c r="AE466" i="35"/>
  <c r="AD465" i="35"/>
  <c r="AE550" i="35"/>
  <c r="AE538" i="35"/>
  <c r="AD525" i="35"/>
  <c r="AE516" i="35"/>
  <c r="AE503" i="35"/>
  <c r="AD502" i="35"/>
  <c r="AE491" i="35"/>
  <c r="AD490" i="35"/>
  <c r="AD537" i="35"/>
  <c r="AD515" i="35"/>
  <c r="AE506" i="35"/>
  <c r="AD505" i="35"/>
  <c r="AE494" i="35"/>
  <c r="AD493" i="35"/>
  <c r="AE482" i="35"/>
  <c r="AD481" i="35"/>
  <c r="AD504" i="35"/>
  <c r="AE477" i="35"/>
  <c r="AD469" i="35"/>
  <c r="AE455" i="35"/>
  <c r="AD454" i="35"/>
  <c r="AE443" i="35"/>
  <c r="AD442" i="35"/>
  <c r="AE431" i="35"/>
  <c r="AD430" i="35"/>
  <c r="AE419" i="35"/>
  <c r="AD418" i="35"/>
  <c r="AE528" i="35"/>
  <c r="AD455" i="35"/>
  <c r="AE444" i="35"/>
  <c r="AD443" i="35"/>
  <c r="AE432" i="35"/>
  <c r="AD431" i="35"/>
  <c r="AE420" i="35"/>
  <c r="AD419" i="35"/>
  <c r="AE479" i="35"/>
  <c r="AD478" i="35"/>
  <c r="AE474" i="35"/>
  <c r="AE445" i="35"/>
  <c r="AD444" i="35"/>
  <c r="AE433" i="35"/>
  <c r="AD432" i="35"/>
  <c r="AD550" i="35"/>
  <c r="AD491" i="35"/>
  <c r="AD479" i="35"/>
  <c r="AD473" i="35"/>
  <c r="AE468" i="35"/>
  <c r="AE463" i="35"/>
  <c r="AE460" i="35"/>
  <c r="AE456" i="35"/>
  <c r="AE446" i="35"/>
  <c r="AD445" i="35"/>
  <c r="AE434" i="35"/>
  <c r="AD433" i="35"/>
  <c r="AD468" i="35"/>
  <c r="AD456" i="35"/>
  <c r="AE447" i="35"/>
  <c r="AD446" i="35"/>
  <c r="AE435" i="35"/>
  <c r="AD434" i="35"/>
  <c r="AD503" i="35"/>
  <c r="AE481" i="35"/>
  <c r="AE448" i="35"/>
  <c r="AD447" i="35"/>
  <c r="AE436" i="35"/>
  <c r="AD435" i="35"/>
  <c r="AE424" i="35"/>
  <c r="AD423" i="35"/>
  <c r="AE493" i="35"/>
  <c r="AE462" i="35"/>
  <c r="AE457" i="35"/>
  <c r="AE449" i="35"/>
  <c r="AD448" i="35"/>
  <c r="AE437" i="35"/>
  <c r="AD436" i="35"/>
  <c r="AD538" i="35"/>
  <c r="AE470" i="35"/>
  <c r="AD462" i="35"/>
  <c r="AD459" i="35"/>
  <c r="AD457" i="35"/>
  <c r="AE450" i="35"/>
  <c r="AD449" i="35"/>
  <c r="AE438" i="35"/>
  <c r="AD437" i="35"/>
  <c r="AE426" i="35"/>
  <c r="AD425" i="35"/>
  <c r="AE505" i="35"/>
  <c r="AE480" i="35"/>
  <c r="AE451" i="35"/>
  <c r="AD450" i="35"/>
  <c r="AE439" i="35"/>
  <c r="AD438" i="35"/>
  <c r="AE427" i="35"/>
  <c r="AD426" i="35"/>
  <c r="AE515" i="35"/>
  <c r="AE492" i="35"/>
  <c r="AD480" i="35"/>
  <c r="AE467" i="35"/>
  <c r="AE465" i="35"/>
  <c r="AE452" i="35"/>
  <c r="AD451" i="35"/>
  <c r="AE523" i="35"/>
  <c r="AE504" i="35"/>
  <c r="AD476" i="35"/>
  <c r="AE469" i="35"/>
  <c r="AD464" i="35"/>
  <c r="AD461" i="35"/>
  <c r="AE458" i="35"/>
  <c r="AE454" i="35"/>
  <c r="AD453" i="35"/>
  <c r="AE442" i="35"/>
  <c r="AD441" i="35"/>
  <c r="AD440" i="35"/>
  <c r="AD427" i="35"/>
  <c r="AD420" i="35"/>
  <c r="AD415" i="35"/>
  <c r="AE404" i="35"/>
  <c r="AD403" i="35"/>
  <c r="AE392" i="35"/>
  <c r="AD391" i="35"/>
  <c r="AE380" i="35"/>
  <c r="AD379" i="35"/>
  <c r="AE368" i="35"/>
  <c r="AD367" i="35"/>
  <c r="AE356" i="35"/>
  <c r="AD355" i="35"/>
  <c r="AE344" i="35"/>
  <c r="AD343" i="35"/>
  <c r="AE332" i="35"/>
  <c r="AD331" i="35"/>
  <c r="AE423" i="35"/>
  <c r="AE405" i="35"/>
  <c r="AD404" i="35"/>
  <c r="AE393" i="35"/>
  <c r="AD392" i="35"/>
  <c r="AE381" i="35"/>
  <c r="AD380" i="35"/>
  <c r="AE369" i="35"/>
  <c r="AD368" i="35"/>
  <c r="AE406" i="35"/>
  <c r="AD405" i="35"/>
  <c r="AE394" i="35"/>
  <c r="AD393" i="35"/>
  <c r="AE382" i="35"/>
  <c r="AD381" i="35"/>
  <c r="AE370" i="35"/>
  <c r="AD369" i="35"/>
  <c r="AE358" i="35"/>
  <c r="AD357" i="35"/>
  <c r="AE346" i="35"/>
  <c r="AD345" i="35"/>
  <c r="AE334" i="35"/>
  <c r="AD333" i="35"/>
  <c r="AD467" i="35"/>
  <c r="AE418" i="35"/>
  <c r="AE407" i="35"/>
  <c r="AD406" i="35"/>
  <c r="AE395" i="35"/>
  <c r="AD394" i="35"/>
  <c r="AE383" i="35"/>
  <c r="AD382" i="35"/>
  <c r="AE371" i="35"/>
  <c r="AD370" i="35"/>
  <c r="AE359" i="35"/>
  <c r="AD358" i="35"/>
  <c r="AE347" i="35"/>
  <c r="AD346" i="35"/>
  <c r="AD452" i="35"/>
  <c r="AE408" i="35"/>
  <c r="AD407" i="35"/>
  <c r="AE396" i="35"/>
  <c r="AD395" i="35"/>
  <c r="AE384" i="35"/>
  <c r="AD383" i="35"/>
  <c r="AE372" i="35"/>
  <c r="AD371" i="35"/>
  <c r="AE360" i="35"/>
  <c r="AD359" i="35"/>
  <c r="AE348" i="35"/>
  <c r="AD347" i="35"/>
  <c r="AE336" i="35"/>
  <c r="AD335" i="35"/>
  <c r="AE441" i="35"/>
  <c r="AD439" i="35"/>
  <c r="AE428" i="35"/>
  <c r="AE422" i="35"/>
  <c r="AE416" i="35"/>
  <c r="AE409" i="35"/>
  <c r="AD408" i="35"/>
  <c r="AE397" i="35"/>
  <c r="AD396" i="35"/>
  <c r="AE385" i="35"/>
  <c r="AD384" i="35"/>
  <c r="AE373" i="35"/>
  <c r="AD372" i="35"/>
  <c r="AE361" i="35"/>
  <c r="AD360" i="35"/>
  <c r="AE349" i="35"/>
  <c r="AD348" i="35"/>
  <c r="AE337" i="35"/>
  <c r="AD336" i="35"/>
  <c r="AD428" i="35"/>
  <c r="AD422" i="35"/>
  <c r="AD416" i="35"/>
  <c r="AE410" i="35"/>
  <c r="AD409" i="35"/>
  <c r="AE398" i="35"/>
  <c r="AD397" i="35"/>
  <c r="AE386" i="35"/>
  <c r="AD385" i="35"/>
  <c r="AE374" i="35"/>
  <c r="AD373" i="35"/>
  <c r="AE362" i="35"/>
  <c r="AD361" i="35"/>
  <c r="AD492" i="35"/>
  <c r="AE411" i="35"/>
  <c r="AD410" i="35"/>
  <c r="AE399" i="35"/>
  <c r="AD398" i="35"/>
  <c r="AE387" i="35"/>
  <c r="AD386" i="35"/>
  <c r="AE375" i="35"/>
  <c r="AD374" i="35"/>
  <c r="AE363" i="35"/>
  <c r="AD362" i="35"/>
  <c r="AE421" i="35"/>
  <c r="AE412" i="35"/>
  <c r="AD411" i="35"/>
  <c r="AE400" i="35"/>
  <c r="AD399" i="35"/>
  <c r="AE388" i="35"/>
  <c r="AD387" i="35"/>
  <c r="AE376" i="35"/>
  <c r="AD375" i="35"/>
  <c r="AD466" i="35"/>
  <c r="AE440" i="35"/>
  <c r="AD429" i="35"/>
  <c r="AD424" i="35"/>
  <c r="AE415" i="35"/>
  <c r="AD414" i="35"/>
  <c r="AE403" i="35"/>
  <c r="AD402" i="35"/>
  <c r="AE391" i="35"/>
  <c r="AD390" i="35"/>
  <c r="AE379" i="35"/>
  <c r="AD378" i="35"/>
  <c r="AE367" i="35"/>
  <c r="AD366" i="35"/>
  <c r="AE355" i="35"/>
  <c r="AD354" i="35"/>
  <c r="AE343" i="35"/>
  <c r="AE414" i="35"/>
  <c r="AE354" i="35"/>
  <c r="AE341" i="35"/>
  <c r="AE330" i="35"/>
  <c r="AE324" i="35"/>
  <c r="AD323" i="35"/>
  <c r="AE312" i="35"/>
  <c r="AD311" i="35"/>
  <c r="AE300" i="35"/>
  <c r="AD299" i="35"/>
  <c r="AD344" i="35"/>
  <c r="AD341" i="35"/>
  <c r="AD330" i="35"/>
  <c r="AE325" i="35"/>
  <c r="AD324" i="35"/>
  <c r="AE313" i="35"/>
  <c r="AD312" i="35"/>
  <c r="AE390" i="35"/>
  <c r="AE389" i="35"/>
  <c r="AE326" i="35"/>
  <c r="AD325" i="35"/>
  <c r="AE314" i="35"/>
  <c r="AD313" i="35"/>
  <c r="AE302" i="35"/>
  <c r="AD301" i="35"/>
  <c r="AE429" i="35"/>
  <c r="AE417" i="35"/>
  <c r="AE413" i="35"/>
  <c r="AD400" i="35"/>
  <c r="AD389" i="35"/>
  <c r="AE365" i="35"/>
  <c r="AE357" i="35"/>
  <c r="AE353" i="35"/>
  <c r="AE335" i="35"/>
  <c r="AE327" i="35"/>
  <c r="AD326" i="35"/>
  <c r="AE315" i="35"/>
  <c r="AD314" i="35"/>
  <c r="AE303" i="35"/>
  <c r="AD302" i="35"/>
  <c r="AE430" i="35"/>
  <c r="AE425" i="35"/>
  <c r="AD421" i="35"/>
  <c r="AD417" i="35"/>
  <c r="AD413" i="35"/>
  <c r="AD365" i="35"/>
  <c r="AD353" i="35"/>
  <c r="AE340" i="35"/>
  <c r="AD332" i="35"/>
  <c r="AE328" i="35"/>
  <c r="AD327" i="35"/>
  <c r="AE453" i="35"/>
  <c r="AE377" i="35"/>
  <c r="AE366" i="35"/>
  <c r="AD340" i="35"/>
  <c r="AD328" i="35"/>
  <c r="AE317" i="35"/>
  <c r="AD316" i="35"/>
  <c r="AE305" i="35"/>
  <c r="AD304" i="35"/>
  <c r="AE293" i="35"/>
  <c r="AD377" i="35"/>
  <c r="AE339" i="35"/>
  <c r="AE329" i="35"/>
  <c r="AE318" i="35"/>
  <c r="AD317" i="35"/>
  <c r="AE306" i="35"/>
  <c r="AD305" i="35"/>
  <c r="AE294" i="35"/>
  <c r="AD293" i="35"/>
  <c r="AE402" i="35"/>
  <c r="AE378" i="35"/>
  <c r="AD356" i="35"/>
  <c r="AE352" i="35"/>
  <c r="AE342" i="35"/>
  <c r="AD339" i="35"/>
  <c r="AD334" i="35"/>
  <c r="AD329" i="35"/>
  <c r="AE319" i="35"/>
  <c r="AD318" i="35"/>
  <c r="AD388" i="35"/>
  <c r="AD352" i="35"/>
  <c r="AE351" i="35"/>
  <c r="AD349" i="35"/>
  <c r="AE345" i="35"/>
  <c r="AD342" i="35"/>
  <c r="AE331" i="35"/>
  <c r="AE320" i="35"/>
  <c r="AD319" i="35"/>
  <c r="AE308" i="35"/>
  <c r="AD307" i="35"/>
  <c r="AD412" i="35"/>
  <c r="AE401" i="35"/>
  <c r="AE364" i="35"/>
  <c r="AD351" i="35"/>
  <c r="AE338" i="35"/>
  <c r="AE321" i="35"/>
  <c r="AD320" i="35"/>
  <c r="AE310" i="35"/>
  <c r="AE309" i="35"/>
  <c r="AD298" i="35"/>
  <c r="AE283" i="35"/>
  <c r="AD282" i="35"/>
  <c r="AE271" i="35"/>
  <c r="AD270" i="35"/>
  <c r="AE259" i="35"/>
  <c r="AD258" i="35"/>
  <c r="AE247" i="35"/>
  <c r="AD246" i="35"/>
  <c r="AE323" i="35"/>
  <c r="AD315" i="35"/>
  <c r="AD310" i="35"/>
  <c r="AD309" i="35"/>
  <c r="AE284" i="35"/>
  <c r="AD283" i="35"/>
  <c r="AE272" i="35"/>
  <c r="AD271" i="35"/>
  <c r="AE260" i="35"/>
  <c r="AD259" i="35"/>
  <c r="AE248" i="35"/>
  <c r="AD247" i="35"/>
  <c r="AE236" i="35"/>
  <c r="AD376" i="35"/>
  <c r="AD337" i="35"/>
  <c r="AE316" i="35"/>
  <c r="AE304" i="35"/>
  <c r="AE301" i="35"/>
  <c r="AE297" i="35"/>
  <c r="AE285" i="35"/>
  <c r="AD284" i="35"/>
  <c r="AE273" i="35"/>
  <c r="AD272" i="35"/>
  <c r="AE261" i="35"/>
  <c r="AD260" i="35"/>
  <c r="AE249" i="35"/>
  <c r="AD248" i="35"/>
  <c r="AE237" i="35"/>
  <c r="AD236" i="35"/>
  <c r="AD401" i="35"/>
  <c r="AD364" i="35"/>
  <c r="AD306" i="35"/>
  <c r="AD303" i="35"/>
  <c r="AD297" i="35"/>
  <c r="AE286" i="35"/>
  <c r="AD285" i="35"/>
  <c r="AD363" i="35"/>
  <c r="AE322" i="35"/>
  <c r="AD321" i="35"/>
  <c r="AD308" i="35"/>
  <c r="AE307" i="35"/>
  <c r="AE287" i="35"/>
  <c r="AD286" i="35"/>
  <c r="AE275" i="35"/>
  <c r="AD274" i="35"/>
  <c r="AE263" i="35"/>
  <c r="AD262" i="35"/>
  <c r="AE251" i="35"/>
  <c r="AD250" i="35"/>
  <c r="AE333" i="35"/>
  <c r="AD322" i="35"/>
  <c r="AD300" i="35"/>
  <c r="AE288" i="35"/>
  <c r="AD287" i="35"/>
  <c r="AE276" i="35"/>
  <c r="AD275" i="35"/>
  <c r="AE264" i="35"/>
  <c r="AD263" i="35"/>
  <c r="AE252" i="35"/>
  <c r="AD251" i="35"/>
  <c r="AE296" i="35"/>
  <c r="AE289" i="35"/>
  <c r="AD288" i="35"/>
  <c r="AE277" i="35"/>
  <c r="AD276" i="35"/>
  <c r="AD338" i="35"/>
  <c r="AE299" i="35"/>
  <c r="AD296" i="35"/>
  <c r="AE290" i="35"/>
  <c r="AD289" i="35"/>
  <c r="AE278" i="35"/>
  <c r="AD277" i="35"/>
  <c r="AE266" i="35"/>
  <c r="AD265" i="35"/>
  <c r="AE291" i="35"/>
  <c r="AD290" i="35"/>
  <c r="AE279" i="35"/>
  <c r="AD278" i="35"/>
  <c r="AE267" i="35"/>
  <c r="AD266" i="35"/>
  <c r="AE255" i="35"/>
  <c r="AD254" i="35"/>
  <c r="AE350" i="35"/>
  <c r="AE311" i="35"/>
  <c r="AE295" i="35"/>
  <c r="AE292" i="35"/>
  <c r="AD291" i="35"/>
  <c r="AE280" i="35"/>
  <c r="AD279" i="35"/>
  <c r="AE268" i="35"/>
  <c r="AD267" i="35"/>
  <c r="AE256" i="35"/>
  <c r="AD255" i="35"/>
  <c r="AE298" i="35"/>
  <c r="AE282" i="35"/>
  <c r="AD281" i="35"/>
  <c r="AE270" i="35"/>
  <c r="AD269" i="35"/>
  <c r="AE258" i="35"/>
  <c r="AD257" i="35"/>
  <c r="AE246" i="35"/>
  <c r="AD245" i="35"/>
  <c r="AE274" i="35"/>
  <c r="AD238" i="35"/>
  <c r="AE235" i="35"/>
  <c r="AD234" i="35"/>
  <c r="AE223" i="35"/>
  <c r="AD222" i="35"/>
  <c r="AE211" i="35"/>
  <c r="AD210" i="35"/>
  <c r="AE199" i="35"/>
  <c r="AD198" i="35"/>
  <c r="AE187" i="35"/>
  <c r="AD186" i="35"/>
  <c r="AE175" i="35"/>
  <c r="AD174" i="35"/>
  <c r="AE163" i="35"/>
  <c r="AD162" i="35"/>
  <c r="AD295" i="35"/>
  <c r="AE250" i="35"/>
  <c r="AE243" i="35"/>
  <c r="AD237" i="35"/>
  <c r="AD235" i="35"/>
  <c r="AE224" i="35"/>
  <c r="AD223" i="35"/>
  <c r="AE212" i="35"/>
  <c r="AD211" i="35"/>
  <c r="AE200" i="35"/>
  <c r="AD199" i="35"/>
  <c r="AE188" i="35"/>
  <c r="AD187" i="35"/>
  <c r="AE176" i="35"/>
  <c r="AD175" i="35"/>
  <c r="AE164" i="35"/>
  <c r="AD163" i="35"/>
  <c r="AE152" i="35"/>
  <c r="AD280" i="35"/>
  <c r="AE262" i="35"/>
  <c r="AE245" i="35"/>
  <c r="AD243" i="35"/>
  <c r="AE225" i="35"/>
  <c r="AD224" i="35"/>
  <c r="AE213" i="35"/>
  <c r="AD212" i="35"/>
  <c r="AE201" i="35"/>
  <c r="AD200" i="35"/>
  <c r="AE189" i="35"/>
  <c r="AD188" i="35"/>
  <c r="AE177" i="35"/>
  <c r="AD176" i="35"/>
  <c r="AE165" i="35"/>
  <c r="AD164" i="35"/>
  <c r="AE153" i="35"/>
  <c r="AD152" i="35"/>
  <c r="AE242" i="35"/>
  <c r="AE226" i="35"/>
  <c r="AD225" i="35"/>
  <c r="AE214" i="35"/>
  <c r="AD213" i="35"/>
  <c r="AE202" i="35"/>
  <c r="AD201" i="35"/>
  <c r="AE190" i="35"/>
  <c r="AD189" i="35"/>
  <c r="AE178" i="35"/>
  <c r="AD177" i="35"/>
  <c r="AE166" i="35"/>
  <c r="AD165" i="35"/>
  <c r="AE154" i="35"/>
  <c r="AD153" i="35"/>
  <c r="AD256" i="35"/>
  <c r="AD242" i="35"/>
  <c r="AE241" i="35"/>
  <c r="AE227" i="35"/>
  <c r="AD226" i="35"/>
  <c r="AE215" i="35"/>
  <c r="AD214" i="35"/>
  <c r="AE203" i="35"/>
  <c r="AD202" i="35"/>
  <c r="AE191" i="35"/>
  <c r="AD190" i="35"/>
  <c r="AE179" i="35"/>
  <c r="AD178" i="35"/>
  <c r="AE167" i="35"/>
  <c r="AD166" i="35"/>
  <c r="AE155" i="35"/>
  <c r="AD154" i="35"/>
  <c r="AD350" i="35"/>
  <c r="AD241" i="35"/>
  <c r="AE240" i="35"/>
  <c r="AE228" i="35"/>
  <c r="AD227" i="35"/>
  <c r="AE216" i="35"/>
  <c r="AD215" i="35"/>
  <c r="AE204" i="35"/>
  <c r="AD203" i="35"/>
  <c r="AE192" i="35"/>
  <c r="AD191" i="35"/>
  <c r="AE180" i="35"/>
  <c r="AD179" i="35"/>
  <c r="AE168" i="35"/>
  <c r="AD167" i="35"/>
  <c r="AE269" i="35"/>
  <c r="AD240" i="35"/>
  <c r="AE229" i="35"/>
  <c r="AD228" i="35"/>
  <c r="AE217" i="35"/>
  <c r="AD216" i="35"/>
  <c r="AE205" i="35"/>
  <c r="AD204" i="35"/>
  <c r="AE193" i="35"/>
  <c r="AD192" i="35"/>
  <c r="AE181" i="35"/>
  <c r="AD252" i="35"/>
  <c r="AE230" i="35"/>
  <c r="AD229" i="35"/>
  <c r="AE218" i="35"/>
  <c r="AD217" i="35"/>
  <c r="AE206" i="35"/>
  <c r="AD205" i="35"/>
  <c r="AE194" i="35"/>
  <c r="AD193" i="35"/>
  <c r="AE182" i="35"/>
  <c r="AD181" i="35"/>
  <c r="AE170" i="35"/>
  <c r="AD169" i="35"/>
  <c r="AE158" i="35"/>
  <c r="AD157" i="35"/>
  <c r="AD273" i="35"/>
  <c r="AE253" i="35"/>
  <c r="AE244" i="35"/>
  <c r="AE239" i="35"/>
  <c r="AE231" i="35"/>
  <c r="AD230" i="35"/>
  <c r="AE219" i="35"/>
  <c r="AD218" i="35"/>
  <c r="AE207" i="35"/>
  <c r="AD206" i="35"/>
  <c r="AE195" i="35"/>
  <c r="AD194" i="35"/>
  <c r="AE183" i="35"/>
  <c r="AD182" i="35"/>
  <c r="AE171" i="35"/>
  <c r="AD170" i="35"/>
  <c r="AD268" i="35"/>
  <c r="AE265" i="35"/>
  <c r="AD261" i="35"/>
  <c r="AD249" i="35"/>
  <c r="AE238" i="35"/>
  <c r="AE234" i="35"/>
  <c r="AD233" i="35"/>
  <c r="AE222" i="35"/>
  <c r="AD221" i="35"/>
  <c r="AE210" i="35"/>
  <c r="AD209" i="35"/>
  <c r="AE198" i="35"/>
  <c r="AD197" i="35"/>
  <c r="AE232" i="35"/>
  <c r="AD220" i="35"/>
  <c r="AD185" i="35"/>
  <c r="AE151" i="35"/>
  <c r="AD150" i="35"/>
  <c r="AE139" i="35"/>
  <c r="AD138" i="35"/>
  <c r="AE127" i="35"/>
  <c r="AD126" i="35"/>
  <c r="AE115" i="35"/>
  <c r="AD114" i="35"/>
  <c r="AE103" i="35"/>
  <c r="AD102" i="35"/>
  <c r="AE91" i="35"/>
  <c r="AD90" i="35"/>
  <c r="AD232" i="35"/>
  <c r="AE172" i="35"/>
  <c r="AD168" i="35"/>
  <c r="AE159" i="35"/>
  <c r="AD158" i="35"/>
  <c r="AD151" i="35"/>
  <c r="AE140" i="35"/>
  <c r="AD139" i="35"/>
  <c r="AE128" i="35"/>
  <c r="AD127" i="35"/>
  <c r="AE116" i="35"/>
  <c r="AD115" i="35"/>
  <c r="AE104" i="35"/>
  <c r="AD103" i="35"/>
  <c r="AE92" i="35"/>
  <c r="AD91" i="35"/>
  <c r="AD219" i="35"/>
  <c r="AE209" i="35"/>
  <c r="AD172" i="35"/>
  <c r="AE162" i="35"/>
  <c r="AD159" i="35"/>
  <c r="AE141" i="35"/>
  <c r="AD140" i="35"/>
  <c r="AE129" i="35"/>
  <c r="AD128" i="35"/>
  <c r="AE117" i="35"/>
  <c r="AD116" i="35"/>
  <c r="AE105" i="35"/>
  <c r="AD231" i="35"/>
  <c r="AE184" i="35"/>
  <c r="AD171" i="35"/>
  <c r="AE142" i="35"/>
  <c r="AD141" i="35"/>
  <c r="AE130" i="35"/>
  <c r="AD129" i="35"/>
  <c r="AE118" i="35"/>
  <c r="AD117" i="35"/>
  <c r="AE106" i="35"/>
  <c r="AD105" i="35"/>
  <c r="AE94" i="35"/>
  <c r="AD93" i="35"/>
  <c r="AD264" i="35"/>
  <c r="AD184" i="35"/>
  <c r="AD183" i="35"/>
  <c r="AE161" i="35"/>
  <c r="AE143" i="35"/>
  <c r="AD142" i="35"/>
  <c r="AE131" i="35"/>
  <c r="AD130" i="35"/>
  <c r="AE119" i="35"/>
  <c r="AD118" i="35"/>
  <c r="AE107" i="35"/>
  <c r="AD106" i="35"/>
  <c r="AE95" i="35"/>
  <c r="AE281" i="35"/>
  <c r="AD239" i="35"/>
  <c r="AE169" i="35"/>
  <c r="AD161" i="35"/>
  <c r="AE144" i="35"/>
  <c r="AD143" i="35"/>
  <c r="AE132" i="35"/>
  <c r="AD131" i="35"/>
  <c r="AE120" i="35"/>
  <c r="AD119" i="35"/>
  <c r="AE108" i="35"/>
  <c r="AD107" i="35"/>
  <c r="AE96" i="35"/>
  <c r="AD95" i="35"/>
  <c r="AE221" i="35"/>
  <c r="AE145" i="35"/>
  <c r="AD144" i="35"/>
  <c r="AE133" i="35"/>
  <c r="AD132" i="35"/>
  <c r="AD294" i="35"/>
  <c r="AD292" i="35"/>
  <c r="AD253" i="35"/>
  <c r="AE233" i="35"/>
  <c r="AE208" i="35"/>
  <c r="AE197" i="35"/>
  <c r="AD180" i="35"/>
  <c r="AE174" i="35"/>
  <c r="AE146" i="35"/>
  <c r="AD145" i="35"/>
  <c r="AE134" i="35"/>
  <c r="AD133" i="35"/>
  <c r="AE122" i="35"/>
  <c r="AD121" i="35"/>
  <c r="AE254" i="35"/>
  <c r="AE186" i="35"/>
  <c r="AE173" i="35"/>
  <c r="AD160" i="35"/>
  <c r="AE148" i="35"/>
  <c r="AD147" i="35"/>
  <c r="AE136" i="35"/>
  <c r="AD135" i="35"/>
  <c r="AE124" i="35"/>
  <c r="AD123" i="35"/>
  <c r="AE112" i="35"/>
  <c r="AD111" i="35"/>
  <c r="AE100" i="35"/>
  <c r="AD99" i="35"/>
  <c r="AE220" i="35"/>
  <c r="AD196" i="35"/>
  <c r="AD195" i="35"/>
  <c r="AE185" i="35"/>
  <c r="AE157" i="35"/>
  <c r="AD156" i="35"/>
  <c r="AE150" i="35"/>
  <c r="AD149" i="35"/>
  <c r="AE138" i="35"/>
  <c r="AD137" i="35"/>
  <c r="AE147" i="35"/>
  <c r="AE135" i="35"/>
  <c r="AD124" i="35"/>
  <c r="AD104" i="35"/>
  <c r="AE97" i="35"/>
  <c r="AE89" i="35"/>
  <c r="AD88" i="35"/>
  <c r="AE77" i="35"/>
  <c r="AD76" i="35"/>
  <c r="AE65" i="35"/>
  <c r="AD64" i="35"/>
  <c r="AE53" i="35"/>
  <c r="AD52" i="35"/>
  <c r="AE41" i="35"/>
  <c r="AD40" i="35"/>
  <c r="AE28" i="35"/>
  <c r="AE27" i="35"/>
  <c r="AD26" i="35"/>
  <c r="AE98" i="35"/>
  <c r="AD97" i="35"/>
  <c r="AD96" i="35"/>
  <c r="AD89" i="35"/>
  <c r="AE78" i="35"/>
  <c r="AD77" i="35"/>
  <c r="AE66" i="35"/>
  <c r="AD65" i="35"/>
  <c r="AE54" i="35"/>
  <c r="AD53" i="35"/>
  <c r="AE42" i="35"/>
  <c r="AD41" i="35"/>
  <c r="AE30" i="35"/>
  <c r="AE29" i="35"/>
  <c r="AD28" i="35"/>
  <c r="AD27" i="35"/>
  <c r="AD15" i="35"/>
  <c r="AD14" i="35"/>
  <c r="AE13" i="35"/>
  <c r="AE12" i="35"/>
  <c r="AE114" i="35"/>
  <c r="AE113" i="35"/>
  <c r="AD98" i="35"/>
  <c r="AD94" i="35"/>
  <c r="AE79" i="35"/>
  <c r="AD78" i="35"/>
  <c r="AE67" i="35"/>
  <c r="AD66" i="35"/>
  <c r="AE55" i="35"/>
  <c r="AD54" i="35"/>
  <c r="AE43" i="35"/>
  <c r="AD42" i="35"/>
  <c r="AE31" i="35"/>
  <c r="AD30" i="35"/>
  <c r="AD29" i="35"/>
  <c r="AD13" i="35"/>
  <c r="AD12" i="35"/>
  <c r="AE11" i="35"/>
  <c r="AD244" i="35"/>
  <c r="AD208" i="35"/>
  <c r="AE196" i="35"/>
  <c r="AD173" i="35"/>
  <c r="AD122" i="35"/>
  <c r="AD113" i="35"/>
  <c r="AE102" i="35"/>
  <c r="AE80" i="35"/>
  <c r="AD79" i="35"/>
  <c r="AE68" i="35"/>
  <c r="AD67" i="35"/>
  <c r="AE56" i="35"/>
  <c r="AD55" i="35"/>
  <c r="AE44" i="35"/>
  <c r="AD43" i="35"/>
  <c r="AE32" i="35"/>
  <c r="AD31" i="35"/>
  <c r="AE123" i="35"/>
  <c r="AE101" i="35"/>
  <c r="AE90" i="35"/>
  <c r="AE81" i="35"/>
  <c r="AD80" i="35"/>
  <c r="AE69" i="35"/>
  <c r="AD68" i="35"/>
  <c r="AD207" i="35"/>
  <c r="AD155" i="35"/>
  <c r="AE149" i="35"/>
  <c r="AE137" i="35"/>
  <c r="AD101" i="35"/>
  <c r="AE93" i="35"/>
  <c r="AE82" i="35"/>
  <c r="AD81" i="35"/>
  <c r="AE70" i="35"/>
  <c r="AD69" i="35"/>
  <c r="AE58" i="35"/>
  <c r="AD57" i="35"/>
  <c r="AE46" i="35"/>
  <c r="AD45" i="35"/>
  <c r="AE34" i="35"/>
  <c r="AD33" i="35"/>
  <c r="AE257" i="35"/>
  <c r="AD112" i="35"/>
  <c r="AE83" i="35"/>
  <c r="AD82" i="35"/>
  <c r="AE71" i="35"/>
  <c r="AD70" i="35"/>
  <c r="AE59" i="35"/>
  <c r="AD58" i="35"/>
  <c r="AE47" i="35"/>
  <c r="AD46" i="35"/>
  <c r="AE35" i="35"/>
  <c r="AD34" i="35"/>
  <c r="AE125" i="35"/>
  <c r="AE84" i="35"/>
  <c r="AD83" i="35"/>
  <c r="AE72" i="35"/>
  <c r="AD71" i="35"/>
  <c r="AE60" i="35"/>
  <c r="AD59" i="35"/>
  <c r="AE48" i="35"/>
  <c r="AD47" i="35"/>
  <c r="AE36" i="35"/>
  <c r="AD35" i="35"/>
  <c r="AD7" i="35"/>
  <c r="AE6" i="35"/>
  <c r="AE160" i="35"/>
  <c r="AE156" i="35"/>
  <c r="AE126" i="35"/>
  <c r="AE111" i="35"/>
  <c r="AD109" i="35"/>
  <c r="AD108" i="35"/>
  <c r="AD92" i="35"/>
  <c r="AE86" i="35"/>
  <c r="AD85" i="35"/>
  <c r="AE74" i="35"/>
  <c r="AD73" i="35"/>
  <c r="AE62" i="35"/>
  <c r="AD61" i="35"/>
  <c r="AE50" i="35"/>
  <c r="AD49" i="35"/>
  <c r="AE38" i="35"/>
  <c r="AD37" i="35"/>
  <c r="AE22" i="35"/>
  <c r="AE21" i="35"/>
  <c r="AE20" i="35"/>
  <c r="AD110" i="35"/>
  <c r="AE99" i="35"/>
  <c r="AE88" i="35"/>
  <c r="AD87" i="35"/>
  <c r="AE76" i="35"/>
  <c r="AD75" i="35"/>
  <c r="AE64" i="35"/>
  <c r="AD63" i="35"/>
  <c r="AE52" i="35"/>
  <c r="AD51" i="35"/>
  <c r="AE40" i="35"/>
  <c r="AW5" i="35"/>
  <c r="AX6" i="35"/>
  <c r="AH27" i="35" s="1"/>
  <c r="BN8" i="35" s="1"/>
  <c r="BF8" i="35"/>
  <c r="AE9" i="35"/>
  <c r="BB10" i="35"/>
  <c r="AU11" i="35"/>
  <c r="BK11" i="35"/>
  <c r="BL5" i="35" s="1"/>
  <c r="BE13" i="35"/>
  <c r="AS13" i="35"/>
  <c r="BD13" i="35"/>
  <c r="AY13" i="35"/>
  <c r="AW13" i="35"/>
  <c r="BG13" i="35"/>
  <c r="BA14" i="35"/>
  <c r="BK16" i="35"/>
  <c r="W16" i="35"/>
  <c r="BA16" i="35"/>
  <c r="AE17" i="35"/>
  <c r="BA22" i="35"/>
  <c r="AW22" i="35"/>
  <c r="BK26" i="35"/>
  <c r="W26" i="35"/>
  <c r="AU28" i="35"/>
  <c r="BA29" i="35"/>
  <c r="AM30" i="35"/>
  <c r="W31" i="35"/>
  <c r="AD36" i="35"/>
  <c r="AD44" i="35"/>
  <c r="AZ45" i="35"/>
  <c r="AE49" i="35"/>
  <c r="BK60" i="35"/>
  <c r="W60" i="35"/>
  <c r="AX63" i="35"/>
  <c r="AJ63" i="35"/>
  <c r="AY63" i="35" s="1"/>
  <c r="BK64" i="35"/>
  <c r="W64" i="35"/>
  <c r="AE73" i="35"/>
  <c r="AW118" i="35"/>
  <c r="AV118" i="35"/>
  <c r="BG118" i="35"/>
  <c r="AU118" i="35"/>
  <c r="BF118" i="35"/>
  <c r="AT118" i="35"/>
  <c r="BE118" i="35"/>
  <c r="AS118" i="35"/>
  <c r="BD118" i="35"/>
  <c r="AZ118" i="35"/>
  <c r="BC118" i="35"/>
  <c r="BB118" i="35"/>
  <c r="BA118" i="35"/>
  <c r="AY118" i="35"/>
  <c r="AX118" i="35"/>
  <c r="BE10" i="35"/>
  <c r="AX7" i="35"/>
  <c r="BD7" i="35"/>
  <c r="BC7" i="35"/>
  <c r="BC10" i="35"/>
  <c r="AX33" i="35"/>
  <c r="AW33" i="35"/>
  <c r="AV33" i="35"/>
  <c r="BG33" i="35"/>
  <c r="AU33" i="35"/>
  <c r="BE33" i="35"/>
  <c r="AS33" i="35"/>
  <c r="BD33" i="35"/>
  <c r="BC33" i="35"/>
  <c r="BA33" i="35"/>
  <c r="AM37" i="35"/>
  <c r="AV37" i="35"/>
  <c r="AE45" i="35"/>
  <c r="AD50" i="35"/>
  <c r="BK54" i="35"/>
  <c r="BE116" i="35"/>
  <c r="AM116" i="35"/>
  <c r="AY5" i="35"/>
  <c r="BA6" i="35"/>
  <c r="BE7" i="35"/>
  <c r="AE8" i="35"/>
  <c r="AT8" i="35"/>
  <c r="BD10" i="35"/>
  <c r="AW11" i="35"/>
  <c r="AX17" i="35"/>
  <c r="AJ17" i="35"/>
  <c r="AY17" i="35" s="1"/>
  <c r="AM19" i="35"/>
  <c r="AV19" i="35"/>
  <c r="AX28" i="35"/>
  <c r="BK30" i="35"/>
  <c r="AV31" i="35"/>
  <c r="AV35" i="35"/>
  <c r="AM38" i="35"/>
  <c r="AD39" i="35"/>
  <c r="AD56" i="35"/>
  <c r="AX69" i="35"/>
  <c r="AW69" i="35"/>
  <c r="AV69" i="35"/>
  <c r="BG69" i="35"/>
  <c r="AU69" i="35"/>
  <c r="BF69" i="35"/>
  <c r="AT69" i="35"/>
  <c r="BE69" i="35"/>
  <c r="AS69" i="35"/>
  <c r="BD69" i="35"/>
  <c r="BC69" i="35"/>
  <c r="BA69" i="35"/>
  <c r="AY69" i="35"/>
  <c r="AV77" i="35"/>
  <c r="AE110" i="35"/>
  <c r="BA122" i="35"/>
  <c r="AZ122" i="35"/>
  <c r="AY122" i="35"/>
  <c r="AX122" i="35"/>
  <c r="AW122" i="35"/>
  <c r="AV122" i="35"/>
  <c r="BF122" i="35"/>
  <c r="AT122" i="35"/>
  <c r="BD122" i="35"/>
  <c r="BG122" i="35"/>
  <c r="BE122" i="35"/>
  <c r="BC122" i="35"/>
  <c r="BB122" i="35"/>
  <c r="AU122" i="35"/>
  <c r="AS122" i="35"/>
  <c r="BA5" i="35"/>
  <c r="AS7" i="35"/>
  <c r="BG7" i="35"/>
  <c r="AY9" i="35"/>
  <c r="BF10" i="35"/>
  <c r="BA11" i="35"/>
  <c r="BN13" i="35"/>
  <c r="BE14" i="35"/>
  <c r="AS14" i="35"/>
  <c r="BD14" i="35"/>
  <c r="AY14" i="35"/>
  <c r="AW14" i="35"/>
  <c r="BG14" i="35"/>
  <c r="BD16" i="35"/>
  <c r="BC16" i="35"/>
  <c r="AY16" i="35"/>
  <c r="AX16" i="35"/>
  <c r="AV16" i="35"/>
  <c r="BG16" i="35"/>
  <c r="AD18" i="35"/>
  <c r="AZ23" i="35"/>
  <c r="AM23" i="35"/>
  <c r="AE24" i="35"/>
  <c r="BB28" i="35"/>
  <c r="AD32" i="35"/>
  <c r="AT33" i="35"/>
  <c r="BB35" i="35"/>
  <c r="AZ47" i="35"/>
  <c r="AY47" i="35"/>
  <c r="AX47" i="35"/>
  <c r="AW47" i="35"/>
  <c r="BG47" i="35"/>
  <c r="AU47" i="35"/>
  <c r="BF47" i="35"/>
  <c r="AT47" i="35"/>
  <c r="BE47" i="35"/>
  <c r="AS47" i="35"/>
  <c r="BC47" i="35"/>
  <c r="BA47" i="35"/>
  <c r="AD48" i="35"/>
  <c r="AM49" i="35"/>
  <c r="AV49" i="35"/>
  <c r="AD74" i="35"/>
  <c r="AX77" i="35"/>
  <c r="AD120" i="35"/>
  <c r="AE121" i="35"/>
  <c r="AD125" i="35"/>
  <c r="AD148" i="35"/>
  <c r="BB5" i="35"/>
  <c r="AY6" i="35"/>
  <c r="BE6" i="35"/>
  <c r="AS6" i="35"/>
  <c r="BD6" i="35"/>
  <c r="AT7" i="35"/>
  <c r="AX8" i="35"/>
  <c r="AV9" i="35"/>
  <c r="AZ9" i="35"/>
  <c r="AM9" i="35"/>
  <c r="AN5" i="35" s="1"/>
  <c r="BB11" i="35"/>
  <c r="AE18" i="35"/>
  <c r="BA23" i="35"/>
  <c r="AW23" i="35"/>
  <c r="AD25" i="35"/>
  <c r="BK29" i="35"/>
  <c r="W29" i="35"/>
  <c r="AY33" i="35"/>
  <c r="BK36" i="35"/>
  <c r="W36" i="35"/>
  <c r="AX39" i="35"/>
  <c r="AJ39" i="35"/>
  <c r="AY39" i="35" s="1"/>
  <c r="AE51" i="35"/>
  <c r="AD62" i="35"/>
  <c r="AD86" i="35"/>
  <c r="BA21" i="35"/>
  <c r="AZ21" i="35"/>
  <c r="AY21" i="35"/>
  <c r="AV21" i="35"/>
  <c r="BG21" i="35"/>
  <c r="AU21" i="35"/>
  <c r="BE21" i="35"/>
  <c r="AS21" i="35"/>
  <c r="AE57" i="35"/>
  <c r="BC5" i="35"/>
  <c r="BF6" i="35"/>
  <c r="AU7" i="35"/>
  <c r="AD10" i="35"/>
  <c r="AS10" i="35"/>
  <c r="BC11" i="35"/>
  <c r="AJ12" i="35"/>
  <c r="AX13" i="35"/>
  <c r="AT21" i="35"/>
  <c r="AX24" i="35"/>
  <c r="AJ24" i="35"/>
  <c r="AY24" i="35" s="1"/>
  <c r="AE25" i="35"/>
  <c r="BF29" i="35"/>
  <c r="AT29" i="35"/>
  <c r="BE29" i="35"/>
  <c r="AS29" i="35"/>
  <c r="BD29" i="35"/>
  <c r="BC29" i="35"/>
  <c r="AZ29" i="35"/>
  <c r="AY29" i="35"/>
  <c r="AW29" i="35"/>
  <c r="AV30" i="35"/>
  <c r="BA32" i="35"/>
  <c r="AE33" i="35"/>
  <c r="AZ33" i="35"/>
  <c r="AD72" i="35"/>
  <c r="AZ81" i="35"/>
  <c r="BK114" i="35"/>
  <c r="W114" i="35"/>
  <c r="AE5" i="35"/>
  <c r="BD5" i="35"/>
  <c r="BG6" i="35"/>
  <c r="AH13" i="35" s="1"/>
  <c r="AV7" i="35"/>
  <c r="AE10" i="35"/>
  <c r="BD11" i="35"/>
  <c r="AM12" i="35"/>
  <c r="AZ13" i="35"/>
  <c r="AT14" i="35"/>
  <c r="AD16" i="35"/>
  <c r="AS16" i="35"/>
  <c r="AX18" i="35"/>
  <c r="AJ18" i="35"/>
  <c r="AY18" i="35" s="1"/>
  <c r="AM20" i="35"/>
  <c r="AV20" i="35"/>
  <c r="AW21" i="35"/>
  <c r="AD22" i="35"/>
  <c r="AE26" i="35"/>
  <c r="AW30" i="35"/>
  <c r="BB33" i="35"/>
  <c r="BA36" i="35"/>
  <c r="AZ36" i="35"/>
  <c r="AY36" i="35"/>
  <c r="AX36" i="35"/>
  <c r="AV36" i="35"/>
  <c r="BG36" i="35"/>
  <c r="AU36" i="35"/>
  <c r="BF36" i="35"/>
  <c r="AT36" i="35"/>
  <c r="BD36" i="35"/>
  <c r="BK40" i="35"/>
  <c r="W40" i="35"/>
  <c r="AW44" i="35"/>
  <c r="AV47" i="35"/>
  <c r="AX51" i="35"/>
  <c r="AJ51" i="35"/>
  <c r="AY51" i="35" s="1"/>
  <c r="AZ59" i="35"/>
  <c r="AY59" i="35"/>
  <c r="AX59" i="35"/>
  <c r="AW59" i="35"/>
  <c r="BG59" i="35"/>
  <c r="AU59" i="35"/>
  <c r="BF59" i="35"/>
  <c r="AT59" i="35"/>
  <c r="BE59" i="35"/>
  <c r="AS59" i="35"/>
  <c r="BC59" i="35"/>
  <c r="BA59" i="35"/>
  <c r="AD60" i="35"/>
  <c r="AM61" i="35"/>
  <c r="AV61" i="35"/>
  <c r="BC65" i="35"/>
  <c r="AY65" i="35"/>
  <c r="AZ71" i="35"/>
  <c r="AY71" i="35"/>
  <c r="AX71" i="35"/>
  <c r="AW71" i="35"/>
  <c r="AV71" i="35"/>
  <c r="BG71" i="35"/>
  <c r="AU71" i="35"/>
  <c r="BF71" i="35"/>
  <c r="AT71" i="35"/>
  <c r="BE71" i="35"/>
  <c r="AS71" i="35"/>
  <c r="BC71" i="35"/>
  <c r="BA71" i="35"/>
  <c r="AE75" i="35"/>
  <c r="AD84" i="35"/>
  <c r="AM91" i="35"/>
  <c r="AM94" i="35"/>
  <c r="BG10" i="35"/>
  <c r="AU10" i="35"/>
  <c r="BA10" i="35"/>
  <c r="AY10" i="35"/>
  <c r="AX81" i="35"/>
  <c r="AW81" i="35"/>
  <c r="AV81" i="35"/>
  <c r="BG81" i="35"/>
  <c r="AU81" i="35"/>
  <c r="BF81" i="35"/>
  <c r="AT81" i="35"/>
  <c r="BE81" i="35"/>
  <c r="AS81" i="35"/>
  <c r="BD81" i="35"/>
  <c r="BC81" i="35"/>
  <c r="BA81" i="35"/>
  <c r="AY81" i="35"/>
  <c r="AD146" i="35"/>
  <c r="AS5" i="35"/>
  <c r="BE5" i="35"/>
  <c r="AT6" i="35"/>
  <c r="AW7" i="35"/>
  <c r="AV10" i="35"/>
  <c r="AU14" i="35"/>
  <c r="AE16" i="35"/>
  <c r="AT16" i="35"/>
  <c r="AD19" i="35"/>
  <c r="AD21" i="35"/>
  <c r="AX21" i="35"/>
  <c r="AX25" i="35"/>
  <c r="AJ25" i="35"/>
  <c r="AY25" i="35" s="1"/>
  <c r="AY30" i="35"/>
  <c r="AZ32" i="35"/>
  <c r="AM32" i="35"/>
  <c r="BF33" i="35"/>
  <c r="BF41" i="35"/>
  <c r="AT41" i="35"/>
  <c r="BE41" i="35"/>
  <c r="AS41" i="35"/>
  <c r="BD41" i="35"/>
  <c r="BC41" i="35"/>
  <c r="BA41" i="35"/>
  <c r="AZ41" i="35"/>
  <c r="AY41" i="35"/>
  <c r="AW41" i="35"/>
  <c r="BG41" i="35"/>
  <c r="AU41" i="35"/>
  <c r="AX45" i="35"/>
  <c r="AW45" i="35"/>
  <c r="AV45" i="35"/>
  <c r="BG45" i="35"/>
  <c r="AU45" i="35"/>
  <c r="BE45" i="35"/>
  <c r="AS45" i="35"/>
  <c r="BD45" i="35"/>
  <c r="BC45" i="35"/>
  <c r="BA45" i="35"/>
  <c r="AY45" i="35"/>
  <c r="BB47" i="35"/>
  <c r="AW56" i="35"/>
  <c r="AZ65" i="35"/>
  <c r="AM65" i="35"/>
  <c r="AM66" i="35"/>
  <c r="AV67" i="35"/>
  <c r="AM78" i="35"/>
  <c r="BK78" i="35"/>
  <c r="AV79" i="35"/>
  <c r="AZ83" i="35"/>
  <c r="AY83" i="35"/>
  <c r="AX83" i="35"/>
  <c r="AW83" i="35"/>
  <c r="AV83" i="35"/>
  <c r="BG83" i="35"/>
  <c r="AU83" i="35"/>
  <c r="BF83" i="35"/>
  <c r="AT83" i="35"/>
  <c r="BE83" i="35"/>
  <c r="AS83" i="35"/>
  <c r="BC83" i="35"/>
  <c r="BA83" i="35"/>
  <c r="AE109" i="35"/>
  <c r="AD134" i="35"/>
  <c r="AY7" i="35"/>
  <c r="AW10" i="35"/>
  <c r="BF11" i="35"/>
  <c r="AT11" i="35"/>
  <c r="BE11" i="35"/>
  <c r="AS11" i="35"/>
  <c r="AZ11" i="35"/>
  <c r="AX11" i="35"/>
  <c r="AE19" i="35"/>
  <c r="BB21" i="35"/>
  <c r="BF28" i="35"/>
  <c r="AT28" i="35"/>
  <c r="BE28" i="35"/>
  <c r="AS28" i="35"/>
  <c r="BD28" i="35"/>
  <c r="BC28" i="35"/>
  <c r="AZ28" i="35"/>
  <c r="AY28" i="35"/>
  <c r="AW28" i="35"/>
  <c r="BB30" i="35"/>
  <c r="AE37" i="35"/>
  <c r="BK48" i="35"/>
  <c r="W48" i="35"/>
  <c r="BK52" i="35"/>
  <c r="W52" i="35"/>
  <c r="BC64" i="35"/>
  <c r="AY64" i="35"/>
  <c r="AX75" i="35"/>
  <c r="AJ75" i="35"/>
  <c r="AY75" i="35" s="1"/>
  <c r="BK76" i="35"/>
  <c r="W76" i="35"/>
  <c r="AE87" i="35"/>
  <c r="BK91" i="35"/>
  <c r="W91" i="35"/>
  <c r="AD136" i="35"/>
  <c r="AU5" i="35"/>
  <c r="AV6" i="35"/>
  <c r="AZ7" i="35"/>
  <c r="AH15" i="35" s="1"/>
  <c r="AW8" i="35"/>
  <c r="BC8" i="35"/>
  <c r="BD8" i="35"/>
  <c r="AX10" i="35"/>
  <c r="BF12" i="35"/>
  <c r="AT12" i="35"/>
  <c r="BE12" i="35"/>
  <c r="AS12" i="35"/>
  <c r="AZ12" i="35"/>
  <c r="AX12" i="35"/>
  <c r="BK13" i="35"/>
  <c r="W13" i="35"/>
  <c r="T2" i="35" s="1"/>
  <c r="BC13" i="35"/>
  <c r="AX14" i="35"/>
  <c r="BD15" i="35"/>
  <c r="BC15" i="35"/>
  <c r="AX15" i="35"/>
  <c r="AV15" i="35"/>
  <c r="BF15" i="35"/>
  <c r="AW16" i="35"/>
  <c r="BK17" i="35"/>
  <c r="BC21" i="35"/>
  <c r="AD23" i="35"/>
  <c r="AV29" i="35"/>
  <c r="AD38" i="35"/>
  <c r="BF53" i="35"/>
  <c r="AT53" i="35"/>
  <c r="BE53" i="35"/>
  <c r="AS53" i="35"/>
  <c r="BD53" i="35"/>
  <c r="BC53" i="35"/>
  <c r="BA53" i="35"/>
  <c r="AZ53" i="35"/>
  <c r="AY53" i="35"/>
  <c r="AW53" i="35"/>
  <c r="BG53" i="35"/>
  <c r="AU53" i="35"/>
  <c r="AX57" i="35"/>
  <c r="AW57" i="35"/>
  <c r="AV57" i="35"/>
  <c r="BG57" i="35"/>
  <c r="AU57" i="35"/>
  <c r="BE57" i="35"/>
  <c r="AS57" i="35"/>
  <c r="BD57" i="35"/>
  <c r="BC57" i="35"/>
  <c r="BA57" i="35"/>
  <c r="AY57" i="35"/>
  <c r="AE63" i="35"/>
  <c r="BB71" i="35"/>
  <c r="BG30" i="35"/>
  <c r="AU30" i="35"/>
  <c r="BF30" i="35"/>
  <c r="AT30" i="35"/>
  <c r="BE30" i="35"/>
  <c r="AS30" i="35"/>
  <c r="BD30" i="35"/>
  <c r="BA30" i="35"/>
  <c r="AZ30" i="35"/>
  <c r="AX30" i="35"/>
  <c r="BN20" i="35"/>
  <c r="BA7" i="35"/>
  <c r="AZ10" i="35"/>
  <c r="AD17" i="35"/>
  <c r="BD21" i="35"/>
  <c r="AZ22" i="35"/>
  <c r="AM22" i="35"/>
  <c r="AE23" i="35"/>
  <c r="BC24" i="35"/>
  <c r="AZ35" i="35"/>
  <c r="AY35" i="35"/>
  <c r="AX35" i="35"/>
  <c r="AW35" i="35"/>
  <c r="BG35" i="35"/>
  <c r="AU35" i="35"/>
  <c r="BF35" i="35"/>
  <c r="AT35" i="35"/>
  <c r="BE35" i="35"/>
  <c r="AS35" i="35"/>
  <c r="BC35" i="35"/>
  <c r="BK42" i="35"/>
  <c r="AX87" i="35"/>
  <c r="AJ87" i="35"/>
  <c r="AY87" i="35" s="1"/>
  <c r="BK88" i="35"/>
  <c r="W88" i="35"/>
  <c r="BK96" i="35"/>
  <c r="W96" i="35"/>
  <c r="AD100" i="35"/>
  <c r="BB48" i="35"/>
  <c r="BB60" i="35"/>
  <c r="BB72" i="35"/>
  <c r="BB84" i="35"/>
  <c r="AX91" i="35"/>
  <c r="BB95" i="35"/>
  <c r="BA96" i="35"/>
  <c r="AM102" i="35"/>
  <c r="AX107" i="35"/>
  <c r="AW107" i="35"/>
  <c r="AV107" i="35"/>
  <c r="BG107" i="35"/>
  <c r="AU107" i="35"/>
  <c r="BF107" i="35"/>
  <c r="AT107" i="35"/>
  <c r="BE107" i="35"/>
  <c r="AS107" i="35"/>
  <c r="BA107" i="35"/>
  <c r="AM118" i="35"/>
  <c r="AU17" i="35"/>
  <c r="BG17" i="35"/>
  <c r="AU18" i="35"/>
  <c r="BG18" i="35"/>
  <c r="AU24" i="35"/>
  <c r="BG24" i="35"/>
  <c r="AU25" i="35"/>
  <c r="BG25" i="35"/>
  <c r="AY31" i="35"/>
  <c r="BB34" i="35"/>
  <c r="AU39" i="35"/>
  <c r="BG39" i="35"/>
  <c r="AX42" i="35"/>
  <c r="AY43" i="35"/>
  <c r="AM44" i="35"/>
  <c r="BB46" i="35"/>
  <c r="BD48" i="35"/>
  <c r="AU51" i="35"/>
  <c r="BG51" i="35"/>
  <c r="AX54" i="35"/>
  <c r="AY55" i="35"/>
  <c r="AM56" i="35"/>
  <c r="BB58" i="35"/>
  <c r="BD60" i="35"/>
  <c r="AU63" i="35"/>
  <c r="BG63" i="35"/>
  <c r="AX66" i="35"/>
  <c r="AY67" i="35"/>
  <c r="AM68" i="35"/>
  <c r="BB70" i="35"/>
  <c r="BD72" i="35"/>
  <c r="AU75" i="35"/>
  <c r="BG75" i="35"/>
  <c r="AX78" i="35"/>
  <c r="AY79" i="35"/>
  <c r="AM80" i="35"/>
  <c r="BB82" i="35"/>
  <c r="BD84" i="35"/>
  <c r="AU87" i="35"/>
  <c r="BG87" i="35"/>
  <c r="AV88" i="35"/>
  <c r="AZ91" i="35"/>
  <c r="AV92" i="35"/>
  <c r="AV93" i="35"/>
  <c r="BG93" i="35"/>
  <c r="AU93" i="35"/>
  <c r="BE93" i="35"/>
  <c r="AS93" i="35"/>
  <c r="BC93" i="35"/>
  <c r="BE98" i="35"/>
  <c r="BD101" i="35"/>
  <c r="BC101" i="35"/>
  <c r="BA101" i="35"/>
  <c r="AZ101" i="35"/>
  <c r="AY101" i="35"/>
  <c r="BG101" i="35"/>
  <c r="AU101" i="35"/>
  <c r="AZ105" i="35"/>
  <c r="BA109" i="35"/>
  <c r="BB110" i="35"/>
  <c r="AZ133" i="35"/>
  <c r="AY133" i="35"/>
  <c r="AX133" i="35"/>
  <c r="AW133" i="35"/>
  <c r="AV133" i="35"/>
  <c r="BG133" i="35"/>
  <c r="AU133" i="35"/>
  <c r="BF133" i="35"/>
  <c r="AT133" i="35"/>
  <c r="BE133" i="35"/>
  <c r="AS133" i="35"/>
  <c r="BC133" i="35"/>
  <c r="BA133" i="35"/>
  <c r="AZ145" i="35"/>
  <c r="AY145" i="35"/>
  <c r="AX145" i="35"/>
  <c r="AW145" i="35"/>
  <c r="AV145" i="35"/>
  <c r="BG145" i="35"/>
  <c r="AU145" i="35"/>
  <c r="BF145" i="35"/>
  <c r="AT145" i="35"/>
  <c r="BE145" i="35"/>
  <c r="AS145" i="35"/>
  <c r="BC145" i="35"/>
  <c r="BA145" i="35"/>
  <c r="AW17" i="35"/>
  <c r="AW18" i="35"/>
  <c r="AV22" i="35"/>
  <c r="AV23" i="35"/>
  <c r="AW24" i="35"/>
  <c r="AW25" i="35"/>
  <c r="AX26" i="35"/>
  <c r="AX27" i="35"/>
  <c r="BA31" i="35"/>
  <c r="BB32" i="35"/>
  <c r="BD34" i="35"/>
  <c r="AU37" i="35"/>
  <c r="BG37" i="35"/>
  <c r="AV38" i="35"/>
  <c r="AW39" i="35"/>
  <c r="AX40" i="35"/>
  <c r="AZ42" i="35"/>
  <c r="BA43" i="35"/>
  <c r="BB44" i="35"/>
  <c r="BD46" i="35"/>
  <c r="AT48" i="35"/>
  <c r="BF48" i="35"/>
  <c r="AU49" i="35"/>
  <c r="BG49" i="35"/>
  <c r="AV50" i="35"/>
  <c r="AW51" i="35"/>
  <c r="AX52" i="35"/>
  <c r="AZ54" i="35"/>
  <c r="BA55" i="35"/>
  <c r="BB56" i="35"/>
  <c r="BD58" i="35"/>
  <c r="AT60" i="35"/>
  <c r="BF60" i="35"/>
  <c r="AU61" i="35"/>
  <c r="BG61" i="35"/>
  <c r="AV62" i="35"/>
  <c r="AW63" i="35"/>
  <c r="AX64" i="35"/>
  <c r="AZ66" i="35"/>
  <c r="BA67" i="35"/>
  <c r="BB68" i="35"/>
  <c r="BD70" i="35"/>
  <c r="AT72" i="35"/>
  <c r="BF72" i="35"/>
  <c r="AV74" i="35"/>
  <c r="AW75" i="35"/>
  <c r="AX76" i="35"/>
  <c r="AZ78" i="35"/>
  <c r="BA79" i="35"/>
  <c r="BB80" i="35"/>
  <c r="BD82" i="35"/>
  <c r="AT84" i="35"/>
  <c r="BF84" i="35"/>
  <c r="AV86" i="35"/>
  <c r="AW87" i="35"/>
  <c r="AX88" i="35"/>
  <c r="BD91" i="35"/>
  <c r="AW94" i="35"/>
  <c r="AV94" i="35"/>
  <c r="BF94" i="35"/>
  <c r="AT94" i="35"/>
  <c r="BD94" i="35"/>
  <c r="BG94" i="35"/>
  <c r="AW106" i="35"/>
  <c r="AV106" i="35"/>
  <c r="BG106" i="35"/>
  <c r="AU106" i="35"/>
  <c r="BF106" i="35"/>
  <c r="AT106" i="35"/>
  <c r="BE106" i="35"/>
  <c r="AS106" i="35"/>
  <c r="BD106" i="35"/>
  <c r="AZ106" i="35"/>
  <c r="AZ107" i="35"/>
  <c r="BD113" i="35"/>
  <c r="BE114" i="35"/>
  <c r="AM115" i="35"/>
  <c r="BF123" i="35"/>
  <c r="BK124" i="35"/>
  <c r="W124" i="35"/>
  <c r="BB31" i="35"/>
  <c r="BA42" i="35"/>
  <c r="BB43" i="35"/>
  <c r="AU48" i="35"/>
  <c r="BG48" i="35"/>
  <c r="BA54" i="35"/>
  <c r="BB55" i="35"/>
  <c r="AU60" i="35"/>
  <c r="BG60" i="35"/>
  <c r="BA66" i="35"/>
  <c r="BB67" i="35"/>
  <c r="AU72" i="35"/>
  <c r="BG72" i="35"/>
  <c r="BA78" i="35"/>
  <c r="BB79" i="35"/>
  <c r="AU84" i="35"/>
  <c r="BG84" i="35"/>
  <c r="AX95" i="35"/>
  <c r="AW95" i="35"/>
  <c r="BG95" i="35"/>
  <c r="AU95" i="35"/>
  <c r="BF95" i="35"/>
  <c r="AT95" i="35"/>
  <c r="BE95" i="35"/>
  <c r="AS95" i="35"/>
  <c r="AZ97" i="35"/>
  <c r="AY97" i="35"/>
  <c r="AW97" i="35"/>
  <c r="AV97" i="35"/>
  <c r="BG97" i="35"/>
  <c r="AU97" i="35"/>
  <c r="BC97" i="35"/>
  <c r="BA98" i="35"/>
  <c r="AZ98" i="35"/>
  <c r="AX98" i="35"/>
  <c r="AW98" i="35"/>
  <c r="AV98" i="35"/>
  <c r="BD98" i="35"/>
  <c r="BF103" i="35"/>
  <c r="BB107" i="35"/>
  <c r="BE258" i="35"/>
  <c r="AS258" i="35"/>
  <c r="BD258" i="35"/>
  <c r="BC258" i="35"/>
  <c r="BA258" i="35"/>
  <c r="AZ258" i="35"/>
  <c r="AX258" i="35"/>
  <c r="AW258" i="35"/>
  <c r="AV258" i="35"/>
  <c r="BF258" i="35"/>
  <c r="AT258" i="35"/>
  <c r="BG258" i="35"/>
  <c r="BB258" i="35"/>
  <c r="AY258" i="35"/>
  <c r="AU258" i="35"/>
  <c r="BB42" i="35"/>
  <c r="AV48" i="35"/>
  <c r="BB54" i="35"/>
  <c r="AV60" i="35"/>
  <c r="BB66" i="35"/>
  <c r="AV72" i="35"/>
  <c r="BB78" i="35"/>
  <c r="AV84" i="35"/>
  <c r="BF91" i="35"/>
  <c r="AT91" i="35"/>
  <c r="BE91" i="35"/>
  <c r="AS91" i="35"/>
  <c r="BC91" i="35"/>
  <c r="BA91" i="35"/>
  <c r="AY96" i="35"/>
  <c r="AX96" i="35"/>
  <c r="AV96" i="35"/>
  <c r="BG96" i="35"/>
  <c r="AU96" i="35"/>
  <c r="BF96" i="35"/>
  <c r="AT96" i="35"/>
  <c r="BB96" i="35"/>
  <c r="BF115" i="35"/>
  <c r="BG116" i="35"/>
  <c r="AZ63" i="35"/>
  <c r="BA64" i="35"/>
  <c r="BB65" i="35"/>
  <c r="BC66" i="35"/>
  <c r="BD67" i="35"/>
  <c r="AS68" i="35"/>
  <c r="BE68" i="35"/>
  <c r="AU70" i="35"/>
  <c r="BG70" i="35"/>
  <c r="AW72" i="35"/>
  <c r="W73" i="35"/>
  <c r="AX73" i="35"/>
  <c r="AY74" i="35"/>
  <c r="AZ75" i="35"/>
  <c r="BA76" i="35"/>
  <c r="BB77" i="35"/>
  <c r="BC78" i="35"/>
  <c r="BD79" i="35"/>
  <c r="AS80" i="35"/>
  <c r="BE80" i="35"/>
  <c r="AU82" i="35"/>
  <c r="BG82" i="35"/>
  <c r="AW84" i="35"/>
  <c r="W85" i="35"/>
  <c r="AX85" i="35"/>
  <c r="AY86" i="35"/>
  <c r="AZ87" i="35"/>
  <c r="BA88" i="35"/>
  <c r="BD89" i="35"/>
  <c r="BC89" i="35"/>
  <c r="BB89" i="35"/>
  <c r="AX93" i="35"/>
  <c r="AS94" i="35"/>
  <c r="BB99" i="35"/>
  <c r="AV101" i="35"/>
  <c r="BG104" i="35"/>
  <c r="W105" i="35"/>
  <c r="AX106" i="35"/>
  <c r="BD107" i="35"/>
  <c r="AZ121" i="35"/>
  <c r="AY121" i="35"/>
  <c r="AX121" i="35"/>
  <c r="AW121" i="35"/>
  <c r="AV121" i="35"/>
  <c r="BG121" i="35"/>
  <c r="AU121" i="35"/>
  <c r="BE121" i="35"/>
  <c r="AS121" i="35"/>
  <c r="BC121" i="35"/>
  <c r="BF125" i="35"/>
  <c r="BE140" i="35"/>
  <c r="AM140" i="35"/>
  <c r="BA18" i="35"/>
  <c r="BA24" i="35"/>
  <c r="BA25" i="35"/>
  <c r="BB26" i="35"/>
  <c r="BB27" i="35"/>
  <c r="AS31" i="35"/>
  <c r="BE31" i="35"/>
  <c r="AT32" i="35"/>
  <c r="BF32" i="35"/>
  <c r="AV34" i="35"/>
  <c r="BA39" i="35"/>
  <c r="BB40" i="35"/>
  <c r="BD42" i="35"/>
  <c r="AS43" i="35"/>
  <c r="BE43" i="35"/>
  <c r="AT44" i="35"/>
  <c r="BF44" i="35"/>
  <c r="AV46" i="35"/>
  <c r="AX48" i="35"/>
  <c r="BA51" i="35"/>
  <c r="BB52" i="35"/>
  <c r="BD54" i="35"/>
  <c r="AS55" i="35"/>
  <c r="BE55" i="35"/>
  <c r="AV58" i="35"/>
  <c r="AX60" i="35"/>
  <c r="BA63" i="35"/>
  <c r="BB64" i="35"/>
  <c r="BD66" i="35"/>
  <c r="AS67" i="35"/>
  <c r="BE67" i="35"/>
  <c r="AV70" i="35"/>
  <c r="AX72" i="35"/>
  <c r="AM74" i="35"/>
  <c r="BA75" i="35"/>
  <c r="BB76" i="35"/>
  <c r="BD78" i="35"/>
  <c r="AS79" i="35"/>
  <c r="BE79" i="35"/>
  <c r="AV82" i="35"/>
  <c r="AX84" i="35"/>
  <c r="BA87" i="35"/>
  <c r="BB88" i="35"/>
  <c r="AV95" i="35"/>
  <c r="AS97" i="35"/>
  <c r="AS98" i="35"/>
  <c r="BK100" i="35"/>
  <c r="W100" i="35"/>
  <c r="BA110" i="35"/>
  <c r="AZ110" i="35"/>
  <c r="AY110" i="35"/>
  <c r="AX110" i="35"/>
  <c r="AW110" i="35"/>
  <c r="AV110" i="35"/>
  <c r="BD110" i="35"/>
  <c r="AV117" i="35"/>
  <c r="BG117" i="35"/>
  <c r="AU117" i="35"/>
  <c r="BF117" i="35"/>
  <c r="AT117" i="35"/>
  <c r="BE117" i="35"/>
  <c r="AS117" i="35"/>
  <c r="BD117" i="35"/>
  <c r="BC117" i="35"/>
  <c r="AY117" i="35"/>
  <c r="BE128" i="35"/>
  <c r="AM128" i="35"/>
  <c r="BD139" i="35"/>
  <c r="AM139" i="35"/>
  <c r="BK224" i="35"/>
  <c r="W224" i="35"/>
  <c r="AZ241" i="35"/>
  <c r="AY241" i="35"/>
  <c r="AX241" i="35"/>
  <c r="AV241" i="35"/>
  <c r="BG241" i="35"/>
  <c r="AU241" i="35"/>
  <c r="BA241" i="35"/>
  <c r="BE241" i="35"/>
  <c r="BD241" i="35"/>
  <c r="BC241" i="35"/>
  <c r="BB241" i="35"/>
  <c r="AW241" i="35"/>
  <c r="AT241" i="35"/>
  <c r="AS241" i="35"/>
  <c r="BF241" i="35"/>
  <c r="BB17" i="35"/>
  <c r="BB18" i="35"/>
  <c r="BB24" i="35"/>
  <c r="BB25" i="35"/>
  <c r="AT31" i="35"/>
  <c r="BF31" i="35"/>
  <c r="BB39" i="35"/>
  <c r="AS42" i="35"/>
  <c r="BE42" i="35"/>
  <c r="AT43" i="35"/>
  <c r="BF43" i="35"/>
  <c r="AW46" i="35"/>
  <c r="AY48" i="35"/>
  <c r="BB51" i="35"/>
  <c r="AS54" i="35"/>
  <c r="BE54" i="35"/>
  <c r="AT55" i="35"/>
  <c r="BF55" i="35"/>
  <c r="AY60" i="35"/>
  <c r="BB63" i="35"/>
  <c r="AS66" i="35"/>
  <c r="BE66" i="35"/>
  <c r="AT67" i="35"/>
  <c r="BF67" i="35"/>
  <c r="AW70" i="35"/>
  <c r="AY72" i="35"/>
  <c r="BB75" i="35"/>
  <c r="AS78" i="35"/>
  <c r="BE78" i="35"/>
  <c r="AT79" i="35"/>
  <c r="BF79" i="35"/>
  <c r="AW82" i="35"/>
  <c r="AY84" i="35"/>
  <c r="BB87" i="35"/>
  <c r="BC88" i="35"/>
  <c r="AX90" i="35"/>
  <c r="AU91" i="35"/>
  <c r="AY95" i="35"/>
  <c r="AS96" i="35"/>
  <c r="AT97" i="35"/>
  <c r="AT98" i="35"/>
  <c r="AX101" i="35"/>
  <c r="AV105" i="35"/>
  <c r="BG105" i="35"/>
  <c r="AU105" i="35"/>
  <c r="BF105" i="35"/>
  <c r="AT105" i="35"/>
  <c r="BE105" i="35"/>
  <c r="AS105" i="35"/>
  <c r="BD105" i="35"/>
  <c r="BC105" i="35"/>
  <c r="AY105" i="35"/>
  <c r="AZ109" i="35"/>
  <c r="AY109" i="35"/>
  <c r="AX109" i="35"/>
  <c r="AW109" i="35"/>
  <c r="AV109" i="35"/>
  <c r="BG109" i="35"/>
  <c r="AU109" i="35"/>
  <c r="BC109" i="35"/>
  <c r="BF137" i="35"/>
  <c r="BK138" i="35"/>
  <c r="W138" i="35"/>
  <c r="BG140" i="35"/>
  <c r="BF149" i="35"/>
  <c r="BK150" i="35"/>
  <c r="W150" i="35"/>
  <c r="AU31" i="35"/>
  <c r="BG31" i="35"/>
  <c r="W34" i="35"/>
  <c r="AX34" i="35"/>
  <c r="BA37" i="35"/>
  <c r="BB38" i="35"/>
  <c r="BC39" i="35"/>
  <c r="BD40" i="35"/>
  <c r="AT42" i="35"/>
  <c r="BF42" i="35"/>
  <c r="AU43" i="35"/>
  <c r="BG43" i="35"/>
  <c r="AV44" i="35"/>
  <c r="W46" i="35"/>
  <c r="AX46" i="35"/>
  <c r="AZ48" i="35"/>
  <c r="BA49" i="35"/>
  <c r="BB50" i="35"/>
  <c r="BC51" i="35"/>
  <c r="BD52" i="35"/>
  <c r="AT54" i="35"/>
  <c r="BF54" i="35"/>
  <c r="AU55" i="35"/>
  <c r="BG55" i="35"/>
  <c r="AV56" i="35"/>
  <c r="W58" i="35"/>
  <c r="AX58" i="35"/>
  <c r="AZ60" i="35"/>
  <c r="BB62" i="35"/>
  <c r="BC63" i="35"/>
  <c r="BD64" i="35"/>
  <c r="AT66" i="35"/>
  <c r="BF66" i="35"/>
  <c r="AU67" i="35"/>
  <c r="BG67" i="35"/>
  <c r="W70" i="35"/>
  <c r="AX70" i="35"/>
  <c r="AZ72" i="35"/>
  <c r="BB74" i="35"/>
  <c r="BC75" i="35"/>
  <c r="BD76" i="35"/>
  <c r="AT78" i="35"/>
  <c r="BF78" i="35"/>
  <c r="AU79" i="35"/>
  <c r="BG79" i="35"/>
  <c r="W82" i="35"/>
  <c r="AX82" i="35"/>
  <c r="AZ84" i="35"/>
  <c r="BB86" i="35"/>
  <c r="BC87" i="35"/>
  <c r="BD88" i="35"/>
  <c r="AV91" i="35"/>
  <c r="BA93" i="35"/>
  <c r="AY94" i="35"/>
  <c r="AZ95" i="35"/>
  <c r="AW96" i="35"/>
  <c r="AX97" i="35"/>
  <c r="AU98" i="35"/>
  <c r="BB101" i="35"/>
  <c r="BB106" i="35"/>
  <c r="BK112" i="35"/>
  <c r="W112" i="35"/>
  <c r="AT121" i="35"/>
  <c r="AM127" i="35"/>
  <c r="BG128" i="35"/>
  <c r="AS40" i="35"/>
  <c r="AU42" i="35"/>
  <c r="AS52" i="35"/>
  <c r="AU54" i="35"/>
  <c r="AS64" i="35"/>
  <c r="AT65" i="35"/>
  <c r="AU66" i="35"/>
  <c r="AS76" i="35"/>
  <c r="AT77" i="35"/>
  <c r="AU78" i="35"/>
  <c r="AS88" i="35"/>
  <c r="AT89" i="35"/>
  <c r="AM90" i="35"/>
  <c r="AW91" i="35"/>
  <c r="BB93" i="35"/>
  <c r="AZ94" i="35"/>
  <c r="BA95" i="35"/>
  <c r="AZ96" i="35"/>
  <c r="BA97" i="35"/>
  <c r="AY98" i="35"/>
  <c r="W101" i="35"/>
  <c r="BE101" i="35"/>
  <c r="BC106" i="35"/>
  <c r="AS110" i="35"/>
  <c r="AW117" i="35"/>
  <c r="AX119" i="35"/>
  <c r="AW119" i="35"/>
  <c r="AV119" i="35"/>
  <c r="BG119" i="35"/>
  <c r="AU119" i="35"/>
  <c r="BF119" i="35"/>
  <c r="AT119" i="35"/>
  <c r="BE119" i="35"/>
  <c r="AS119" i="35"/>
  <c r="BA119" i="35"/>
  <c r="BA121" i="35"/>
  <c r="AX131" i="35"/>
  <c r="AW131" i="35"/>
  <c r="AV131" i="35"/>
  <c r="BG131" i="35"/>
  <c r="AU131" i="35"/>
  <c r="BF131" i="35"/>
  <c r="AT131" i="35"/>
  <c r="BE131" i="35"/>
  <c r="AS131" i="35"/>
  <c r="BD131" i="35"/>
  <c r="BC131" i="35"/>
  <c r="BA131" i="35"/>
  <c r="AY131" i="35"/>
  <c r="AX143" i="35"/>
  <c r="AW143" i="35"/>
  <c r="AV143" i="35"/>
  <c r="BG143" i="35"/>
  <c r="AU143" i="35"/>
  <c r="BF143" i="35"/>
  <c r="AT143" i="35"/>
  <c r="BE143" i="35"/>
  <c r="AS143" i="35"/>
  <c r="BD143" i="35"/>
  <c r="BC143" i="35"/>
  <c r="BA143" i="35"/>
  <c r="AY143" i="35"/>
  <c r="BK235" i="35"/>
  <c r="W235" i="35"/>
  <c r="AW129" i="35"/>
  <c r="BB134" i="35"/>
  <c r="AW141" i="35"/>
  <c r="BB146" i="35"/>
  <c r="AZ169" i="35"/>
  <c r="AY169" i="35"/>
  <c r="AX169" i="35"/>
  <c r="AW169" i="35"/>
  <c r="AV169" i="35"/>
  <c r="BG169" i="35"/>
  <c r="AU169" i="35"/>
  <c r="BE169" i="35"/>
  <c r="AS169" i="35"/>
  <c r="BD169" i="35"/>
  <c r="AZ205" i="35"/>
  <c r="AY205" i="35"/>
  <c r="AX205" i="35"/>
  <c r="AW205" i="35"/>
  <c r="AV205" i="35"/>
  <c r="BG205" i="35"/>
  <c r="AU205" i="35"/>
  <c r="BF205" i="35"/>
  <c r="AT205" i="35"/>
  <c r="BE205" i="35"/>
  <c r="AS205" i="35"/>
  <c r="BD205" i="35"/>
  <c r="BA205" i="35"/>
  <c r="AM243" i="35"/>
  <c r="BB108" i="35"/>
  <c r="AU113" i="35"/>
  <c r="BG113" i="35"/>
  <c r="BB120" i="35"/>
  <c r="AU125" i="35"/>
  <c r="BG125" i="35"/>
  <c r="AY129" i="35"/>
  <c r="AZ130" i="35"/>
  <c r="BB132" i="35"/>
  <c r="BD134" i="35"/>
  <c r="AU137" i="35"/>
  <c r="BG137" i="35"/>
  <c r="AY141" i="35"/>
  <c r="AZ142" i="35"/>
  <c r="BB144" i="35"/>
  <c r="BD146" i="35"/>
  <c r="AU149" i="35"/>
  <c r="BG149" i="35"/>
  <c r="AX152" i="35"/>
  <c r="BK159" i="35"/>
  <c r="W159" i="35"/>
  <c r="BK172" i="35"/>
  <c r="W172" i="35"/>
  <c r="BK223" i="35"/>
  <c r="W223" i="35"/>
  <c r="AY228" i="35"/>
  <c r="AX228" i="35"/>
  <c r="AW228" i="35"/>
  <c r="AV228" i="35"/>
  <c r="BG228" i="35"/>
  <c r="AU228" i="35"/>
  <c r="BF228" i="35"/>
  <c r="AT228" i="35"/>
  <c r="BE228" i="35"/>
  <c r="AS228" i="35"/>
  <c r="BD228" i="35"/>
  <c r="BC228" i="35"/>
  <c r="AZ228" i="35"/>
  <c r="BA129" i="35"/>
  <c r="BB130" i="35"/>
  <c r="AT134" i="35"/>
  <c r="BF134" i="35"/>
  <c r="BA141" i="35"/>
  <c r="BB142" i="35"/>
  <c r="AT146" i="35"/>
  <c r="BF146" i="35"/>
  <c r="BA158" i="35"/>
  <c r="AZ158" i="35"/>
  <c r="AY158" i="35"/>
  <c r="AX158" i="35"/>
  <c r="AW158" i="35"/>
  <c r="BF158" i="35"/>
  <c r="AT158" i="35"/>
  <c r="AM164" i="35"/>
  <c r="AV165" i="35"/>
  <c r="BG165" i="35"/>
  <c r="AU165" i="35"/>
  <c r="BF165" i="35"/>
  <c r="AT165" i="35"/>
  <c r="BE165" i="35"/>
  <c r="AS165" i="35"/>
  <c r="BD165" i="35"/>
  <c r="BC165" i="35"/>
  <c r="BA165" i="35"/>
  <c r="AZ165" i="35"/>
  <c r="BA169" i="35"/>
  <c r="AZ181" i="35"/>
  <c r="AY181" i="35"/>
  <c r="AX181" i="35"/>
  <c r="AW181" i="35"/>
  <c r="AV181" i="35"/>
  <c r="BG181" i="35"/>
  <c r="AU181" i="35"/>
  <c r="BF181" i="35"/>
  <c r="AT181" i="35"/>
  <c r="BE181" i="35"/>
  <c r="AS181" i="35"/>
  <c r="BD181" i="35"/>
  <c r="AM189" i="35"/>
  <c r="BB129" i="35"/>
  <c r="BB141" i="35"/>
  <c r="BE155" i="35"/>
  <c r="AY168" i="35"/>
  <c r="AX168" i="35"/>
  <c r="AW168" i="35"/>
  <c r="AV168" i="35"/>
  <c r="BG168" i="35"/>
  <c r="AU168" i="35"/>
  <c r="BF168" i="35"/>
  <c r="AT168" i="35"/>
  <c r="BD168" i="35"/>
  <c r="BC168" i="35"/>
  <c r="AY216" i="35"/>
  <c r="AX216" i="35"/>
  <c r="AW216" i="35"/>
  <c r="AV216" i="35"/>
  <c r="BG216" i="35"/>
  <c r="AU216" i="35"/>
  <c r="BF216" i="35"/>
  <c r="AT216" i="35"/>
  <c r="BE216" i="35"/>
  <c r="AS216" i="35"/>
  <c r="BD216" i="35"/>
  <c r="BC216" i="35"/>
  <c r="AZ216" i="35"/>
  <c r="AZ90" i="35"/>
  <c r="BB92" i="35"/>
  <c r="AW99" i="35"/>
  <c r="AX100" i="35"/>
  <c r="AZ102" i="35"/>
  <c r="BA103" i="35"/>
  <c r="BB104" i="35"/>
  <c r="AT108" i="35"/>
  <c r="BF108" i="35"/>
  <c r="AW111" i="35"/>
  <c r="AX112" i="35"/>
  <c r="AY113" i="35"/>
  <c r="AZ114" i="35"/>
  <c r="BA115" i="35"/>
  <c r="BB116" i="35"/>
  <c r="AT120" i="35"/>
  <c r="BF120" i="35"/>
  <c r="AY125" i="35"/>
  <c r="AM126" i="35"/>
  <c r="BA127" i="35"/>
  <c r="BB128" i="35"/>
  <c r="BC129" i="35"/>
  <c r="BD130" i="35"/>
  <c r="AT132" i="35"/>
  <c r="BF132" i="35"/>
  <c r="AV134" i="35"/>
  <c r="W136" i="35"/>
  <c r="AX136" i="35"/>
  <c r="AY137" i="35"/>
  <c r="AM138" i="35"/>
  <c r="BA139" i="35"/>
  <c r="BB140" i="35"/>
  <c r="BC141" i="35"/>
  <c r="BD142" i="35"/>
  <c r="AT144" i="35"/>
  <c r="BF144" i="35"/>
  <c r="AV146" i="35"/>
  <c r="W148" i="35"/>
  <c r="AX148" i="35"/>
  <c r="AY149" i="35"/>
  <c r="AM150" i="35"/>
  <c r="BD154" i="35"/>
  <c r="AZ157" i="35"/>
  <c r="AY157" i="35"/>
  <c r="AX157" i="35"/>
  <c r="AW157" i="35"/>
  <c r="AV157" i="35"/>
  <c r="BE157" i="35"/>
  <c r="AS157" i="35"/>
  <c r="W164" i="35"/>
  <c r="BC169" i="35"/>
  <c r="AM177" i="35"/>
  <c r="BK177" i="35"/>
  <c r="BB228" i="35"/>
  <c r="AZ229" i="35"/>
  <c r="AY229" i="35"/>
  <c r="AX229" i="35"/>
  <c r="AW229" i="35"/>
  <c r="AV229" i="35"/>
  <c r="BG229" i="35"/>
  <c r="AU229" i="35"/>
  <c r="BF229" i="35"/>
  <c r="AT229" i="35"/>
  <c r="BE229" i="35"/>
  <c r="AS229" i="35"/>
  <c r="BD229" i="35"/>
  <c r="BA229" i="35"/>
  <c r="AM237" i="35"/>
  <c r="BE282" i="35"/>
  <c r="AS282" i="35"/>
  <c r="BD282" i="35"/>
  <c r="BC282" i="35"/>
  <c r="BB282" i="35"/>
  <c r="BA282" i="35"/>
  <c r="AZ282" i="35"/>
  <c r="AY282" i="35"/>
  <c r="AX282" i="35"/>
  <c r="AW282" i="35"/>
  <c r="AV282" i="35"/>
  <c r="BF282" i="35"/>
  <c r="AT282" i="35"/>
  <c r="BG282" i="35"/>
  <c r="AU282" i="35"/>
  <c r="BB103" i="35"/>
  <c r="AU108" i="35"/>
  <c r="BG108" i="35"/>
  <c r="AZ113" i="35"/>
  <c r="BB115" i="35"/>
  <c r="AU120" i="35"/>
  <c r="BG120" i="35"/>
  <c r="AZ125" i="35"/>
  <c r="BB127" i="35"/>
  <c r="BD129" i="35"/>
  <c r="AS130" i="35"/>
  <c r="BE130" i="35"/>
  <c r="AU132" i="35"/>
  <c r="BG132" i="35"/>
  <c r="AW134" i="35"/>
  <c r="AZ137" i="35"/>
  <c r="BB139" i="35"/>
  <c r="BD141" i="35"/>
  <c r="AS142" i="35"/>
  <c r="BE142" i="35"/>
  <c r="AU144" i="35"/>
  <c r="BG144" i="35"/>
  <c r="AW146" i="35"/>
  <c r="AZ149" i="35"/>
  <c r="BF151" i="35"/>
  <c r="AS158" i="35"/>
  <c r="BK162" i="35"/>
  <c r="AW165" i="35"/>
  <c r="BF169" i="35"/>
  <c r="BA170" i="35"/>
  <c r="AZ170" i="35"/>
  <c r="AY170" i="35"/>
  <c r="AX170" i="35"/>
  <c r="AW170" i="35"/>
  <c r="AV170" i="35"/>
  <c r="BF170" i="35"/>
  <c r="AT170" i="35"/>
  <c r="BE170" i="35"/>
  <c r="AS170" i="35"/>
  <c r="BA181" i="35"/>
  <c r="AY192" i="35"/>
  <c r="AX192" i="35"/>
  <c r="AW192" i="35"/>
  <c r="AV192" i="35"/>
  <c r="BG192" i="35"/>
  <c r="AU192" i="35"/>
  <c r="BF192" i="35"/>
  <c r="AT192" i="35"/>
  <c r="BE192" i="35"/>
  <c r="AS192" i="35"/>
  <c r="BD192" i="35"/>
  <c r="BC192" i="35"/>
  <c r="AZ192" i="35"/>
  <c r="BK211" i="35"/>
  <c r="W211" i="35"/>
  <c r="BB90" i="35"/>
  <c r="BD92" i="35"/>
  <c r="AY99" i="35"/>
  <c r="AZ100" i="35"/>
  <c r="BB102" i="35"/>
  <c r="BC103" i="35"/>
  <c r="BD104" i="35"/>
  <c r="AV108" i="35"/>
  <c r="AY111" i="35"/>
  <c r="AZ112" i="35"/>
  <c r="BA113" i="35"/>
  <c r="BB114" i="35"/>
  <c r="BC115" i="35"/>
  <c r="BD116" i="35"/>
  <c r="AV120" i="35"/>
  <c r="AY123" i="35"/>
  <c r="AZ124" i="35"/>
  <c r="BA125" i="35"/>
  <c r="BB126" i="35"/>
  <c r="BC127" i="35"/>
  <c r="BD128" i="35"/>
  <c r="AS129" i="35"/>
  <c r="BE129" i="35"/>
  <c r="AT130" i="35"/>
  <c r="BF130" i="35"/>
  <c r="AV132" i="35"/>
  <c r="AX134" i="35"/>
  <c r="AY135" i="35"/>
  <c r="AZ136" i="35"/>
  <c r="BA137" i="35"/>
  <c r="BB138" i="35"/>
  <c r="BC139" i="35"/>
  <c r="BD140" i="35"/>
  <c r="AS141" i="35"/>
  <c r="BE141" i="35"/>
  <c r="AT142" i="35"/>
  <c r="BF142" i="35"/>
  <c r="AV144" i="35"/>
  <c r="AX146" i="35"/>
  <c r="AY147" i="35"/>
  <c r="AZ148" i="35"/>
  <c r="BA149" i="35"/>
  <c r="BB150" i="35"/>
  <c r="W153" i="35"/>
  <c r="AX155" i="35"/>
  <c r="AW155" i="35"/>
  <c r="AV155" i="35"/>
  <c r="BG155" i="35"/>
  <c r="AU155" i="35"/>
  <c r="BF155" i="35"/>
  <c r="AT155" i="35"/>
  <c r="BC155" i="35"/>
  <c r="AY156" i="35"/>
  <c r="AX156" i="35"/>
  <c r="AW156" i="35"/>
  <c r="AV156" i="35"/>
  <c r="BG156" i="35"/>
  <c r="AU156" i="35"/>
  <c r="BD156" i="35"/>
  <c r="AU158" i="35"/>
  <c r="AX165" i="35"/>
  <c r="AS168" i="35"/>
  <c r="BB181" i="35"/>
  <c r="BA182" i="35"/>
  <c r="AZ182" i="35"/>
  <c r="AY182" i="35"/>
  <c r="AX182" i="35"/>
  <c r="AW182" i="35"/>
  <c r="AV182" i="35"/>
  <c r="BG182" i="35"/>
  <c r="AU182" i="35"/>
  <c r="BF182" i="35"/>
  <c r="AT182" i="35"/>
  <c r="BE182" i="35"/>
  <c r="AS182" i="35"/>
  <c r="BK187" i="35"/>
  <c r="W187" i="35"/>
  <c r="W212" i="35"/>
  <c r="BA216" i="35"/>
  <c r="AZ217" i="35"/>
  <c r="AY217" i="35"/>
  <c r="AX217" i="35"/>
  <c r="AW217" i="35"/>
  <c r="AV217" i="35"/>
  <c r="BG217" i="35"/>
  <c r="AU217" i="35"/>
  <c r="BF217" i="35"/>
  <c r="AT217" i="35"/>
  <c r="BE217" i="35"/>
  <c r="AS217" i="35"/>
  <c r="BD217" i="35"/>
  <c r="BA217" i="35"/>
  <c r="BB113" i="35"/>
  <c r="BB125" i="35"/>
  <c r="AT129" i="35"/>
  <c r="BF129" i="35"/>
  <c r="AU130" i="35"/>
  <c r="BG130" i="35"/>
  <c r="AY134" i="35"/>
  <c r="BB137" i="35"/>
  <c r="AT141" i="35"/>
  <c r="BF141" i="35"/>
  <c r="AU142" i="35"/>
  <c r="BG142" i="35"/>
  <c r="AY146" i="35"/>
  <c r="BB149" i="35"/>
  <c r="BG152" i="35"/>
  <c r="AU152" i="35"/>
  <c r="BF152" i="35"/>
  <c r="AT152" i="35"/>
  <c r="BE152" i="35"/>
  <c r="AS152" i="35"/>
  <c r="BD152" i="35"/>
  <c r="BC152" i="35"/>
  <c r="AV158" i="35"/>
  <c r="AY165" i="35"/>
  <c r="AZ168" i="35"/>
  <c r="AV177" i="35"/>
  <c r="BG177" i="35"/>
  <c r="AU177" i="35"/>
  <c r="BF177" i="35"/>
  <c r="AT177" i="35"/>
  <c r="BE177" i="35"/>
  <c r="AS177" i="35"/>
  <c r="BD177" i="35"/>
  <c r="BC177" i="35"/>
  <c r="BA177" i="35"/>
  <c r="AZ177" i="35"/>
  <c r="BC181" i="35"/>
  <c r="AY204" i="35"/>
  <c r="AX204" i="35"/>
  <c r="AW204" i="35"/>
  <c r="AV204" i="35"/>
  <c r="BG204" i="35"/>
  <c r="AU204" i="35"/>
  <c r="BF204" i="35"/>
  <c r="AT204" i="35"/>
  <c r="BE204" i="35"/>
  <c r="AS204" i="35"/>
  <c r="BD204" i="35"/>
  <c r="BC204" i="35"/>
  <c r="AZ204" i="35"/>
  <c r="BB216" i="35"/>
  <c r="BD90" i="35"/>
  <c r="AT92" i="35"/>
  <c r="BF92" i="35"/>
  <c r="BA99" i="35"/>
  <c r="BB100" i="35"/>
  <c r="BD102" i="35"/>
  <c r="AS103" i="35"/>
  <c r="BE103" i="35"/>
  <c r="AT104" i="35"/>
  <c r="BF104" i="35"/>
  <c r="W108" i="35"/>
  <c r="AX108" i="35"/>
  <c r="BA111" i="35"/>
  <c r="BB112" i="35"/>
  <c r="BC113" i="35"/>
  <c r="BD114" i="35"/>
  <c r="AS115" i="35"/>
  <c r="BE115" i="35"/>
  <c r="AT116" i="35"/>
  <c r="BF116" i="35"/>
  <c r="W120" i="35"/>
  <c r="AX120" i="35"/>
  <c r="BB124" i="35"/>
  <c r="BC125" i="35"/>
  <c r="AS127" i="35"/>
  <c r="BE127" i="35"/>
  <c r="AT128" i="35"/>
  <c r="BF128" i="35"/>
  <c r="AU129" i="35"/>
  <c r="BG129" i="35"/>
  <c r="AV130" i="35"/>
  <c r="W132" i="35"/>
  <c r="AX132" i="35"/>
  <c r="AZ134" i="35"/>
  <c r="BB136" i="35"/>
  <c r="BC137" i="35"/>
  <c r="AS139" i="35"/>
  <c r="BE139" i="35"/>
  <c r="AU141" i="35"/>
  <c r="BG141" i="35"/>
  <c r="AV142" i="35"/>
  <c r="W144" i="35"/>
  <c r="AX144" i="35"/>
  <c r="AZ146" i="35"/>
  <c r="BB148" i="35"/>
  <c r="BC149" i="35"/>
  <c r="AV153" i="35"/>
  <c r="BG153" i="35"/>
  <c r="AU153" i="35"/>
  <c r="BF153" i="35"/>
  <c r="AT153" i="35"/>
  <c r="BE153" i="35"/>
  <c r="AS153" i="35"/>
  <c r="BD153" i="35"/>
  <c r="BB158" i="35"/>
  <c r="BB165" i="35"/>
  <c r="BA168" i="35"/>
  <c r="AU170" i="35"/>
  <c r="BK175" i="35"/>
  <c r="W175" i="35"/>
  <c r="BA192" i="35"/>
  <c r="BC229" i="35"/>
  <c r="AS90" i="35"/>
  <c r="AU92" i="35"/>
  <c r="AS102" i="35"/>
  <c r="AT103" i="35"/>
  <c r="AU104" i="35"/>
  <c r="AS114" i="35"/>
  <c r="AT115" i="35"/>
  <c r="AU116" i="35"/>
  <c r="AS126" i="35"/>
  <c r="AT127" i="35"/>
  <c r="AU128" i="35"/>
  <c r="AS138" i="35"/>
  <c r="AT139" i="35"/>
  <c r="AU140" i="35"/>
  <c r="AS150" i="35"/>
  <c r="AS155" i="35"/>
  <c r="AS156" i="35"/>
  <c r="BA157" i="35"/>
  <c r="BC158" i="35"/>
  <c r="BB168" i="35"/>
  <c r="BB170" i="35"/>
  <c r="W176" i="35"/>
  <c r="AY180" i="35"/>
  <c r="AX180" i="35"/>
  <c r="AW180" i="35"/>
  <c r="AV180" i="35"/>
  <c r="BG180" i="35"/>
  <c r="AU180" i="35"/>
  <c r="BF180" i="35"/>
  <c r="AT180" i="35"/>
  <c r="BE180" i="35"/>
  <c r="BD180" i="35"/>
  <c r="BC180" i="35"/>
  <c r="BB192" i="35"/>
  <c r="AZ193" i="35"/>
  <c r="AY193" i="35"/>
  <c r="AX193" i="35"/>
  <c r="AW193" i="35"/>
  <c r="AV193" i="35"/>
  <c r="BG193" i="35"/>
  <c r="AU193" i="35"/>
  <c r="BF193" i="35"/>
  <c r="AT193" i="35"/>
  <c r="BE193" i="35"/>
  <c r="AS193" i="35"/>
  <c r="BD193" i="35"/>
  <c r="BA193" i="35"/>
  <c r="BK199" i="35"/>
  <c r="W199" i="35"/>
  <c r="AM225" i="35"/>
  <c r="W245" i="35"/>
  <c r="BB194" i="35"/>
  <c r="BB206" i="35"/>
  <c r="BB218" i="35"/>
  <c r="BB230" i="35"/>
  <c r="BA237" i="35"/>
  <c r="AY240" i="35"/>
  <c r="AX240" i="35"/>
  <c r="AW240" i="35"/>
  <c r="BG240" i="35"/>
  <c r="AU240" i="35"/>
  <c r="AZ240" i="35"/>
  <c r="BK256" i="35"/>
  <c r="W256" i="35"/>
  <c r="BF300" i="35"/>
  <c r="AT300" i="35"/>
  <c r="BD300" i="35"/>
  <c r="BC300" i="35"/>
  <c r="BA300" i="35"/>
  <c r="AZ300" i="35"/>
  <c r="BE300" i="35"/>
  <c r="BB300" i="35"/>
  <c r="AY300" i="35"/>
  <c r="AX300" i="35"/>
  <c r="AW300" i="35"/>
  <c r="AV300" i="35"/>
  <c r="AU300" i="35"/>
  <c r="AS300" i="35"/>
  <c r="BG300" i="35"/>
  <c r="BB167" i="35"/>
  <c r="BB179" i="35"/>
  <c r="AZ189" i="35"/>
  <c r="BB191" i="35"/>
  <c r="AS194" i="35"/>
  <c r="BE194" i="35"/>
  <c r="AZ201" i="35"/>
  <c r="BB203" i="35"/>
  <c r="AS206" i="35"/>
  <c r="BE206" i="35"/>
  <c r="AZ213" i="35"/>
  <c r="BB215" i="35"/>
  <c r="AS218" i="35"/>
  <c r="BE218" i="35"/>
  <c r="AZ225" i="35"/>
  <c r="BB227" i="35"/>
  <c r="AS230" i="35"/>
  <c r="BE230" i="35"/>
  <c r="BD237" i="35"/>
  <c r="AS240" i="35"/>
  <c r="BK301" i="35"/>
  <c r="W301" i="35"/>
  <c r="BB154" i="35"/>
  <c r="AZ164" i="35"/>
  <c r="BB166" i="35"/>
  <c r="BC167" i="35"/>
  <c r="AZ176" i="35"/>
  <c r="BB178" i="35"/>
  <c r="BC179" i="35"/>
  <c r="AZ188" i="35"/>
  <c r="BA189" i="35"/>
  <c r="BB190" i="35"/>
  <c r="BC191" i="35"/>
  <c r="AT194" i="35"/>
  <c r="BF194" i="35"/>
  <c r="AZ200" i="35"/>
  <c r="BA201" i="35"/>
  <c r="BB202" i="35"/>
  <c r="BC203" i="35"/>
  <c r="AT206" i="35"/>
  <c r="BF206" i="35"/>
  <c r="AZ212" i="35"/>
  <c r="BA213" i="35"/>
  <c r="BB214" i="35"/>
  <c r="BC215" i="35"/>
  <c r="AT218" i="35"/>
  <c r="BF218" i="35"/>
  <c r="AX222" i="35"/>
  <c r="AZ224" i="35"/>
  <c r="BA225" i="35"/>
  <c r="BB226" i="35"/>
  <c r="BC227" i="35"/>
  <c r="AT230" i="35"/>
  <c r="BF230" i="35"/>
  <c r="BG236" i="35"/>
  <c r="AU236" i="35"/>
  <c r="BF236" i="35"/>
  <c r="AT236" i="35"/>
  <c r="BE236" i="35"/>
  <c r="AS236" i="35"/>
  <c r="AV236" i="35"/>
  <c r="AT240" i="35"/>
  <c r="AW250" i="35"/>
  <c r="AV250" i="35"/>
  <c r="BG250" i="35"/>
  <c r="AU250" i="35"/>
  <c r="BE250" i="35"/>
  <c r="AS250" i="35"/>
  <c r="BD250" i="35"/>
  <c r="BA250" i="35"/>
  <c r="AZ250" i="35"/>
  <c r="AX250" i="35"/>
  <c r="AM255" i="35"/>
  <c r="BB189" i="35"/>
  <c r="AU194" i="35"/>
  <c r="BG194" i="35"/>
  <c r="BB201" i="35"/>
  <c r="AU206" i="35"/>
  <c r="BG206" i="35"/>
  <c r="BB213" i="35"/>
  <c r="AU218" i="35"/>
  <c r="BG218" i="35"/>
  <c r="BB225" i="35"/>
  <c r="AU230" i="35"/>
  <c r="BG230" i="35"/>
  <c r="AV237" i="35"/>
  <c r="BG237" i="35"/>
  <c r="AU237" i="35"/>
  <c r="BF237" i="35"/>
  <c r="AT237" i="35"/>
  <c r="AW237" i="35"/>
  <c r="BK265" i="35"/>
  <c r="W265" i="35"/>
  <c r="BE270" i="35"/>
  <c r="AS270" i="35"/>
  <c r="BD270" i="35"/>
  <c r="BC270" i="35"/>
  <c r="BA270" i="35"/>
  <c r="AZ270" i="35"/>
  <c r="AY270" i="35"/>
  <c r="AX270" i="35"/>
  <c r="AW270" i="35"/>
  <c r="AV270" i="35"/>
  <c r="BF270" i="35"/>
  <c r="AT270" i="35"/>
  <c r="BK277" i="35"/>
  <c r="W277" i="35"/>
  <c r="BB164" i="35"/>
  <c r="AS167" i="35"/>
  <c r="BE167" i="35"/>
  <c r="BB176" i="35"/>
  <c r="AS179" i="35"/>
  <c r="BE179" i="35"/>
  <c r="W184" i="35"/>
  <c r="BB188" i="35"/>
  <c r="BC189" i="35"/>
  <c r="AS191" i="35"/>
  <c r="BE191" i="35"/>
  <c r="AV194" i="35"/>
  <c r="W196" i="35"/>
  <c r="BB200" i="35"/>
  <c r="BC201" i="35"/>
  <c r="AS203" i="35"/>
  <c r="BE203" i="35"/>
  <c r="AV206" i="35"/>
  <c r="W208" i="35"/>
  <c r="BB212" i="35"/>
  <c r="BC213" i="35"/>
  <c r="AS215" i="35"/>
  <c r="BE215" i="35"/>
  <c r="AV218" i="35"/>
  <c r="W220" i="35"/>
  <c r="BB224" i="35"/>
  <c r="BC225" i="35"/>
  <c r="AS227" i="35"/>
  <c r="BE227" i="35"/>
  <c r="AV230" i="35"/>
  <c r="W232" i="35"/>
  <c r="BA240" i="35"/>
  <c r="AZ277" i="35"/>
  <c r="AY277" i="35"/>
  <c r="AX277" i="35"/>
  <c r="AV277" i="35"/>
  <c r="BG277" i="35"/>
  <c r="AU277" i="35"/>
  <c r="BF277" i="35"/>
  <c r="AT277" i="35"/>
  <c r="BE277" i="35"/>
  <c r="AS277" i="35"/>
  <c r="BD277" i="35"/>
  <c r="BC277" i="35"/>
  <c r="BA277" i="35"/>
  <c r="BK284" i="35"/>
  <c r="W284" i="35"/>
  <c r="BB151" i="35"/>
  <c r="AS154" i="35"/>
  <c r="BE154" i="35"/>
  <c r="AX159" i="35"/>
  <c r="AY160" i="35"/>
  <c r="AZ161" i="35"/>
  <c r="BA162" i="35"/>
  <c r="BB163" i="35"/>
  <c r="BC164" i="35"/>
  <c r="AS166" i="35"/>
  <c r="BE166" i="35"/>
  <c r="AT167" i="35"/>
  <c r="BF167" i="35"/>
  <c r="W171" i="35"/>
  <c r="AX171" i="35"/>
  <c r="AY172" i="35"/>
  <c r="AZ173" i="35"/>
  <c r="BA174" i="35"/>
  <c r="BB175" i="35"/>
  <c r="BC176" i="35"/>
  <c r="AS178" i="35"/>
  <c r="BE178" i="35"/>
  <c r="AT179" i="35"/>
  <c r="BF179" i="35"/>
  <c r="W183" i="35"/>
  <c r="AX183" i="35"/>
  <c r="AY184" i="35"/>
  <c r="AZ185" i="35"/>
  <c r="BA186" i="35"/>
  <c r="BB187" i="35"/>
  <c r="BC188" i="35"/>
  <c r="BD189" i="35"/>
  <c r="AS190" i="35"/>
  <c r="BE190" i="35"/>
  <c r="AT191" i="35"/>
  <c r="BF191" i="35"/>
  <c r="AW194" i="35"/>
  <c r="W195" i="35"/>
  <c r="AX195" i="35"/>
  <c r="AY196" i="35"/>
  <c r="AZ197" i="35"/>
  <c r="BA198" i="35"/>
  <c r="BB199" i="35"/>
  <c r="BC200" i="35"/>
  <c r="BD201" i="35"/>
  <c r="AS202" i="35"/>
  <c r="BE202" i="35"/>
  <c r="AT203" i="35"/>
  <c r="BF203" i="35"/>
  <c r="AW206" i="35"/>
  <c r="W207" i="35"/>
  <c r="BB211" i="35"/>
  <c r="BC212" i="35"/>
  <c r="BD213" i="35"/>
  <c r="AS214" i="35"/>
  <c r="BE214" i="35"/>
  <c r="AT215" i="35"/>
  <c r="BF215" i="35"/>
  <c r="AW218" i="35"/>
  <c r="W219" i="35"/>
  <c r="BB223" i="35"/>
  <c r="BC224" i="35"/>
  <c r="BD225" i="35"/>
  <c r="AS226" i="35"/>
  <c r="BE226" i="35"/>
  <c r="AT227" i="35"/>
  <c r="BF227" i="35"/>
  <c r="AW230" i="35"/>
  <c r="W231" i="35"/>
  <c r="BA234" i="35"/>
  <c r="BB235" i="35"/>
  <c r="AW236" i="35"/>
  <c r="AW238" i="35"/>
  <c r="AV238" i="35"/>
  <c r="BG238" i="35"/>
  <c r="AU238" i="35"/>
  <c r="AX238" i="35"/>
  <c r="BF238" i="35"/>
  <c r="BB240" i="35"/>
  <c r="BK244" i="35"/>
  <c r="W244" i="35"/>
  <c r="W246" i="35"/>
  <c r="BK248" i="35"/>
  <c r="AV249" i="35"/>
  <c r="BG249" i="35"/>
  <c r="AU249" i="35"/>
  <c r="BF249" i="35"/>
  <c r="AT249" i="35"/>
  <c r="BD249" i="35"/>
  <c r="BC249" i="35"/>
  <c r="AZ249" i="35"/>
  <c r="AY249" i="35"/>
  <c r="AW249" i="35"/>
  <c r="AT250" i="35"/>
  <c r="BK253" i="35"/>
  <c r="W253" i="35"/>
  <c r="BK260" i="35"/>
  <c r="W260" i="35"/>
  <c r="AV261" i="35"/>
  <c r="BG261" i="35"/>
  <c r="AU261" i="35"/>
  <c r="BF261" i="35"/>
  <c r="AT261" i="35"/>
  <c r="BD261" i="35"/>
  <c r="BC261" i="35"/>
  <c r="BA261" i="35"/>
  <c r="AZ261" i="35"/>
  <c r="AY261" i="35"/>
  <c r="AW261" i="35"/>
  <c r="AZ265" i="35"/>
  <c r="AY265" i="35"/>
  <c r="AX265" i="35"/>
  <c r="AV265" i="35"/>
  <c r="BG265" i="35"/>
  <c r="AU265" i="35"/>
  <c r="BE265" i="35"/>
  <c r="AS265" i="35"/>
  <c r="BD265" i="35"/>
  <c r="BC265" i="35"/>
  <c r="BA265" i="35"/>
  <c r="AM279" i="35"/>
  <c r="BC151" i="35"/>
  <c r="AT154" i="35"/>
  <c r="BF154" i="35"/>
  <c r="W158" i="35"/>
  <c r="AY159" i="35"/>
  <c r="AZ160" i="35"/>
  <c r="BA161" i="35"/>
  <c r="BB162" i="35"/>
  <c r="BC163" i="35"/>
  <c r="BD164" i="35"/>
  <c r="AT166" i="35"/>
  <c r="BF166" i="35"/>
  <c r="AU167" i="35"/>
  <c r="BG167" i="35"/>
  <c r="W170" i="35"/>
  <c r="AY171" i="35"/>
  <c r="AZ172" i="35"/>
  <c r="BA173" i="35"/>
  <c r="BB174" i="35"/>
  <c r="BC175" i="35"/>
  <c r="BD176" i="35"/>
  <c r="AT178" i="35"/>
  <c r="BF178" i="35"/>
  <c r="AU179" i="35"/>
  <c r="BG179" i="35"/>
  <c r="W182" i="35"/>
  <c r="AY183" i="35"/>
  <c r="AZ184" i="35"/>
  <c r="BA185" i="35"/>
  <c r="BB186" i="35"/>
  <c r="BC187" i="35"/>
  <c r="BD188" i="35"/>
  <c r="AS189" i="35"/>
  <c r="BE189" i="35"/>
  <c r="AT190" i="35"/>
  <c r="BF190" i="35"/>
  <c r="AU191" i="35"/>
  <c r="BG191" i="35"/>
  <c r="W194" i="35"/>
  <c r="AX194" i="35"/>
  <c r="AY195" i="35"/>
  <c r="AZ196" i="35"/>
  <c r="BA197" i="35"/>
  <c r="BB198" i="35"/>
  <c r="BC199" i="35"/>
  <c r="BD200" i="35"/>
  <c r="AS201" i="35"/>
  <c r="BE201" i="35"/>
  <c r="AT202" i="35"/>
  <c r="BF202" i="35"/>
  <c r="AU203" i="35"/>
  <c r="BG203" i="35"/>
  <c r="W206" i="35"/>
  <c r="AX206" i="35"/>
  <c r="BB210" i="35"/>
  <c r="BC211" i="35"/>
  <c r="BD212" i="35"/>
  <c r="AS213" i="35"/>
  <c r="BE213" i="35"/>
  <c r="AT214" i="35"/>
  <c r="BF214" i="35"/>
  <c r="AU215" i="35"/>
  <c r="BG215" i="35"/>
  <c r="W218" i="35"/>
  <c r="AX218" i="35"/>
  <c r="BB222" i="35"/>
  <c r="BD224" i="35"/>
  <c r="AS225" i="35"/>
  <c r="BE225" i="35"/>
  <c r="AT226" i="35"/>
  <c r="BF226" i="35"/>
  <c r="AU227" i="35"/>
  <c r="BG227" i="35"/>
  <c r="AX230" i="35"/>
  <c r="BB234" i="35"/>
  <c r="AX236" i="35"/>
  <c r="AS237" i="35"/>
  <c r="BC240" i="35"/>
  <c r="BE246" i="35"/>
  <c r="AS246" i="35"/>
  <c r="BD246" i="35"/>
  <c r="BC246" i="35"/>
  <c r="BA246" i="35"/>
  <c r="AZ246" i="35"/>
  <c r="BF246" i="35"/>
  <c r="AT246" i="35"/>
  <c r="AY250" i="35"/>
  <c r="AU270" i="35"/>
  <c r="BD151" i="35"/>
  <c r="AU154" i="35"/>
  <c r="BG154" i="35"/>
  <c r="W157" i="35"/>
  <c r="AZ159" i="35"/>
  <c r="BA160" i="35"/>
  <c r="BB161" i="35"/>
  <c r="BC162" i="35"/>
  <c r="BD163" i="35"/>
  <c r="AS164" i="35"/>
  <c r="BE164" i="35"/>
  <c r="AU166" i="35"/>
  <c r="BG166" i="35"/>
  <c r="AV167" i="35"/>
  <c r="W169" i="35"/>
  <c r="AZ171" i="35"/>
  <c r="BA172" i="35"/>
  <c r="BB173" i="35"/>
  <c r="BC174" i="35"/>
  <c r="BD175" i="35"/>
  <c r="AS176" i="35"/>
  <c r="BE176" i="35"/>
  <c r="AU178" i="35"/>
  <c r="BG178" i="35"/>
  <c r="AV179" i="35"/>
  <c r="W181" i="35"/>
  <c r="AZ183" i="35"/>
  <c r="BA184" i="35"/>
  <c r="BB185" i="35"/>
  <c r="BC186" i="35"/>
  <c r="BD187" i="35"/>
  <c r="AS188" i="35"/>
  <c r="BE188" i="35"/>
  <c r="AT189" i="35"/>
  <c r="BF189" i="35"/>
  <c r="AU190" i="35"/>
  <c r="BG190" i="35"/>
  <c r="AV191" i="35"/>
  <c r="W193" i="35"/>
  <c r="AY194" i="35"/>
  <c r="AZ195" i="35"/>
  <c r="BA196" i="35"/>
  <c r="BB197" i="35"/>
  <c r="BC198" i="35"/>
  <c r="BD199" i="35"/>
  <c r="AS200" i="35"/>
  <c r="BE200" i="35"/>
  <c r="AT201" i="35"/>
  <c r="BF201" i="35"/>
  <c r="AU202" i="35"/>
  <c r="BG202" i="35"/>
  <c r="AV203" i="35"/>
  <c r="W205" i="35"/>
  <c r="AY206" i="35"/>
  <c r="AZ207" i="35"/>
  <c r="BA208" i="35"/>
  <c r="BB209" i="35"/>
  <c r="BC210" i="35"/>
  <c r="BD211" i="35"/>
  <c r="AS212" i="35"/>
  <c r="BE212" i="35"/>
  <c r="AT213" i="35"/>
  <c r="BF213" i="35"/>
  <c r="AU214" i="35"/>
  <c r="BG214" i="35"/>
  <c r="AV215" i="35"/>
  <c r="W217" i="35"/>
  <c r="AY218" i="35"/>
  <c r="AZ219" i="35"/>
  <c r="BA220" i="35"/>
  <c r="BB221" i="35"/>
  <c r="BC222" i="35"/>
  <c r="BD223" i="35"/>
  <c r="AS224" i="35"/>
  <c r="BE224" i="35"/>
  <c r="AT225" i="35"/>
  <c r="BF225" i="35"/>
  <c r="AU226" i="35"/>
  <c r="BG226" i="35"/>
  <c r="AV227" i="35"/>
  <c r="W229" i="35"/>
  <c r="AY230" i="35"/>
  <c r="AZ231" i="35"/>
  <c r="BA232" i="35"/>
  <c r="BB233" i="35"/>
  <c r="BC234" i="35"/>
  <c r="BD235" i="35"/>
  <c r="AY236" i="35"/>
  <c r="AX237" i="35"/>
  <c r="BD240" i="35"/>
  <c r="BB250" i="35"/>
  <c r="BB270" i="35"/>
  <c r="AW277" i="35"/>
  <c r="AS151" i="35"/>
  <c r="BE151" i="35"/>
  <c r="AV154" i="35"/>
  <c r="W156" i="35"/>
  <c r="BA159" i="35"/>
  <c r="BB160" i="35"/>
  <c r="BC161" i="35"/>
  <c r="BD162" i="35"/>
  <c r="AS163" i="35"/>
  <c r="BE163" i="35"/>
  <c r="AT164" i="35"/>
  <c r="BF164" i="35"/>
  <c r="AV166" i="35"/>
  <c r="AW167" i="35"/>
  <c r="W168" i="35"/>
  <c r="BA171" i="35"/>
  <c r="BB172" i="35"/>
  <c r="BC173" i="35"/>
  <c r="BD174" i="35"/>
  <c r="AS175" i="35"/>
  <c r="BE175" i="35"/>
  <c r="AT176" i="35"/>
  <c r="BF176" i="35"/>
  <c r="AV178" i="35"/>
  <c r="AW179" i="35"/>
  <c r="W180" i="35"/>
  <c r="BA183" i="35"/>
  <c r="BB184" i="35"/>
  <c r="BC185" i="35"/>
  <c r="BD186" i="35"/>
  <c r="AS187" i="35"/>
  <c r="BE187" i="35"/>
  <c r="AT188" i="35"/>
  <c r="BF188" i="35"/>
  <c r="AU189" i="35"/>
  <c r="BG189" i="35"/>
  <c r="AV190" i="35"/>
  <c r="AW191" i="35"/>
  <c r="W192" i="35"/>
  <c r="AZ194" i="35"/>
  <c r="BA195" i="35"/>
  <c r="BB196" i="35"/>
  <c r="BC197" i="35"/>
  <c r="BD198" i="35"/>
  <c r="AS199" i="35"/>
  <c r="BE199" i="35"/>
  <c r="AT200" i="35"/>
  <c r="BF200" i="35"/>
  <c r="AU201" i="35"/>
  <c r="BG201" i="35"/>
  <c r="AV202" i="35"/>
  <c r="AW203" i="35"/>
  <c r="W204" i="35"/>
  <c r="AZ206" i="35"/>
  <c r="BA207" i="35"/>
  <c r="BB208" i="35"/>
  <c r="BC209" i="35"/>
  <c r="BD210" i="35"/>
  <c r="AS211" i="35"/>
  <c r="BE211" i="35"/>
  <c r="AT212" i="35"/>
  <c r="BF212" i="35"/>
  <c r="AU213" i="35"/>
  <c r="BG213" i="35"/>
  <c r="AV214" i="35"/>
  <c r="AW215" i="35"/>
  <c r="W216" i="35"/>
  <c r="AZ218" i="35"/>
  <c r="BA219" i="35"/>
  <c r="BB220" i="35"/>
  <c r="BC221" i="35"/>
  <c r="BD222" i="35"/>
  <c r="AS223" i="35"/>
  <c r="BE223" i="35"/>
  <c r="AT224" i="35"/>
  <c r="BF224" i="35"/>
  <c r="AU225" i="35"/>
  <c r="BG225" i="35"/>
  <c r="AV226" i="35"/>
  <c r="AW227" i="35"/>
  <c r="W228" i="35"/>
  <c r="AZ230" i="35"/>
  <c r="BA231" i="35"/>
  <c r="BB232" i="35"/>
  <c r="BC233" i="35"/>
  <c r="BD234" i="35"/>
  <c r="AS235" i="35"/>
  <c r="BE235" i="35"/>
  <c r="AZ236" i="35"/>
  <c r="AY237" i="35"/>
  <c r="AS238" i="35"/>
  <c r="AX239" i="35"/>
  <c r="AW239" i="35"/>
  <c r="AV239" i="35"/>
  <c r="AY239" i="35"/>
  <c r="BF239" i="35"/>
  <c r="BE240" i="35"/>
  <c r="AS249" i="35"/>
  <c r="BC250" i="35"/>
  <c r="AZ253" i="35"/>
  <c r="AY253" i="35"/>
  <c r="AX253" i="35"/>
  <c r="AV253" i="35"/>
  <c r="BG253" i="35"/>
  <c r="AU253" i="35"/>
  <c r="BD253" i="35"/>
  <c r="BC253" i="35"/>
  <c r="BA253" i="35"/>
  <c r="BG270" i="35"/>
  <c r="BK272" i="35"/>
  <c r="W272" i="35"/>
  <c r="BB277" i="35"/>
  <c r="AT151" i="35"/>
  <c r="AS162" i="35"/>
  <c r="AT163" i="35"/>
  <c r="AU164" i="35"/>
  <c r="AS174" i="35"/>
  <c r="AT175" i="35"/>
  <c r="AU176" i="35"/>
  <c r="AS186" i="35"/>
  <c r="AT187" i="35"/>
  <c r="AU188" i="35"/>
  <c r="AS198" i="35"/>
  <c r="AT199" i="35"/>
  <c r="AU200" i="35"/>
  <c r="AS210" i="35"/>
  <c r="AT211" i="35"/>
  <c r="AU212" i="35"/>
  <c r="AS222" i="35"/>
  <c r="AT223" i="35"/>
  <c r="AU224" i="35"/>
  <c r="AS234" i="35"/>
  <c r="AT235" i="35"/>
  <c r="BA236" i="35"/>
  <c r="AZ237" i="35"/>
  <c r="AT238" i="35"/>
  <c r="BG239" i="35"/>
  <c r="BF240" i="35"/>
  <c r="BK241" i="35"/>
  <c r="W241" i="35"/>
  <c r="AU246" i="35"/>
  <c r="AX249" i="35"/>
  <c r="BF250" i="35"/>
  <c r="AX261" i="35"/>
  <c r="AW265" i="35"/>
  <c r="AZ289" i="35"/>
  <c r="AY289" i="35"/>
  <c r="AX289" i="35"/>
  <c r="AW289" i="35"/>
  <c r="AV289" i="35"/>
  <c r="BG289" i="35"/>
  <c r="AU289" i="35"/>
  <c r="BF289" i="35"/>
  <c r="AT289" i="35"/>
  <c r="BE289" i="35"/>
  <c r="AS289" i="35"/>
  <c r="BD289" i="35"/>
  <c r="BC289" i="35"/>
  <c r="BA289" i="35"/>
  <c r="BK239" i="35"/>
  <c r="BB242" i="35"/>
  <c r="AU247" i="35"/>
  <c r="BG247" i="35"/>
  <c r="AV248" i="35"/>
  <c r="AY251" i="35"/>
  <c r="AZ252" i="35"/>
  <c r="BB254" i="35"/>
  <c r="AU259" i="35"/>
  <c r="BG259" i="35"/>
  <c r="AV260" i="35"/>
  <c r="AX262" i="35"/>
  <c r="AY263" i="35"/>
  <c r="AZ264" i="35"/>
  <c r="BB266" i="35"/>
  <c r="BD268" i="35"/>
  <c r="AU271" i="35"/>
  <c r="BG271" i="35"/>
  <c r="AV272" i="35"/>
  <c r="AW273" i="35"/>
  <c r="AX274" i="35"/>
  <c r="AY275" i="35"/>
  <c r="BK275" i="35"/>
  <c r="AZ276" i="35"/>
  <c r="BB278" i="35"/>
  <c r="BD280" i="35"/>
  <c r="AU283" i="35"/>
  <c r="BG283" i="35"/>
  <c r="AV284" i="35"/>
  <c r="AW285" i="35"/>
  <c r="AX286" i="35"/>
  <c r="AY287" i="35"/>
  <c r="BK287" i="35"/>
  <c r="AZ288" i="35"/>
  <c r="BB290" i="35"/>
  <c r="BD292" i="35"/>
  <c r="BD297" i="35"/>
  <c r="BB305" i="35"/>
  <c r="BK307" i="35"/>
  <c r="W307" i="35"/>
  <c r="AV312" i="35"/>
  <c r="BA251" i="35"/>
  <c r="BB252" i="35"/>
  <c r="AZ262" i="35"/>
  <c r="BA263" i="35"/>
  <c r="BB264" i="35"/>
  <c r="AY273" i="35"/>
  <c r="AZ274" i="35"/>
  <c r="BA275" i="35"/>
  <c r="BB276" i="35"/>
  <c r="AY285" i="35"/>
  <c r="AZ286" i="35"/>
  <c r="BA287" i="35"/>
  <c r="BB288" i="35"/>
  <c r="AZ306" i="35"/>
  <c r="AX306" i="35"/>
  <c r="AW306" i="35"/>
  <c r="BG306" i="35"/>
  <c r="AU306" i="35"/>
  <c r="BF306" i="35"/>
  <c r="AT306" i="35"/>
  <c r="BD306" i="35"/>
  <c r="AY312" i="35"/>
  <c r="AV334" i="35"/>
  <c r="BF334" i="35"/>
  <c r="AT334" i="35"/>
  <c r="BD334" i="35"/>
  <c r="BC334" i="35"/>
  <c r="BE334" i="35"/>
  <c r="BB334" i="35"/>
  <c r="BA334" i="35"/>
  <c r="AZ334" i="35"/>
  <c r="AY334" i="35"/>
  <c r="AX334" i="35"/>
  <c r="AW334" i="35"/>
  <c r="AU334" i="35"/>
  <c r="AS334" i="35"/>
  <c r="BB251" i="35"/>
  <c r="BA262" i="35"/>
  <c r="BB263" i="35"/>
  <c r="AZ273" i="35"/>
  <c r="BA274" i="35"/>
  <c r="BB275" i="35"/>
  <c r="AZ285" i="35"/>
  <c r="BA286" i="35"/>
  <c r="BB287" i="35"/>
  <c r="BC297" i="35"/>
  <c r="BA297" i="35"/>
  <c r="AZ297" i="35"/>
  <c r="AX297" i="35"/>
  <c r="AW297" i="35"/>
  <c r="BG297" i="35"/>
  <c r="AW303" i="35"/>
  <c r="BG303" i="35"/>
  <c r="AU303" i="35"/>
  <c r="BF303" i="35"/>
  <c r="AT303" i="35"/>
  <c r="BD303" i="35"/>
  <c r="BC303" i="35"/>
  <c r="BA307" i="35"/>
  <c r="AY307" i="35"/>
  <c r="AX307" i="35"/>
  <c r="AV307" i="35"/>
  <c r="BG307" i="35"/>
  <c r="AU307" i="35"/>
  <c r="BE307" i="35"/>
  <c r="AS307" i="35"/>
  <c r="BK310" i="35"/>
  <c r="W310" i="35"/>
  <c r="BB312" i="35"/>
  <c r="BB262" i="35"/>
  <c r="BA273" i="35"/>
  <c r="BB274" i="35"/>
  <c r="BA285" i="35"/>
  <c r="BB286" i="35"/>
  <c r="AM294" i="35"/>
  <c r="BK298" i="35"/>
  <c r="W298" i="35"/>
  <c r="BB273" i="35"/>
  <c r="BB285" i="35"/>
  <c r="AY305" i="35"/>
  <c r="AW305" i="35"/>
  <c r="AV305" i="35"/>
  <c r="BF305" i="35"/>
  <c r="AT305" i="35"/>
  <c r="BE305" i="35"/>
  <c r="AS305" i="35"/>
  <c r="BC305" i="35"/>
  <c r="AW315" i="35"/>
  <c r="AV315" i="35"/>
  <c r="BG315" i="35"/>
  <c r="AU315" i="35"/>
  <c r="BF315" i="35"/>
  <c r="AT315" i="35"/>
  <c r="BD315" i="35"/>
  <c r="BC315" i="35"/>
  <c r="BA315" i="35"/>
  <c r="AY317" i="35"/>
  <c r="AX317" i="35"/>
  <c r="AW317" i="35"/>
  <c r="AV317" i="35"/>
  <c r="BG317" i="35"/>
  <c r="BF317" i="35"/>
  <c r="AT317" i="35"/>
  <c r="BE317" i="35"/>
  <c r="AS317" i="35"/>
  <c r="BD317" i="35"/>
  <c r="BC317" i="35"/>
  <c r="BA319" i="35"/>
  <c r="AZ319" i="35"/>
  <c r="AY319" i="35"/>
  <c r="AX319" i="35"/>
  <c r="AW319" i="35"/>
  <c r="AV319" i="35"/>
  <c r="BG319" i="35"/>
  <c r="AU319" i="35"/>
  <c r="BF319" i="35"/>
  <c r="AT319" i="35"/>
  <c r="BE319" i="35"/>
  <c r="AS319" i="35"/>
  <c r="BD319" i="35"/>
  <c r="BB248" i="35"/>
  <c r="AS251" i="35"/>
  <c r="BE251" i="35"/>
  <c r="AT252" i="35"/>
  <c r="BF252" i="35"/>
  <c r="BA259" i="35"/>
  <c r="BB260" i="35"/>
  <c r="BD262" i="35"/>
  <c r="AS263" i="35"/>
  <c r="BE263" i="35"/>
  <c r="AT264" i="35"/>
  <c r="BF264" i="35"/>
  <c r="W268" i="35"/>
  <c r="BA271" i="35"/>
  <c r="BB272" i="35"/>
  <c r="BC273" i="35"/>
  <c r="BD274" i="35"/>
  <c r="AS275" i="35"/>
  <c r="BE275" i="35"/>
  <c r="AT276" i="35"/>
  <c r="BF276" i="35"/>
  <c r="W280" i="35"/>
  <c r="BA283" i="35"/>
  <c r="BB284" i="35"/>
  <c r="BC285" i="35"/>
  <c r="BD286" i="35"/>
  <c r="AS287" i="35"/>
  <c r="BE287" i="35"/>
  <c r="AT288" i="35"/>
  <c r="BF288" i="35"/>
  <c r="W292" i="35"/>
  <c r="AY293" i="35"/>
  <c r="BF293" i="35"/>
  <c r="AT293" i="35"/>
  <c r="BE293" i="35"/>
  <c r="AS293" i="35"/>
  <c r="BG293" i="35"/>
  <c r="BK295" i="35"/>
  <c r="W295" i="35"/>
  <c r="AS297" i="35"/>
  <c r="AS303" i="35"/>
  <c r="AV306" i="35"/>
  <c r="AT307" i="35"/>
  <c r="W313" i="35"/>
  <c r="AW347" i="35"/>
  <c r="BG347" i="35"/>
  <c r="AU347" i="35"/>
  <c r="BF347" i="35"/>
  <c r="AT347" i="35"/>
  <c r="BE347" i="35"/>
  <c r="AS347" i="35"/>
  <c r="BD347" i="35"/>
  <c r="AX347" i="35"/>
  <c r="BC347" i="35"/>
  <c r="BB347" i="35"/>
  <c r="BA347" i="35"/>
  <c r="AZ347" i="35"/>
  <c r="AY347" i="35"/>
  <c r="AV347" i="35"/>
  <c r="BK353" i="35"/>
  <c r="W353" i="35"/>
  <c r="BK405" i="35"/>
  <c r="W405" i="35"/>
  <c r="BB247" i="35"/>
  <c r="BC248" i="35"/>
  <c r="AT251" i="35"/>
  <c r="BF251" i="35"/>
  <c r="AU252" i="35"/>
  <c r="BG252" i="35"/>
  <c r="BB259" i="35"/>
  <c r="BC260" i="35"/>
  <c r="AS262" i="35"/>
  <c r="BE262" i="35"/>
  <c r="AT263" i="35"/>
  <c r="BF263" i="35"/>
  <c r="AU264" i="35"/>
  <c r="BG264" i="35"/>
  <c r="BB271" i="35"/>
  <c r="BC272" i="35"/>
  <c r="BD273" i="35"/>
  <c r="AS274" i="35"/>
  <c r="BE274" i="35"/>
  <c r="AT275" i="35"/>
  <c r="BF275" i="35"/>
  <c r="AU276" i="35"/>
  <c r="BG276" i="35"/>
  <c r="BB283" i="35"/>
  <c r="BC284" i="35"/>
  <c r="BD285" i="35"/>
  <c r="AS286" i="35"/>
  <c r="BE286" i="35"/>
  <c r="AT287" i="35"/>
  <c r="BF287" i="35"/>
  <c r="AU288" i="35"/>
  <c r="BG288" i="35"/>
  <c r="AZ294" i="35"/>
  <c r="AX294" i="35"/>
  <c r="AW294" i="35"/>
  <c r="BG294" i="35"/>
  <c r="AU294" i="35"/>
  <c r="BF294" i="35"/>
  <c r="AT294" i="35"/>
  <c r="AT297" i="35"/>
  <c r="AV303" i="35"/>
  <c r="AW307" i="35"/>
  <c r="BK381" i="35"/>
  <c r="W381" i="35"/>
  <c r="BF312" i="35"/>
  <c r="AT312" i="35"/>
  <c r="BE312" i="35"/>
  <c r="AS312" i="35"/>
  <c r="BD312" i="35"/>
  <c r="BC312" i="35"/>
  <c r="BA312" i="35"/>
  <c r="AZ312" i="35"/>
  <c r="AX312" i="35"/>
  <c r="AY242" i="35"/>
  <c r="AZ243" i="35"/>
  <c r="BA244" i="35"/>
  <c r="BB245" i="35"/>
  <c r="BD247" i="35"/>
  <c r="AS248" i="35"/>
  <c r="BE248" i="35"/>
  <c r="AV251" i="35"/>
  <c r="AW252" i="35"/>
  <c r="AY254" i="35"/>
  <c r="BA256" i="35"/>
  <c r="BB257" i="35"/>
  <c r="BD259" i="35"/>
  <c r="AS260" i="35"/>
  <c r="BE260" i="35"/>
  <c r="AU262" i="35"/>
  <c r="BG262" i="35"/>
  <c r="AV263" i="35"/>
  <c r="AW264" i="35"/>
  <c r="AY266" i="35"/>
  <c r="AZ267" i="35"/>
  <c r="BA268" i="35"/>
  <c r="BB269" i="35"/>
  <c r="BD271" i="35"/>
  <c r="AS272" i="35"/>
  <c r="BE272" i="35"/>
  <c r="AT273" i="35"/>
  <c r="BF273" i="35"/>
  <c r="AU274" i="35"/>
  <c r="BG274" i="35"/>
  <c r="AV275" i="35"/>
  <c r="AW276" i="35"/>
  <c r="AY278" i="35"/>
  <c r="AZ279" i="35"/>
  <c r="BA280" i="35"/>
  <c r="BB281" i="35"/>
  <c r="BD283" i="35"/>
  <c r="AS284" i="35"/>
  <c r="BE284" i="35"/>
  <c r="AT285" i="35"/>
  <c r="BF285" i="35"/>
  <c r="AU286" i="35"/>
  <c r="BG286" i="35"/>
  <c r="AV287" i="35"/>
  <c r="AW288" i="35"/>
  <c r="W289" i="35"/>
  <c r="AY290" i="35"/>
  <c r="AZ291" i="35"/>
  <c r="BA292" i="35"/>
  <c r="AU293" i="35"/>
  <c r="AV297" i="35"/>
  <c r="W299" i="35"/>
  <c r="AY303" i="35"/>
  <c r="AX305" i="35"/>
  <c r="BB306" i="35"/>
  <c r="BB307" i="35"/>
  <c r="AM314" i="35"/>
  <c r="AX315" i="35"/>
  <c r="AZ317" i="35"/>
  <c r="BC319" i="35"/>
  <c r="BK325" i="35"/>
  <c r="W325" i="35"/>
  <c r="BC329" i="35"/>
  <c r="BA329" i="35"/>
  <c r="AY329" i="35"/>
  <c r="AX329" i="35"/>
  <c r="BD329" i="35"/>
  <c r="BB329" i="35"/>
  <c r="AZ329" i="35"/>
  <c r="AW329" i="35"/>
  <c r="AV329" i="35"/>
  <c r="AU329" i="35"/>
  <c r="AT329" i="35"/>
  <c r="AS329" i="35"/>
  <c r="BG329" i="35"/>
  <c r="BA339" i="35"/>
  <c r="AY339" i="35"/>
  <c r="AX339" i="35"/>
  <c r="AW339" i="35"/>
  <c r="AV339" i="35"/>
  <c r="BF339" i="35"/>
  <c r="BE339" i="35"/>
  <c r="BD339" i="35"/>
  <c r="BC339" i="35"/>
  <c r="BB339" i="35"/>
  <c r="AZ339" i="35"/>
  <c r="AU339" i="35"/>
  <c r="AT339" i="35"/>
  <c r="AS339" i="35"/>
  <c r="BE418" i="35"/>
  <c r="AS418" i="35"/>
  <c r="BD418" i="35"/>
  <c r="AZ418" i="35"/>
  <c r="AW418" i="35"/>
  <c r="BB418" i="35"/>
  <c r="BA418" i="35"/>
  <c r="AY418" i="35"/>
  <c r="AX418" i="35"/>
  <c r="AV418" i="35"/>
  <c r="AU418" i="35"/>
  <c r="AT418" i="35"/>
  <c r="BC418" i="35"/>
  <c r="BG418" i="35"/>
  <c r="BF418" i="35"/>
  <c r="W240" i="35"/>
  <c r="AZ242" i="35"/>
  <c r="BA243" i="35"/>
  <c r="BB244" i="35"/>
  <c r="BC245" i="35"/>
  <c r="AS247" i="35"/>
  <c r="BE247" i="35"/>
  <c r="AT248" i="35"/>
  <c r="BF248" i="35"/>
  <c r="AW251" i="35"/>
  <c r="AX252" i="35"/>
  <c r="AZ254" i="35"/>
  <c r="BB256" i="35"/>
  <c r="AS259" i="35"/>
  <c r="BE259" i="35"/>
  <c r="AT260" i="35"/>
  <c r="BF260" i="35"/>
  <c r="AV262" i="35"/>
  <c r="AW263" i="35"/>
  <c r="AX264" i="35"/>
  <c r="AZ266" i="35"/>
  <c r="BB268" i="35"/>
  <c r="AS271" i="35"/>
  <c r="BE271" i="35"/>
  <c r="AT272" i="35"/>
  <c r="BF272" i="35"/>
  <c r="AU273" i="35"/>
  <c r="BG273" i="35"/>
  <c r="AV274" i="35"/>
  <c r="AW275" i="35"/>
  <c r="AX276" i="35"/>
  <c r="AZ278" i="35"/>
  <c r="BB280" i="35"/>
  <c r="AS283" i="35"/>
  <c r="BE283" i="35"/>
  <c r="AT284" i="35"/>
  <c r="BF284" i="35"/>
  <c r="AU285" i="35"/>
  <c r="BG285" i="35"/>
  <c r="AV286" i="35"/>
  <c r="AW287" i="35"/>
  <c r="AX288" i="35"/>
  <c r="BB292" i="35"/>
  <c r="AV293" i="35"/>
  <c r="AS294" i="35"/>
  <c r="BA295" i="35"/>
  <c r="AY295" i="35"/>
  <c r="AX295" i="35"/>
  <c r="AV295" i="35"/>
  <c r="BG295" i="35"/>
  <c r="AU295" i="35"/>
  <c r="AY297" i="35"/>
  <c r="AZ303" i="35"/>
  <c r="AZ305" i="35"/>
  <c r="BC306" i="35"/>
  <c r="BC307" i="35"/>
  <c r="AY315" i="35"/>
  <c r="BA317" i="35"/>
  <c r="AX348" i="35"/>
  <c r="AV348" i="35"/>
  <c r="BG348" i="35"/>
  <c r="AU348" i="35"/>
  <c r="BF348" i="35"/>
  <c r="AT348" i="35"/>
  <c r="BE348" i="35"/>
  <c r="AS348" i="35"/>
  <c r="AY348" i="35"/>
  <c r="BD348" i="35"/>
  <c r="BC348" i="35"/>
  <c r="BB348" i="35"/>
  <c r="BA348" i="35"/>
  <c r="AZ348" i="35"/>
  <c r="AW348" i="35"/>
  <c r="AT247" i="35"/>
  <c r="AU248" i="35"/>
  <c r="AT259" i="35"/>
  <c r="AU260" i="35"/>
  <c r="AT271" i="35"/>
  <c r="AU272" i="35"/>
  <c r="AT283" i="35"/>
  <c r="AU284" i="35"/>
  <c r="BC292" i="35"/>
  <c r="AW293" i="35"/>
  <c r="AV294" i="35"/>
  <c r="BB297" i="35"/>
  <c r="BA303" i="35"/>
  <c r="BA305" i="35"/>
  <c r="AM306" i="35"/>
  <c r="BE306" i="35"/>
  <c r="BD307" i="35"/>
  <c r="AU312" i="35"/>
  <c r="AZ315" i="35"/>
  <c r="BB317" i="35"/>
  <c r="AZ318" i="35"/>
  <c r="AY318" i="35"/>
  <c r="AX318" i="35"/>
  <c r="AW318" i="35"/>
  <c r="AV318" i="35"/>
  <c r="BG318" i="35"/>
  <c r="AU318" i="35"/>
  <c r="BF318" i="35"/>
  <c r="AT318" i="35"/>
  <c r="BE318" i="35"/>
  <c r="AS318" i="35"/>
  <c r="BD318" i="35"/>
  <c r="BC318" i="35"/>
  <c r="AX360" i="35"/>
  <c r="AW360" i="35"/>
  <c r="AV360" i="35"/>
  <c r="BG360" i="35"/>
  <c r="AU360" i="35"/>
  <c r="BF360" i="35"/>
  <c r="AT360" i="35"/>
  <c r="BE360" i="35"/>
  <c r="AS360" i="35"/>
  <c r="BD360" i="35"/>
  <c r="BC360" i="35"/>
  <c r="AY360" i="35"/>
  <c r="BB360" i="35"/>
  <c r="BA360" i="35"/>
  <c r="AZ360" i="35"/>
  <c r="AZ374" i="35"/>
  <c r="AY374" i="35"/>
  <c r="AX374" i="35"/>
  <c r="AW374" i="35"/>
  <c r="AV374" i="35"/>
  <c r="BG374" i="35"/>
  <c r="AU374" i="35"/>
  <c r="BF374" i="35"/>
  <c r="AT374" i="35"/>
  <c r="BE374" i="35"/>
  <c r="AS374" i="35"/>
  <c r="BD374" i="35"/>
  <c r="BA374" i="35"/>
  <c r="BC374" i="35"/>
  <c r="BB374" i="35"/>
  <c r="AV346" i="35"/>
  <c r="BF346" i="35"/>
  <c r="AT346" i="35"/>
  <c r="BE346" i="35"/>
  <c r="AS346" i="35"/>
  <c r="BD346" i="35"/>
  <c r="BC346" i="35"/>
  <c r="AW346" i="35"/>
  <c r="BK367" i="35"/>
  <c r="W367" i="35"/>
  <c r="AZ437" i="35"/>
  <c r="AY437" i="35"/>
  <c r="AX437" i="35"/>
  <c r="AW437" i="35"/>
  <c r="AV437" i="35"/>
  <c r="BG437" i="35"/>
  <c r="AU437" i="35"/>
  <c r="BF437" i="35"/>
  <c r="AT437" i="35"/>
  <c r="BE437" i="35"/>
  <c r="AS437" i="35"/>
  <c r="BD437" i="35"/>
  <c r="BA437" i="35"/>
  <c r="BC437" i="35"/>
  <c r="BB437" i="35"/>
  <c r="BB304" i="35"/>
  <c r="AU309" i="35"/>
  <c r="BG309" i="35"/>
  <c r="BB316" i="35"/>
  <c r="AU321" i="35"/>
  <c r="BG321" i="35"/>
  <c r="W324" i="35"/>
  <c r="AX324" i="35"/>
  <c r="BA327" i="35"/>
  <c r="BC328" i="35"/>
  <c r="W330" i="35"/>
  <c r="AV331" i="35"/>
  <c r="AW335" i="35"/>
  <c r="BG335" i="35"/>
  <c r="AU335" i="35"/>
  <c r="BE335" i="35"/>
  <c r="AS335" i="35"/>
  <c r="BD335" i="35"/>
  <c r="BB337" i="35"/>
  <c r="BK341" i="35"/>
  <c r="W341" i="35"/>
  <c r="BB341" i="35"/>
  <c r="W344" i="35"/>
  <c r="W368" i="35"/>
  <c r="AZ386" i="35"/>
  <c r="AY386" i="35"/>
  <c r="AX386" i="35"/>
  <c r="AW386" i="35"/>
  <c r="AV386" i="35"/>
  <c r="BG386" i="35"/>
  <c r="AU386" i="35"/>
  <c r="BF386" i="35"/>
  <c r="AT386" i="35"/>
  <c r="BE386" i="35"/>
  <c r="AS386" i="35"/>
  <c r="BD386" i="35"/>
  <c r="BA386" i="35"/>
  <c r="AZ410" i="35"/>
  <c r="AY410" i="35"/>
  <c r="AX410" i="35"/>
  <c r="AW410" i="35"/>
  <c r="AV410" i="35"/>
  <c r="BG410" i="35"/>
  <c r="AU410" i="35"/>
  <c r="BF410" i="35"/>
  <c r="AT410" i="35"/>
  <c r="BE410" i="35"/>
  <c r="AS410" i="35"/>
  <c r="BD410" i="35"/>
  <c r="BA410" i="35"/>
  <c r="AY324" i="35"/>
  <c r="BB327" i="35"/>
  <c r="BC353" i="35"/>
  <c r="BA353" i="35"/>
  <c r="AZ353" i="35"/>
  <c r="AY353" i="35"/>
  <c r="AX353" i="35"/>
  <c r="BD353" i="35"/>
  <c r="BK392" i="35"/>
  <c r="W392" i="35"/>
  <c r="AY397" i="35"/>
  <c r="AX397" i="35"/>
  <c r="AW397" i="35"/>
  <c r="AV397" i="35"/>
  <c r="BG397" i="35"/>
  <c r="AU397" i="35"/>
  <c r="BF397" i="35"/>
  <c r="AT397" i="35"/>
  <c r="BE397" i="35"/>
  <c r="AS397" i="35"/>
  <c r="BD397" i="35"/>
  <c r="BC397" i="35"/>
  <c r="AZ397" i="35"/>
  <c r="AV296" i="35"/>
  <c r="AX298" i="35"/>
  <c r="AY299" i="35"/>
  <c r="BA301" i="35"/>
  <c r="BB302" i="35"/>
  <c r="BD304" i="35"/>
  <c r="AV308" i="35"/>
  <c r="AW309" i="35"/>
  <c r="AX310" i="35"/>
  <c r="AY311" i="35"/>
  <c r="BB314" i="35"/>
  <c r="BD316" i="35"/>
  <c r="AW321" i="35"/>
  <c r="W322" i="35"/>
  <c r="AX322" i="35"/>
  <c r="AY323" i="35"/>
  <c r="AZ324" i="35"/>
  <c r="BB326" i="35"/>
  <c r="BC327" i="35"/>
  <c r="BE328" i="35"/>
  <c r="AX331" i="35"/>
  <c r="W333" i="35"/>
  <c r="AX336" i="35"/>
  <c r="AV336" i="35"/>
  <c r="BF336" i="35"/>
  <c r="AT336" i="35"/>
  <c r="BE336" i="35"/>
  <c r="AS336" i="35"/>
  <c r="BD337" i="35"/>
  <c r="BC338" i="35"/>
  <c r="BE341" i="35"/>
  <c r="AU346" i="35"/>
  <c r="BD349" i="35"/>
  <c r="BE350" i="35"/>
  <c r="AW296" i="35"/>
  <c r="AY298" i="35"/>
  <c r="AZ299" i="35"/>
  <c r="BB301" i="35"/>
  <c r="BC302" i="35"/>
  <c r="AS304" i="35"/>
  <c r="BE304" i="35"/>
  <c r="AW308" i="35"/>
  <c r="AX309" i="35"/>
  <c r="AY310" i="35"/>
  <c r="AZ311" i="35"/>
  <c r="BB313" i="35"/>
  <c r="BC314" i="35"/>
  <c r="AS316" i="35"/>
  <c r="BE316" i="35"/>
  <c r="AW320" i="35"/>
  <c r="AX321" i="35"/>
  <c r="AY322" i="35"/>
  <c r="AZ323" i="35"/>
  <c r="BA324" i="35"/>
  <c r="BB325" i="35"/>
  <c r="BC326" i="35"/>
  <c r="BD327" i="35"/>
  <c r="AS328" i="35"/>
  <c r="BF328" i="35"/>
  <c r="AY331" i="35"/>
  <c r="AT335" i="35"/>
  <c r="BD338" i="35"/>
  <c r="AX346" i="35"/>
  <c r="AM355" i="35"/>
  <c r="AY361" i="35"/>
  <c r="AX361" i="35"/>
  <c r="AW361" i="35"/>
  <c r="AV361" i="35"/>
  <c r="BG361" i="35"/>
  <c r="AU361" i="35"/>
  <c r="BF361" i="35"/>
  <c r="AT361" i="35"/>
  <c r="BE361" i="35"/>
  <c r="AS361" i="35"/>
  <c r="BD361" i="35"/>
  <c r="AZ361" i="35"/>
  <c r="AM370" i="35"/>
  <c r="BB386" i="35"/>
  <c r="BB410" i="35"/>
  <c r="BB324" i="35"/>
  <c r="AS327" i="35"/>
  <c r="BE327" i="35"/>
  <c r="AY337" i="35"/>
  <c r="AW337" i="35"/>
  <c r="BG337" i="35"/>
  <c r="AU337" i="35"/>
  <c r="BF337" i="35"/>
  <c r="AT337" i="35"/>
  <c r="BC341" i="35"/>
  <c r="BA341" i="35"/>
  <c r="AZ341" i="35"/>
  <c r="AY341" i="35"/>
  <c r="AX341" i="35"/>
  <c r="BG341" i="35"/>
  <c r="AY346" i="35"/>
  <c r="AS353" i="35"/>
  <c r="BA298" i="35"/>
  <c r="BB299" i="35"/>
  <c r="AU304" i="35"/>
  <c r="BG304" i="35"/>
  <c r="AZ309" i="35"/>
  <c r="BA310" i="35"/>
  <c r="BB311" i="35"/>
  <c r="AU316" i="35"/>
  <c r="BG316" i="35"/>
  <c r="W319" i="35"/>
  <c r="AZ321" i="35"/>
  <c r="BA322" i="35"/>
  <c r="BB323" i="35"/>
  <c r="BC324" i="35"/>
  <c r="AT327" i="35"/>
  <c r="BF327" i="35"/>
  <c r="AU328" i="35"/>
  <c r="BD331" i="35"/>
  <c r="AX335" i="35"/>
  <c r="W342" i="35"/>
  <c r="AZ346" i="35"/>
  <c r="AZ350" i="35"/>
  <c r="AX350" i="35"/>
  <c r="AW350" i="35"/>
  <c r="AV350" i="35"/>
  <c r="BG350" i="35"/>
  <c r="AU350" i="35"/>
  <c r="BA350" i="35"/>
  <c r="AT353" i="35"/>
  <c r="W355" i="35"/>
  <c r="AY373" i="35"/>
  <c r="AX373" i="35"/>
  <c r="AW373" i="35"/>
  <c r="AV373" i="35"/>
  <c r="BG373" i="35"/>
  <c r="AU373" i="35"/>
  <c r="BF373" i="35"/>
  <c r="AT373" i="35"/>
  <c r="BE373" i="35"/>
  <c r="AS373" i="35"/>
  <c r="BD373" i="35"/>
  <c r="BC373" i="35"/>
  <c r="AZ373" i="35"/>
  <c r="W393" i="35"/>
  <c r="BB397" i="35"/>
  <c r="AZ398" i="35"/>
  <c r="AY398" i="35"/>
  <c r="AX398" i="35"/>
  <c r="AW398" i="35"/>
  <c r="AV398" i="35"/>
  <c r="BG398" i="35"/>
  <c r="AU398" i="35"/>
  <c r="BF398" i="35"/>
  <c r="AT398" i="35"/>
  <c r="BE398" i="35"/>
  <c r="AS398" i="35"/>
  <c r="BD398" i="35"/>
  <c r="BA398" i="35"/>
  <c r="BB298" i="35"/>
  <c r="BC299" i="35"/>
  <c r="AV304" i="35"/>
  <c r="BA309" i="35"/>
  <c r="BB310" i="35"/>
  <c r="BC311" i="35"/>
  <c r="AV316" i="35"/>
  <c r="BA321" i="35"/>
  <c r="BB322" i="35"/>
  <c r="BC323" i="35"/>
  <c r="BD324" i="35"/>
  <c r="AU327" i="35"/>
  <c r="BG327" i="35"/>
  <c r="AV328" i="35"/>
  <c r="W329" i="35"/>
  <c r="AY335" i="35"/>
  <c r="AZ338" i="35"/>
  <c r="AX338" i="35"/>
  <c r="AW338" i="35"/>
  <c r="AV338" i="35"/>
  <c r="BG338" i="35"/>
  <c r="AU338" i="35"/>
  <c r="BA346" i="35"/>
  <c r="AY349" i="35"/>
  <c r="AW349" i="35"/>
  <c r="AV349" i="35"/>
  <c r="BG349" i="35"/>
  <c r="AU349" i="35"/>
  <c r="BF349" i="35"/>
  <c r="AT349" i="35"/>
  <c r="AZ349" i="35"/>
  <c r="AU353" i="35"/>
  <c r="W356" i="35"/>
  <c r="BB309" i="35"/>
  <c r="BB321" i="35"/>
  <c r="AS324" i="35"/>
  <c r="BE324" i="35"/>
  <c r="AV327" i="35"/>
  <c r="BE331" i="35"/>
  <c r="AS331" i="35"/>
  <c r="BC331" i="35"/>
  <c r="BA331" i="35"/>
  <c r="AZ331" i="35"/>
  <c r="BG331" i="35"/>
  <c r="AS337" i="35"/>
  <c r="AS341" i="35"/>
  <c r="BB346" i="35"/>
  <c r="W348" i="35"/>
  <c r="BK348" i="35"/>
  <c r="AV353" i="35"/>
  <c r="BK380" i="35"/>
  <c r="W380" i="35"/>
  <c r="BK404" i="35"/>
  <c r="W404" i="35"/>
  <c r="AS299" i="35"/>
  <c r="AU301" i="35"/>
  <c r="AS311" i="35"/>
  <c r="AU313" i="35"/>
  <c r="AS323" i="35"/>
  <c r="AT324" i="35"/>
  <c r="AU325" i="35"/>
  <c r="W328" i="35"/>
  <c r="AX328" i="35"/>
  <c r="BA335" i="35"/>
  <c r="AZ336" i="35"/>
  <c r="AV337" i="35"/>
  <c r="AT341" i="35"/>
  <c r="AM343" i="35"/>
  <c r="BG346" i="35"/>
  <c r="AS350" i="35"/>
  <c r="AW353" i="35"/>
  <c r="AZ362" i="35"/>
  <c r="AY362" i="35"/>
  <c r="AX362" i="35"/>
  <c r="AW362" i="35"/>
  <c r="AV362" i="35"/>
  <c r="BG362" i="35"/>
  <c r="AU362" i="35"/>
  <c r="BF362" i="35"/>
  <c r="AT362" i="35"/>
  <c r="BE362" i="35"/>
  <c r="AS362" i="35"/>
  <c r="BA362" i="35"/>
  <c r="BA373" i="35"/>
  <c r="AY385" i="35"/>
  <c r="AX385" i="35"/>
  <c r="AW385" i="35"/>
  <c r="AV385" i="35"/>
  <c r="BG385" i="35"/>
  <c r="AU385" i="35"/>
  <c r="BF385" i="35"/>
  <c r="AT385" i="35"/>
  <c r="BE385" i="35"/>
  <c r="AS385" i="35"/>
  <c r="BD385" i="35"/>
  <c r="BC385" i="35"/>
  <c r="AZ385" i="35"/>
  <c r="BB398" i="35"/>
  <c r="AY409" i="35"/>
  <c r="AX409" i="35"/>
  <c r="AW409" i="35"/>
  <c r="AV409" i="35"/>
  <c r="BG409" i="35"/>
  <c r="AU409" i="35"/>
  <c r="BF409" i="35"/>
  <c r="AT409" i="35"/>
  <c r="BE409" i="35"/>
  <c r="AS409" i="35"/>
  <c r="BD409" i="35"/>
  <c r="BC409" i="35"/>
  <c r="AZ409" i="35"/>
  <c r="BB351" i="35"/>
  <c r="AW358" i="35"/>
  <c r="AX359" i="35"/>
  <c r="BK360" i="35"/>
  <c r="BB363" i="35"/>
  <c r="BD365" i="35"/>
  <c r="AW370" i="35"/>
  <c r="AX371" i="35"/>
  <c r="AY372" i="35"/>
  <c r="BK372" i="35"/>
  <c r="BB375" i="35"/>
  <c r="BD377" i="35"/>
  <c r="AW382" i="35"/>
  <c r="AX383" i="35"/>
  <c r="AY384" i="35"/>
  <c r="BK384" i="35"/>
  <c r="BB387" i="35"/>
  <c r="BD389" i="35"/>
  <c r="AW394" i="35"/>
  <c r="AX395" i="35"/>
  <c r="AY396" i="35"/>
  <c r="BK396" i="35"/>
  <c r="BB399" i="35"/>
  <c r="BD401" i="35"/>
  <c r="AW406" i="35"/>
  <c r="AX407" i="35"/>
  <c r="AY408" i="35"/>
  <c r="BK408" i="35"/>
  <c r="BB411" i="35"/>
  <c r="AZ449" i="35"/>
  <c r="AY449" i="35"/>
  <c r="AX449" i="35"/>
  <c r="AW449" i="35"/>
  <c r="AV449" i="35"/>
  <c r="BG449" i="35"/>
  <c r="AU449" i="35"/>
  <c r="BF449" i="35"/>
  <c r="AT449" i="35"/>
  <c r="BE449" i="35"/>
  <c r="AS449" i="35"/>
  <c r="BD449" i="35"/>
  <c r="BC449" i="35"/>
  <c r="BA449" i="35"/>
  <c r="BB372" i="35"/>
  <c r="BB384" i="35"/>
  <c r="BB396" i="35"/>
  <c r="BB408" i="35"/>
  <c r="BK419" i="35"/>
  <c r="W419" i="35"/>
  <c r="BB359" i="35"/>
  <c r="AV365" i="35"/>
  <c r="BB371" i="35"/>
  <c r="BC372" i="35"/>
  <c r="AV377" i="35"/>
  <c r="W379" i="35"/>
  <c r="BB383" i="35"/>
  <c r="BC384" i="35"/>
  <c r="W391" i="35"/>
  <c r="BA394" i="35"/>
  <c r="BB395" i="35"/>
  <c r="BC396" i="35"/>
  <c r="W403" i="35"/>
  <c r="BA406" i="35"/>
  <c r="BB407" i="35"/>
  <c r="BC408" i="35"/>
  <c r="W420" i="35"/>
  <c r="BB358" i="35"/>
  <c r="BC359" i="35"/>
  <c r="AW365" i="35"/>
  <c r="W366" i="35"/>
  <c r="BB370" i="35"/>
  <c r="BC371" i="35"/>
  <c r="BD372" i="35"/>
  <c r="AW377" i="35"/>
  <c r="W378" i="35"/>
  <c r="BB382" i="35"/>
  <c r="BC383" i="35"/>
  <c r="BD384" i="35"/>
  <c r="W390" i="35"/>
  <c r="BB394" i="35"/>
  <c r="BC395" i="35"/>
  <c r="BD396" i="35"/>
  <c r="BB406" i="35"/>
  <c r="BD408" i="35"/>
  <c r="BF419" i="35"/>
  <c r="AT419" i="35"/>
  <c r="BE419" i="35"/>
  <c r="AS419" i="35"/>
  <c r="BA419" i="35"/>
  <c r="AY419" i="35"/>
  <c r="AX419" i="35"/>
  <c r="BK424" i="35"/>
  <c r="W424" i="35"/>
  <c r="AY330" i="35"/>
  <c r="BA332" i="35"/>
  <c r="BB333" i="35"/>
  <c r="AW340" i="35"/>
  <c r="AY342" i="35"/>
  <c r="AZ343" i="35"/>
  <c r="BA344" i="35"/>
  <c r="BB345" i="35"/>
  <c r="AV351" i="35"/>
  <c r="AW352" i="35"/>
  <c r="AY354" i="35"/>
  <c r="AZ355" i="35"/>
  <c r="BB357" i="35"/>
  <c r="BC358" i="35"/>
  <c r="BD359" i="35"/>
  <c r="AV363" i="35"/>
  <c r="W365" i="35"/>
  <c r="AX365" i="35"/>
  <c r="AZ367" i="35"/>
  <c r="BB369" i="35"/>
  <c r="BC370" i="35"/>
  <c r="BD371" i="35"/>
  <c r="AS372" i="35"/>
  <c r="BE372" i="35"/>
  <c r="AV375" i="35"/>
  <c r="W377" i="35"/>
  <c r="AX377" i="35"/>
  <c r="AY378" i="35"/>
  <c r="AZ379" i="35"/>
  <c r="BB381" i="35"/>
  <c r="BC382" i="35"/>
  <c r="BD383" i="35"/>
  <c r="AS384" i="35"/>
  <c r="BE384" i="35"/>
  <c r="AV387" i="35"/>
  <c r="W389" i="35"/>
  <c r="AX389" i="35"/>
  <c r="AZ391" i="35"/>
  <c r="BB393" i="35"/>
  <c r="BC394" i="35"/>
  <c r="BD395" i="35"/>
  <c r="AS396" i="35"/>
  <c r="BE396" i="35"/>
  <c r="AV399" i="35"/>
  <c r="W401" i="35"/>
  <c r="AX401" i="35"/>
  <c r="AY402" i="35"/>
  <c r="AZ403" i="35"/>
  <c r="BB405" i="35"/>
  <c r="BC406" i="35"/>
  <c r="BD407" i="35"/>
  <c r="AS408" i="35"/>
  <c r="BE408" i="35"/>
  <c r="AV411" i="35"/>
  <c r="W413" i="35"/>
  <c r="AX413" i="35"/>
  <c r="AY414" i="35"/>
  <c r="W417" i="35"/>
  <c r="AX417" i="35"/>
  <c r="BB421" i="35"/>
  <c r="BA426" i="35"/>
  <c r="AZ426" i="35"/>
  <c r="AX426" i="35"/>
  <c r="AV426" i="35"/>
  <c r="BF426" i="35"/>
  <c r="AT426" i="35"/>
  <c r="BE426" i="35"/>
  <c r="AS426" i="35"/>
  <c r="BK426" i="35"/>
  <c r="W432" i="35"/>
  <c r="AZ330" i="35"/>
  <c r="BB332" i="35"/>
  <c r="BC333" i="35"/>
  <c r="AX340" i="35"/>
  <c r="AZ342" i="35"/>
  <c r="BA343" i="35"/>
  <c r="BB344" i="35"/>
  <c r="BC345" i="35"/>
  <c r="AW351" i="35"/>
  <c r="AX352" i="35"/>
  <c r="AZ354" i="35"/>
  <c r="BA355" i="35"/>
  <c r="BB356" i="35"/>
  <c r="BC357" i="35"/>
  <c r="BD358" i="35"/>
  <c r="AS359" i="35"/>
  <c r="BE359" i="35"/>
  <c r="AW363" i="35"/>
  <c r="AX364" i="35"/>
  <c r="AY365" i="35"/>
  <c r="AZ366" i="35"/>
  <c r="BA367" i="35"/>
  <c r="BB368" i="35"/>
  <c r="BC369" i="35"/>
  <c r="BD370" i="35"/>
  <c r="AS371" i="35"/>
  <c r="BE371" i="35"/>
  <c r="AT372" i="35"/>
  <c r="BF372" i="35"/>
  <c r="AW375" i="35"/>
  <c r="AX376" i="35"/>
  <c r="AY377" i="35"/>
  <c r="AZ378" i="35"/>
  <c r="BA379" i="35"/>
  <c r="BB380" i="35"/>
  <c r="BC381" i="35"/>
  <c r="BD382" i="35"/>
  <c r="AS383" i="35"/>
  <c r="BE383" i="35"/>
  <c r="AT384" i="35"/>
  <c r="BF384" i="35"/>
  <c r="AW387" i="35"/>
  <c r="AX388" i="35"/>
  <c r="AY389" i="35"/>
  <c r="AZ390" i="35"/>
  <c r="BA391" i="35"/>
  <c r="BB392" i="35"/>
  <c r="BC393" i="35"/>
  <c r="BD394" i="35"/>
  <c r="AS395" i="35"/>
  <c r="BE395" i="35"/>
  <c r="AT396" i="35"/>
  <c r="BF396" i="35"/>
  <c r="AW399" i="35"/>
  <c r="AX400" i="35"/>
  <c r="AY401" i="35"/>
  <c r="AZ402" i="35"/>
  <c r="BA403" i="35"/>
  <c r="BB404" i="35"/>
  <c r="BC405" i="35"/>
  <c r="BD406" i="35"/>
  <c r="AS407" i="35"/>
  <c r="BE407" i="35"/>
  <c r="AT408" i="35"/>
  <c r="BF408" i="35"/>
  <c r="AW411" i="35"/>
  <c r="AX412" i="35"/>
  <c r="AY413" i="35"/>
  <c r="AZ414" i="35"/>
  <c r="AZ417" i="35"/>
  <c r="AM421" i="35"/>
  <c r="BD421" i="35"/>
  <c r="BK431" i="35"/>
  <c r="W431" i="35"/>
  <c r="BK444" i="35"/>
  <c r="W444" i="35"/>
  <c r="W463" i="35"/>
  <c r="BK463" i="35"/>
  <c r="BB343" i="35"/>
  <c r="AX351" i="35"/>
  <c r="BB355" i="35"/>
  <c r="AS358" i="35"/>
  <c r="BE358" i="35"/>
  <c r="AT359" i="35"/>
  <c r="BF359" i="35"/>
  <c r="AX363" i="35"/>
  <c r="AZ365" i="35"/>
  <c r="BB367" i="35"/>
  <c r="AS370" i="35"/>
  <c r="BE370" i="35"/>
  <c r="AT371" i="35"/>
  <c r="BF371" i="35"/>
  <c r="AU372" i="35"/>
  <c r="BG372" i="35"/>
  <c r="AX375" i="35"/>
  <c r="AZ377" i="35"/>
  <c r="BB379" i="35"/>
  <c r="AS382" i="35"/>
  <c r="BE382" i="35"/>
  <c r="AT383" i="35"/>
  <c r="BF383" i="35"/>
  <c r="AU384" i="35"/>
  <c r="BG384" i="35"/>
  <c r="AX387" i="35"/>
  <c r="AZ389" i="35"/>
  <c r="BB391" i="35"/>
  <c r="AS394" i="35"/>
  <c r="BE394" i="35"/>
  <c r="AT395" i="35"/>
  <c r="BF395" i="35"/>
  <c r="AU396" i="35"/>
  <c r="BG396" i="35"/>
  <c r="AX399" i="35"/>
  <c r="AZ401" i="35"/>
  <c r="BB403" i="35"/>
  <c r="AS406" i="35"/>
  <c r="BE406" i="35"/>
  <c r="AT407" i="35"/>
  <c r="BF407" i="35"/>
  <c r="AU408" i="35"/>
  <c r="BG408" i="35"/>
  <c r="AX411" i="35"/>
  <c r="AZ413" i="35"/>
  <c r="BK416" i="35"/>
  <c r="BA417" i="35"/>
  <c r="AU419" i="35"/>
  <c r="BE421" i="35"/>
  <c r="AY424" i="35"/>
  <c r="AX424" i="35"/>
  <c r="AV424" i="35"/>
  <c r="BF424" i="35"/>
  <c r="AT424" i="35"/>
  <c r="BD424" i="35"/>
  <c r="BC424" i="35"/>
  <c r="AZ425" i="35"/>
  <c r="AY425" i="35"/>
  <c r="AW425" i="35"/>
  <c r="BG425" i="35"/>
  <c r="AU425" i="35"/>
  <c r="BE425" i="35"/>
  <c r="AS425" i="35"/>
  <c r="BD425" i="35"/>
  <c r="BD429" i="35"/>
  <c r="BC429" i="35"/>
  <c r="BA429" i="35"/>
  <c r="AZ429" i="35"/>
  <c r="AY429" i="35"/>
  <c r="AW429" i="35"/>
  <c r="AV429" i="35"/>
  <c r="BB330" i="35"/>
  <c r="BD332" i="35"/>
  <c r="AS333" i="35"/>
  <c r="BE333" i="35"/>
  <c r="AZ340" i="35"/>
  <c r="BB342" i="35"/>
  <c r="BC343" i="35"/>
  <c r="BD344" i="35"/>
  <c r="AS345" i="35"/>
  <c r="BE345" i="35"/>
  <c r="AY351" i="35"/>
  <c r="AZ352" i="35"/>
  <c r="BB354" i="35"/>
  <c r="BC355" i="35"/>
  <c r="BD356" i="35"/>
  <c r="AS357" i="35"/>
  <c r="BE357" i="35"/>
  <c r="AT358" i="35"/>
  <c r="BF358" i="35"/>
  <c r="AU359" i="35"/>
  <c r="BG359" i="35"/>
  <c r="AY363" i="35"/>
  <c r="BA365" i="35"/>
  <c r="BB366" i="35"/>
  <c r="BC367" i="35"/>
  <c r="AS369" i="35"/>
  <c r="BE369" i="35"/>
  <c r="AT370" i="35"/>
  <c r="BF370" i="35"/>
  <c r="AU371" i="35"/>
  <c r="BG371" i="35"/>
  <c r="AV372" i="35"/>
  <c r="AY375" i="35"/>
  <c r="BA377" i="35"/>
  <c r="BB378" i="35"/>
  <c r="BC379" i="35"/>
  <c r="AS381" i="35"/>
  <c r="BE381" i="35"/>
  <c r="AT382" i="35"/>
  <c r="BF382" i="35"/>
  <c r="AU383" i="35"/>
  <c r="BG383" i="35"/>
  <c r="AV384" i="35"/>
  <c r="AY387" i="35"/>
  <c r="BA389" i="35"/>
  <c r="BB390" i="35"/>
  <c r="BC391" i="35"/>
  <c r="AS393" i="35"/>
  <c r="BE393" i="35"/>
  <c r="AT394" i="35"/>
  <c r="BF394" i="35"/>
  <c r="AU395" i="35"/>
  <c r="BG395" i="35"/>
  <c r="AV396" i="35"/>
  <c r="AY399" i="35"/>
  <c r="BA401" i="35"/>
  <c r="BB402" i="35"/>
  <c r="BC403" i="35"/>
  <c r="AS405" i="35"/>
  <c r="BE405" i="35"/>
  <c r="AT406" i="35"/>
  <c r="BF406" i="35"/>
  <c r="AU407" i="35"/>
  <c r="BG407" i="35"/>
  <c r="AV408" i="35"/>
  <c r="AY411" i="35"/>
  <c r="BA413" i="35"/>
  <c r="BB414" i="35"/>
  <c r="AV419" i="35"/>
  <c r="AU426" i="35"/>
  <c r="AY436" i="35"/>
  <c r="AX436" i="35"/>
  <c r="AW436" i="35"/>
  <c r="AV436" i="35"/>
  <c r="BG436" i="35"/>
  <c r="AU436" i="35"/>
  <c r="BF436" i="35"/>
  <c r="AT436" i="35"/>
  <c r="BE436" i="35"/>
  <c r="AS436" i="35"/>
  <c r="BD436" i="35"/>
  <c r="BC436" i="35"/>
  <c r="AZ436" i="35"/>
  <c r="BB365" i="35"/>
  <c r="AW372" i="35"/>
  <c r="BB377" i="35"/>
  <c r="AU382" i="35"/>
  <c r="BG382" i="35"/>
  <c r="AV383" i="35"/>
  <c r="AW384" i="35"/>
  <c r="BB389" i="35"/>
  <c r="AU394" i="35"/>
  <c r="BG394" i="35"/>
  <c r="AV395" i="35"/>
  <c r="AW396" i="35"/>
  <c r="BB401" i="35"/>
  <c r="AU406" i="35"/>
  <c r="BG406" i="35"/>
  <c r="AV407" i="35"/>
  <c r="AW408" i="35"/>
  <c r="AZ411" i="35"/>
  <c r="BB413" i="35"/>
  <c r="BD417" i="35"/>
  <c r="BC417" i="35"/>
  <c r="AY417" i="35"/>
  <c r="BE417" i="35"/>
  <c r="AW419" i="35"/>
  <c r="AV421" i="35"/>
  <c r="BG421" i="35"/>
  <c r="AU421" i="35"/>
  <c r="BC421" i="35"/>
  <c r="BA421" i="35"/>
  <c r="AZ421" i="35"/>
  <c r="AW426" i="35"/>
  <c r="BK428" i="35"/>
  <c r="W428" i="35"/>
  <c r="AT332" i="35"/>
  <c r="AU333" i="35"/>
  <c r="AS343" i="35"/>
  <c r="AT344" i="35"/>
  <c r="AU345" i="35"/>
  <c r="AS355" i="35"/>
  <c r="AT356" i="35"/>
  <c r="AU357" i="35"/>
  <c r="AS367" i="35"/>
  <c r="AT368" i="35"/>
  <c r="AU369" i="35"/>
  <c r="AS379" i="35"/>
  <c r="AT380" i="35"/>
  <c r="AU381" i="35"/>
  <c r="AS391" i="35"/>
  <c r="AT392" i="35"/>
  <c r="AU393" i="35"/>
  <c r="AS403" i="35"/>
  <c r="AT404" i="35"/>
  <c r="AU405" i="35"/>
  <c r="BF417" i="35"/>
  <c r="AM418" i="35"/>
  <c r="AZ419" i="35"/>
  <c r="AS424" i="35"/>
  <c r="AT425" i="35"/>
  <c r="AY426" i="35"/>
  <c r="AS429" i="35"/>
  <c r="BB438" i="35"/>
  <c r="AZ448" i="35"/>
  <c r="BB450" i="35"/>
  <c r="BF459" i="35"/>
  <c r="AT459" i="35"/>
  <c r="BD459" i="35"/>
  <c r="BA459" i="35"/>
  <c r="AY459" i="35"/>
  <c r="BG459" i="35"/>
  <c r="AM460" i="35"/>
  <c r="BK468" i="35"/>
  <c r="W468" i="35"/>
  <c r="AM479" i="35"/>
  <c r="BK483" i="35"/>
  <c r="W483" i="35"/>
  <c r="BB448" i="35"/>
  <c r="BK455" i="35"/>
  <c r="AV485" i="35"/>
  <c r="BG485" i="35"/>
  <c r="AU485" i="35"/>
  <c r="BF485" i="35"/>
  <c r="AT485" i="35"/>
  <c r="BE485" i="35"/>
  <c r="AS485" i="35"/>
  <c r="BD485" i="35"/>
  <c r="BC485" i="35"/>
  <c r="BA485" i="35"/>
  <c r="AZ485" i="35"/>
  <c r="AW485" i="35"/>
  <c r="BA422" i="35"/>
  <c r="BB423" i="35"/>
  <c r="AW430" i="35"/>
  <c r="AX431" i="35"/>
  <c r="AZ433" i="35"/>
  <c r="BA434" i="35"/>
  <c r="BB435" i="35"/>
  <c r="AS438" i="35"/>
  <c r="BE438" i="35"/>
  <c r="AV441" i="35"/>
  <c r="AW442" i="35"/>
  <c r="W443" i="35"/>
  <c r="AX443" i="35"/>
  <c r="AZ445" i="35"/>
  <c r="BA446" i="35"/>
  <c r="BB447" i="35"/>
  <c r="BC448" i="35"/>
  <c r="AS450" i="35"/>
  <c r="BE450" i="35"/>
  <c r="AV453" i="35"/>
  <c r="AW454" i="35"/>
  <c r="BA458" i="35"/>
  <c r="AS459" i="35"/>
  <c r="AY461" i="35"/>
  <c r="BA464" i="35"/>
  <c r="BB465" i="35"/>
  <c r="BC466" i="35"/>
  <c r="BB422" i="35"/>
  <c r="BC423" i="35"/>
  <c r="AX430" i="35"/>
  <c r="AY431" i="35"/>
  <c r="BA433" i="35"/>
  <c r="BB434" i="35"/>
  <c r="AT438" i="35"/>
  <c r="BF438" i="35"/>
  <c r="AW441" i="35"/>
  <c r="AX442" i="35"/>
  <c r="AY443" i="35"/>
  <c r="BA445" i="35"/>
  <c r="BB446" i="35"/>
  <c r="BD448" i="35"/>
  <c r="AT450" i="35"/>
  <c r="BF450" i="35"/>
  <c r="AW453" i="35"/>
  <c r="AX454" i="35"/>
  <c r="BC456" i="35"/>
  <c r="BA456" i="35"/>
  <c r="BD456" i="35"/>
  <c r="AM458" i="35"/>
  <c r="BB458" i="35"/>
  <c r="AU459" i="35"/>
  <c r="AZ461" i="35"/>
  <c r="AX463" i="35"/>
  <c r="AV463" i="35"/>
  <c r="BE463" i="35"/>
  <c r="AS463" i="35"/>
  <c r="BC463" i="35"/>
  <c r="BG463" i="35"/>
  <c r="BB464" i="35"/>
  <c r="BC465" i="35"/>
  <c r="BD466" i="35"/>
  <c r="AV473" i="35"/>
  <c r="BG473" i="35"/>
  <c r="AU473" i="35"/>
  <c r="BF473" i="35"/>
  <c r="AT473" i="35"/>
  <c r="BD473" i="35"/>
  <c r="BC473" i="35"/>
  <c r="BA473" i="35"/>
  <c r="BK477" i="35"/>
  <c r="W477" i="35"/>
  <c r="AY522" i="35"/>
  <c r="AX522" i="35"/>
  <c r="AW522" i="35"/>
  <c r="AV522" i="35"/>
  <c r="BG522" i="35"/>
  <c r="AU522" i="35"/>
  <c r="BF522" i="35"/>
  <c r="AT522" i="35"/>
  <c r="BD522" i="35"/>
  <c r="BC522" i="35"/>
  <c r="BE522" i="35"/>
  <c r="BB522" i="35"/>
  <c r="BA522" i="35"/>
  <c r="AZ522" i="35"/>
  <c r="AS522" i="35"/>
  <c r="BB433" i="35"/>
  <c r="AU438" i="35"/>
  <c r="BG438" i="35"/>
  <c r="BB445" i="35"/>
  <c r="AS448" i="35"/>
  <c r="BE448" i="35"/>
  <c r="AU450" i="35"/>
  <c r="BG450" i="35"/>
  <c r="AV459" i="35"/>
  <c r="BD465" i="35"/>
  <c r="AX485" i="35"/>
  <c r="AY500" i="35"/>
  <c r="AX500" i="35"/>
  <c r="AW500" i="35"/>
  <c r="AV500" i="35"/>
  <c r="BG500" i="35"/>
  <c r="AU500" i="35"/>
  <c r="BF500" i="35"/>
  <c r="AT500" i="35"/>
  <c r="BE500" i="35"/>
  <c r="AS500" i="35"/>
  <c r="BD500" i="35"/>
  <c r="BC500" i="35"/>
  <c r="AZ500" i="35"/>
  <c r="AW415" i="35"/>
  <c r="AX416" i="35"/>
  <c r="BB420" i="35"/>
  <c r="BD422" i="35"/>
  <c r="AS423" i="35"/>
  <c r="BE423" i="35"/>
  <c r="AZ430" i="35"/>
  <c r="BA431" i="35"/>
  <c r="BB432" i="35"/>
  <c r="BC433" i="35"/>
  <c r="BD434" i="35"/>
  <c r="AS435" i="35"/>
  <c r="BE435" i="35"/>
  <c r="AV438" i="35"/>
  <c r="W440" i="35"/>
  <c r="AY441" i="35"/>
  <c r="AZ442" i="35"/>
  <c r="BA443" i="35"/>
  <c r="BB444" i="35"/>
  <c r="BC445" i="35"/>
  <c r="BD446" i="35"/>
  <c r="AS447" i="35"/>
  <c r="BE447" i="35"/>
  <c r="AT448" i="35"/>
  <c r="BF448" i="35"/>
  <c r="AV450" i="35"/>
  <c r="W452" i="35"/>
  <c r="AY453" i="35"/>
  <c r="AZ454" i="35"/>
  <c r="BF456" i="35"/>
  <c r="AW459" i="35"/>
  <c r="BD461" i="35"/>
  <c r="AZ477" i="35"/>
  <c r="AY477" i="35"/>
  <c r="AX477" i="35"/>
  <c r="AV477" i="35"/>
  <c r="BG477" i="35"/>
  <c r="AU477" i="35"/>
  <c r="BE477" i="35"/>
  <c r="AS477" i="35"/>
  <c r="BA477" i="35"/>
  <c r="AY485" i="35"/>
  <c r="BK514" i="35"/>
  <c r="W514" i="35"/>
  <c r="BB431" i="35"/>
  <c r="BD433" i="35"/>
  <c r="AW438" i="35"/>
  <c r="AZ441" i="35"/>
  <c r="BB443" i="35"/>
  <c r="BD445" i="35"/>
  <c r="AU448" i="35"/>
  <c r="BG448" i="35"/>
  <c r="AW450" i="35"/>
  <c r="AZ453" i="35"/>
  <c r="BE458" i="35"/>
  <c r="AS458" i="35"/>
  <c r="BC458" i="35"/>
  <c r="AZ458" i="35"/>
  <c r="AX458" i="35"/>
  <c r="BG458" i="35"/>
  <c r="AX459" i="35"/>
  <c r="AY464" i="35"/>
  <c r="AW464" i="35"/>
  <c r="BF464" i="35"/>
  <c r="AT464" i="35"/>
  <c r="BD464" i="35"/>
  <c r="BG464" i="35"/>
  <c r="BK465" i="35"/>
  <c r="W465" i="35"/>
  <c r="AX475" i="35"/>
  <c r="AW475" i="35"/>
  <c r="AV475" i="35"/>
  <c r="BF475" i="35"/>
  <c r="AT475" i="35"/>
  <c r="BE475" i="35"/>
  <c r="AS475" i="35"/>
  <c r="BC475" i="35"/>
  <c r="AY476" i="35"/>
  <c r="AX476" i="35"/>
  <c r="AW476" i="35"/>
  <c r="BG476" i="35"/>
  <c r="AU476" i="35"/>
  <c r="BF476" i="35"/>
  <c r="AT476" i="35"/>
  <c r="BD476" i="35"/>
  <c r="BK480" i="35"/>
  <c r="W480" i="35"/>
  <c r="BB485" i="35"/>
  <c r="AY488" i="35"/>
  <c r="AX488" i="35"/>
  <c r="AW488" i="35"/>
  <c r="AV488" i="35"/>
  <c r="BG488" i="35"/>
  <c r="AU488" i="35"/>
  <c r="BF488" i="35"/>
  <c r="AT488" i="35"/>
  <c r="BE488" i="35"/>
  <c r="AS488" i="35"/>
  <c r="BD488" i="35"/>
  <c r="BC488" i="35"/>
  <c r="AZ488" i="35"/>
  <c r="BB430" i="35"/>
  <c r="BC431" i="35"/>
  <c r="AS433" i="35"/>
  <c r="BE433" i="35"/>
  <c r="AX438" i="35"/>
  <c r="BA441" i="35"/>
  <c r="BB442" i="35"/>
  <c r="BC443" i="35"/>
  <c r="AS445" i="35"/>
  <c r="BE445" i="35"/>
  <c r="AV448" i="35"/>
  <c r="AX450" i="35"/>
  <c r="BA453" i="35"/>
  <c r="BB454" i="35"/>
  <c r="AZ459" i="35"/>
  <c r="AV461" i="35"/>
  <c r="BF461" i="35"/>
  <c r="AT461" i="35"/>
  <c r="BC461" i="35"/>
  <c r="BA461" i="35"/>
  <c r="BG461" i="35"/>
  <c r="BA466" i="35"/>
  <c r="AZ466" i="35"/>
  <c r="AY466" i="35"/>
  <c r="AW466" i="35"/>
  <c r="AV466" i="35"/>
  <c r="BF466" i="35"/>
  <c r="AT466" i="35"/>
  <c r="BA500" i="35"/>
  <c r="AM509" i="35"/>
  <c r="AT433" i="35"/>
  <c r="BF433" i="35"/>
  <c r="AY438" i="35"/>
  <c r="BB441" i="35"/>
  <c r="AT445" i="35"/>
  <c r="BF445" i="35"/>
  <c r="AW448" i="35"/>
  <c r="AY450" i="35"/>
  <c r="BB453" i="35"/>
  <c r="BB459" i="35"/>
  <c r="AZ465" i="35"/>
  <c r="AY465" i="35"/>
  <c r="AX465" i="35"/>
  <c r="AV465" i="35"/>
  <c r="BG465" i="35"/>
  <c r="AU465" i="35"/>
  <c r="BE465" i="35"/>
  <c r="AS465" i="35"/>
  <c r="BB500" i="35"/>
  <c r="AZ501" i="35"/>
  <c r="AY501" i="35"/>
  <c r="AX501" i="35"/>
  <c r="AW501" i="35"/>
  <c r="AV501" i="35"/>
  <c r="BG501" i="35"/>
  <c r="AU501" i="35"/>
  <c r="BF501" i="35"/>
  <c r="AT501" i="35"/>
  <c r="BE501" i="35"/>
  <c r="AS501" i="35"/>
  <c r="BD501" i="35"/>
  <c r="BA501" i="35"/>
  <c r="BK507" i="35"/>
  <c r="W507" i="35"/>
  <c r="BA415" i="35"/>
  <c r="BB416" i="35"/>
  <c r="AT420" i="35"/>
  <c r="BF420" i="35"/>
  <c r="AV422" i="35"/>
  <c r="AW423" i="35"/>
  <c r="BA427" i="35"/>
  <c r="BB428" i="35"/>
  <c r="BD430" i="35"/>
  <c r="AS431" i="35"/>
  <c r="BE431" i="35"/>
  <c r="AT432" i="35"/>
  <c r="BF432" i="35"/>
  <c r="AU433" i="35"/>
  <c r="BG433" i="35"/>
  <c r="AV434" i="35"/>
  <c r="AW435" i="35"/>
  <c r="W436" i="35"/>
  <c r="AZ438" i="35"/>
  <c r="BA439" i="35"/>
  <c r="BB440" i="35"/>
  <c r="BC441" i="35"/>
  <c r="BD442" i="35"/>
  <c r="AS443" i="35"/>
  <c r="BE443" i="35"/>
  <c r="AT444" i="35"/>
  <c r="BF444" i="35"/>
  <c r="AU445" i="35"/>
  <c r="BG445" i="35"/>
  <c r="AV446" i="35"/>
  <c r="AW447" i="35"/>
  <c r="W448" i="35"/>
  <c r="AX448" i="35"/>
  <c r="AZ450" i="35"/>
  <c r="BA451" i="35"/>
  <c r="BB452" i="35"/>
  <c r="BC453" i="35"/>
  <c r="BD454" i="35"/>
  <c r="AV456" i="35"/>
  <c r="AT458" i="35"/>
  <c r="BC459" i="35"/>
  <c r="AY463" i="35"/>
  <c r="AS464" i="35"/>
  <c r="AY473" i="35"/>
  <c r="AU475" i="35"/>
  <c r="AS476" i="35"/>
  <c r="AW477" i="35"/>
  <c r="BA488" i="35"/>
  <c r="AM497" i="35"/>
  <c r="BA524" i="35"/>
  <c r="AZ524" i="35"/>
  <c r="AY524" i="35"/>
  <c r="AX524" i="35"/>
  <c r="AW524" i="35"/>
  <c r="AV524" i="35"/>
  <c r="BF524" i="35"/>
  <c r="AT524" i="35"/>
  <c r="BE524" i="35"/>
  <c r="AS524" i="35"/>
  <c r="BG524" i="35"/>
  <c r="BD524" i="35"/>
  <c r="BC524" i="35"/>
  <c r="BB524" i="35"/>
  <c r="AU524" i="35"/>
  <c r="AU420" i="35"/>
  <c r="AS430" i="35"/>
  <c r="AT431" i="35"/>
  <c r="AU432" i="35"/>
  <c r="AS442" i="35"/>
  <c r="AT443" i="35"/>
  <c r="AU444" i="35"/>
  <c r="AS454" i="35"/>
  <c r="AW456" i="35"/>
  <c r="AU458" i="35"/>
  <c r="BE459" i="35"/>
  <c r="AS461" i="35"/>
  <c r="AZ463" i="35"/>
  <c r="AU464" i="35"/>
  <c r="AS466" i="35"/>
  <c r="BE470" i="35"/>
  <c r="AS470" i="35"/>
  <c r="BD470" i="35"/>
  <c r="BC470" i="35"/>
  <c r="BA470" i="35"/>
  <c r="AZ470" i="35"/>
  <c r="AX470" i="35"/>
  <c r="W471" i="35"/>
  <c r="AZ473" i="35"/>
  <c r="AY475" i="35"/>
  <c r="AV476" i="35"/>
  <c r="BB477" i="35"/>
  <c r="AM485" i="35"/>
  <c r="BB488" i="35"/>
  <c r="AZ489" i="35"/>
  <c r="AY489" i="35"/>
  <c r="AX489" i="35"/>
  <c r="AW489" i="35"/>
  <c r="AV489" i="35"/>
  <c r="BG489" i="35"/>
  <c r="AU489" i="35"/>
  <c r="BF489" i="35"/>
  <c r="AT489" i="35"/>
  <c r="BE489" i="35"/>
  <c r="AS489" i="35"/>
  <c r="BD489" i="35"/>
  <c r="BA489" i="35"/>
  <c r="BK495" i="35"/>
  <c r="W495" i="35"/>
  <c r="AV519" i="35"/>
  <c r="BG519" i="35"/>
  <c r="AU519" i="35"/>
  <c r="BF519" i="35"/>
  <c r="AT519" i="35"/>
  <c r="BE519" i="35"/>
  <c r="AS519" i="35"/>
  <c r="BD519" i="35"/>
  <c r="BC519" i="35"/>
  <c r="BA519" i="35"/>
  <c r="AZ519" i="35"/>
  <c r="BB519" i="35"/>
  <c r="AY519" i="35"/>
  <c r="AX519" i="35"/>
  <c r="AW519" i="35"/>
  <c r="BB478" i="35"/>
  <c r="AT482" i="35"/>
  <c r="BF482" i="35"/>
  <c r="AY487" i="35"/>
  <c r="BB490" i="35"/>
  <c r="AT494" i="35"/>
  <c r="BF494" i="35"/>
  <c r="AW497" i="35"/>
  <c r="AY499" i="35"/>
  <c r="BB502" i="35"/>
  <c r="AT506" i="35"/>
  <c r="BF506" i="35"/>
  <c r="AW509" i="35"/>
  <c r="AY511" i="35"/>
  <c r="BA512" i="35"/>
  <c r="AY512" i="35"/>
  <c r="AX512" i="35"/>
  <c r="AW512" i="35"/>
  <c r="BF512" i="35"/>
  <c r="BE561" i="35"/>
  <c r="AS561" i="35"/>
  <c r="BD561" i="35"/>
  <c r="BC561" i="35"/>
  <c r="BA561" i="35"/>
  <c r="AY561" i="35"/>
  <c r="AW561" i="35"/>
  <c r="BG561" i="35"/>
  <c r="BF561" i="35"/>
  <c r="BB561" i="35"/>
  <c r="AZ561" i="35"/>
  <c r="AX561" i="35"/>
  <c r="AV561" i="35"/>
  <c r="AU561" i="35"/>
  <c r="AT561" i="35"/>
  <c r="BB487" i="35"/>
  <c r="AZ497" i="35"/>
  <c r="BB499" i="35"/>
  <c r="AZ509" i="35"/>
  <c r="BB511" i="35"/>
  <c r="BK531" i="35"/>
  <c r="AY546" i="35"/>
  <c r="AX546" i="35"/>
  <c r="AW546" i="35"/>
  <c r="AV546" i="35"/>
  <c r="BG546" i="35"/>
  <c r="AU546" i="35"/>
  <c r="BF546" i="35"/>
  <c r="AT546" i="35"/>
  <c r="BE546" i="35"/>
  <c r="AS546" i="35"/>
  <c r="BD546" i="35"/>
  <c r="BC546" i="35"/>
  <c r="AZ546" i="35"/>
  <c r="BG563" i="35"/>
  <c r="AU563" i="35"/>
  <c r="BF563" i="35"/>
  <c r="AT563" i="35"/>
  <c r="BE563" i="35"/>
  <c r="AS563" i="35"/>
  <c r="BC563" i="35"/>
  <c r="BA563" i="35"/>
  <c r="AY563" i="35"/>
  <c r="BD563" i="35"/>
  <c r="BB563" i="35"/>
  <c r="AZ563" i="35"/>
  <c r="AX563" i="35"/>
  <c r="AW563" i="35"/>
  <c r="AV563" i="35"/>
  <c r="BB462" i="35"/>
  <c r="AV468" i="35"/>
  <c r="AY471" i="35"/>
  <c r="AZ472" i="35"/>
  <c r="BB474" i="35"/>
  <c r="AT478" i="35"/>
  <c r="BF478" i="35"/>
  <c r="AV480" i="35"/>
  <c r="AX482" i="35"/>
  <c r="AY483" i="35"/>
  <c r="AZ484" i="35"/>
  <c r="BB486" i="35"/>
  <c r="BC487" i="35"/>
  <c r="AT490" i="35"/>
  <c r="BF490" i="35"/>
  <c r="AV492" i="35"/>
  <c r="AX494" i="35"/>
  <c r="AY495" i="35"/>
  <c r="AZ496" i="35"/>
  <c r="BA497" i="35"/>
  <c r="BB498" i="35"/>
  <c r="BC499" i="35"/>
  <c r="AT502" i="35"/>
  <c r="BF502" i="35"/>
  <c r="AV504" i="35"/>
  <c r="AX506" i="35"/>
  <c r="AY507" i="35"/>
  <c r="AZ508" i="35"/>
  <c r="BA509" i="35"/>
  <c r="BB510" i="35"/>
  <c r="BC511" i="35"/>
  <c r="AT512" i="35"/>
  <c r="AM531" i="35"/>
  <c r="BB497" i="35"/>
  <c r="BB509" i="35"/>
  <c r="BK553" i="35"/>
  <c r="W553" i="35"/>
  <c r="BB460" i="35"/>
  <c r="BD462" i="35"/>
  <c r="AX468" i="35"/>
  <c r="BA471" i="35"/>
  <c r="BB472" i="35"/>
  <c r="AV478" i="35"/>
  <c r="AX480" i="35"/>
  <c r="AZ482" i="35"/>
  <c r="BA483" i="35"/>
  <c r="BB484" i="35"/>
  <c r="AS487" i="35"/>
  <c r="BE487" i="35"/>
  <c r="AV490" i="35"/>
  <c r="W492" i="35"/>
  <c r="AX492" i="35"/>
  <c r="AZ494" i="35"/>
  <c r="BA495" i="35"/>
  <c r="BB496" i="35"/>
  <c r="BC497" i="35"/>
  <c r="AS499" i="35"/>
  <c r="BE499" i="35"/>
  <c r="AV502" i="35"/>
  <c r="W504" i="35"/>
  <c r="AX504" i="35"/>
  <c r="AZ506" i="35"/>
  <c r="BA507" i="35"/>
  <c r="BB508" i="35"/>
  <c r="BC509" i="35"/>
  <c r="AS511" i="35"/>
  <c r="BE511" i="35"/>
  <c r="AV512" i="35"/>
  <c r="BK541" i="35"/>
  <c r="W541" i="35"/>
  <c r="BA546" i="35"/>
  <c r="W554" i="35"/>
  <c r="AY468" i="35"/>
  <c r="BB471" i="35"/>
  <c r="AW478" i="35"/>
  <c r="AY480" i="35"/>
  <c r="BA482" i="35"/>
  <c r="BB483" i="35"/>
  <c r="AT487" i="35"/>
  <c r="BF487" i="35"/>
  <c r="AW490" i="35"/>
  <c r="AY492" i="35"/>
  <c r="BA494" i="35"/>
  <c r="BB495" i="35"/>
  <c r="BD497" i="35"/>
  <c r="AT499" i="35"/>
  <c r="BF499" i="35"/>
  <c r="AW502" i="35"/>
  <c r="AY504" i="35"/>
  <c r="BA506" i="35"/>
  <c r="BB507" i="35"/>
  <c r="BD509" i="35"/>
  <c r="AT511" i="35"/>
  <c r="BF511" i="35"/>
  <c r="AZ512" i="35"/>
  <c r="AY534" i="35"/>
  <c r="AX534" i="35"/>
  <c r="AW534" i="35"/>
  <c r="AV534" i="35"/>
  <c r="BG534" i="35"/>
  <c r="AU534" i="35"/>
  <c r="BF534" i="35"/>
  <c r="AT534" i="35"/>
  <c r="BE534" i="35"/>
  <c r="AS534" i="35"/>
  <c r="BD534" i="35"/>
  <c r="BC534" i="35"/>
  <c r="AZ534" i="35"/>
  <c r="BB546" i="35"/>
  <c r="AZ547" i="35"/>
  <c r="AY547" i="35"/>
  <c r="AX547" i="35"/>
  <c r="AW547" i="35"/>
  <c r="AV547" i="35"/>
  <c r="BG547" i="35"/>
  <c r="AU547" i="35"/>
  <c r="BF547" i="35"/>
  <c r="AT547" i="35"/>
  <c r="BE547" i="35"/>
  <c r="AS547" i="35"/>
  <c r="BD547" i="35"/>
  <c r="BA547" i="35"/>
  <c r="BB482" i="35"/>
  <c r="AU487" i="35"/>
  <c r="BG487" i="35"/>
  <c r="BB494" i="35"/>
  <c r="AS497" i="35"/>
  <c r="BE497" i="35"/>
  <c r="AU499" i="35"/>
  <c r="BG499" i="35"/>
  <c r="BB506" i="35"/>
  <c r="AS509" i="35"/>
  <c r="BE509" i="35"/>
  <c r="AU511" i="35"/>
  <c r="BG511" i="35"/>
  <c r="AZ523" i="35"/>
  <c r="AY523" i="35"/>
  <c r="AX523" i="35"/>
  <c r="AW523" i="35"/>
  <c r="AV523" i="35"/>
  <c r="BG523" i="35"/>
  <c r="AU523" i="35"/>
  <c r="BE523" i="35"/>
  <c r="AS523" i="35"/>
  <c r="BD523" i="35"/>
  <c r="BK529" i="35"/>
  <c r="W529" i="35"/>
  <c r="AZ592" i="35"/>
  <c r="AY592" i="35"/>
  <c r="AX592" i="35"/>
  <c r="AW592" i="35"/>
  <c r="AV592" i="35"/>
  <c r="BG592" i="35"/>
  <c r="AU592" i="35"/>
  <c r="BF592" i="35"/>
  <c r="AT592" i="35"/>
  <c r="BE592" i="35"/>
  <c r="AS592" i="35"/>
  <c r="BD592" i="35"/>
  <c r="BA592" i="35"/>
  <c r="BC592" i="35"/>
  <c r="BB592" i="35"/>
  <c r="AZ455" i="35"/>
  <c r="BB457" i="35"/>
  <c r="AS460" i="35"/>
  <c r="BE460" i="35"/>
  <c r="AU462" i="35"/>
  <c r="BG462" i="35"/>
  <c r="AZ467" i="35"/>
  <c r="BA468" i="35"/>
  <c r="BB469" i="35"/>
  <c r="BD471" i="35"/>
  <c r="AS472" i="35"/>
  <c r="BE472" i="35"/>
  <c r="AU474" i="35"/>
  <c r="BG474" i="35"/>
  <c r="AY478" i="35"/>
  <c r="AZ479" i="35"/>
  <c r="BA480" i="35"/>
  <c r="BB481" i="35"/>
  <c r="BC482" i="35"/>
  <c r="BD483" i="35"/>
  <c r="AS484" i="35"/>
  <c r="BE484" i="35"/>
  <c r="AU486" i="35"/>
  <c r="BG486" i="35"/>
  <c r="AV487" i="35"/>
  <c r="W489" i="35"/>
  <c r="AY490" i="35"/>
  <c r="AZ491" i="35"/>
  <c r="BA492" i="35"/>
  <c r="BB493" i="35"/>
  <c r="BC494" i="35"/>
  <c r="BD495" i="35"/>
  <c r="AS496" i="35"/>
  <c r="BE496" i="35"/>
  <c r="AT497" i="35"/>
  <c r="BF497" i="35"/>
  <c r="AU498" i="35"/>
  <c r="BG498" i="35"/>
  <c r="AV499" i="35"/>
  <c r="W501" i="35"/>
  <c r="AY502" i="35"/>
  <c r="AZ503" i="35"/>
  <c r="BA504" i="35"/>
  <c r="BB505" i="35"/>
  <c r="BC506" i="35"/>
  <c r="BD507" i="35"/>
  <c r="AS508" i="35"/>
  <c r="BE508" i="35"/>
  <c r="AT509" i="35"/>
  <c r="BF509" i="35"/>
  <c r="AU510" i="35"/>
  <c r="BG510" i="35"/>
  <c r="AV511" i="35"/>
  <c r="BC512" i="35"/>
  <c r="W530" i="35"/>
  <c r="BK586" i="35"/>
  <c r="W586" i="35"/>
  <c r="W587" i="35"/>
  <c r="BB468" i="35"/>
  <c r="AS471" i="35"/>
  <c r="BE471" i="35"/>
  <c r="AZ478" i="35"/>
  <c r="BB480" i="35"/>
  <c r="BD482" i="35"/>
  <c r="AS483" i="35"/>
  <c r="BE483" i="35"/>
  <c r="AW487" i="35"/>
  <c r="AZ490" i="35"/>
  <c r="BB492" i="35"/>
  <c r="BD494" i="35"/>
  <c r="AS495" i="35"/>
  <c r="BE495" i="35"/>
  <c r="AU497" i="35"/>
  <c r="BG497" i="35"/>
  <c r="AW499" i="35"/>
  <c r="AZ502" i="35"/>
  <c r="BB504" i="35"/>
  <c r="BD506" i="35"/>
  <c r="AS507" i="35"/>
  <c r="BE507" i="35"/>
  <c r="AU509" i="35"/>
  <c r="BG509" i="35"/>
  <c r="AW511" i="35"/>
  <c r="BD512" i="35"/>
  <c r="BK517" i="35"/>
  <c r="W517" i="35"/>
  <c r="BK526" i="35"/>
  <c r="W526" i="35"/>
  <c r="BA534" i="35"/>
  <c r="BB547" i="35"/>
  <c r="AU460" i="35"/>
  <c r="AT471" i="35"/>
  <c r="AU472" i="35"/>
  <c r="AS482" i="35"/>
  <c r="AT483" i="35"/>
  <c r="AU484" i="35"/>
  <c r="AS494" i="35"/>
  <c r="AT495" i="35"/>
  <c r="AU496" i="35"/>
  <c r="AS506" i="35"/>
  <c r="AT507" i="35"/>
  <c r="AU508" i="35"/>
  <c r="BE512" i="35"/>
  <c r="AT523" i="35"/>
  <c r="BB534" i="35"/>
  <c r="AZ535" i="35"/>
  <c r="AY535" i="35"/>
  <c r="AX535" i="35"/>
  <c r="AW535" i="35"/>
  <c r="AV535" i="35"/>
  <c r="BG535" i="35"/>
  <c r="AU535" i="35"/>
  <c r="BF535" i="35"/>
  <c r="AT535" i="35"/>
  <c r="BE535" i="35"/>
  <c r="AS535" i="35"/>
  <c r="BD535" i="35"/>
  <c r="BA535" i="35"/>
  <c r="AM543" i="35"/>
  <c r="BC547" i="35"/>
  <c r="BB536" i="35"/>
  <c r="BB548" i="35"/>
  <c r="BA569" i="35"/>
  <c r="AZ569" i="35"/>
  <c r="AY569" i="35"/>
  <c r="AW569" i="35"/>
  <c r="AV569" i="35"/>
  <c r="BG569" i="35"/>
  <c r="AU569" i="35"/>
  <c r="BF569" i="35"/>
  <c r="AT569" i="35"/>
  <c r="BE569" i="35"/>
  <c r="AS569" i="35"/>
  <c r="BB521" i="35"/>
  <c r="AZ531" i="35"/>
  <c r="BB533" i="35"/>
  <c r="AS536" i="35"/>
  <c r="BE536" i="35"/>
  <c r="AX541" i="35"/>
  <c r="AY542" i="35"/>
  <c r="AZ543" i="35"/>
  <c r="BB545" i="35"/>
  <c r="AS548" i="35"/>
  <c r="BE548" i="35"/>
  <c r="AV551" i="35"/>
  <c r="BB554" i="35"/>
  <c r="BK558" i="35"/>
  <c r="AX569" i="35"/>
  <c r="AV595" i="35"/>
  <c r="BG595" i="35"/>
  <c r="AU595" i="35"/>
  <c r="BD595" i="35"/>
  <c r="BC595" i="35"/>
  <c r="BB595" i="35"/>
  <c r="BA595" i="35"/>
  <c r="AZ595" i="35"/>
  <c r="AY595" i="35"/>
  <c r="AX595" i="35"/>
  <c r="AW595" i="35"/>
  <c r="AT595" i="35"/>
  <c r="AS595" i="35"/>
  <c r="BE595" i="35"/>
  <c r="BB520" i="35"/>
  <c r="BC521" i="35"/>
  <c r="AZ530" i="35"/>
  <c r="BA531" i="35"/>
  <c r="BB532" i="35"/>
  <c r="BC533" i="35"/>
  <c r="AT536" i="35"/>
  <c r="BF536" i="35"/>
  <c r="AW539" i="35"/>
  <c r="AY541" i="35"/>
  <c r="AZ542" i="35"/>
  <c r="BA543" i="35"/>
  <c r="BB544" i="35"/>
  <c r="BC545" i="35"/>
  <c r="AT548" i="35"/>
  <c r="BF548" i="35"/>
  <c r="AV550" i="35"/>
  <c r="AW551" i="35"/>
  <c r="AY553" i="35"/>
  <c r="BB555" i="35"/>
  <c r="BB556" i="35"/>
  <c r="BB569" i="35"/>
  <c r="AM570" i="35"/>
  <c r="BA600" i="35"/>
  <c r="AZ600" i="35"/>
  <c r="AW600" i="35"/>
  <c r="AV600" i="35"/>
  <c r="BG600" i="35"/>
  <c r="AU600" i="35"/>
  <c r="BE600" i="35"/>
  <c r="AS600" i="35"/>
  <c r="BF600" i="35"/>
  <c r="BD600" i="35"/>
  <c r="BC600" i="35"/>
  <c r="BB600" i="35"/>
  <c r="AY600" i="35"/>
  <c r="AX600" i="35"/>
  <c r="AT600" i="35"/>
  <c r="BK630" i="35"/>
  <c r="W630" i="35"/>
  <c r="BB531" i="35"/>
  <c r="AU536" i="35"/>
  <c r="BG536" i="35"/>
  <c r="BB543" i="35"/>
  <c r="AU548" i="35"/>
  <c r="BG548" i="35"/>
  <c r="BK568" i="35"/>
  <c r="W568" i="35"/>
  <c r="AY579" i="35"/>
  <c r="AX579" i="35"/>
  <c r="AW579" i="35"/>
  <c r="AV579" i="35"/>
  <c r="BG579" i="35"/>
  <c r="AU579" i="35"/>
  <c r="BF579" i="35"/>
  <c r="AT579" i="35"/>
  <c r="BE579" i="35"/>
  <c r="AS579" i="35"/>
  <c r="BD579" i="35"/>
  <c r="BC579" i="35"/>
  <c r="AZ579" i="35"/>
  <c r="AZ635" i="35"/>
  <c r="AY635" i="35"/>
  <c r="AX635" i="35"/>
  <c r="AW635" i="35"/>
  <c r="AV635" i="35"/>
  <c r="BG635" i="35"/>
  <c r="AU635" i="35"/>
  <c r="BF635" i="35"/>
  <c r="AT635" i="35"/>
  <c r="BE635" i="35"/>
  <c r="AS635" i="35"/>
  <c r="BD635" i="35"/>
  <c r="BC635" i="35"/>
  <c r="BA635" i="35"/>
  <c r="BB635" i="35"/>
  <c r="AW513" i="35"/>
  <c r="AX514" i="35"/>
  <c r="BB518" i="35"/>
  <c r="BD520" i="35"/>
  <c r="AS521" i="35"/>
  <c r="BE521" i="35"/>
  <c r="BB530" i="35"/>
  <c r="BC531" i="35"/>
  <c r="AS533" i="35"/>
  <c r="BE533" i="35"/>
  <c r="AV536" i="35"/>
  <c r="W538" i="35"/>
  <c r="BB542" i="35"/>
  <c r="BC543" i="35"/>
  <c r="AS545" i="35"/>
  <c r="BE545" i="35"/>
  <c r="AV548" i="35"/>
  <c r="W550" i="35"/>
  <c r="AX554" i="35"/>
  <c r="AW554" i="35"/>
  <c r="BF554" i="35"/>
  <c r="AT554" i="35"/>
  <c r="BE554" i="35"/>
  <c r="AZ568" i="35"/>
  <c r="AY568" i="35"/>
  <c r="AX568" i="35"/>
  <c r="AV568" i="35"/>
  <c r="BG568" i="35"/>
  <c r="AU568" i="35"/>
  <c r="BF568" i="35"/>
  <c r="AT568" i="35"/>
  <c r="BE568" i="35"/>
  <c r="AS568" i="35"/>
  <c r="BD568" i="35"/>
  <c r="BD569" i="35"/>
  <c r="BF595" i="35"/>
  <c r="W513" i="35"/>
  <c r="AX513" i="35"/>
  <c r="AY514" i="35"/>
  <c r="AZ515" i="35"/>
  <c r="BA516" i="35"/>
  <c r="BB517" i="35"/>
  <c r="BC518" i="35"/>
  <c r="AS520" i="35"/>
  <c r="BE520" i="35"/>
  <c r="AT521" i="35"/>
  <c r="BF521" i="35"/>
  <c r="W525" i="35"/>
  <c r="BB529" i="35"/>
  <c r="BC530" i="35"/>
  <c r="BD531" i="35"/>
  <c r="AS532" i="35"/>
  <c r="BE532" i="35"/>
  <c r="AT533" i="35"/>
  <c r="BF533" i="35"/>
  <c r="AW536" i="35"/>
  <c r="W537" i="35"/>
  <c r="BB541" i="35"/>
  <c r="BC542" i="35"/>
  <c r="BD543" i="35"/>
  <c r="AS544" i="35"/>
  <c r="BE544" i="35"/>
  <c r="AT545" i="35"/>
  <c r="BF545" i="35"/>
  <c r="AW548" i="35"/>
  <c r="W549" i="35"/>
  <c r="AZ551" i="35"/>
  <c r="BB553" i="35"/>
  <c r="BG554" i="35"/>
  <c r="BK556" i="35"/>
  <c r="W556" i="35"/>
  <c r="BE556" i="35"/>
  <c r="W512" i="35"/>
  <c r="AY513" i="35"/>
  <c r="AZ514" i="35"/>
  <c r="BA515" i="35"/>
  <c r="BB516" i="35"/>
  <c r="BC517" i="35"/>
  <c r="BD518" i="35"/>
  <c r="AT520" i="35"/>
  <c r="BF520" i="35"/>
  <c r="AU521" i="35"/>
  <c r="BG521" i="35"/>
  <c r="W524" i="35"/>
  <c r="AY525" i="35"/>
  <c r="AZ526" i="35"/>
  <c r="BA527" i="35"/>
  <c r="BB528" i="35"/>
  <c r="BC529" i="35"/>
  <c r="BD530" i="35"/>
  <c r="AS531" i="35"/>
  <c r="BE531" i="35"/>
  <c r="AT532" i="35"/>
  <c r="BF532" i="35"/>
  <c r="AU533" i="35"/>
  <c r="BG533" i="35"/>
  <c r="W536" i="35"/>
  <c r="AX536" i="35"/>
  <c r="AY537" i="35"/>
  <c r="AZ538" i="35"/>
  <c r="BA539" i="35"/>
  <c r="BB540" i="35"/>
  <c r="BC541" i="35"/>
  <c r="BD542" i="35"/>
  <c r="AS543" i="35"/>
  <c r="BE543" i="35"/>
  <c r="AT544" i="35"/>
  <c r="BF544" i="35"/>
  <c r="AU545" i="35"/>
  <c r="BG545" i="35"/>
  <c r="AX548" i="35"/>
  <c r="AY549" i="35"/>
  <c r="AZ550" i="35"/>
  <c r="BA551" i="35"/>
  <c r="BC553" i="35"/>
  <c r="BA579" i="35"/>
  <c r="AZ513" i="35"/>
  <c r="BA514" i="35"/>
  <c r="BB515" i="35"/>
  <c r="BC516" i="35"/>
  <c r="AS518" i="35"/>
  <c r="BE518" i="35"/>
  <c r="AU520" i="35"/>
  <c r="BG520" i="35"/>
  <c r="AV521" i="35"/>
  <c r="W523" i="35"/>
  <c r="AZ525" i="35"/>
  <c r="BA526" i="35"/>
  <c r="BB527" i="35"/>
  <c r="BC528" i="35"/>
  <c r="BD529" i="35"/>
  <c r="AS530" i="35"/>
  <c r="BE530" i="35"/>
  <c r="AT531" i="35"/>
  <c r="BF531" i="35"/>
  <c r="AU532" i="35"/>
  <c r="BG532" i="35"/>
  <c r="AV533" i="35"/>
  <c r="AY536" i="35"/>
  <c r="BB539" i="35"/>
  <c r="BD541" i="35"/>
  <c r="AS542" i="35"/>
  <c r="BE542" i="35"/>
  <c r="AT543" i="35"/>
  <c r="BF543" i="35"/>
  <c r="AU544" i="35"/>
  <c r="BG544" i="35"/>
  <c r="AV545" i="35"/>
  <c r="AY548" i="35"/>
  <c r="BB551" i="35"/>
  <c r="AS554" i="35"/>
  <c r="AY555" i="35"/>
  <c r="AX555" i="35"/>
  <c r="AW555" i="35"/>
  <c r="BG555" i="35"/>
  <c r="AU555" i="35"/>
  <c r="BE555" i="35"/>
  <c r="AS555" i="35"/>
  <c r="AZ556" i="35"/>
  <c r="AY556" i="35"/>
  <c r="AX556" i="35"/>
  <c r="AV556" i="35"/>
  <c r="BF556" i="35"/>
  <c r="AT556" i="35"/>
  <c r="AW568" i="35"/>
  <c r="BB579" i="35"/>
  <c r="AY591" i="35"/>
  <c r="AX591" i="35"/>
  <c r="AW591" i="35"/>
  <c r="AV591" i="35"/>
  <c r="BG591" i="35"/>
  <c r="AU591" i="35"/>
  <c r="BF591" i="35"/>
  <c r="AT591" i="35"/>
  <c r="BE591" i="35"/>
  <c r="AS591" i="35"/>
  <c r="BD591" i="35"/>
  <c r="BC591" i="35"/>
  <c r="AZ591" i="35"/>
  <c r="BB514" i="35"/>
  <c r="AT518" i="35"/>
  <c r="BF518" i="35"/>
  <c r="AV520" i="35"/>
  <c r="AW521" i="35"/>
  <c r="W522" i="35"/>
  <c r="BA525" i="35"/>
  <c r="BB526" i="35"/>
  <c r="BC527" i="35"/>
  <c r="BD528" i="35"/>
  <c r="AS529" i="35"/>
  <c r="BE529" i="35"/>
  <c r="AT530" i="35"/>
  <c r="BF530" i="35"/>
  <c r="AU531" i="35"/>
  <c r="BG531" i="35"/>
  <c r="AV532" i="35"/>
  <c r="AW533" i="35"/>
  <c r="W534" i="35"/>
  <c r="AZ536" i="35"/>
  <c r="BA537" i="35"/>
  <c r="BB538" i="35"/>
  <c r="BC539" i="35"/>
  <c r="AS541" i="35"/>
  <c r="BE541" i="35"/>
  <c r="AT542" i="35"/>
  <c r="BF542" i="35"/>
  <c r="AU543" i="35"/>
  <c r="BG543" i="35"/>
  <c r="AV544" i="35"/>
  <c r="AW545" i="35"/>
  <c r="W546" i="35"/>
  <c r="AZ548" i="35"/>
  <c r="BB550" i="35"/>
  <c r="BC551" i="35"/>
  <c r="AS553" i="35"/>
  <c r="BE553" i="35"/>
  <c r="AU554" i="35"/>
  <c r="BA557" i="35"/>
  <c r="AZ557" i="35"/>
  <c r="AY557" i="35"/>
  <c r="AW557" i="35"/>
  <c r="BG557" i="35"/>
  <c r="AU557" i="35"/>
  <c r="BA568" i="35"/>
  <c r="AZ580" i="35"/>
  <c r="AY580" i="35"/>
  <c r="AX580" i="35"/>
  <c r="AW580" i="35"/>
  <c r="AV580" i="35"/>
  <c r="BG580" i="35"/>
  <c r="AU580" i="35"/>
  <c r="BF580" i="35"/>
  <c r="AT580" i="35"/>
  <c r="BE580" i="35"/>
  <c r="AS580" i="35"/>
  <c r="BD580" i="35"/>
  <c r="BA580" i="35"/>
  <c r="W599" i="35"/>
  <c r="AS516" i="35"/>
  <c r="AT517" i="35"/>
  <c r="AU518" i="35"/>
  <c r="AS528" i="35"/>
  <c r="AT529" i="35"/>
  <c r="AU530" i="35"/>
  <c r="AS540" i="35"/>
  <c r="AT541" i="35"/>
  <c r="AU542" i="35"/>
  <c r="AT553" i="35"/>
  <c r="AV554" i="35"/>
  <c r="AY567" i="35"/>
  <c r="AX567" i="35"/>
  <c r="AW567" i="35"/>
  <c r="BG567" i="35"/>
  <c r="AU567" i="35"/>
  <c r="BF567" i="35"/>
  <c r="AT567" i="35"/>
  <c r="BE567" i="35"/>
  <c r="AS567" i="35"/>
  <c r="BD567" i="35"/>
  <c r="BC567" i="35"/>
  <c r="BB568" i="35"/>
  <c r="BK574" i="35"/>
  <c r="W574" i="35"/>
  <c r="BB581" i="35"/>
  <c r="AT585" i="35"/>
  <c r="BF585" i="35"/>
  <c r="BF593" i="35"/>
  <c r="BB593" i="35"/>
  <c r="BC593" i="35"/>
  <c r="BA565" i="35"/>
  <c r="BB566" i="35"/>
  <c r="AW573" i="35"/>
  <c r="AY575" i="35"/>
  <c r="BA577" i="35"/>
  <c r="BB578" i="35"/>
  <c r="AS581" i="35"/>
  <c r="BE581" i="35"/>
  <c r="AW585" i="35"/>
  <c r="AY587" i="35"/>
  <c r="BA589" i="35"/>
  <c r="BB590" i="35"/>
  <c r="AS593" i="35"/>
  <c r="BG593" i="35"/>
  <c r="AY594" i="35"/>
  <c r="BK598" i="35"/>
  <c r="W598" i="35"/>
  <c r="AW608" i="35"/>
  <c r="AV608" i="35"/>
  <c r="BG608" i="35"/>
  <c r="AU608" i="35"/>
  <c r="BE608" i="35"/>
  <c r="AS608" i="35"/>
  <c r="BD608" i="35"/>
  <c r="BC608" i="35"/>
  <c r="BA608" i="35"/>
  <c r="BK618" i="35"/>
  <c r="W618" i="35"/>
  <c r="BB565" i="35"/>
  <c r="AX573" i="35"/>
  <c r="AZ575" i="35"/>
  <c r="BB577" i="35"/>
  <c r="AT581" i="35"/>
  <c r="BF581" i="35"/>
  <c r="AX585" i="35"/>
  <c r="BB589" i="35"/>
  <c r="AT593" i="35"/>
  <c r="AZ594" i="35"/>
  <c r="BK595" i="35"/>
  <c r="AW596" i="35"/>
  <c r="AV596" i="35"/>
  <c r="BE596" i="35"/>
  <c r="AS596" i="35"/>
  <c r="BD596" i="35"/>
  <c r="BA596" i="35"/>
  <c r="AZ599" i="35"/>
  <c r="AY599" i="35"/>
  <c r="AV599" i="35"/>
  <c r="BG599" i="35"/>
  <c r="AU599" i="35"/>
  <c r="BF599" i="35"/>
  <c r="AT599" i="35"/>
  <c r="BD599" i="35"/>
  <c r="BK611" i="35"/>
  <c r="W611" i="35"/>
  <c r="AV558" i="35"/>
  <c r="AW559" i="35"/>
  <c r="AX560" i="35"/>
  <c r="AZ562" i="35"/>
  <c r="BB564" i="35"/>
  <c r="BC565" i="35"/>
  <c r="BD566" i="35"/>
  <c r="AV570" i="35"/>
  <c r="AW571" i="35"/>
  <c r="W572" i="35"/>
  <c r="AX572" i="35"/>
  <c r="AY573" i="35"/>
  <c r="BA575" i="35"/>
  <c r="BB576" i="35"/>
  <c r="BC577" i="35"/>
  <c r="BD578" i="35"/>
  <c r="AU581" i="35"/>
  <c r="BG581" i="35"/>
  <c r="W584" i="35"/>
  <c r="AY585" i="35"/>
  <c r="BA587" i="35"/>
  <c r="BB588" i="35"/>
  <c r="BC589" i="35"/>
  <c r="BD590" i="35"/>
  <c r="AU593" i="35"/>
  <c r="W594" i="35"/>
  <c r="BA594" i="35"/>
  <c r="AY598" i="35"/>
  <c r="AX598" i="35"/>
  <c r="BG598" i="35"/>
  <c r="AU598" i="35"/>
  <c r="BF598" i="35"/>
  <c r="AT598" i="35"/>
  <c r="BE598" i="35"/>
  <c r="AS598" i="35"/>
  <c r="BC598" i="35"/>
  <c r="BB604" i="35"/>
  <c r="AZ611" i="35"/>
  <c r="AY611" i="35"/>
  <c r="AX611" i="35"/>
  <c r="AV611" i="35"/>
  <c r="BG611" i="35"/>
  <c r="AU611" i="35"/>
  <c r="BF611" i="35"/>
  <c r="AT611" i="35"/>
  <c r="BE611" i="35"/>
  <c r="AS611" i="35"/>
  <c r="BD611" i="35"/>
  <c r="BA611" i="35"/>
  <c r="AZ623" i="35"/>
  <c r="AY623" i="35"/>
  <c r="AX623" i="35"/>
  <c r="AW623" i="35"/>
  <c r="AV623" i="35"/>
  <c r="BG623" i="35"/>
  <c r="AU623" i="35"/>
  <c r="BF623" i="35"/>
  <c r="AT623" i="35"/>
  <c r="BE623" i="35"/>
  <c r="AS623" i="35"/>
  <c r="BD623" i="35"/>
  <c r="BC623" i="35"/>
  <c r="BA623" i="35"/>
  <c r="AZ648" i="35"/>
  <c r="AY648" i="35"/>
  <c r="AW648" i="35"/>
  <c r="AV648" i="35"/>
  <c r="BG648" i="35"/>
  <c r="AU648" i="35"/>
  <c r="BE648" i="35"/>
  <c r="AS648" i="35"/>
  <c r="BD648" i="35"/>
  <c r="BA648" i="35"/>
  <c r="BF648" i="35"/>
  <c r="BC648" i="35"/>
  <c r="BB648" i="35"/>
  <c r="AX648" i="35"/>
  <c r="AT648" i="35"/>
  <c r="AZ573" i="35"/>
  <c r="BB575" i="35"/>
  <c r="AV581" i="35"/>
  <c r="AZ585" i="35"/>
  <c r="BB587" i="35"/>
  <c r="BD589" i="35"/>
  <c r="AV593" i="35"/>
  <c r="BD594" i="35"/>
  <c r="AX558" i="35"/>
  <c r="AY559" i="35"/>
  <c r="AZ560" i="35"/>
  <c r="BB562" i="35"/>
  <c r="AS565" i="35"/>
  <c r="BE565" i="35"/>
  <c r="AT566" i="35"/>
  <c r="BF566" i="35"/>
  <c r="AX570" i="35"/>
  <c r="AY571" i="35"/>
  <c r="AZ572" i="35"/>
  <c r="BA573" i="35"/>
  <c r="BB574" i="35"/>
  <c r="BC575" i="35"/>
  <c r="BD576" i="35"/>
  <c r="AS577" i="35"/>
  <c r="BE577" i="35"/>
  <c r="AT578" i="35"/>
  <c r="BF578" i="35"/>
  <c r="AW581" i="35"/>
  <c r="BA585" i="35"/>
  <c r="BB586" i="35"/>
  <c r="BC587" i="35"/>
  <c r="BD588" i="35"/>
  <c r="AS589" i="35"/>
  <c r="BE589" i="35"/>
  <c r="AT590" i="35"/>
  <c r="BF590" i="35"/>
  <c r="AW593" i="35"/>
  <c r="AT596" i="35"/>
  <c r="AS599" i="35"/>
  <c r="BK603" i="35"/>
  <c r="W603" i="35"/>
  <c r="AX608" i="35"/>
  <c r="BB573" i="35"/>
  <c r="AX581" i="35"/>
  <c r="BB585" i="35"/>
  <c r="AX593" i="35"/>
  <c r="BG594" i="35"/>
  <c r="AU594" i="35"/>
  <c r="BF594" i="35"/>
  <c r="AT594" i="35"/>
  <c r="BC594" i="35"/>
  <c r="BB594" i="35"/>
  <c r="AY608" i="35"/>
  <c r="AZ558" i="35"/>
  <c r="BA559" i="35"/>
  <c r="BD562" i="35"/>
  <c r="AT564" i="35"/>
  <c r="BF564" i="35"/>
  <c r="AU565" i="35"/>
  <c r="BG565" i="35"/>
  <c r="AV566" i="35"/>
  <c r="AZ570" i="35"/>
  <c r="BA571" i="35"/>
  <c r="BB572" i="35"/>
  <c r="BC573" i="35"/>
  <c r="BD574" i="35"/>
  <c r="AS575" i="35"/>
  <c r="BE575" i="35"/>
  <c r="AT576" i="35"/>
  <c r="BF576" i="35"/>
  <c r="AU577" i="35"/>
  <c r="BG577" i="35"/>
  <c r="AV578" i="35"/>
  <c r="W580" i="35"/>
  <c r="AY581" i="35"/>
  <c r="AZ582" i="35"/>
  <c r="BA583" i="35"/>
  <c r="BB584" i="35"/>
  <c r="BC585" i="35"/>
  <c r="BD586" i="35"/>
  <c r="AS587" i="35"/>
  <c r="BE587" i="35"/>
  <c r="AT588" i="35"/>
  <c r="BF588" i="35"/>
  <c r="AU589" i="35"/>
  <c r="BG589" i="35"/>
  <c r="AV590" i="35"/>
  <c r="W592" i="35"/>
  <c r="AY593" i="35"/>
  <c r="AX596" i="35"/>
  <c r="AW598" i="35"/>
  <c r="AX599" i="35"/>
  <c r="AZ608" i="35"/>
  <c r="BB611" i="35"/>
  <c r="W555" i="35"/>
  <c r="BA558" i="35"/>
  <c r="BB559" i="35"/>
  <c r="AS562" i="35"/>
  <c r="BE562" i="35"/>
  <c r="AU564" i="35"/>
  <c r="BG564" i="35"/>
  <c r="AV565" i="35"/>
  <c r="AW566" i="35"/>
  <c r="W567" i="35"/>
  <c r="BA570" i="35"/>
  <c r="BB571" i="35"/>
  <c r="BC572" i="35"/>
  <c r="BD573" i="35"/>
  <c r="AS574" i="35"/>
  <c r="BE574" i="35"/>
  <c r="AT575" i="35"/>
  <c r="BF575" i="35"/>
  <c r="AU576" i="35"/>
  <c r="BG576" i="35"/>
  <c r="AV577" i="35"/>
  <c r="AW578" i="35"/>
  <c r="W579" i="35"/>
  <c r="AZ581" i="35"/>
  <c r="BA582" i="35"/>
  <c r="BB583" i="35"/>
  <c r="BC584" i="35"/>
  <c r="BD585" i="35"/>
  <c r="AS586" i="35"/>
  <c r="BE586" i="35"/>
  <c r="AT587" i="35"/>
  <c r="BF587" i="35"/>
  <c r="AU588" i="35"/>
  <c r="BG588" i="35"/>
  <c r="AV589" i="35"/>
  <c r="AW590" i="35"/>
  <c r="AZ593" i="35"/>
  <c r="AY596" i="35"/>
  <c r="BA599" i="35"/>
  <c r="BE604" i="35"/>
  <c r="AS604" i="35"/>
  <c r="BD604" i="35"/>
  <c r="BC604" i="35"/>
  <c r="BA604" i="35"/>
  <c r="AZ604" i="35"/>
  <c r="AY604" i="35"/>
  <c r="AW604" i="35"/>
  <c r="BB608" i="35"/>
  <c r="BC611" i="35"/>
  <c r="BE616" i="35"/>
  <c r="AS616" i="35"/>
  <c r="BD616" i="35"/>
  <c r="BC616" i="35"/>
  <c r="BA616" i="35"/>
  <c r="AZ616" i="35"/>
  <c r="AY616" i="35"/>
  <c r="AX616" i="35"/>
  <c r="AW616" i="35"/>
  <c r="AV616" i="35"/>
  <c r="BF616" i="35"/>
  <c r="AT616" i="35"/>
  <c r="AT562" i="35"/>
  <c r="AS573" i="35"/>
  <c r="AT574" i="35"/>
  <c r="AU575" i="35"/>
  <c r="AS585" i="35"/>
  <c r="AT586" i="35"/>
  <c r="AU587" i="35"/>
  <c r="BA593" i="35"/>
  <c r="AS594" i="35"/>
  <c r="AZ596" i="35"/>
  <c r="BA598" i="35"/>
  <c r="BB599" i="35"/>
  <c r="AM600" i="35"/>
  <c r="AM607" i="35"/>
  <c r="BF608" i="35"/>
  <c r="AY610" i="35"/>
  <c r="AX610" i="35"/>
  <c r="AW610" i="35"/>
  <c r="BG610" i="35"/>
  <c r="AU610" i="35"/>
  <c r="BF610" i="35"/>
  <c r="AT610" i="35"/>
  <c r="BE610" i="35"/>
  <c r="AS610" i="35"/>
  <c r="BD610" i="35"/>
  <c r="BC610" i="35"/>
  <c r="AZ610" i="35"/>
  <c r="BB612" i="35"/>
  <c r="AX620" i="35"/>
  <c r="AZ622" i="35"/>
  <c r="BB624" i="35"/>
  <c r="AT628" i="35"/>
  <c r="BF628" i="35"/>
  <c r="AX632" i="35"/>
  <c r="AZ634" i="35"/>
  <c r="AZ636" i="35"/>
  <c r="AY636" i="35"/>
  <c r="AW636" i="35"/>
  <c r="AV636" i="35"/>
  <c r="BG636" i="35"/>
  <c r="AU636" i="35"/>
  <c r="AZ660" i="35"/>
  <c r="AY660" i="35"/>
  <c r="AX660" i="35"/>
  <c r="AW660" i="35"/>
  <c r="AV660" i="35"/>
  <c r="BG660" i="35"/>
  <c r="AU660" i="35"/>
  <c r="BF660" i="35"/>
  <c r="AT660" i="35"/>
  <c r="BE660" i="35"/>
  <c r="AS660" i="35"/>
  <c r="BD660" i="35"/>
  <c r="BC660" i="35"/>
  <c r="BA660" i="35"/>
  <c r="BK679" i="35"/>
  <c r="W679" i="35"/>
  <c r="BB622" i="35"/>
  <c r="AV628" i="35"/>
  <c r="BB634" i="35"/>
  <c r="BD640" i="35"/>
  <c r="BC640" i="35"/>
  <c r="BA640" i="35"/>
  <c r="AZ640" i="35"/>
  <c r="AY640" i="35"/>
  <c r="AV640" i="35"/>
  <c r="BK647" i="35"/>
  <c r="W647" i="35"/>
  <c r="BB597" i="35"/>
  <c r="AV603" i="35"/>
  <c r="AZ607" i="35"/>
  <c r="BB609" i="35"/>
  <c r="AS612" i="35"/>
  <c r="BE612" i="35"/>
  <c r="AV615" i="35"/>
  <c r="W617" i="35"/>
  <c r="AZ619" i="35"/>
  <c r="BA620" i="35"/>
  <c r="BB621" i="35"/>
  <c r="BC622" i="35"/>
  <c r="AS624" i="35"/>
  <c r="BE624" i="35"/>
  <c r="AV627" i="35"/>
  <c r="AW628" i="35"/>
  <c r="W629" i="35"/>
  <c r="AZ631" i="35"/>
  <c r="BA632" i="35"/>
  <c r="BB633" i="35"/>
  <c r="BC634" i="35"/>
  <c r="AS636" i="35"/>
  <c r="AY644" i="35"/>
  <c r="BK655" i="35"/>
  <c r="W655" i="35"/>
  <c r="BB660" i="35"/>
  <c r="AT612" i="35"/>
  <c r="BF612" i="35"/>
  <c r="BB620" i="35"/>
  <c r="BD622" i="35"/>
  <c r="AX628" i="35"/>
  <c r="BB632" i="35"/>
  <c r="BD634" i="35"/>
  <c r="BK651" i="35"/>
  <c r="W651" i="35"/>
  <c r="AX603" i="35"/>
  <c r="BB607" i="35"/>
  <c r="AU612" i="35"/>
  <c r="BG612" i="35"/>
  <c r="W615" i="35"/>
  <c r="AX615" i="35"/>
  <c r="BB619" i="35"/>
  <c r="BC620" i="35"/>
  <c r="AS622" i="35"/>
  <c r="BE622" i="35"/>
  <c r="AU624" i="35"/>
  <c r="BG624" i="35"/>
  <c r="W627" i="35"/>
  <c r="AX627" i="35"/>
  <c r="AY628" i="35"/>
  <c r="BB631" i="35"/>
  <c r="BC632" i="35"/>
  <c r="AS634" i="35"/>
  <c r="BE634" i="35"/>
  <c r="AX636" i="35"/>
  <c r="AS640" i="35"/>
  <c r="AY647" i="35"/>
  <c r="AX647" i="35"/>
  <c r="AV647" i="35"/>
  <c r="BG647" i="35"/>
  <c r="AU647" i="35"/>
  <c r="BF647" i="35"/>
  <c r="AT647" i="35"/>
  <c r="BD647" i="35"/>
  <c r="BC647" i="35"/>
  <c r="AZ647" i="35"/>
  <c r="BK667" i="35"/>
  <c r="W667" i="35"/>
  <c r="BG687" i="35"/>
  <c r="AU687" i="35"/>
  <c r="BF687" i="35"/>
  <c r="AT687" i="35"/>
  <c r="BE687" i="35"/>
  <c r="AS687" i="35"/>
  <c r="BC687" i="35"/>
  <c r="AZ687" i="35"/>
  <c r="AY687" i="35"/>
  <c r="AX687" i="35"/>
  <c r="AV687" i="35"/>
  <c r="BD687" i="35"/>
  <c r="BB687" i="35"/>
  <c r="BA687" i="35"/>
  <c r="AW687" i="35"/>
  <c r="AS597" i="35"/>
  <c r="BE597" i="35"/>
  <c r="AW601" i="35"/>
  <c r="W602" i="35"/>
  <c r="AX602" i="35"/>
  <c r="AY603" i="35"/>
  <c r="BA605" i="35"/>
  <c r="BB606" i="35"/>
  <c r="BC607" i="35"/>
  <c r="AS609" i="35"/>
  <c r="BE609" i="35"/>
  <c r="AV612" i="35"/>
  <c r="AW613" i="35"/>
  <c r="W614" i="35"/>
  <c r="AX614" i="35"/>
  <c r="AY615" i="35"/>
  <c r="BA617" i="35"/>
  <c r="BB618" i="35"/>
  <c r="BC619" i="35"/>
  <c r="BD620" i="35"/>
  <c r="AS621" i="35"/>
  <c r="BE621" i="35"/>
  <c r="AT622" i="35"/>
  <c r="BF622" i="35"/>
  <c r="AV624" i="35"/>
  <c r="AW625" i="35"/>
  <c r="W626" i="35"/>
  <c r="AX626" i="35"/>
  <c r="AY627" i="35"/>
  <c r="AZ628" i="35"/>
  <c r="BA629" i="35"/>
  <c r="BB630" i="35"/>
  <c r="BC631" i="35"/>
  <c r="BD632" i="35"/>
  <c r="AS633" i="35"/>
  <c r="BE633" i="35"/>
  <c r="AT634" i="35"/>
  <c r="BF634" i="35"/>
  <c r="BA636" i="35"/>
  <c r="BC637" i="35"/>
  <c r="AT640" i="35"/>
  <c r="W643" i="35"/>
  <c r="AM644" i="35"/>
  <c r="AT597" i="35"/>
  <c r="BF597" i="35"/>
  <c r="AX601" i="35"/>
  <c r="AY602" i="35"/>
  <c r="AZ603" i="35"/>
  <c r="BB605" i="35"/>
  <c r="BC606" i="35"/>
  <c r="BD607" i="35"/>
  <c r="AT609" i="35"/>
  <c r="BF609" i="35"/>
  <c r="AW612" i="35"/>
  <c r="AX613" i="35"/>
  <c r="AY614" i="35"/>
  <c r="AZ615" i="35"/>
  <c r="BB617" i="35"/>
  <c r="BC618" i="35"/>
  <c r="BD619" i="35"/>
  <c r="AS620" i="35"/>
  <c r="BE620" i="35"/>
  <c r="AT621" i="35"/>
  <c r="BF621" i="35"/>
  <c r="AU622" i="35"/>
  <c r="BG622" i="35"/>
  <c r="AW624" i="35"/>
  <c r="AX625" i="35"/>
  <c r="AY626" i="35"/>
  <c r="AZ627" i="35"/>
  <c r="BA628" i="35"/>
  <c r="BB629" i="35"/>
  <c r="BD631" i="35"/>
  <c r="AS632" i="35"/>
  <c r="BE632" i="35"/>
  <c r="AT633" i="35"/>
  <c r="BF633" i="35"/>
  <c r="AU634" i="35"/>
  <c r="BG634" i="35"/>
  <c r="BB636" i="35"/>
  <c r="AU640" i="35"/>
  <c r="BB628" i="35"/>
  <c r="AW640" i="35"/>
  <c r="BK642" i="35"/>
  <c r="AS647" i="35"/>
  <c r="BD652" i="35"/>
  <c r="BC652" i="35"/>
  <c r="BA652" i="35"/>
  <c r="AZ652" i="35"/>
  <c r="AY652" i="35"/>
  <c r="AX652" i="35"/>
  <c r="AW652" i="35"/>
  <c r="AV652" i="35"/>
  <c r="BE652" i="35"/>
  <c r="AS652" i="35"/>
  <c r="BB603" i="35"/>
  <c r="AY612" i="35"/>
  <c r="BB615" i="35"/>
  <c r="AU620" i="35"/>
  <c r="BG620" i="35"/>
  <c r="AW622" i="35"/>
  <c r="W623" i="35"/>
  <c r="AY624" i="35"/>
  <c r="BB627" i="35"/>
  <c r="BC628" i="35"/>
  <c r="AT631" i="35"/>
  <c r="BF631" i="35"/>
  <c r="AU632" i="35"/>
  <c r="BG632" i="35"/>
  <c r="AW634" i="35"/>
  <c r="W635" i="35"/>
  <c r="BD636" i="35"/>
  <c r="BK639" i="35"/>
  <c r="W639" i="35"/>
  <c r="AX640" i="35"/>
  <c r="AV644" i="35"/>
  <c r="BG644" i="35"/>
  <c r="AU644" i="35"/>
  <c r="BE644" i="35"/>
  <c r="AS644" i="35"/>
  <c r="BD644" i="35"/>
  <c r="BC644" i="35"/>
  <c r="BA644" i="35"/>
  <c r="AZ644" i="35"/>
  <c r="AW647" i="35"/>
  <c r="AW597" i="35"/>
  <c r="BA601" i="35"/>
  <c r="BC603" i="35"/>
  <c r="AS605" i="35"/>
  <c r="BE605" i="35"/>
  <c r="AT606" i="35"/>
  <c r="BF606" i="35"/>
  <c r="AU607" i="35"/>
  <c r="BG607" i="35"/>
  <c r="AW609" i="35"/>
  <c r="W610" i="35"/>
  <c r="AZ612" i="35"/>
  <c r="BA613" i="35"/>
  <c r="BB614" i="35"/>
  <c r="BC615" i="35"/>
  <c r="AS617" i="35"/>
  <c r="BE617" i="35"/>
  <c r="AT618" i="35"/>
  <c r="BF618" i="35"/>
  <c r="AU619" i="35"/>
  <c r="BG619" i="35"/>
  <c r="AV620" i="35"/>
  <c r="AW621" i="35"/>
  <c r="W622" i="35"/>
  <c r="AX622" i="35"/>
  <c r="AZ624" i="35"/>
  <c r="BB626" i="35"/>
  <c r="BC627" i="35"/>
  <c r="BD628" i="35"/>
  <c r="AS629" i="35"/>
  <c r="BE629" i="35"/>
  <c r="AT630" i="35"/>
  <c r="BF630" i="35"/>
  <c r="AU631" i="35"/>
  <c r="BG631" i="35"/>
  <c r="AV632" i="35"/>
  <c r="AW633" i="35"/>
  <c r="W634" i="35"/>
  <c r="AX634" i="35"/>
  <c r="BE636" i="35"/>
  <c r="BB640" i="35"/>
  <c r="BA647" i="35"/>
  <c r="AT605" i="35"/>
  <c r="AU606" i="35"/>
  <c r="AT617" i="35"/>
  <c r="AU618" i="35"/>
  <c r="AS628" i="35"/>
  <c r="AT629" i="35"/>
  <c r="AU630" i="35"/>
  <c r="BF636" i="35"/>
  <c r="BA637" i="35"/>
  <c r="AZ637" i="35"/>
  <c r="AX637" i="35"/>
  <c r="AW637" i="35"/>
  <c r="AV637" i="35"/>
  <c r="BE637" i="35"/>
  <c r="AS637" i="35"/>
  <c r="BE640" i="35"/>
  <c r="AM641" i="35"/>
  <c r="BB647" i="35"/>
  <c r="AT652" i="35"/>
  <c r="AZ672" i="35"/>
  <c r="AY672" i="35"/>
  <c r="AX672" i="35"/>
  <c r="AW672" i="35"/>
  <c r="AV672" i="35"/>
  <c r="BG672" i="35"/>
  <c r="AU672" i="35"/>
  <c r="BF672" i="35"/>
  <c r="AT672" i="35"/>
  <c r="BE672" i="35"/>
  <c r="AS672" i="35"/>
  <c r="BD672" i="35"/>
  <c r="BC672" i="35"/>
  <c r="BA672" i="35"/>
  <c r="BB649" i="35"/>
  <c r="AW656" i="35"/>
  <c r="AZ659" i="35"/>
  <c r="BB661" i="35"/>
  <c r="AS664" i="35"/>
  <c r="BE664" i="35"/>
  <c r="AW668" i="35"/>
  <c r="AX669" i="35"/>
  <c r="AZ671" i="35"/>
  <c r="BB673" i="35"/>
  <c r="AS676" i="35"/>
  <c r="BE676" i="35"/>
  <c r="AV679" i="35"/>
  <c r="AW680" i="35"/>
  <c r="BC683" i="35"/>
  <c r="BA683" i="35"/>
  <c r="AV683" i="35"/>
  <c r="BF683" i="35"/>
  <c r="AT683" i="35"/>
  <c r="BD683" i="35"/>
  <c r="BK687" i="35"/>
  <c r="W687" i="35"/>
  <c r="BB659" i="35"/>
  <c r="AU664" i="35"/>
  <c r="BG664" i="35"/>
  <c r="BB671" i="35"/>
  <c r="AU676" i="35"/>
  <c r="BG676" i="35"/>
  <c r="BB680" i="35"/>
  <c r="AT638" i="35"/>
  <c r="BF638" i="35"/>
  <c r="AU639" i="35"/>
  <c r="BG639" i="35"/>
  <c r="AW641" i="35"/>
  <c r="AX642" i="35"/>
  <c r="AY643" i="35"/>
  <c r="BA645" i="35"/>
  <c r="BB646" i="35"/>
  <c r="AS649" i="35"/>
  <c r="BE649" i="35"/>
  <c r="AT650" i="35"/>
  <c r="BF650" i="35"/>
  <c r="AU651" i="35"/>
  <c r="BG651" i="35"/>
  <c r="AW653" i="35"/>
  <c r="W654" i="35"/>
  <c r="AZ656" i="35"/>
  <c r="BA657" i="35"/>
  <c r="BB658" i="35"/>
  <c r="BC659" i="35"/>
  <c r="AS661" i="35"/>
  <c r="BE661" i="35"/>
  <c r="AT662" i="35"/>
  <c r="BF662" i="35"/>
  <c r="AU663" i="35"/>
  <c r="BG663" i="35"/>
  <c r="AV664" i="35"/>
  <c r="AW665" i="35"/>
  <c r="W666" i="35"/>
  <c r="AX666" i="35"/>
  <c r="AY667" i="35"/>
  <c r="AZ668" i="35"/>
  <c r="BA669" i="35"/>
  <c r="BB670" i="35"/>
  <c r="BC671" i="35"/>
  <c r="AS673" i="35"/>
  <c r="BE673" i="35"/>
  <c r="AT674" i="35"/>
  <c r="BF674" i="35"/>
  <c r="AU675" i="35"/>
  <c r="BG675" i="35"/>
  <c r="AV676" i="35"/>
  <c r="W678" i="35"/>
  <c r="AY679" i="35"/>
  <c r="BC680" i="35"/>
  <c r="AM682" i="35"/>
  <c r="AS683" i="35"/>
  <c r="AZ692" i="35"/>
  <c r="AY692" i="35"/>
  <c r="AX692" i="35"/>
  <c r="AW692" i="35"/>
  <c r="AV692" i="35"/>
  <c r="BF692" i="35"/>
  <c r="AT692" i="35"/>
  <c r="BE692" i="35"/>
  <c r="AS692" i="35"/>
  <c r="BD692" i="35"/>
  <c r="BC692" i="35"/>
  <c r="BA692" i="35"/>
  <c r="BB645" i="35"/>
  <c r="AT649" i="35"/>
  <c r="BF649" i="35"/>
  <c r="BA656" i="35"/>
  <c r="BB657" i="35"/>
  <c r="BD659" i="35"/>
  <c r="AT661" i="35"/>
  <c r="BF661" i="35"/>
  <c r="AW664" i="35"/>
  <c r="BA668" i="35"/>
  <c r="BB669" i="35"/>
  <c r="BD671" i="35"/>
  <c r="AW676" i="35"/>
  <c r="BE685" i="35"/>
  <c r="AS685" i="35"/>
  <c r="BC685" i="35"/>
  <c r="BA685" i="35"/>
  <c r="AX685" i="35"/>
  <c r="AW685" i="35"/>
  <c r="AV685" i="35"/>
  <c r="BF685" i="35"/>
  <c r="AT685" i="35"/>
  <c r="BK711" i="35"/>
  <c r="W711" i="35"/>
  <c r="BK723" i="35"/>
  <c r="W723" i="35"/>
  <c r="BB656" i="35"/>
  <c r="AS659" i="35"/>
  <c r="BE659" i="35"/>
  <c r="AX664" i="35"/>
  <c r="BB668" i="35"/>
  <c r="AS671" i="35"/>
  <c r="BE671" i="35"/>
  <c r="AX676" i="35"/>
  <c r="AZ680" i="35"/>
  <c r="AX680" i="35"/>
  <c r="BA680" i="35"/>
  <c r="BE680" i="35"/>
  <c r="AW638" i="35"/>
  <c r="AX639" i="35"/>
  <c r="BA642" i="35"/>
  <c r="BB643" i="35"/>
  <c r="BD645" i="35"/>
  <c r="AS646" i="35"/>
  <c r="BE646" i="35"/>
  <c r="AV649" i="35"/>
  <c r="AW650" i="35"/>
  <c r="AX651" i="35"/>
  <c r="AZ653" i="35"/>
  <c r="BA654" i="35"/>
  <c r="BB655" i="35"/>
  <c r="BC656" i="35"/>
  <c r="BD657" i="35"/>
  <c r="AS658" i="35"/>
  <c r="BE658" i="35"/>
  <c r="AT659" i="35"/>
  <c r="BF659" i="35"/>
  <c r="AV661" i="35"/>
  <c r="AW662" i="35"/>
  <c r="W663" i="35"/>
  <c r="AX663" i="35"/>
  <c r="AY664" i="35"/>
  <c r="BB667" i="35"/>
  <c r="BC668" i="35"/>
  <c r="BD669" i="35"/>
  <c r="AS670" i="35"/>
  <c r="BE670" i="35"/>
  <c r="AT671" i="35"/>
  <c r="BF671" i="35"/>
  <c r="AV673" i="35"/>
  <c r="AW674" i="35"/>
  <c r="W675" i="35"/>
  <c r="AY676" i="35"/>
  <c r="BB679" i="35"/>
  <c r="BF680" i="35"/>
  <c r="AX683" i="35"/>
  <c r="AU692" i="35"/>
  <c r="AZ716" i="35"/>
  <c r="AY716" i="35"/>
  <c r="AX716" i="35"/>
  <c r="AW716" i="35"/>
  <c r="AV716" i="35"/>
  <c r="BG716" i="35"/>
  <c r="AU716" i="35"/>
  <c r="BF716" i="35"/>
  <c r="AT716" i="35"/>
  <c r="BE716" i="35"/>
  <c r="AS716" i="35"/>
  <c r="BD716" i="35"/>
  <c r="BC716" i="35"/>
  <c r="BA716" i="35"/>
  <c r="W638" i="35"/>
  <c r="AX638" i="35"/>
  <c r="AY639" i="35"/>
  <c r="BA641" i="35"/>
  <c r="BB642" i="35"/>
  <c r="BC643" i="35"/>
  <c r="AS645" i="35"/>
  <c r="BE645" i="35"/>
  <c r="AT646" i="35"/>
  <c r="BF646" i="35"/>
  <c r="AW649" i="35"/>
  <c r="W650" i="35"/>
  <c r="AX650" i="35"/>
  <c r="AY651" i="35"/>
  <c r="BA653" i="35"/>
  <c r="BB654" i="35"/>
  <c r="BC655" i="35"/>
  <c r="BD656" i="35"/>
  <c r="AS657" i="35"/>
  <c r="BE657" i="35"/>
  <c r="AT658" i="35"/>
  <c r="BF658" i="35"/>
  <c r="AU659" i="35"/>
  <c r="BG659" i="35"/>
  <c r="AW661" i="35"/>
  <c r="W662" i="35"/>
  <c r="AX662" i="35"/>
  <c r="AY663" i="35"/>
  <c r="AZ664" i="35"/>
  <c r="BA665" i="35"/>
  <c r="BB666" i="35"/>
  <c r="BC667" i="35"/>
  <c r="BD668" i="35"/>
  <c r="AS669" i="35"/>
  <c r="BE669" i="35"/>
  <c r="AT670" i="35"/>
  <c r="BF670" i="35"/>
  <c r="AU671" i="35"/>
  <c r="BG671" i="35"/>
  <c r="AW673" i="35"/>
  <c r="W674" i="35"/>
  <c r="AX674" i="35"/>
  <c r="AY675" i="35"/>
  <c r="AZ676" i="35"/>
  <c r="BA677" i="35"/>
  <c r="BB678" i="35"/>
  <c r="BC679" i="35"/>
  <c r="BG680" i="35"/>
  <c r="AY683" i="35"/>
  <c r="AU685" i="35"/>
  <c r="BB692" i="35"/>
  <c r="BK699" i="35"/>
  <c r="W699" i="35"/>
  <c r="AY638" i="35"/>
  <c r="AZ639" i="35"/>
  <c r="BB641" i="35"/>
  <c r="BC642" i="35"/>
  <c r="BD643" i="35"/>
  <c r="AT645" i="35"/>
  <c r="BF645" i="35"/>
  <c r="AU646" i="35"/>
  <c r="BG646" i="35"/>
  <c r="AX649" i="35"/>
  <c r="AY650" i="35"/>
  <c r="AZ651" i="35"/>
  <c r="BB653" i="35"/>
  <c r="BC654" i="35"/>
  <c r="BD655" i="35"/>
  <c r="AS656" i="35"/>
  <c r="BE656" i="35"/>
  <c r="AT657" i="35"/>
  <c r="BF657" i="35"/>
  <c r="AU658" i="35"/>
  <c r="BG658" i="35"/>
  <c r="AV659" i="35"/>
  <c r="AX661" i="35"/>
  <c r="AY662" i="35"/>
  <c r="AZ663" i="35"/>
  <c r="BA664" i="35"/>
  <c r="BB665" i="35"/>
  <c r="BC666" i="35"/>
  <c r="BD667" i="35"/>
  <c r="AS668" i="35"/>
  <c r="BE668" i="35"/>
  <c r="AT669" i="35"/>
  <c r="BF669" i="35"/>
  <c r="AU670" i="35"/>
  <c r="BG670" i="35"/>
  <c r="AV671" i="35"/>
  <c r="AX673" i="35"/>
  <c r="AY674" i="35"/>
  <c r="AZ675" i="35"/>
  <c r="BA676" i="35"/>
  <c r="BB677" i="35"/>
  <c r="BD679" i="35"/>
  <c r="AS680" i="35"/>
  <c r="AZ683" i="35"/>
  <c r="AY685" i="35"/>
  <c r="BG692" i="35"/>
  <c r="BK694" i="35"/>
  <c r="W694" i="35"/>
  <c r="AZ704" i="35"/>
  <c r="AY704" i="35"/>
  <c r="AX704" i="35"/>
  <c r="AW704" i="35"/>
  <c r="AV704" i="35"/>
  <c r="BG704" i="35"/>
  <c r="AU704" i="35"/>
  <c r="BF704" i="35"/>
  <c r="AT704" i="35"/>
  <c r="BE704" i="35"/>
  <c r="AS704" i="35"/>
  <c r="BD704" i="35"/>
  <c r="BC704" i="35"/>
  <c r="BA704" i="35"/>
  <c r="BB664" i="35"/>
  <c r="AT668" i="35"/>
  <c r="BF668" i="35"/>
  <c r="AW671" i="35"/>
  <c r="BB676" i="35"/>
  <c r="AT680" i="35"/>
  <c r="BB716" i="35"/>
  <c r="BA638" i="35"/>
  <c r="BB639" i="35"/>
  <c r="BE642" i="35"/>
  <c r="AT643" i="35"/>
  <c r="BF643" i="35"/>
  <c r="AV645" i="35"/>
  <c r="AW646" i="35"/>
  <c r="AZ649" i="35"/>
  <c r="BB651" i="35"/>
  <c r="AT655" i="35"/>
  <c r="BF655" i="35"/>
  <c r="AU656" i="35"/>
  <c r="BG656" i="35"/>
  <c r="AV657" i="35"/>
  <c r="AW658" i="35"/>
  <c r="W659" i="35"/>
  <c r="AX659" i="35"/>
  <c r="AZ661" i="35"/>
  <c r="BB663" i="35"/>
  <c r="BC664" i="35"/>
  <c r="AT667" i="35"/>
  <c r="BF667" i="35"/>
  <c r="AU668" i="35"/>
  <c r="BG668" i="35"/>
  <c r="AV669" i="35"/>
  <c r="AW670" i="35"/>
  <c r="W671" i="35"/>
  <c r="AX671" i="35"/>
  <c r="AZ673" i="35"/>
  <c r="BA674" i="35"/>
  <c r="BC676" i="35"/>
  <c r="AS678" i="35"/>
  <c r="AT679" i="35"/>
  <c r="BF679" i="35"/>
  <c r="AU680" i="35"/>
  <c r="BE683" i="35"/>
  <c r="BB685" i="35"/>
  <c r="AM725" i="35"/>
  <c r="AT642" i="35"/>
  <c r="AU643" i="35"/>
  <c r="AS653" i="35"/>
  <c r="AT654" i="35"/>
  <c r="AU655" i="35"/>
  <c r="AS665" i="35"/>
  <c r="AT666" i="35"/>
  <c r="AU667" i="35"/>
  <c r="AU679" i="35"/>
  <c r="AV680" i="35"/>
  <c r="BG683" i="35"/>
  <c r="BD685" i="35"/>
  <c r="AM713" i="35"/>
  <c r="BB681" i="35"/>
  <c r="BC682" i="35"/>
  <c r="AS684" i="35"/>
  <c r="BE684" i="35"/>
  <c r="AU686" i="35"/>
  <c r="BG686" i="35"/>
  <c r="AW688" i="35"/>
  <c r="AX689" i="35"/>
  <c r="AY690" i="35"/>
  <c r="BK690" i="35"/>
  <c r="BB693" i="35"/>
  <c r="BD695" i="35"/>
  <c r="AT697" i="35"/>
  <c r="BF697" i="35"/>
  <c r="AU698" i="35"/>
  <c r="BG698" i="35"/>
  <c r="AV699" i="35"/>
  <c r="AW700" i="35"/>
  <c r="AX701" i="35"/>
  <c r="AY702" i="35"/>
  <c r="BK702" i="35"/>
  <c r="BB705" i="35"/>
  <c r="BD707" i="35"/>
  <c r="AT709" i="35"/>
  <c r="BF709" i="35"/>
  <c r="AU710" i="35"/>
  <c r="BG710" i="35"/>
  <c r="AV711" i="35"/>
  <c r="AW712" i="35"/>
  <c r="AX713" i="35"/>
  <c r="BK714" i="35"/>
  <c r="BB717" i="35"/>
  <c r="AS720" i="35"/>
  <c r="BE720" i="35"/>
  <c r="AT721" i="35"/>
  <c r="BF721" i="35"/>
  <c r="AU722" i="35"/>
  <c r="BG722" i="35"/>
  <c r="AV723" i="35"/>
  <c r="AW724" i="35"/>
  <c r="AY726" i="35"/>
  <c r="BK726" i="35"/>
  <c r="AZ727" i="35"/>
  <c r="BE682" i="35"/>
  <c r="AU684" i="35"/>
  <c r="BG684" i="35"/>
  <c r="AW686" i="35"/>
  <c r="AY688" i="35"/>
  <c r="AZ689" i="35"/>
  <c r="BA690" i="35"/>
  <c r="BB691" i="35"/>
  <c r="BD693" i="35"/>
  <c r="BE694" i="35"/>
  <c r="AT695" i="35"/>
  <c r="BF695" i="35"/>
  <c r="AU696" i="35"/>
  <c r="BG696" i="35"/>
  <c r="AV697" i="35"/>
  <c r="AW698" i="35"/>
  <c r="AX699" i="35"/>
  <c r="AY700" i="35"/>
  <c r="AZ701" i="35"/>
  <c r="BA702" i="35"/>
  <c r="BB703" i="35"/>
  <c r="BD705" i="35"/>
  <c r="AS706" i="35"/>
  <c r="BE706" i="35"/>
  <c r="AT707" i="35"/>
  <c r="BF707" i="35"/>
  <c r="AU708" i="35"/>
  <c r="BG708" i="35"/>
  <c r="AV709" i="35"/>
  <c r="AW710" i="35"/>
  <c r="AX711" i="35"/>
  <c r="AY712" i="35"/>
  <c r="AZ713" i="35"/>
  <c r="BA714" i="35"/>
  <c r="BD717" i="35"/>
  <c r="AS718" i="35"/>
  <c r="BE718" i="35"/>
  <c r="AT719" i="35"/>
  <c r="BF719" i="35"/>
  <c r="AU720" i="35"/>
  <c r="BG720" i="35"/>
  <c r="AV721" i="35"/>
  <c r="AW722" i="35"/>
  <c r="AX723" i="35"/>
  <c r="AY724" i="35"/>
  <c r="AZ725" i="35"/>
  <c r="BA726" i="35"/>
  <c r="BB727" i="35"/>
  <c r="AX686" i="35"/>
  <c r="AZ688" i="35"/>
  <c r="BB690" i="35"/>
  <c r="AU695" i="35"/>
  <c r="BG695" i="35"/>
  <c r="AW697" i="35"/>
  <c r="AX698" i="35"/>
  <c r="AY699" i="35"/>
  <c r="AZ700" i="35"/>
  <c r="BA701" i="35"/>
  <c r="BB702" i="35"/>
  <c r="AS705" i="35"/>
  <c r="BE705" i="35"/>
  <c r="AT706" i="35"/>
  <c r="BF706" i="35"/>
  <c r="AU707" i="35"/>
  <c r="BG707" i="35"/>
  <c r="AV708" i="35"/>
  <c r="AW709" i="35"/>
  <c r="AX710" i="35"/>
  <c r="AY711" i="35"/>
  <c r="AZ712" i="35"/>
  <c r="BA713" i="35"/>
  <c r="BB714" i="35"/>
  <c r="AS717" i="35"/>
  <c r="BE717" i="35"/>
  <c r="AT718" i="35"/>
  <c r="BF718" i="35"/>
  <c r="AU719" i="35"/>
  <c r="BG719" i="35"/>
  <c r="AV720" i="35"/>
  <c r="AW721" i="35"/>
  <c r="AX722" i="35"/>
  <c r="AY723" i="35"/>
  <c r="AZ724" i="35"/>
  <c r="BA725" i="35"/>
  <c r="BB726" i="35"/>
  <c r="BC727" i="35"/>
  <c r="AY686" i="35"/>
  <c r="BA688" i="35"/>
  <c r="BB689" i="35"/>
  <c r="BC690" i="35"/>
  <c r="AT693" i="35"/>
  <c r="BF693" i="35"/>
  <c r="AV695" i="35"/>
  <c r="AX697" i="35"/>
  <c r="AY698" i="35"/>
  <c r="AZ699" i="35"/>
  <c r="BA700" i="35"/>
  <c r="BB701" i="35"/>
  <c r="AT705" i="35"/>
  <c r="BF705" i="35"/>
  <c r="AV707" i="35"/>
  <c r="AX709" i="35"/>
  <c r="AY710" i="35"/>
  <c r="AZ711" i="35"/>
  <c r="BA712" i="35"/>
  <c r="BB713" i="35"/>
  <c r="AT717" i="35"/>
  <c r="BF717" i="35"/>
  <c r="AU718" i="35"/>
  <c r="BG718" i="35"/>
  <c r="AV719" i="35"/>
  <c r="AW720" i="35"/>
  <c r="AX721" i="35"/>
  <c r="AY722" i="35"/>
  <c r="AZ723" i="35"/>
  <c r="BA724" i="35"/>
  <c r="BB725" i="35"/>
  <c r="BC726" i="35"/>
  <c r="BD727" i="35"/>
  <c r="BB688" i="35"/>
  <c r="BA699" i="35"/>
  <c r="BB700" i="35"/>
  <c r="BA711" i="35"/>
  <c r="BB712" i="35"/>
  <c r="BA723" i="35"/>
  <c r="BB724" i="35"/>
  <c r="AS727" i="35"/>
  <c r="BE727" i="35"/>
  <c r="BB699" i="35"/>
  <c r="BB711" i="35"/>
  <c r="BB723" i="35"/>
  <c r="AT727" i="35"/>
  <c r="BF727" i="35"/>
  <c r="BB686" i="35"/>
  <c r="BD688" i="35"/>
  <c r="AT690" i="35"/>
  <c r="BF690" i="35"/>
  <c r="AY695" i="35"/>
  <c r="BA697" i="35"/>
  <c r="BB698" i="35"/>
  <c r="BC699" i="35"/>
  <c r="BD700" i="35"/>
  <c r="W706" i="35"/>
  <c r="BA709" i="35"/>
  <c r="BB710" i="35"/>
  <c r="BC711" i="35"/>
  <c r="BD712" i="35"/>
  <c r="W718" i="35"/>
  <c r="BB722" i="35"/>
  <c r="BC723" i="35"/>
  <c r="BD724" i="35"/>
  <c r="AT726" i="35"/>
  <c r="BF726" i="35"/>
  <c r="AU727" i="35"/>
  <c r="BG727" i="35"/>
  <c r="AS688" i="35"/>
  <c r="BE688" i="35"/>
  <c r="BB697" i="35"/>
  <c r="BD699" i="35"/>
  <c r="AS700" i="35"/>
  <c r="BE700" i="35"/>
  <c r="BB709" i="35"/>
  <c r="BC710" i="35"/>
  <c r="BD711" i="35"/>
  <c r="AS712" i="35"/>
  <c r="BE712" i="35"/>
  <c r="W717" i="35"/>
  <c r="BB721" i="35"/>
  <c r="BC722" i="35"/>
  <c r="BD723" i="35"/>
  <c r="AS724" i="35"/>
  <c r="BE724" i="35"/>
  <c r="AT725" i="35"/>
  <c r="BF725" i="35"/>
  <c r="AU726" i="35"/>
  <c r="BG726" i="35"/>
  <c r="AV727" i="35"/>
  <c r="AY681" i="35"/>
  <c r="AZ682" i="35"/>
  <c r="BB684" i="35"/>
  <c r="BD686" i="35"/>
  <c r="AT688" i="35"/>
  <c r="BF688" i="35"/>
  <c r="AU689" i="35"/>
  <c r="BG689" i="35"/>
  <c r="AV690" i="35"/>
  <c r="AW691" i="35"/>
  <c r="W692" i="35"/>
  <c r="AY693" i="35"/>
  <c r="AZ694" i="35"/>
  <c r="BA695" i="35"/>
  <c r="BB696" i="35"/>
  <c r="BC697" i="35"/>
  <c r="BD698" i="35"/>
  <c r="AS699" i="35"/>
  <c r="BE699" i="35"/>
  <c r="AT700" i="35"/>
  <c r="BF700" i="35"/>
  <c r="AU701" i="35"/>
  <c r="BG701" i="35"/>
  <c r="AV702" i="35"/>
  <c r="AW703" i="35"/>
  <c r="W704" i="35"/>
  <c r="AY705" i="35"/>
  <c r="AZ706" i="35"/>
  <c r="BA707" i="35"/>
  <c r="BC709" i="35"/>
  <c r="BD710" i="35"/>
  <c r="AS711" i="35"/>
  <c r="BE711" i="35"/>
  <c r="AT712" i="35"/>
  <c r="BF712" i="35"/>
  <c r="AU713" i="35"/>
  <c r="BG713" i="35"/>
  <c r="AV714" i="35"/>
  <c r="W716" i="35"/>
  <c r="AY717" i="35"/>
  <c r="BA719" i="35"/>
  <c r="BB720" i="35"/>
  <c r="BC721" i="35"/>
  <c r="BD722" i="35"/>
  <c r="AS723" i="35"/>
  <c r="BE723" i="35"/>
  <c r="AT724" i="35"/>
  <c r="BF724" i="35"/>
  <c r="AU725" i="35"/>
  <c r="BG725" i="35"/>
  <c r="AV726" i="35"/>
  <c r="AW727" i="35"/>
  <c r="AU688" i="35"/>
  <c r="BG688" i="35"/>
  <c r="BB695" i="35"/>
  <c r="BD697" i="35"/>
  <c r="AS698" i="35"/>
  <c r="BE698" i="35"/>
  <c r="AT699" i="35"/>
  <c r="BF699" i="35"/>
  <c r="AU700" i="35"/>
  <c r="BG700" i="35"/>
  <c r="BB707" i="35"/>
  <c r="BD709" i="35"/>
  <c r="AS710" i="35"/>
  <c r="BE710" i="35"/>
  <c r="AT711" i="35"/>
  <c r="BF711" i="35"/>
  <c r="AU712" i="35"/>
  <c r="BG712" i="35"/>
  <c r="AV713" i="35"/>
  <c r="AZ717" i="35"/>
  <c r="BB719" i="35"/>
  <c r="BC720" i="35"/>
  <c r="BD721" i="35"/>
  <c r="AS722" i="35"/>
  <c r="BE722" i="35"/>
  <c r="AT723" i="35"/>
  <c r="BF723" i="35"/>
  <c r="AU724" i="35"/>
  <c r="BG724" i="35"/>
  <c r="AV725" i="35"/>
  <c r="AW726" i="35"/>
  <c r="AX727" i="35"/>
  <c r="AT686" i="35"/>
  <c r="AS697" i="35"/>
  <c r="AT698" i="35"/>
  <c r="AU699" i="35"/>
  <c r="AS709" i="35"/>
  <c r="AT710" i="35"/>
  <c r="AU711" i="35"/>
  <c r="AS721" i="35"/>
  <c r="AT722" i="35"/>
  <c r="AU723" i="35"/>
  <c r="AH23" i="35" l="1"/>
  <c r="BN9" i="35" s="1"/>
  <c r="AH11" i="35"/>
  <c r="BN11" i="35" s="1"/>
  <c r="AH25" i="35"/>
  <c r="AH9" i="35"/>
  <c r="BC25" i="35"/>
  <c r="AH7" i="35"/>
  <c r="BN12" i="35" s="1"/>
  <c r="BC12" i="35"/>
  <c r="AH21" i="35" s="1"/>
  <c r="AY12" i="35"/>
  <c r="AG10" i="35"/>
  <c r="AH19" i="35"/>
  <c r="BN6" i="35" s="1"/>
  <c r="AH17" i="35"/>
  <c r="AH29" i="35"/>
  <c r="V33" i="11" l="1"/>
  <c r="BO6" i="11"/>
  <c r="BO7" i="11"/>
  <c r="BO8" i="11"/>
  <c r="BO9" i="11"/>
  <c r="BO10" i="11"/>
  <c r="BO11" i="11"/>
  <c r="BO12" i="11"/>
  <c r="BO13" i="11"/>
  <c r="BO14" i="11"/>
  <c r="BO15" i="11"/>
  <c r="BO16" i="11"/>
  <c r="BO17" i="11"/>
  <c r="BO18" i="11"/>
  <c r="BO5" i="11"/>
  <c r="BG5" i="11" l="1"/>
  <c r="AB5" i="11"/>
  <c r="L6" i="11"/>
  <c r="L7" i="11"/>
  <c r="L8" i="11"/>
  <c r="L9" i="11"/>
  <c r="L10" i="11"/>
  <c r="L11" i="11"/>
  <c r="L12" i="11"/>
  <c r="L13" i="11"/>
  <c r="L14" i="11"/>
  <c r="L16" i="11"/>
  <c r="L17" i="11"/>
  <c r="L18" i="11"/>
  <c r="N6" i="11" l="1"/>
  <c r="N7" i="11"/>
  <c r="N8" i="11"/>
  <c r="N9" i="11"/>
  <c r="N10" i="11"/>
  <c r="N11" i="11"/>
  <c r="N12" i="11"/>
  <c r="N13" i="11"/>
  <c r="N14" i="11"/>
  <c r="N16" i="11"/>
  <c r="N17" i="11"/>
  <c r="N18" i="11"/>
  <c r="M6" i="11"/>
  <c r="M7" i="11"/>
  <c r="M8" i="11"/>
  <c r="M9" i="11"/>
  <c r="M10" i="11"/>
  <c r="M11" i="11"/>
  <c r="M12" i="11"/>
  <c r="M13" i="11"/>
  <c r="M14" i="11"/>
  <c r="M16" i="11"/>
  <c r="M17" i="11"/>
  <c r="M18" i="11"/>
  <c r="S6" i="11"/>
  <c r="S7" i="11"/>
  <c r="S8" i="11"/>
  <c r="S9" i="11"/>
  <c r="S10" i="11"/>
  <c r="S11" i="11"/>
  <c r="S12" i="11"/>
  <c r="S13" i="11"/>
  <c r="S14" i="11"/>
  <c r="S16" i="11"/>
  <c r="S17" i="11"/>
  <c r="S18" i="11"/>
  <c r="M69" i="40"/>
  <c r="M18" i="40"/>
  <c r="M16" i="40"/>
  <c r="M14" i="40"/>
  <c r="M12" i="40"/>
  <c r="P20" i="40" l="1"/>
  <c r="P11" i="40"/>
  <c r="P4" i="40"/>
  <c r="P2" i="40" l="1"/>
  <c r="H69" i="40" l="1"/>
  <c r="C69" i="40" s="1"/>
  <c r="C14" i="21" s="1"/>
  <c r="M62" i="40"/>
  <c r="M61" i="40"/>
  <c r="M2" i="40"/>
  <c r="M3" i="40"/>
  <c r="M20" i="40"/>
  <c r="H20" i="40" s="1"/>
  <c r="C20" i="40" s="1"/>
  <c r="C5" i="21" s="1"/>
  <c r="M64" i="40"/>
  <c r="M65" i="40"/>
  <c r="M66" i="40"/>
  <c r="M68" i="40"/>
  <c r="H68" i="40" s="1"/>
  <c r="C68" i="40" s="1"/>
  <c r="C13" i="21" s="1"/>
  <c r="E5" i="23"/>
  <c r="F5" i="23" s="1"/>
  <c r="E6" i="23"/>
  <c r="F6" i="23" s="1"/>
  <c r="E7" i="23"/>
  <c r="F7" i="23" s="1"/>
  <c r="E8" i="23"/>
  <c r="F8" i="23" s="1"/>
  <c r="E9" i="23"/>
  <c r="E10" i="23"/>
  <c r="F10" i="23" s="1"/>
  <c r="E11" i="23"/>
  <c r="F11" i="23" s="1"/>
  <c r="E12" i="23"/>
  <c r="F12" i="23" s="1"/>
  <c r="E13" i="23"/>
  <c r="F13" i="23" s="1"/>
  <c r="E14" i="23"/>
  <c r="F14" i="23" s="1"/>
  <c r="E15" i="23"/>
  <c r="E16" i="23"/>
  <c r="F16" i="23" s="1"/>
  <c r="E17" i="23"/>
  <c r="E18" i="23"/>
  <c r="F18" i="23" s="1"/>
  <c r="E19" i="23"/>
  <c r="F19" i="23" s="1"/>
  <c r="E20" i="23"/>
  <c r="E21" i="23"/>
  <c r="F21" i="23" s="1"/>
  <c r="E22" i="23"/>
  <c r="F22" i="23" s="1"/>
  <c r="E23" i="23"/>
  <c r="E24" i="23"/>
  <c r="F24" i="23" s="1"/>
  <c r="E25" i="23"/>
  <c r="E26" i="23"/>
  <c r="F26" i="23" s="1"/>
  <c r="E27" i="23"/>
  <c r="F27" i="23" s="1"/>
  <c r="E28" i="23"/>
  <c r="F28" i="23" s="1"/>
  <c r="E29" i="23"/>
  <c r="E30" i="23"/>
  <c r="F30" i="23" s="1"/>
  <c r="E31" i="23"/>
  <c r="E32" i="23"/>
  <c r="F32" i="23" s="1"/>
  <c r="E33" i="23"/>
  <c r="E34" i="23"/>
  <c r="F34" i="23" s="1"/>
  <c r="E35" i="23"/>
  <c r="E36" i="23"/>
  <c r="E37" i="23"/>
  <c r="F37" i="23" s="1"/>
  <c r="E38" i="23"/>
  <c r="E39" i="23"/>
  <c r="F39" i="23" s="1"/>
  <c r="E40" i="23"/>
  <c r="E41" i="23"/>
  <c r="F41" i="23" s="1"/>
  <c r="E42" i="23"/>
  <c r="E43" i="23"/>
  <c r="F43" i="23" s="1"/>
  <c r="E44" i="23"/>
  <c r="E45" i="23"/>
  <c r="F45" i="23" s="1"/>
  <c r="E46" i="23"/>
  <c r="E47" i="23"/>
  <c r="F47" i="23" s="1"/>
  <c r="E48" i="23"/>
  <c r="F48" i="23" s="1"/>
  <c r="E49" i="23"/>
  <c r="F49" i="23" s="1"/>
  <c r="E50" i="23"/>
  <c r="E51" i="23"/>
  <c r="F51" i="23" s="1"/>
  <c r="E52" i="23"/>
  <c r="E53" i="23"/>
  <c r="F53" i="23" s="1"/>
  <c r="E54" i="23"/>
  <c r="E55" i="23"/>
  <c r="E56" i="23"/>
  <c r="F56" i="23" s="1"/>
  <c r="E57" i="23"/>
  <c r="F57" i="23" s="1"/>
  <c r="E58" i="23"/>
  <c r="E59" i="23"/>
  <c r="F59" i="23" s="1"/>
  <c r="E60" i="23"/>
  <c r="E61" i="23"/>
  <c r="F61" i="23" s="1"/>
  <c r="E62" i="23"/>
  <c r="F62" i="23" s="1"/>
  <c r="E63" i="23"/>
  <c r="F63" i="23" s="1"/>
  <c r="E64" i="23"/>
  <c r="E65" i="23"/>
  <c r="F65" i="23" s="1"/>
  <c r="E66" i="23"/>
  <c r="F66" i="23" s="1"/>
  <c r="E67" i="23"/>
  <c r="E68" i="23"/>
  <c r="F68" i="23" s="1"/>
  <c r="E69" i="23"/>
  <c r="F69" i="23" s="1"/>
  <c r="E70" i="23"/>
  <c r="F70" i="23" s="1"/>
  <c r="E71" i="23"/>
  <c r="F71" i="23" s="1"/>
  <c r="E72" i="23"/>
  <c r="F72" i="23" s="1"/>
  <c r="E73" i="23"/>
  <c r="E74" i="23"/>
  <c r="F74" i="23" s="1"/>
  <c r="E75" i="23"/>
  <c r="F75" i="23" s="1"/>
  <c r="E76" i="23"/>
  <c r="E77" i="23"/>
  <c r="E78" i="23"/>
  <c r="F78" i="23" s="1"/>
  <c r="E79" i="23"/>
  <c r="F79" i="23" s="1"/>
  <c r="E80" i="23"/>
  <c r="F80" i="23" s="1"/>
  <c r="E81" i="23"/>
  <c r="E82" i="23"/>
  <c r="F82" i="23" s="1"/>
  <c r="E83" i="23"/>
  <c r="F83" i="23" s="1"/>
  <c r="E84" i="23"/>
  <c r="F84" i="23" s="1"/>
  <c r="E85" i="23"/>
  <c r="F85" i="23" s="1"/>
  <c r="E86" i="23"/>
  <c r="E87" i="23"/>
  <c r="F87" i="23" s="1"/>
  <c r="E88" i="23"/>
  <c r="F88" i="23" s="1"/>
  <c r="E89" i="23"/>
  <c r="F89" i="23" s="1"/>
  <c r="E90" i="23"/>
  <c r="E91" i="23"/>
  <c r="F91" i="23" s="1"/>
  <c r="E92" i="23"/>
  <c r="E93" i="23"/>
  <c r="E94" i="23"/>
  <c r="F94" i="23" s="1"/>
  <c r="E95" i="23"/>
  <c r="F95" i="23" s="1"/>
  <c r="E96" i="23"/>
  <c r="E97" i="23"/>
  <c r="F97" i="23" s="1"/>
  <c r="E98" i="23"/>
  <c r="F98" i="23" s="1"/>
  <c r="E99" i="23"/>
  <c r="F99" i="23" s="1"/>
  <c r="E100" i="23"/>
  <c r="F100" i="23" s="1"/>
  <c r="E101" i="23"/>
  <c r="E102" i="23"/>
  <c r="E103" i="23"/>
  <c r="F103" i="23" s="1"/>
  <c r="E104" i="23"/>
  <c r="F104" i="23" s="1"/>
  <c r="E105" i="23"/>
  <c r="F105" i="23" s="1"/>
  <c r="E106" i="23"/>
  <c r="E107" i="23"/>
  <c r="F107" i="23" s="1"/>
  <c r="E108" i="23"/>
  <c r="F108" i="23" s="1"/>
  <c r="E109" i="23"/>
  <c r="F109" i="23" s="1"/>
  <c r="E110" i="23"/>
  <c r="F110" i="23" s="1"/>
  <c r="E111" i="23"/>
  <c r="E112" i="23"/>
  <c r="F112" i="23" s="1"/>
  <c r="E113" i="23"/>
  <c r="F113" i="23" s="1"/>
  <c r="E114" i="23"/>
  <c r="F114" i="23" s="1"/>
  <c r="E115" i="23"/>
  <c r="E116" i="23"/>
  <c r="F116" i="23" s="1"/>
  <c r="E117" i="23"/>
  <c r="E118" i="23"/>
  <c r="E119" i="23"/>
  <c r="F119" i="23" s="1"/>
  <c r="E120" i="23"/>
  <c r="F120" i="23" s="1"/>
  <c r="E121" i="23"/>
  <c r="E122" i="23"/>
  <c r="F122" i="23" s="1"/>
  <c r="E123" i="23"/>
  <c r="F123" i="23" s="1"/>
  <c r="E124" i="23"/>
  <c r="F124" i="23" s="1"/>
  <c r="E125" i="23"/>
  <c r="F125" i="23" s="1"/>
  <c r="E126" i="23"/>
  <c r="E127" i="23"/>
  <c r="F127" i="23" s="1"/>
  <c r="E128" i="23"/>
  <c r="F128" i="23" s="1"/>
  <c r="E129" i="23"/>
  <c r="F129" i="23" s="1"/>
  <c r="E130" i="23"/>
  <c r="E131" i="23"/>
  <c r="F131" i="23" s="1"/>
  <c r="E132" i="23"/>
  <c r="F132" i="23" s="1"/>
  <c r="E133" i="23"/>
  <c r="F133" i="23" s="1"/>
  <c r="E134" i="23"/>
  <c r="F134" i="23" s="1"/>
  <c r="E135" i="23"/>
  <c r="E136" i="23"/>
  <c r="F136" i="23" s="1"/>
  <c r="E137" i="23"/>
  <c r="F137" i="23" s="1"/>
  <c r="E138" i="23"/>
  <c r="F138" i="23" s="1"/>
  <c r="E139" i="23"/>
  <c r="E140" i="23"/>
  <c r="F140" i="23" s="1"/>
  <c r="E141" i="23"/>
  <c r="F141" i="23" s="1"/>
  <c r="E142" i="23"/>
  <c r="F142" i="23" s="1"/>
  <c r="E143" i="23"/>
  <c r="F143" i="23" s="1"/>
  <c r="E144" i="23"/>
  <c r="E145" i="23"/>
  <c r="F145" i="23" s="1"/>
  <c r="E146" i="23"/>
  <c r="F146" i="23" s="1"/>
  <c r="E147" i="23"/>
  <c r="F147" i="23" s="1"/>
  <c r="E148" i="23"/>
  <c r="E149" i="23"/>
  <c r="F149" i="23" s="1"/>
  <c r="E150" i="23"/>
  <c r="F150" i="23" s="1"/>
  <c r="E151" i="23"/>
  <c r="F151" i="23" s="1"/>
  <c r="E152" i="23"/>
  <c r="F152" i="23" s="1"/>
  <c r="E153" i="23"/>
  <c r="E154" i="23"/>
  <c r="F154" i="23" s="1"/>
  <c r="E155" i="23"/>
  <c r="F155" i="23" s="1"/>
  <c r="E156" i="23"/>
  <c r="F156" i="23" s="1"/>
  <c r="E157" i="23"/>
  <c r="E158" i="23"/>
  <c r="F158" i="23" s="1"/>
  <c r="E159" i="23"/>
  <c r="F159" i="23" s="1"/>
  <c r="E160" i="23"/>
  <c r="F160" i="23" s="1"/>
  <c r="E161" i="23"/>
  <c r="F161" i="23" s="1"/>
  <c r="E162" i="23"/>
  <c r="E163" i="23"/>
  <c r="E164" i="23"/>
  <c r="F164" i="23" s="1"/>
  <c r="E165" i="23"/>
  <c r="F165" i="23" s="1"/>
  <c r="E166" i="23"/>
  <c r="F166" i="23" s="1"/>
  <c r="E167" i="23"/>
  <c r="E168" i="23"/>
  <c r="F168" i="23" s="1"/>
  <c r="E169" i="23"/>
  <c r="F169" i="23" s="1"/>
  <c r="E170" i="23"/>
  <c r="F170" i="23" s="1"/>
  <c r="E171" i="23"/>
  <c r="F171" i="23" s="1"/>
  <c r="E172" i="23"/>
  <c r="E173" i="23"/>
  <c r="E174" i="23"/>
  <c r="F174" i="23" s="1"/>
  <c r="E175" i="23"/>
  <c r="F175" i="23" s="1"/>
  <c r="E176" i="23"/>
  <c r="F176" i="23" s="1"/>
  <c r="E177" i="23"/>
  <c r="E178" i="23"/>
  <c r="F178" i="23" s="1"/>
  <c r="E179" i="23"/>
  <c r="F179" i="23" s="1"/>
  <c r="E180" i="23"/>
  <c r="F180" i="23" s="1"/>
  <c r="E181" i="23"/>
  <c r="F181" i="23" s="1"/>
  <c r="E182" i="23"/>
  <c r="E183" i="23"/>
  <c r="F183" i="23" s="1"/>
  <c r="E184" i="23"/>
  <c r="F184" i="23" s="1"/>
  <c r="E185" i="23"/>
  <c r="F185" i="23" s="1"/>
  <c r="E186" i="23"/>
  <c r="E187" i="23"/>
  <c r="F187" i="23" s="1"/>
  <c r="E188" i="23"/>
  <c r="F188" i="23" s="1"/>
  <c r="E189" i="23"/>
  <c r="F189" i="23" s="1"/>
  <c r="E190" i="23"/>
  <c r="F190" i="23" s="1"/>
  <c r="E191" i="23"/>
  <c r="E192" i="23"/>
  <c r="F192" i="23" s="1"/>
  <c r="E193" i="23"/>
  <c r="F193" i="23" s="1"/>
  <c r="E194" i="23"/>
  <c r="F194" i="23" s="1"/>
  <c r="E195" i="23"/>
  <c r="E196" i="23"/>
  <c r="F196" i="23" s="1"/>
  <c r="E197" i="23"/>
  <c r="F197" i="23" s="1"/>
  <c r="E198" i="23"/>
  <c r="F198" i="23" s="1"/>
  <c r="E199" i="23"/>
  <c r="F199" i="23" s="1"/>
  <c r="E200" i="23"/>
  <c r="E201" i="23"/>
  <c r="E202" i="23"/>
  <c r="F202" i="23" s="1"/>
  <c r="E203" i="23"/>
  <c r="F203" i="23" s="1"/>
  <c r="E204" i="23"/>
  <c r="F204" i="23" s="1"/>
  <c r="E205" i="23"/>
  <c r="E206" i="23"/>
  <c r="F206" i="23" s="1"/>
  <c r="E207" i="23"/>
  <c r="F207" i="23" s="1"/>
  <c r="E208" i="23"/>
  <c r="F208" i="23" s="1"/>
  <c r="E209" i="23"/>
  <c r="F209" i="23" s="1"/>
  <c r="E210" i="23"/>
  <c r="E211" i="23"/>
  <c r="F211" i="23" s="1"/>
  <c r="E212" i="23"/>
  <c r="E213" i="23"/>
  <c r="F213" i="23" s="1"/>
  <c r="E214" i="23"/>
  <c r="E215" i="23"/>
  <c r="E216" i="23"/>
  <c r="E217" i="23"/>
  <c r="F217" i="23" s="1"/>
  <c r="E218" i="23"/>
  <c r="E219" i="23"/>
  <c r="F219" i="23" s="1"/>
  <c r="E220" i="23"/>
  <c r="F220" i="23" s="1"/>
  <c r="E221" i="23"/>
  <c r="F221" i="23" s="1"/>
  <c r="E222" i="23"/>
  <c r="E223" i="23"/>
  <c r="F223" i="23" s="1"/>
  <c r="E224" i="23"/>
  <c r="E225" i="23"/>
  <c r="F225" i="23" s="1"/>
  <c r="E226" i="23"/>
  <c r="E227" i="23"/>
  <c r="F227" i="23" s="1"/>
  <c r="E228" i="23"/>
  <c r="F228" i="23" s="1"/>
  <c r="H64" i="40" l="1"/>
  <c r="C64" i="40" s="1"/>
  <c r="C12" i="21" s="1"/>
  <c r="H61" i="40"/>
  <c r="C61" i="40" s="1"/>
  <c r="C11" i="21" s="1"/>
  <c r="F224" i="23"/>
  <c r="F226" i="23"/>
  <c r="F42" i="23"/>
  <c r="F33" i="23"/>
  <c r="F50" i="23"/>
  <c r="F36" i="23"/>
  <c r="F222" i="23"/>
  <c r="F218" i="23"/>
  <c r="F216" i="23"/>
  <c r="F212" i="23"/>
  <c r="F210" i="23"/>
  <c r="F205" i="23"/>
  <c r="F201" i="23" s="1"/>
  <c r="F200" i="23" s="1"/>
  <c r="F195" i="23"/>
  <c r="F191" i="23" s="1"/>
  <c r="F186" i="23"/>
  <c r="F182" i="23" s="1"/>
  <c r="F177" i="23"/>
  <c r="F173" i="23" s="1"/>
  <c r="F157" i="23"/>
  <c r="F153" i="23" s="1"/>
  <c r="F139" i="23"/>
  <c r="F135" i="23" s="1"/>
  <c r="F121" i="23"/>
  <c r="F115" i="23"/>
  <c r="F90" i="23"/>
  <c r="F81" i="23"/>
  <c r="F77" i="23" s="1"/>
  <c r="F55" i="23"/>
  <c r="F44" i="23"/>
  <c r="F38" i="23"/>
  <c r="F31" i="23"/>
  <c r="F25" i="23"/>
  <c r="F40" i="23"/>
  <c r="F106" i="23"/>
  <c r="F102" i="23" s="1"/>
  <c r="F23" i="23"/>
  <c r="F17" i="23"/>
  <c r="F67" i="23"/>
  <c r="F167" i="23"/>
  <c r="F163" i="23" s="1"/>
  <c r="F96" i="23"/>
  <c r="F60" i="23"/>
  <c r="F118" i="23"/>
  <c r="F9" i="23"/>
  <c r="F148" i="23"/>
  <c r="F144" i="23" s="1"/>
  <c r="F58" i="23"/>
  <c r="F52" i="23"/>
  <c r="F130" i="23"/>
  <c r="F126" i="23" s="1"/>
  <c r="F46" i="23"/>
  <c r="F93" i="23"/>
  <c r="F64" i="23"/>
  <c r="F215" i="23" l="1"/>
  <c r="F214" i="23" s="1"/>
  <c r="F29" i="23"/>
  <c r="F117" i="23"/>
  <c r="F111" i="23" s="1"/>
  <c r="F20" i="23"/>
  <c r="F54" i="23"/>
  <c r="F172" i="23"/>
  <c r="F162" i="23" s="1"/>
  <c r="F35" i="23"/>
  <c r="F92" i="23"/>
  <c r="F86" i="23" s="1"/>
  <c r="F76" i="23" s="1"/>
  <c r="F101" i="23"/>
  <c r="F73" i="23" l="1"/>
  <c r="F15" i="23"/>
  <c r="B2" i="23" l="1"/>
  <c r="B38" i="32" l="1"/>
  <c r="B29" i="32"/>
  <c r="B6" i="32"/>
  <c r="O14" i="9"/>
  <c r="O13" i="9"/>
  <c r="O12" i="9"/>
  <c r="O11" i="9"/>
  <c r="O10" i="9"/>
  <c r="O9" i="9"/>
  <c r="O8" i="9"/>
  <c r="O7" i="9"/>
  <c r="O6" i="9"/>
  <c r="O5" i="9"/>
  <c r="AX8" i="39"/>
  <c r="AX9" i="39"/>
  <c r="AX10" i="39"/>
  <c r="AX12" i="39"/>
  <c r="AX13" i="39"/>
  <c r="AX15" i="39"/>
  <c r="AX16" i="39"/>
  <c r="AX17" i="39"/>
  <c r="AX18" i="39"/>
  <c r="AX19" i="39"/>
  <c r="AX20" i="39"/>
  <c r="AX21" i="39"/>
  <c r="AX23" i="39"/>
  <c r="AX24" i="39"/>
  <c r="AX25" i="39"/>
  <c r="J31" i="10" l="1"/>
  <c r="Q31" i="10" s="1"/>
  <c r="J30" i="10"/>
  <c r="Q30" i="10" s="1"/>
  <c r="J29" i="10"/>
  <c r="Q29" i="10" s="1"/>
  <c r="J28" i="10"/>
  <c r="Q28" i="10" s="1"/>
  <c r="J27" i="10"/>
  <c r="Q27" i="10" s="1"/>
  <c r="J26" i="10"/>
  <c r="Q26" i="10" s="1"/>
  <c r="J25" i="10"/>
  <c r="Q25" i="10" s="1"/>
  <c r="BL18" i="11"/>
  <c r="BL17" i="11"/>
  <c r="BL16" i="11"/>
  <c r="BL15" i="11"/>
  <c r="BL14" i="11"/>
  <c r="BL13" i="11"/>
  <c r="BL12" i="11"/>
  <c r="BL11" i="11"/>
  <c r="BL10" i="11"/>
  <c r="BL9" i="11"/>
  <c r="BL8" i="11"/>
  <c r="BL7" i="11"/>
  <c r="BL6" i="11"/>
  <c r="BL5" i="11"/>
  <c r="X7" i="11" l="1"/>
  <c r="X8" i="11"/>
  <c r="X9" i="11"/>
  <c r="X10" i="11"/>
  <c r="X11" i="11"/>
  <c r="X12" i="11"/>
  <c r="X13" i="11"/>
  <c r="X14" i="11"/>
  <c r="X15" i="11"/>
  <c r="X16" i="11"/>
  <c r="X17" i="11"/>
  <c r="V12" i="39"/>
  <c r="W12" i="39"/>
  <c r="X12" i="39"/>
  <c r="Y12" i="39"/>
  <c r="AA12" i="39"/>
  <c r="AD12" i="39"/>
  <c r="AG12" i="39"/>
  <c r="AJ12" i="39"/>
  <c r="AL12" i="39"/>
  <c r="AP12" i="39"/>
  <c r="AS12" i="39"/>
  <c r="AY12" i="39"/>
  <c r="V11" i="39"/>
  <c r="T11" i="39" s="1"/>
  <c r="W11" i="39"/>
  <c r="AX11" i="39" s="1"/>
  <c r="X11" i="39"/>
  <c r="Y11" i="39"/>
  <c r="AA11" i="39"/>
  <c r="AD11" i="39"/>
  <c r="AG11" i="39"/>
  <c r="AJ11" i="39"/>
  <c r="AL11" i="39"/>
  <c r="AP11" i="39"/>
  <c r="AS11" i="39"/>
  <c r="AY11" i="39"/>
  <c r="V16" i="39"/>
  <c r="T16" i="39" s="1"/>
  <c r="W16" i="39"/>
  <c r="X16" i="39"/>
  <c r="Y16" i="39"/>
  <c r="AA16" i="39"/>
  <c r="AD16" i="39"/>
  <c r="AG16" i="39"/>
  <c r="AJ16" i="39"/>
  <c r="AL16" i="39"/>
  <c r="AP16" i="39"/>
  <c r="AS16" i="39"/>
  <c r="AY16" i="39"/>
  <c r="AS25" i="39"/>
  <c r="AP25" i="39"/>
  <c r="AL25" i="39"/>
  <c r="AJ25" i="39"/>
  <c r="AG25" i="39"/>
  <c r="AD25" i="39"/>
  <c r="AA25" i="39"/>
  <c r="Y25" i="39"/>
  <c r="X25" i="39"/>
  <c r="W25" i="39"/>
  <c r="AY25" i="39" s="1"/>
  <c r="V25" i="39"/>
  <c r="AS23" i="39"/>
  <c r="AP23" i="39"/>
  <c r="AL23" i="39"/>
  <c r="AJ23" i="39"/>
  <c r="AG23" i="39"/>
  <c r="AD23" i="39"/>
  <c r="AA23" i="39"/>
  <c r="Y23" i="39"/>
  <c r="X23" i="39"/>
  <c r="W23" i="39"/>
  <c r="AY23" i="39" s="1"/>
  <c r="V23" i="39"/>
  <c r="AS22" i="39"/>
  <c r="AP22" i="39"/>
  <c r="AL22" i="39"/>
  <c r="AJ22" i="39"/>
  <c r="AG22" i="39"/>
  <c r="AD22" i="39"/>
  <c r="AA22" i="39"/>
  <c r="Y22" i="39"/>
  <c r="X22" i="39"/>
  <c r="W22" i="39"/>
  <c r="V22" i="39"/>
  <c r="AS21" i="39"/>
  <c r="AP21" i="39"/>
  <c r="AL21" i="39"/>
  <c r="AJ21" i="39"/>
  <c r="AG21" i="39"/>
  <c r="AD21" i="39"/>
  <c r="AA21" i="39"/>
  <c r="Y21" i="39"/>
  <c r="X21" i="39"/>
  <c r="W21" i="39"/>
  <c r="AY21" i="39" s="1"/>
  <c r="V21" i="39"/>
  <c r="T21" i="39" s="1"/>
  <c r="AI21" i="39" s="1"/>
  <c r="AS20" i="39"/>
  <c r="AP20" i="39"/>
  <c r="AL20" i="39"/>
  <c r="AJ20" i="39"/>
  <c r="AG20" i="39"/>
  <c r="AD20" i="39"/>
  <c r="AA20" i="39"/>
  <c r="Y20" i="39"/>
  <c r="X20" i="39"/>
  <c r="W20" i="39"/>
  <c r="AY20" i="39" s="1"/>
  <c r="V20" i="39"/>
  <c r="AS19" i="39"/>
  <c r="AP19" i="39"/>
  <c r="AL19" i="39"/>
  <c r="AJ19" i="39"/>
  <c r="AG19" i="39"/>
  <c r="AD19" i="39"/>
  <c r="AA19" i="39"/>
  <c r="Y19" i="39"/>
  <c r="X19" i="39"/>
  <c r="W19" i="39"/>
  <c r="AY19" i="39" s="1"/>
  <c r="V19" i="39"/>
  <c r="AS18" i="39"/>
  <c r="AP18" i="39"/>
  <c r="AL18" i="39"/>
  <c r="AJ18" i="39"/>
  <c r="AG18" i="39"/>
  <c r="AD18" i="39"/>
  <c r="AA18" i="39"/>
  <c r="Y18" i="39"/>
  <c r="X18" i="39"/>
  <c r="W18" i="39"/>
  <c r="AY18" i="39" s="1"/>
  <c r="V18" i="39"/>
  <c r="AE6" i="11"/>
  <c r="AE7" i="11"/>
  <c r="AE8" i="11"/>
  <c r="AE9" i="11"/>
  <c r="AE10" i="11"/>
  <c r="AE11" i="11"/>
  <c r="AE12" i="11"/>
  <c r="AE13" i="11"/>
  <c r="AE14" i="11"/>
  <c r="AE15" i="11"/>
  <c r="AE16" i="11"/>
  <c r="AE17" i="11"/>
  <c r="AE18" i="11"/>
  <c r="AE5" i="11"/>
  <c r="AC6" i="11"/>
  <c r="AC7" i="11"/>
  <c r="AC8" i="11"/>
  <c r="AC9" i="11"/>
  <c r="AC10" i="11"/>
  <c r="AC11" i="11"/>
  <c r="AC12" i="11"/>
  <c r="AC13" i="11"/>
  <c r="AC14" i="11"/>
  <c r="AC15" i="11"/>
  <c r="AC16" i="11"/>
  <c r="AC17" i="11"/>
  <c r="AC18" i="11"/>
  <c r="AC5" i="11"/>
  <c r="AX22" i="39" l="1"/>
  <c r="AY22" i="39" s="1"/>
  <c r="AN12" i="39"/>
  <c r="AN11" i="39"/>
  <c r="AI11" i="39"/>
  <c r="AK11" i="39" s="1"/>
  <c r="AF11" i="39"/>
  <c r="AH11" i="39" s="1"/>
  <c r="AC11" i="39"/>
  <c r="T12" i="39"/>
  <c r="AO11" i="39"/>
  <c r="BD11" i="39" s="1"/>
  <c r="BC11" i="39"/>
  <c r="Z11" i="39"/>
  <c r="AB11" i="39" s="1"/>
  <c r="BB11" i="39"/>
  <c r="AN16" i="39"/>
  <c r="AF16" i="39"/>
  <c r="BB16" i="39" s="1"/>
  <c r="AC16" i="39"/>
  <c r="AI16" i="39"/>
  <c r="BC16" i="39" s="1"/>
  <c r="AO16" i="39"/>
  <c r="BD16" i="39" s="1"/>
  <c r="Z16" i="39"/>
  <c r="AZ16" i="39" s="1"/>
  <c r="AN25" i="39"/>
  <c r="AN23" i="39"/>
  <c r="T25" i="39"/>
  <c r="T23" i="39"/>
  <c r="AN22" i="39"/>
  <c r="T22" i="39"/>
  <c r="AN21" i="39"/>
  <c r="AN20" i="39"/>
  <c r="AK21" i="39"/>
  <c r="AO21" i="39"/>
  <c r="BD21" i="39" s="1"/>
  <c r="Z21" i="39"/>
  <c r="AC21" i="39"/>
  <c r="AF21" i="39"/>
  <c r="BC21" i="39"/>
  <c r="T20" i="39"/>
  <c r="AN19" i="39"/>
  <c r="AN18" i="39"/>
  <c r="T19" i="39"/>
  <c r="T18" i="39"/>
  <c r="AW6" i="11"/>
  <c r="AW7" i="11"/>
  <c r="AW8" i="11"/>
  <c r="AX8" i="11" s="1"/>
  <c r="AY8" i="11" s="1"/>
  <c r="AW9" i="11"/>
  <c r="AX9" i="11" s="1"/>
  <c r="AY9" i="11" s="1"/>
  <c r="AW10" i="11"/>
  <c r="BX10" i="11" s="1"/>
  <c r="AW11" i="11"/>
  <c r="BX11" i="11" s="1"/>
  <c r="AW12" i="11"/>
  <c r="AX12" i="11" s="1"/>
  <c r="AY12" i="11" s="1"/>
  <c r="AW13" i="11"/>
  <c r="BX13" i="11" s="1"/>
  <c r="AW14" i="11"/>
  <c r="AX14" i="11" s="1"/>
  <c r="AY14" i="11" s="1"/>
  <c r="AW15" i="11"/>
  <c r="AX15" i="11" s="1"/>
  <c r="AY15" i="11" s="1"/>
  <c r="AW16" i="11"/>
  <c r="BX16" i="11" s="1"/>
  <c r="AW17" i="11"/>
  <c r="BX17" i="11" s="1"/>
  <c r="AW18" i="11"/>
  <c r="AW5" i="11"/>
  <c r="AS6" i="11"/>
  <c r="AS7" i="11"/>
  <c r="AS8" i="11"/>
  <c r="AT8" i="11" s="1"/>
  <c r="AU8" i="11" s="1"/>
  <c r="AS9" i="11"/>
  <c r="AT9" i="11" s="1"/>
  <c r="AU9" i="11" s="1"/>
  <c r="AS10" i="11"/>
  <c r="AT10" i="11" s="1"/>
  <c r="AU10" i="11" s="1"/>
  <c r="AS11" i="11"/>
  <c r="AT11" i="11" s="1"/>
  <c r="AU11" i="11" s="1"/>
  <c r="AS12" i="11"/>
  <c r="AT12" i="11" s="1"/>
  <c r="AU12" i="11" s="1"/>
  <c r="AS13" i="11"/>
  <c r="AT13" i="11" s="1"/>
  <c r="AU13" i="11" s="1"/>
  <c r="AS14" i="11"/>
  <c r="AT14" i="11" s="1"/>
  <c r="AU14" i="11" s="1"/>
  <c r="AS15" i="11"/>
  <c r="AT15" i="11" s="1"/>
  <c r="AU15" i="11" s="1"/>
  <c r="AS16" i="11"/>
  <c r="AT16" i="11" s="1"/>
  <c r="AU16" i="11" s="1"/>
  <c r="AS17" i="11"/>
  <c r="AT17" i="11" s="1"/>
  <c r="AU17" i="11" s="1"/>
  <c r="AS18" i="11"/>
  <c r="AS5" i="11"/>
  <c r="AO6" i="11"/>
  <c r="AO7" i="11"/>
  <c r="AO8" i="11"/>
  <c r="AP8" i="11" s="1"/>
  <c r="AQ8" i="11" s="1"/>
  <c r="AO9" i="11"/>
  <c r="AP9" i="11" s="1"/>
  <c r="AQ9" i="11" s="1"/>
  <c r="AO10" i="11"/>
  <c r="AP10" i="11" s="1"/>
  <c r="AQ10" i="11" s="1"/>
  <c r="AO11" i="11"/>
  <c r="AP11" i="11" s="1"/>
  <c r="AQ11" i="11" s="1"/>
  <c r="AO12" i="11"/>
  <c r="AP12" i="11" s="1"/>
  <c r="AQ12" i="11" s="1"/>
  <c r="AO13" i="11"/>
  <c r="AP13" i="11" s="1"/>
  <c r="AQ13" i="11" s="1"/>
  <c r="AO14" i="11"/>
  <c r="AP14" i="11" s="1"/>
  <c r="AQ14" i="11" s="1"/>
  <c r="AO15" i="11"/>
  <c r="AO16" i="11"/>
  <c r="AP16" i="11" s="1"/>
  <c r="AQ16" i="11" s="1"/>
  <c r="AO17" i="11"/>
  <c r="AP17" i="11" s="1"/>
  <c r="AQ17" i="11" s="1"/>
  <c r="AO18" i="11"/>
  <c r="AO5" i="11"/>
  <c r="AK6" i="11"/>
  <c r="AK7" i="11"/>
  <c r="AK8" i="11"/>
  <c r="AL8" i="11" s="1"/>
  <c r="AM8" i="11" s="1"/>
  <c r="AK9" i="11"/>
  <c r="AL9" i="11" s="1"/>
  <c r="AM9" i="11" s="1"/>
  <c r="AK10" i="11"/>
  <c r="AL10" i="11" s="1"/>
  <c r="AM10" i="11" s="1"/>
  <c r="AK11" i="11"/>
  <c r="AL11" i="11" s="1"/>
  <c r="AM11" i="11" s="1"/>
  <c r="AK12" i="11"/>
  <c r="AL12" i="11" s="1"/>
  <c r="AM12" i="11" s="1"/>
  <c r="AK13" i="11"/>
  <c r="AL13" i="11" s="1"/>
  <c r="AM13" i="11" s="1"/>
  <c r="AK14" i="11"/>
  <c r="AL14" i="11" s="1"/>
  <c r="AM14" i="11" s="1"/>
  <c r="AK15" i="11"/>
  <c r="AL15" i="11" s="1"/>
  <c r="AM15" i="11" s="1"/>
  <c r="AK16" i="11"/>
  <c r="AL16" i="11" s="1"/>
  <c r="AM16" i="11" s="1"/>
  <c r="AK17" i="11"/>
  <c r="AL17" i="11" s="1"/>
  <c r="AM17" i="11" s="1"/>
  <c r="AK18" i="11"/>
  <c r="AK5" i="11"/>
  <c r="AG6" i="11"/>
  <c r="AG7" i="11"/>
  <c r="AG8" i="11"/>
  <c r="AG9" i="11"/>
  <c r="AH9" i="11" s="1"/>
  <c r="AI9" i="11" s="1"/>
  <c r="AG10" i="11"/>
  <c r="AH10" i="11" s="1"/>
  <c r="AI10" i="11" s="1"/>
  <c r="AG11" i="11"/>
  <c r="AH11" i="11" s="1"/>
  <c r="AI11" i="11" s="1"/>
  <c r="AG12" i="11"/>
  <c r="AH12" i="11" s="1"/>
  <c r="AI12" i="11" s="1"/>
  <c r="AG13" i="11"/>
  <c r="AH13" i="11" s="1"/>
  <c r="AI13" i="11" s="1"/>
  <c r="AG14" i="11"/>
  <c r="AH14" i="11" s="1"/>
  <c r="AI14" i="11" s="1"/>
  <c r="AG15" i="11"/>
  <c r="AH15" i="11" s="1"/>
  <c r="AI15" i="11" s="1"/>
  <c r="AG16" i="11"/>
  <c r="AH16" i="11" s="1"/>
  <c r="AI16" i="11" s="1"/>
  <c r="AG17" i="11"/>
  <c r="AH17" i="11" s="1"/>
  <c r="AI17" i="11" s="1"/>
  <c r="AG18" i="11"/>
  <c r="AG5" i="11"/>
  <c r="AP15" i="11" l="1"/>
  <c r="AQ15" i="11" s="1"/>
  <c r="S15" i="11"/>
  <c r="S5" i="11"/>
  <c r="AD5" i="11"/>
  <c r="AK16" i="39"/>
  <c r="BA11" i="39"/>
  <c r="AE11" i="39"/>
  <c r="AR11" i="39" s="1"/>
  <c r="BB21" i="39"/>
  <c r="AH21" i="39"/>
  <c r="BA16" i="39"/>
  <c r="AE16" i="39"/>
  <c r="BA21" i="39"/>
  <c r="AE21" i="39"/>
  <c r="AM21" i="39" s="1"/>
  <c r="AM11" i="39"/>
  <c r="BI5" i="11"/>
  <c r="BV5" i="11" s="1"/>
  <c r="BK5" i="11"/>
  <c r="Z5" i="11"/>
  <c r="AX17" i="11"/>
  <c r="AY17" i="11" s="1"/>
  <c r="AX11" i="11"/>
  <c r="AY11" i="11" s="1"/>
  <c r="AX10" i="11"/>
  <c r="AY10" i="11" s="1"/>
  <c r="AX13" i="11"/>
  <c r="AY13" i="11" s="1"/>
  <c r="AX16" i="11"/>
  <c r="AY16" i="11" s="1"/>
  <c r="BX12" i="11"/>
  <c r="AF12" i="39"/>
  <c r="AI12" i="39"/>
  <c r="AC12" i="39"/>
  <c r="AO12" i="39"/>
  <c r="BD12" i="39" s="1"/>
  <c r="Z12" i="39"/>
  <c r="AZ11" i="39"/>
  <c r="AQ11" i="39"/>
  <c r="S11" i="39"/>
  <c r="AB16" i="39"/>
  <c r="AH16" i="39"/>
  <c r="AI25" i="39"/>
  <c r="Z25" i="39"/>
  <c r="AF25" i="39"/>
  <c r="AC25" i="39"/>
  <c r="AO25" i="39"/>
  <c r="BD25" i="39" s="1"/>
  <c r="AI23" i="39"/>
  <c r="AF23" i="39"/>
  <c r="AC23" i="39"/>
  <c r="AO23" i="39"/>
  <c r="BD23" i="39" s="1"/>
  <c r="Z23" i="39"/>
  <c r="Z22" i="39"/>
  <c r="AI22" i="39"/>
  <c r="AF22" i="39"/>
  <c r="AC22" i="39"/>
  <c r="AO22" i="39"/>
  <c r="BD22" i="39" s="1"/>
  <c r="AZ21" i="39"/>
  <c r="AB21" i="39"/>
  <c r="AC20" i="39"/>
  <c r="AI20" i="39"/>
  <c r="AF20" i="39"/>
  <c r="AO20" i="39"/>
  <c r="BD20" i="39" s="1"/>
  <c r="Z20" i="39"/>
  <c r="AI19" i="39"/>
  <c r="AF19" i="39"/>
  <c r="AC19" i="39"/>
  <c r="Z19" i="39"/>
  <c r="AO19" i="39"/>
  <c r="BD19" i="39" s="1"/>
  <c r="AI18" i="39"/>
  <c r="Z18" i="39"/>
  <c r="AF18" i="39"/>
  <c r="AC18" i="39"/>
  <c r="AO18" i="39"/>
  <c r="BD18" i="39" s="1"/>
  <c r="BR15" i="11"/>
  <c r="BS15" i="11"/>
  <c r="BU15" i="11"/>
  <c r="BT14" i="11"/>
  <c r="BR14" i="11"/>
  <c r="BU14" i="11"/>
  <c r="BS14" i="11"/>
  <c r="BX15" i="11"/>
  <c r="BR16" i="11"/>
  <c r="BS16" i="11"/>
  <c r="BU16" i="11"/>
  <c r="BT16" i="11"/>
  <c r="BT12" i="11"/>
  <c r="BU12" i="11"/>
  <c r="BR12" i="11"/>
  <c r="BS12" i="11"/>
  <c r="BR11" i="11"/>
  <c r="BU11" i="11"/>
  <c r="BS11" i="11"/>
  <c r="BT11" i="11"/>
  <c r="BX14" i="11"/>
  <c r="BS17" i="11"/>
  <c r="BR17" i="11"/>
  <c r="BT17" i="11"/>
  <c r="BU17" i="11"/>
  <c r="BR13" i="11"/>
  <c r="BU13" i="11"/>
  <c r="BS13" i="11"/>
  <c r="BT13" i="11"/>
  <c r="BT10" i="11"/>
  <c r="BU10" i="11"/>
  <c r="BR10" i="11"/>
  <c r="BS10" i="11"/>
  <c r="AF2" i="11"/>
  <c r="AG2" i="11"/>
  <c r="AC2" i="11"/>
  <c r="AD2" i="11"/>
  <c r="AE2" i="11"/>
  <c r="AB2" i="11"/>
  <c r="BB18" i="39" l="1"/>
  <c r="AH18" i="39"/>
  <c r="BB12" i="39"/>
  <c r="AH12" i="39"/>
  <c r="BA19" i="39"/>
  <c r="AE19" i="39"/>
  <c r="BB22" i="39"/>
  <c r="AH22" i="39"/>
  <c r="BB19" i="39"/>
  <c r="AH19" i="39"/>
  <c r="BC22" i="39"/>
  <c r="AK22" i="39"/>
  <c r="AM16" i="39"/>
  <c r="BC23" i="39"/>
  <c r="AK23" i="39"/>
  <c r="BC18" i="39"/>
  <c r="AK18" i="39"/>
  <c r="BA12" i="39"/>
  <c r="AE12" i="39"/>
  <c r="BB20" i="39"/>
  <c r="AH20" i="39"/>
  <c r="BA23" i="39"/>
  <c r="AE23" i="39"/>
  <c r="BC20" i="39"/>
  <c r="AK20" i="39"/>
  <c r="BC25" i="39"/>
  <c r="AK25" i="39"/>
  <c r="AB12" i="39"/>
  <c r="AZ12" i="39"/>
  <c r="BC12" i="39"/>
  <c r="AK12" i="39"/>
  <c r="AQ16" i="39"/>
  <c r="U11" i="39"/>
  <c r="AT11" i="39"/>
  <c r="AR16" i="39"/>
  <c r="S16" i="39"/>
  <c r="BA25" i="39"/>
  <c r="AE25" i="39"/>
  <c r="AH25" i="39"/>
  <c r="BB25" i="39"/>
  <c r="AB25" i="39"/>
  <c r="AZ25" i="39"/>
  <c r="AB23" i="39"/>
  <c r="AZ23" i="39"/>
  <c r="AH23" i="39"/>
  <c r="BB23" i="39"/>
  <c r="AE22" i="39"/>
  <c r="BA22" i="39"/>
  <c r="AB22" i="39"/>
  <c r="AZ22" i="39"/>
  <c r="AR21" i="39"/>
  <c r="AQ21" i="39"/>
  <c r="S21" i="39"/>
  <c r="AB20" i="39"/>
  <c r="AZ20" i="39"/>
  <c r="AE20" i="39"/>
  <c r="BA20" i="39"/>
  <c r="AZ19" i="39"/>
  <c r="AB19" i="39"/>
  <c r="AK19" i="39"/>
  <c r="AM19" i="39" s="1"/>
  <c r="BC19" i="39"/>
  <c r="AE18" i="39"/>
  <c r="BA18" i="39"/>
  <c r="AB18" i="39"/>
  <c r="AZ18" i="39"/>
  <c r="AM12" i="39" l="1"/>
  <c r="AM22" i="39"/>
  <c r="AM20" i="39"/>
  <c r="AM23" i="39"/>
  <c r="AM18" i="39"/>
  <c r="AR12" i="39"/>
  <c r="AQ12" i="39"/>
  <c r="S12" i="39"/>
  <c r="AW11" i="39"/>
  <c r="M11" i="39" s="1"/>
  <c r="AU11" i="39"/>
  <c r="K11" i="39" s="1"/>
  <c r="AV11" i="39"/>
  <c r="L11" i="39" s="1"/>
  <c r="AT16" i="39"/>
  <c r="U16" i="39"/>
  <c r="AM25" i="39"/>
  <c r="AQ25" i="39" s="1"/>
  <c r="AR25" i="39"/>
  <c r="S25" i="39"/>
  <c r="S23" i="39"/>
  <c r="AQ23" i="39"/>
  <c r="AR23" i="39"/>
  <c r="AQ22" i="39"/>
  <c r="AR22" i="39"/>
  <c r="S22" i="39"/>
  <c r="U21" i="39"/>
  <c r="AT21" i="39"/>
  <c r="AQ20" i="39"/>
  <c r="AR20" i="39"/>
  <c r="S20" i="39"/>
  <c r="AR19" i="39"/>
  <c r="S19" i="39"/>
  <c r="AQ19" i="39"/>
  <c r="AR18" i="39"/>
  <c r="AQ18" i="39"/>
  <c r="S18" i="39"/>
  <c r="U6" i="11"/>
  <c r="V6" i="11"/>
  <c r="U7" i="11"/>
  <c r="V7" i="11"/>
  <c r="U8" i="11"/>
  <c r="V8" i="11"/>
  <c r="U9" i="11"/>
  <c r="V9" i="11"/>
  <c r="U10" i="11"/>
  <c r="V10" i="11"/>
  <c r="U11" i="11"/>
  <c r="V11" i="11"/>
  <c r="U12" i="11"/>
  <c r="V12" i="11"/>
  <c r="U13" i="11"/>
  <c r="V13" i="11"/>
  <c r="U14" i="11"/>
  <c r="V14" i="11"/>
  <c r="U15" i="11"/>
  <c r="V15" i="11"/>
  <c r="U16" i="11"/>
  <c r="V16" i="11"/>
  <c r="U17" i="11"/>
  <c r="V17" i="11"/>
  <c r="U18" i="11"/>
  <c r="V18" i="11"/>
  <c r="T6" i="11"/>
  <c r="T7" i="11"/>
  <c r="T8" i="11"/>
  <c r="T9" i="11"/>
  <c r="T10" i="11"/>
  <c r="T11" i="11"/>
  <c r="T12" i="11"/>
  <c r="T13" i="11"/>
  <c r="T14" i="11"/>
  <c r="T15" i="11"/>
  <c r="T16" i="11"/>
  <c r="T17" i="11"/>
  <c r="T18" i="11"/>
  <c r="V5" i="11"/>
  <c r="U5" i="11"/>
  <c r="T5" i="11"/>
  <c r="Y6" i="39"/>
  <c r="Y7" i="39"/>
  <c r="Y8" i="39"/>
  <c r="Y9" i="39"/>
  <c r="Y10" i="39"/>
  <c r="Y13" i="39"/>
  <c r="Y14" i="39"/>
  <c r="Y15" i="39"/>
  <c r="Y17" i="39"/>
  <c r="Y24" i="39"/>
  <c r="Y5" i="39"/>
  <c r="AL24" i="39"/>
  <c r="AL5" i="39"/>
  <c r="AL6" i="39"/>
  <c r="AL7" i="39"/>
  <c r="AL13" i="39"/>
  <c r="AL14" i="39"/>
  <c r="AL15" i="39"/>
  <c r="AL17" i="39"/>
  <c r="AL9" i="39"/>
  <c r="AL10" i="39"/>
  <c r="X9" i="39"/>
  <c r="X6" i="39"/>
  <c r="X7" i="39"/>
  <c r="X8" i="39"/>
  <c r="X10" i="39"/>
  <c r="X13" i="39"/>
  <c r="X14" i="39"/>
  <c r="X15" i="39"/>
  <c r="X17" i="39"/>
  <c r="X24" i="39"/>
  <c r="X5" i="39"/>
  <c r="U12" i="39" l="1"/>
  <c r="AT12" i="39"/>
  <c r="AV16" i="39"/>
  <c r="L16" i="39" s="1"/>
  <c r="AW16" i="39"/>
  <c r="M16" i="39" s="1"/>
  <c r="AU16" i="39"/>
  <c r="K16" i="39" s="1"/>
  <c r="U25" i="39"/>
  <c r="AT25" i="39"/>
  <c r="U23" i="39"/>
  <c r="AT23" i="39"/>
  <c r="U22" i="39"/>
  <c r="AT22" i="39"/>
  <c r="AW21" i="39"/>
  <c r="M21" i="39" s="1"/>
  <c r="AV21" i="39"/>
  <c r="L21" i="39" s="1"/>
  <c r="AU21" i="39"/>
  <c r="K21" i="39" s="1"/>
  <c r="U20" i="39"/>
  <c r="AT20" i="39"/>
  <c r="AT19" i="39"/>
  <c r="U19" i="39"/>
  <c r="U18" i="39"/>
  <c r="AT18" i="39"/>
  <c r="W18" i="11"/>
  <c r="W14" i="11"/>
  <c r="W13" i="11"/>
  <c r="W15" i="11"/>
  <c r="W16" i="11"/>
  <c r="W11" i="11"/>
  <c r="W10" i="11"/>
  <c r="W17" i="11"/>
  <c r="W12" i="11"/>
  <c r="W6" i="11"/>
  <c r="W7" i="11"/>
  <c r="W8" i="11"/>
  <c r="W9" i="11"/>
  <c r="W5" i="11"/>
  <c r="AL8" i="39"/>
  <c r="AS24" i="39"/>
  <c r="AP24" i="39"/>
  <c r="AJ24" i="39"/>
  <c r="AG24" i="39"/>
  <c r="AD24" i="39"/>
  <c r="AA24" i="39"/>
  <c r="W24" i="39"/>
  <c r="AY24" i="39" s="1"/>
  <c r="V24" i="39"/>
  <c r="AY17" i="39"/>
  <c r="AS17" i="39"/>
  <c r="AP17" i="39"/>
  <c r="AJ17" i="39"/>
  <c r="AG17" i="39"/>
  <c r="AD17" i="39"/>
  <c r="AA17" i="39"/>
  <c r="W17" i="39"/>
  <c r="V17" i="39"/>
  <c r="AY15" i="39"/>
  <c r="AS15" i="39"/>
  <c r="AP15" i="39"/>
  <c r="AJ15" i="39"/>
  <c r="AG15" i="39"/>
  <c r="AD15" i="39"/>
  <c r="AA15" i="39"/>
  <c r="W15" i="39"/>
  <c r="V15" i="39"/>
  <c r="AS14" i="39"/>
  <c r="AP14" i="39"/>
  <c r="AJ14" i="39"/>
  <c r="AG14" i="39"/>
  <c r="AD14" i="39"/>
  <c r="AA14" i="39"/>
  <c r="W14" i="39"/>
  <c r="V14" i="39"/>
  <c r="AS13" i="39"/>
  <c r="AP13" i="39"/>
  <c r="AJ13" i="39"/>
  <c r="AG13" i="39"/>
  <c r="AD13" i="39"/>
  <c r="AA13" i="39"/>
  <c r="W13" i="39"/>
  <c r="AY13" i="39" s="1"/>
  <c r="V13" i="39"/>
  <c r="AY10" i="39"/>
  <c r="AS10" i="39"/>
  <c r="AP10" i="39"/>
  <c r="AJ10" i="39"/>
  <c r="AG10" i="39"/>
  <c r="AD10" i="39"/>
  <c r="AA10" i="39"/>
  <c r="W10" i="39"/>
  <c r="V10" i="39"/>
  <c r="T10" i="39" s="1"/>
  <c r="AY9" i="39"/>
  <c r="AS9" i="39"/>
  <c r="AP9" i="39"/>
  <c r="AJ9" i="39"/>
  <c r="AG9" i="39"/>
  <c r="AD9" i="39"/>
  <c r="AA9" i="39"/>
  <c r="W9" i="39"/>
  <c r="V9" i="39"/>
  <c r="T9" i="39" s="1"/>
  <c r="AS8" i="39"/>
  <c r="AP8" i="39"/>
  <c r="AJ8" i="39"/>
  <c r="AG8" i="39"/>
  <c r="AD8" i="39"/>
  <c r="AA8" i="39"/>
  <c r="W8" i="39"/>
  <c r="AY8" i="39" s="1"/>
  <c r="V8" i="39"/>
  <c r="T8" i="39" s="1"/>
  <c r="AS7" i="39"/>
  <c r="AP7" i="39"/>
  <c r="AJ7" i="39"/>
  <c r="AG7" i="39"/>
  <c r="AD7" i="39"/>
  <c r="AA7" i="39"/>
  <c r="W7" i="39"/>
  <c r="V7" i="39"/>
  <c r="T7" i="39" s="1"/>
  <c r="AS6" i="39"/>
  <c r="AP6" i="39"/>
  <c r="AJ6" i="39"/>
  <c r="AG6" i="39"/>
  <c r="AD6" i="39"/>
  <c r="AA6" i="39"/>
  <c r="W6" i="39"/>
  <c r="AX6" i="39" s="1"/>
  <c r="AY6" i="39" s="1"/>
  <c r="V6" i="39"/>
  <c r="T6" i="39" s="1"/>
  <c r="AS5" i="39"/>
  <c r="AP5" i="39"/>
  <c r="AJ5" i="39"/>
  <c r="AG5" i="39"/>
  <c r="AD5" i="39"/>
  <c r="AA5" i="39"/>
  <c r="W5" i="39"/>
  <c r="AX5" i="39" s="1"/>
  <c r="V5" i="39"/>
  <c r="T5" i="39" s="1"/>
  <c r="AX14" i="39" l="1"/>
  <c r="AY14" i="39" s="1"/>
  <c r="AX7" i="39"/>
  <c r="AY7" i="39" s="1"/>
  <c r="AV12" i="39"/>
  <c r="L12" i="39" s="1"/>
  <c r="AU12" i="39"/>
  <c r="K12" i="39" s="1"/>
  <c r="AW12" i="39"/>
  <c r="M12" i="39" s="1"/>
  <c r="AB38" i="39"/>
  <c r="AW25" i="39"/>
  <c r="M25" i="39" s="1"/>
  <c r="AV25" i="39"/>
  <c r="L25" i="39" s="1"/>
  <c r="AU25" i="39"/>
  <c r="K25" i="39" s="1"/>
  <c r="AW23" i="39"/>
  <c r="M23" i="39" s="1"/>
  <c r="AV23" i="39"/>
  <c r="L23" i="39" s="1"/>
  <c r="AU23" i="39"/>
  <c r="K23" i="39" s="1"/>
  <c r="AW22" i="39"/>
  <c r="M22" i="39" s="1"/>
  <c r="AV22" i="39"/>
  <c r="L22" i="39" s="1"/>
  <c r="AU22" i="39"/>
  <c r="K22" i="39" s="1"/>
  <c r="AW20" i="39"/>
  <c r="M20" i="39" s="1"/>
  <c r="AV20" i="39"/>
  <c r="L20" i="39" s="1"/>
  <c r="AU20" i="39"/>
  <c r="K20" i="39" s="1"/>
  <c r="AW19" i="39"/>
  <c r="M19" i="39" s="1"/>
  <c r="AV19" i="39"/>
  <c r="L19" i="39" s="1"/>
  <c r="AU19" i="39"/>
  <c r="K19" i="39" s="1"/>
  <c r="AW18" i="39"/>
  <c r="M18" i="39" s="1"/>
  <c r="AV18" i="39"/>
  <c r="L18" i="39" s="1"/>
  <c r="AU18" i="39"/>
  <c r="K18" i="39" s="1"/>
  <c r="T24" i="39"/>
  <c r="T17" i="39"/>
  <c r="T15" i="39"/>
  <c r="T14" i="39"/>
  <c r="AI14" i="39" s="1"/>
  <c r="AK14" i="39" s="1"/>
  <c r="T13" i="39"/>
  <c r="Z13" i="39" s="1"/>
  <c r="AB13" i="39" s="1"/>
  <c r="AN10" i="39"/>
  <c r="AN7" i="39"/>
  <c r="AN14" i="39"/>
  <c r="AN24" i="39"/>
  <c r="AN5" i="39"/>
  <c r="AN9" i="39"/>
  <c r="AN17" i="39"/>
  <c r="AN15" i="39"/>
  <c r="AN6" i="39"/>
  <c r="AN13" i="39"/>
  <c r="AN8" i="39"/>
  <c r="AY5" i="39"/>
  <c r="Z8" i="39"/>
  <c r="AI7" i="39"/>
  <c r="AK7" i="39" s="1"/>
  <c r="AC6" i="39"/>
  <c r="BA6" i="39" s="1"/>
  <c r="AB40" i="39"/>
  <c r="AF9" i="39"/>
  <c r="AB32" i="39"/>
  <c r="AB34" i="39"/>
  <c r="Z10" i="39"/>
  <c r="AB10" i="39" s="1"/>
  <c r="Z32" i="39"/>
  <c r="AB36" i="39"/>
  <c r="BC14" i="39" l="1"/>
  <c r="AZ13" i="39"/>
  <c r="AE6" i="39"/>
  <c r="AZ8" i="39"/>
  <c r="AB8" i="39"/>
  <c r="AA32" i="39"/>
  <c r="AZ10" i="39"/>
  <c r="AO8" i="39"/>
  <c r="AI8" i="39"/>
  <c r="AK8" i="39" s="1"/>
  <c r="AC7" i="39"/>
  <c r="AE7" i="39" s="1"/>
  <c r="Z7" i="39"/>
  <c r="AB7" i="39" s="1"/>
  <c r="AF7" i="39"/>
  <c r="AH7" i="39" s="1"/>
  <c r="AO7" i="39"/>
  <c r="BD7" i="39" s="1"/>
  <c r="AC8" i="39"/>
  <c r="AE8" i="39" s="1"/>
  <c r="AF8" i="39"/>
  <c r="AH8" i="39" s="1"/>
  <c r="Z14" i="39"/>
  <c r="AI6" i="39"/>
  <c r="Z6" i="39"/>
  <c r="AB6" i="39" s="1"/>
  <c r="AF6" i="39"/>
  <c r="AH6" i="39" s="1"/>
  <c r="AO6" i="39"/>
  <c r="BD6" i="39" s="1"/>
  <c r="AH9" i="39"/>
  <c r="BB9" i="39"/>
  <c r="AO9" i="39"/>
  <c r="BD9" i="39" s="1"/>
  <c r="AI9" i="39"/>
  <c r="AO13" i="39"/>
  <c r="BD13" i="39" s="1"/>
  <c r="AF10" i="39"/>
  <c r="AC10" i="39"/>
  <c r="AI13" i="39"/>
  <c r="AO10" i="39"/>
  <c r="BD10" i="39" s="1"/>
  <c r="Z9" i="39"/>
  <c r="AB9" i="39" s="1"/>
  <c r="AC9" i="39"/>
  <c r="AC14" i="39"/>
  <c r="AF14" i="39"/>
  <c r="AC13" i="39"/>
  <c r="AF13" i="39"/>
  <c r="AO14" i="39"/>
  <c r="BD14" i="39" s="1"/>
  <c r="AI10" i="39"/>
  <c r="AC17" i="39"/>
  <c r="Z17" i="39"/>
  <c r="AO17" i="39"/>
  <c r="BD17" i="39" s="1"/>
  <c r="AI17" i="39"/>
  <c r="AF17" i="39"/>
  <c r="BC7" i="39"/>
  <c r="AC5" i="39"/>
  <c r="AF5" i="39"/>
  <c r="BB5" i="39" s="1"/>
  <c r="Z5" i="39"/>
  <c r="AB5" i="39" s="1"/>
  <c r="AB42" i="39"/>
  <c r="AB44" i="39" s="1"/>
  <c r="AC32" i="39" s="1"/>
  <c r="T38" i="39" s="1"/>
  <c r="P8" i="40" s="1"/>
  <c r="AO5" i="39"/>
  <c r="BD5" i="39" s="1"/>
  <c r="AI5" i="39"/>
  <c r="AC24" i="39"/>
  <c r="Z24" i="39"/>
  <c r="AO24" i="39"/>
  <c r="BD24" i="39" s="1"/>
  <c r="AI24" i="39"/>
  <c r="AF24" i="39"/>
  <c r="AC15" i="39"/>
  <c r="Z15" i="39"/>
  <c r="AO15" i="39"/>
  <c r="BD15" i="39" s="1"/>
  <c r="AI15" i="39"/>
  <c r="AF15" i="39"/>
  <c r="AE17" i="39" l="1"/>
  <c r="BA17" i="39"/>
  <c r="AH15" i="39"/>
  <c r="BB15" i="39"/>
  <c r="AK15" i="39"/>
  <c r="BC15" i="39"/>
  <c r="AB15" i="39"/>
  <c r="AZ15" i="39"/>
  <c r="AE15" i="39"/>
  <c r="BA15" i="39"/>
  <c r="AB17" i="39"/>
  <c r="AZ17" i="39"/>
  <c r="AK24" i="39"/>
  <c r="BC24" i="39"/>
  <c r="AH24" i="39"/>
  <c r="BB24" i="39"/>
  <c r="AB24" i="39"/>
  <c r="AZ24" i="39"/>
  <c r="AH17" i="39"/>
  <c r="BB17" i="39"/>
  <c r="AE24" i="39"/>
  <c r="BA24" i="39"/>
  <c r="AK17" i="39"/>
  <c r="BC17" i="39"/>
  <c r="AB14" i="39"/>
  <c r="AZ14" i="39"/>
  <c r="AH14" i="39"/>
  <c r="BB14" i="39"/>
  <c r="AE14" i="39"/>
  <c r="BA14" i="39"/>
  <c r="AE13" i="39"/>
  <c r="BA13" i="39"/>
  <c r="AH13" i="39"/>
  <c r="BB13" i="39"/>
  <c r="AK13" i="39"/>
  <c r="BC13" i="39"/>
  <c r="BD8" i="39"/>
  <c r="X36" i="39" s="1"/>
  <c r="T37" i="39" s="1"/>
  <c r="P54" i="40" s="1"/>
  <c r="AR7" i="39"/>
  <c r="S7" i="39"/>
  <c r="S8" i="39"/>
  <c r="AT8" i="39" s="1"/>
  <c r="BC5" i="39"/>
  <c r="AK5" i="39"/>
  <c r="BC6" i="39"/>
  <c r="AK6" i="39"/>
  <c r="AM6" i="39" s="1"/>
  <c r="AQ6" i="39" s="1"/>
  <c r="AZ6" i="39"/>
  <c r="BB6" i="39"/>
  <c r="AR8" i="39"/>
  <c r="AZ7" i="39"/>
  <c r="AM7" i="39"/>
  <c r="AQ7" i="39" s="1"/>
  <c r="BA7" i="39"/>
  <c r="BB7" i="39"/>
  <c r="BC8" i="39"/>
  <c r="BA8" i="39"/>
  <c r="AM8" i="39"/>
  <c r="AQ8" i="39" s="1"/>
  <c r="BB8" i="39"/>
  <c r="AE10" i="39"/>
  <c r="BA10" i="39"/>
  <c r="AK10" i="39"/>
  <c r="BC10" i="39"/>
  <c r="AH10" i="39"/>
  <c r="BB10" i="39"/>
  <c r="AH5" i="39"/>
  <c r="AE9" i="39"/>
  <c r="BA9" i="39"/>
  <c r="AZ9" i="39"/>
  <c r="AK9" i="39"/>
  <c r="BC9" i="39"/>
  <c r="AZ5" i="39"/>
  <c r="BA5" i="39"/>
  <c r="AE5" i="39"/>
  <c r="U37" i="39" l="1"/>
  <c r="Q54" i="40" s="1"/>
  <c r="AM17" i="39"/>
  <c r="AR13" i="39"/>
  <c r="U38" i="39"/>
  <c r="Q8" i="40" s="1"/>
  <c r="X34" i="39"/>
  <c r="T35" i="39" s="1"/>
  <c r="P38" i="40" s="1"/>
  <c r="AM14" i="39"/>
  <c r="AQ14" i="39" s="1"/>
  <c r="AR24" i="39"/>
  <c r="AR15" i="39"/>
  <c r="AM24" i="39"/>
  <c r="AQ24" i="39" s="1"/>
  <c r="AR17" i="39"/>
  <c r="AM15" i="39"/>
  <c r="AQ15" i="39" s="1"/>
  <c r="AM13" i="39"/>
  <c r="AQ13" i="39" s="1"/>
  <c r="S15" i="39"/>
  <c r="AQ17" i="39"/>
  <c r="S17" i="39"/>
  <c r="AR14" i="39"/>
  <c r="S24" i="39"/>
  <c r="S14" i="39"/>
  <c r="S13" i="39"/>
  <c r="S9" i="39"/>
  <c r="AT9" i="39" s="1"/>
  <c r="AT7" i="39"/>
  <c r="AW7" i="39" s="1"/>
  <c r="M7" i="39" s="1"/>
  <c r="S10" i="39"/>
  <c r="AT10" i="39" s="1"/>
  <c r="AR10" i="39"/>
  <c r="AR6" i="39"/>
  <c r="S6" i="39"/>
  <c r="AR5" i="39"/>
  <c r="S5" i="39"/>
  <c r="AT5" i="39" s="1"/>
  <c r="AR9" i="39"/>
  <c r="U7" i="39"/>
  <c r="U8" i="39"/>
  <c r="AM5" i="39"/>
  <c r="AQ5" i="39" s="1"/>
  <c r="AM10" i="39"/>
  <c r="AQ10" i="39" s="1"/>
  <c r="AM9" i="39"/>
  <c r="AQ9" i="39" s="1"/>
  <c r="X32" i="39"/>
  <c r="T33" i="39" s="1"/>
  <c r="P22" i="40" s="1"/>
  <c r="X33" i="39"/>
  <c r="T34" i="39" s="1"/>
  <c r="P30" i="40" s="1"/>
  <c r="X35" i="39"/>
  <c r="T36" i="39" s="1"/>
  <c r="P46" i="40" s="1"/>
  <c r="AW8" i="39"/>
  <c r="M8" i="39" s="1"/>
  <c r="AV8" i="39"/>
  <c r="L8" i="39" s="1"/>
  <c r="AU8" i="39"/>
  <c r="K8" i="39" s="1"/>
  <c r="U35" i="39" l="1"/>
  <c r="Q38" i="40" s="1"/>
  <c r="U36" i="39"/>
  <c r="Q46" i="40" s="1"/>
  <c r="U34" i="39"/>
  <c r="Q30" i="40" s="1"/>
  <c r="U33" i="39"/>
  <c r="Q22" i="40" s="1"/>
  <c r="AT24" i="39"/>
  <c r="U24" i="39"/>
  <c r="AT17" i="39"/>
  <c r="U17" i="39"/>
  <c r="AT15" i="39"/>
  <c r="U15" i="39"/>
  <c r="AT14" i="39"/>
  <c r="U14" i="39"/>
  <c r="AT13" i="39"/>
  <c r="U13" i="39"/>
  <c r="AV7" i="39"/>
  <c r="L7" i="39" s="1"/>
  <c r="AU7" i="39"/>
  <c r="K7" i="39" s="1"/>
  <c r="AT6" i="39"/>
  <c r="AU6" i="39" s="1"/>
  <c r="K6" i="39" s="1"/>
  <c r="U6" i="39"/>
  <c r="U9" i="39"/>
  <c r="U10" i="39"/>
  <c r="AW9" i="39"/>
  <c r="M9" i="39" s="1"/>
  <c r="AU9" i="39"/>
  <c r="K9" i="39" s="1"/>
  <c r="AV9" i="39"/>
  <c r="L9" i="39" s="1"/>
  <c r="U5" i="39"/>
  <c r="AU17" i="39" l="1"/>
  <c r="K17" i="39" s="1"/>
  <c r="AW17" i="39"/>
  <c r="M17" i="39" s="1"/>
  <c r="AV17" i="39"/>
  <c r="L17" i="39" s="1"/>
  <c r="AV15" i="39"/>
  <c r="L15" i="39" s="1"/>
  <c r="AU15" i="39"/>
  <c r="K15" i="39" s="1"/>
  <c r="AW15" i="39"/>
  <c r="M15" i="39" s="1"/>
  <c r="AW24" i="39"/>
  <c r="M24" i="39" s="1"/>
  <c r="AU24" i="39"/>
  <c r="K24" i="39" s="1"/>
  <c r="AV24" i="39"/>
  <c r="L24" i="39" s="1"/>
  <c r="AV14" i="39"/>
  <c r="L14" i="39" s="1"/>
  <c r="AU14" i="39"/>
  <c r="K14" i="39" s="1"/>
  <c r="AW14" i="39"/>
  <c r="M14" i="39" s="1"/>
  <c r="AV13" i="39"/>
  <c r="L13" i="39" s="1"/>
  <c r="AU13" i="39"/>
  <c r="K13" i="39" s="1"/>
  <c r="AW13" i="39"/>
  <c r="M13" i="39" s="1"/>
  <c r="AW6" i="39"/>
  <c r="M6" i="39" s="1"/>
  <c r="AV6" i="39"/>
  <c r="L6" i="39" s="1"/>
  <c r="AV10" i="39"/>
  <c r="L10" i="39" s="1"/>
  <c r="AU10" i="39"/>
  <c r="K10" i="39" s="1"/>
  <c r="AW10" i="39"/>
  <c r="M10" i="39" s="1"/>
  <c r="AV5" i="39"/>
  <c r="L5" i="39" s="1"/>
  <c r="AU5" i="39"/>
  <c r="K5" i="39" s="1"/>
  <c r="AW5" i="39"/>
  <c r="M5" i="39" s="1"/>
  <c r="X14" i="9"/>
  <c r="N14" i="9"/>
  <c r="M14" i="9"/>
  <c r="L14" i="9"/>
  <c r="K14" i="9"/>
  <c r="Y14" i="9" s="1"/>
  <c r="X13" i="9"/>
  <c r="T13" i="9"/>
  <c r="N13" i="9"/>
  <c r="M13" i="9"/>
  <c r="L13" i="9"/>
  <c r="K13" i="9"/>
  <c r="P13" i="9" s="1"/>
  <c r="Q13" i="9" s="1"/>
  <c r="E13" i="9"/>
  <c r="X12" i="9"/>
  <c r="N12" i="9"/>
  <c r="P12" i="9" s="1"/>
  <c r="Q12" i="9" s="1"/>
  <c r="M12" i="9"/>
  <c r="L12" i="9"/>
  <c r="K12" i="9"/>
  <c r="Y12" i="9" s="1"/>
  <c r="X11" i="9"/>
  <c r="N11" i="9"/>
  <c r="M11" i="9"/>
  <c r="L11" i="9"/>
  <c r="K11" i="9"/>
  <c r="P11" i="9" s="1"/>
  <c r="Q11" i="9" s="1"/>
  <c r="X10" i="9"/>
  <c r="N10" i="9"/>
  <c r="P10" i="9" s="1"/>
  <c r="Q10" i="9" s="1"/>
  <c r="M10" i="9"/>
  <c r="L10" i="9"/>
  <c r="K10" i="9"/>
  <c r="Y10" i="9" s="1"/>
  <c r="X9" i="9"/>
  <c r="T9" i="9"/>
  <c r="N9" i="9"/>
  <c r="M9" i="9"/>
  <c r="L9" i="9"/>
  <c r="K9" i="9"/>
  <c r="P9" i="9" s="1"/>
  <c r="Q9" i="9" s="1"/>
  <c r="E9" i="9"/>
  <c r="X8" i="9"/>
  <c r="N8" i="9"/>
  <c r="P8" i="9" s="1"/>
  <c r="Q8" i="9" s="1"/>
  <c r="M8" i="9"/>
  <c r="L8" i="9"/>
  <c r="K8" i="9"/>
  <c r="Y8" i="9" s="1"/>
  <c r="X7" i="9"/>
  <c r="T7" i="9"/>
  <c r="N7" i="9"/>
  <c r="M7" i="9"/>
  <c r="L7" i="9"/>
  <c r="K7" i="9"/>
  <c r="P7" i="9" s="1"/>
  <c r="Q7" i="9" s="1"/>
  <c r="Y6" i="9"/>
  <c r="X6" i="9"/>
  <c r="T6" i="9"/>
  <c r="P6" i="9"/>
  <c r="Q6" i="9" s="1"/>
  <c r="N6" i="9"/>
  <c r="M6" i="9"/>
  <c r="L6" i="9"/>
  <c r="K6" i="9"/>
  <c r="E6" i="9"/>
  <c r="S5" i="9"/>
  <c r="N5" i="9"/>
  <c r="M5" i="9"/>
  <c r="L5" i="9"/>
  <c r="K5" i="9"/>
  <c r="C39" i="32"/>
  <c r="B39" i="32"/>
  <c r="C38" i="32"/>
  <c r="C37" i="32"/>
  <c r="B37" i="32"/>
  <c r="C30" i="32"/>
  <c r="B30" i="32"/>
  <c r="C29" i="32"/>
  <c r="C28" i="32"/>
  <c r="B28" i="32"/>
  <c r="C27" i="32"/>
  <c r="B27" i="32"/>
  <c r="C20" i="32"/>
  <c r="B20" i="32"/>
  <c r="C19" i="32"/>
  <c r="B19" i="32"/>
  <c r="C18" i="32"/>
  <c r="B18" i="32"/>
  <c r="C17" i="32"/>
  <c r="B17" i="32"/>
  <c r="C16" i="32"/>
  <c r="B16" i="32"/>
  <c r="C15" i="32"/>
  <c r="B15" i="32"/>
  <c r="C14" i="32"/>
  <c r="B14" i="32"/>
  <c r="C13" i="32"/>
  <c r="B13" i="32"/>
  <c r="C12" i="32"/>
  <c r="B12" i="32"/>
  <c r="C11" i="32"/>
  <c r="B11" i="32"/>
  <c r="C10" i="32"/>
  <c r="B10" i="32"/>
  <c r="C9" i="32"/>
  <c r="B9" i="32"/>
  <c r="C8" i="32"/>
  <c r="B8" i="32"/>
  <c r="C7" i="32"/>
  <c r="B7" i="32"/>
  <c r="C6" i="32"/>
  <c r="C5" i="32"/>
  <c r="B5" i="32"/>
  <c r="H37" i="32"/>
  <c r="J37" i="32" s="1"/>
  <c r="H27" i="32"/>
  <c r="J27" i="32" s="1"/>
  <c r="H21" i="10"/>
  <c r="K21" i="10" s="1"/>
  <c r="M21" i="10" s="1"/>
  <c r="H20" i="10"/>
  <c r="K20" i="10" s="1"/>
  <c r="M20" i="10" s="1"/>
  <c r="H19" i="10"/>
  <c r="K19" i="10" s="1"/>
  <c r="M19" i="10" s="1"/>
  <c r="H18" i="10"/>
  <c r="H17" i="10"/>
  <c r="K17" i="10" s="1"/>
  <c r="M17" i="10" s="1"/>
  <c r="H16" i="10"/>
  <c r="K16" i="10" s="1"/>
  <c r="M16" i="10" s="1"/>
  <c r="H15" i="10"/>
  <c r="H14" i="10"/>
  <c r="H10" i="10"/>
  <c r="I10" i="10" s="1"/>
  <c r="B10" i="10" s="1"/>
  <c r="H9" i="10"/>
  <c r="M9" i="10" s="1"/>
  <c r="H8" i="10"/>
  <c r="I8" i="10" s="1"/>
  <c r="B8" i="10" s="1"/>
  <c r="H7" i="10"/>
  <c r="I7" i="10" s="1"/>
  <c r="B7" i="10" s="1"/>
  <c r="H6" i="10"/>
  <c r="K6" i="10" s="1"/>
  <c r="M31" i="10"/>
  <c r="I31" i="10"/>
  <c r="H31" i="10"/>
  <c r="D31" i="10"/>
  <c r="K30" i="10"/>
  <c r="I30" i="10"/>
  <c r="H30" i="10"/>
  <c r="M30" i="10" s="1"/>
  <c r="M29" i="10"/>
  <c r="I29" i="10"/>
  <c r="H29" i="10"/>
  <c r="K29" i="10" s="1"/>
  <c r="M28" i="10"/>
  <c r="K28" i="10"/>
  <c r="I28" i="10"/>
  <c r="D28" i="10" s="1"/>
  <c r="H28" i="10"/>
  <c r="K27" i="10"/>
  <c r="I27" i="10"/>
  <c r="H27" i="10"/>
  <c r="I26" i="10"/>
  <c r="H26" i="10"/>
  <c r="K25" i="10"/>
  <c r="I25" i="10"/>
  <c r="H25" i="10"/>
  <c r="D25" i="10"/>
  <c r="J21" i="10"/>
  <c r="I21" i="10"/>
  <c r="D21" i="10"/>
  <c r="J20" i="10"/>
  <c r="I20" i="10"/>
  <c r="D20" i="10"/>
  <c r="J19" i="10"/>
  <c r="I19" i="10"/>
  <c r="D19" i="10"/>
  <c r="J18" i="10"/>
  <c r="I18" i="10"/>
  <c r="J17" i="10"/>
  <c r="I17" i="10"/>
  <c r="D17" i="10"/>
  <c r="J16" i="10"/>
  <c r="I16" i="10"/>
  <c r="D16" i="10"/>
  <c r="J15" i="10"/>
  <c r="I15" i="10"/>
  <c r="J14" i="10"/>
  <c r="I14" i="10"/>
  <c r="J10" i="10"/>
  <c r="J9" i="10"/>
  <c r="J8" i="10"/>
  <c r="J7" i="10"/>
  <c r="J6" i="10"/>
  <c r="AB18" i="11"/>
  <c r="AB17" i="11"/>
  <c r="AB16" i="11"/>
  <c r="AB15" i="11"/>
  <c r="AB14" i="11"/>
  <c r="AB13" i="11"/>
  <c r="AB12" i="11"/>
  <c r="AB11" i="11"/>
  <c r="AB10" i="11"/>
  <c r="AB9" i="11"/>
  <c r="AB8" i="11"/>
  <c r="AB7" i="11"/>
  <c r="AB6" i="11"/>
  <c r="AD18" i="11"/>
  <c r="BH17" i="11"/>
  <c r="AD17" i="11"/>
  <c r="BH16" i="11"/>
  <c r="AD16" i="11"/>
  <c r="BH15" i="11"/>
  <c r="AD15" i="11"/>
  <c r="BH14" i="11"/>
  <c r="AD14" i="11"/>
  <c r="BH13" i="11"/>
  <c r="AD13" i="11"/>
  <c r="BH12" i="11"/>
  <c r="AD12" i="11"/>
  <c r="BH11" i="11"/>
  <c r="AD11" i="11"/>
  <c r="BH10" i="11"/>
  <c r="AD10" i="11"/>
  <c r="AD9" i="11"/>
  <c r="AD8" i="11"/>
  <c r="AD7" i="11"/>
  <c r="AD6" i="11"/>
  <c r="E11" i="9" l="1"/>
  <c r="T11" i="9"/>
  <c r="W5" i="9"/>
  <c r="I6" i="9" s="1"/>
  <c r="H5" i="32"/>
  <c r="J5" i="32" s="1"/>
  <c r="M3" i="32" s="1"/>
  <c r="R5" i="9"/>
  <c r="P14" i="9"/>
  <c r="Q14" i="9" s="1"/>
  <c r="K14" i="10"/>
  <c r="BK16" i="11"/>
  <c r="Z16" i="11"/>
  <c r="AR16" i="11" s="1"/>
  <c r="BK18" i="11"/>
  <c r="Z18" i="11"/>
  <c r="AR18" i="11" s="1"/>
  <c r="BK14" i="11"/>
  <c r="Z14" i="11"/>
  <c r="BK17" i="11"/>
  <c r="Z17" i="11"/>
  <c r="BK8" i="11"/>
  <c r="Z8" i="11"/>
  <c r="AR8" i="11" s="1"/>
  <c r="BU8" i="11" s="1"/>
  <c r="BK15" i="11"/>
  <c r="Z15" i="11"/>
  <c r="AR15" i="11" s="1"/>
  <c r="BK9" i="11"/>
  <c r="Z9" i="11"/>
  <c r="AR9" i="11" s="1"/>
  <c r="BU9" i="11" s="1"/>
  <c r="BK10" i="11"/>
  <c r="Z10" i="11"/>
  <c r="AR10" i="11" s="1"/>
  <c r="BK11" i="11"/>
  <c r="Z11" i="11"/>
  <c r="AR11" i="11" s="1"/>
  <c r="BK12" i="11"/>
  <c r="Z12" i="11"/>
  <c r="BK13" i="11"/>
  <c r="Z13" i="11"/>
  <c r="AR13" i="11" s="1"/>
  <c r="Z7" i="11"/>
  <c r="AR7" i="11" s="1"/>
  <c r="BK7" i="11"/>
  <c r="BK6" i="11"/>
  <c r="Z6" i="11"/>
  <c r="AR6" i="11" s="1"/>
  <c r="AA2" i="11"/>
  <c r="BP6" i="11"/>
  <c r="K15" i="10"/>
  <c r="M15" i="10" s="1"/>
  <c r="D15" i="10"/>
  <c r="Q14" i="10" s="1"/>
  <c r="L2" i="39"/>
  <c r="M2" i="39"/>
  <c r="T32" i="39" s="1"/>
  <c r="K2" i="39"/>
  <c r="AZ13" i="11"/>
  <c r="BG12" i="11"/>
  <c r="BF14" i="11"/>
  <c r="BJ10" i="11"/>
  <c r="BW10" i="11" s="1"/>
  <c r="BG16" i="11"/>
  <c r="BP17" i="11"/>
  <c r="BP7" i="11"/>
  <c r="BJ18" i="11"/>
  <c r="BW18" i="11" s="1"/>
  <c r="BQ9" i="11"/>
  <c r="D26" i="10"/>
  <c r="L25" i="10"/>
  <c r="K18" i="10"/>
  <c r="M18" i="10" s="1"/>
  <c r="D18" i="10"/>
  <c r="Z25" i="11"/>
  <c r="X5" i="9"/>
  <c r="E5" i="9"/>
  <c r="M7" i="10"/>
  <c r="I6" i="10"/>
  <c r="B6" i="10" s="1"/>
  <c r="I9" i="10"/>
  <c r="B9" i="10" s="1"/>
  <c r="P6" i="10" s="1"/>
  <c r="M8" i="10"/>
  <c r="M10" i="10"/>
  <c r="AZ17" i="11"/>
  <c r="BQ17" i="11"/>
  <c r="BF12" i="11"/>
  <c r="BF10" i="11"/>
  <c r="Y12" i="11"/>
  <c r="BJ12" i="11"/>
  <c r="BW12" i="11" s="1"/>
  <c r="AZ12" i="11"/>
  <c r="BD12" i="11"/>
  <c r="BP12" i="11"/>
  <c r="BE12" i="11"/>
  <c r="BE10" i="11"/>
  <c r="BP16" i="11"/>
  <c r="BP8" i="11"/>
  <c r="BF16" i="11"/>
  <c r="BP5" i="11"/>
  <c r="BG8" i="11"/>
  <c r="BP13" i="11"/>
  <c r="AZ16" i="11"/>
  <c r="BE13" i="11"/>
  <c r="Y10" i="11"/>
  <c r="Y7" i="9"/>
  <c r="Y9" i="9"/>
  <c r="Y11" i="9"/>
  <c r="Y13" i="9"/>
  <c r="T5" i="9"/>
  <c r="E8" i="9"/>
  <c r="T8" i="9"/>
  <c r="E10" i="9"/>
  <c r="T10" i="9"/>
  <c r="E12" i="9"/>
  <c r="T12" i="9"/>
  <c r="E14" i="9"/>
  <c r="T14" i="9"/>
  <c r="P5" i="9"/>
  <c r="Q5" i="9" s="1"/>
  <c r="Y5" i="9"/>
  <c r="E7" i="9"/>
  <c r="D14" i="10"/>
  <c r="K7" i="10"/>
  <c r="K8" i="10"/>
  <c r="K9" i="10"/>
  <c r="K10" i="10"/>
  <c r="P25" i="10"/>
  <c r="K26" i="10"/>
  <c r="M27" i="10"/>
  <c r="D30" i="10"/>
  <c r="L14" i="10"/>
  <c r="D29" i="10"/>
  <c r="D27" i="10"/>
  <c r="K31" i="10"/>
  <c r="BG11" i="11"/>
  <c r="BF15" i="11"/>
  <c r="BG7" i="11"/>
  <c r="BJ11" i="11"/>
  <c r="BW11" i="11" s="1"/>
  <c r="BG15" i="11"/>
  <c r="BJ7" i="11"/>
  <c r="BW7" i="11" s="1"/>
  <c r="AZ11" i="11"/>
  <c r="Y15" i="11"/>
  <c r="BC15" i="11" s="1"/>
  <c r="BD11" i="11"/>
  <c r="BP11" i="11"/>
  <c r="BQ11" i="11"/>
  <c r="BE11" i="11"/>
  <c r="BE15" i="11"/>
  <c r="Y11" i="11"/>
  <c r="BC11" i="11" s="1"/>
  <c r="BF11" i="11"/>
  <c r="BQ5" i="11"/>
  <c r="AF5" i="11"/>
  <c r="BJ5" i="11"/>
  <c r="BW5" i="11" s="1"/>
  <c r="Z2" i="11"/>
  <c r="BG6" i="11"/>
  <c r="BI8" i="11"/>
  <c r="BV8" i="11" s="1"/>
  <c r="BQ8" i="11"/>
  <c r="BJ9" i="11"/>
  <c r="Y13" i="11"/>
  <c r="BC13" i="11" s="1"/>
  <c r="BF13" i="11"/>
  <c r="AR14" i="11"/>
  <c r="BG14" i="11"/>
  <c r="AZ15" i="11"/>
  <c r="BP15" i="11"/>
  <c r="BI16" i="11"/>
  <c r="BV16" i="11" s="1"/>
  <c r="BQ16" i="11"/>
  <c r="BJ17" i="11"/>
  <c r="BW17" i="11" s="1"/>
  <c r="BI7" i="11"/>
  <c r="BV7" i="11" s="1"/>
  <c r="BJ8" i="11"/>
  <c r="BW8" i="11" s="1"/>
  <c r="BD10" i="11"/>
  <c r="BG13" i="11"/>
  <c r="AZ14" i="11"/>
  <c r="BP14" i="11"/>
  <c r="BI15" i="11"/>
  <c r="BV15" i="11" s="1"/>
  <c r="BQ15" i="11"/>
  <c r="BJ16" i="11"/>
  <c r="BW16" i="11" s="1"/>
  <c r="BI6" i="11"/>
  <c r="BV6" i="11" s="1"/>
  <c r="BI14" i="11"/>
  <c r="BV14" i="11" s="1"/>
  <c r="BQ14" i="11"/>
  <c r="BJ15" i="11"/>
  <c r="BW15" i="11" s="1"/>
  <c r="BD17" i="11"/>
  <c r="BJ6" i="11"/>
  <c r="BW6" i="11" s="1"/>
  <c r="BI13" i="11"/>
  <c r="BV13" i="11" s="1"/>
  <c r="BQ13" i="11"/>
  <c r="BJ14" i="11"/>
  <c r="BW14" i="11" s="1"/>
  <c r="BD16" i="11"/>
  <c r="BE17" i="11"/>
  <c r="BG10" i="11"/>
  <c r="BI12" i="11"/>
  <c r="BV12" i="11" s="1"/>
  <c r="BQ12" i="11"/>
  <c r="BJ13" i="11"/>
  <c r="BW13" i="11" s="1"/>
  <c r="BD15" i="11"/>
  <c r="BE16" i="11"/>
  <c r="Y17" i="11"/>
  <c r="BC17" i="11" s="1"/>
  <c r="BF17" i="11"/>
  <c r="BG18" i="11"/>
  <c r="X18" i="11" s="1"/>
  <c r="BE18" i="11" s="1"/>
  <c r="BG9" i="11"/>
  <c r="AZ10" i="11"/>
  <c r="BP10" i="11"/>
  <c r="BI11" i="11"/>
  <c r="BV11" i="11" s="1"/>
  <c r="BD14" i="11"/>
  <c r="Y16" i="11"/>
  <c r="BC16" i="11" s="1"/>
  <c r="AR17" i="11"/>
  <c r="BG17" i="11"/>
  <c r="BP18" i="11"/>
  <c r="BI10" i="11"/>
  <c r="BV10" i="11" s="1"/>
  <c r="BQ10" i="11"/>
  <c r="BD13" i="11"/>
  <c r="BE14" i="11"/>
  <c r="BI18" i="11"/>
  <c r="BV18" i="11" s="1"/>
  <c r="BQ18" i="11"/>
  <c r="BI9" i="11"/>
  <c r="BV9" i="11" s="1"/>
  <c r="Y14" i="11"/>
  <c r="BC14" i="11" s="1"/>
  <c r="BI17" i="11"/>
  <c r="BV17" i="11" s="1"/>
  <c r="O4" i="32" l="1"/>
  <c r="P10" i="40" s="1"/>
  <c r="M2" i="32"/>
  <c r="J6" i="9"/>
  <c r="Q7" i="40" s="1"/>
  <c r="P7" i="40"/>
  <c r="I5" i="9"/>
  <c r="P6" i="40" s="1"/>
  <c r="P26" i="40"/>
  <c r="M26" i="40" s="1"/>
  <c r="P42" i="40"/>
  <c r="M42" i="40" s="1"/>
  <c r="P34" i="40"/>
  <c r="M34" i="40" s="1"/>
  <c r="P50" i="40"/>
  <c r="M50" i="40" s="1"/>
  <c r="N14" i="10"/>
  <c r="P14" i="10"/>
  <c r="P4" i="32"/>
  <c r="Q10" i="40" s="1"/>
  <c r="AA10" i="11"/>
  <c r="BC10" i="11"/>
  <c r="AA12" i="11"/>
  <c r="BC12" i="11"/>
  <c r="T9" i="10"/>
  <c r="U9" i="10" s="1"/>
  <c r="T8" i="10"/>
  <c r="U8" i="10" s="1"/>
  <c r="BF18" i="11"/>
  <c r="BD18" i="11"/>
  <c r="AT18" i="11"/>
  <c r="AU18" i="11" s="1"/>
  <c r="BU18" i="11"/>
  <c r="X6" i="11"/>
  <c r="X5" i="11"/>
  <c r="BD5" i="11" s="1"/>
  <c r="BU7" i="11"/>
  <c r="AT7" i="11"/>
  <c r="AU7" i="11" s="1"/>
  <c r="BU6" i="11"/>
  <c r="AT6" i="11"/>
  <c r="AU6" i="11" s="1"/>
  <c r="AH5" i="11"/>
  <c r="AI5" i="11" s="1"/>
  <c r="BQ7" i="11"/>
  <c r="BQ6" i="11"/>
  <c r="BR5" i="11"/>
  <c r="BW9" i="11"/>
  <c r="U31" i="11" s="1"/>
  <c r="V31" i="11" s="1"/>
  <c r="AV12" i="11"/>
  <c r="AR12" i="11"/>
  <c r="U30" i="11"/>
  <c r="V30" i="11" s="1"/>
  <c r="BP9" i="11"/>
  <c r="AF14" i="11"/>
  <c r="AV14" i="11"/>
  <c r="AF16" i="11"/>
  <c r="AV16" i="11"/>
  <c r="AF7" i="11"/>
  <c r="AH7" i="11" s="1"/>
  <c r="AI7" i="11" s="1"/>
  <c r="AV7" i="11"/>
  <c r="AX7" i="11" s="1"/>
  <c r="AY7" i="11" s="1"/>
  <c r="AF10" i="11"/>
  <c r="AV10" i="11"/>
  <c r="AF11" i="11"/>
  <c r="AV11" i="11"/>
  <c r="AF9" i="11"/>
  <c r="AV9" i="11"/>
  <c r="AF17" i="11"/>
  <c r="AV17" i="11"/>
  <c r="AF18" i="11"/>
  <c r="AV18" i="11"/>
  <c r="AF15" i="11"/>
  <c r="AV15" i="11"/>
  <c r="AF13" i="11"/>
  <c r="AV13" i="11"/>
  <c r="AF8" i="11"/>
  <c r="AH8" i="11" s="1"/>
  <c r="AI8" i="11" s="1"/>
  <c r="AV8" i="11"/>
  <c r="AF6" i="11"/>
  <c r="AH6" i="11" s="1"/>
  <c r="AI6" i="11" s="1"/>
  <c r="AV6" i="11"/>
  <c r="AX6" i="11" s="1"/>
  <c r="AY6" i="11" s="1"/>
  <c r="AV5" i="11"/>
  <c r="BM6" i="11"/>
  <c r="BN6" i="11" s="1"/>
  <c r="BM17" i="11"/>
  <c r="BN17" i="11" s="1"/>
  <c r="BM14" i="11"/>
  <c r="BN14" i="11" s="1"/>
  <c r="BM11" i="11"/>
  <c r="BN11" i="11" s="1"/>
  <c r="BM18" i="11"/>
  <c r="BN18" i="11" s="1"/>
  <c r="BM10" i="11"/>
  <c r="BN10" i="11" s="1"/>
  <c r="BM15" i="11"/>
  <c r="BN15" i="11" s="1"/>
  <c r="BM12" i="11"/>
  <c r="BN12" i="11" s="1"/>
  <c r="BM9" i="11"/>
  <c r="BN9" i="11" s="1"/>
  <c r="BM8" i="11"/>
  <c r="BN8" i="11" s="1"/>
  <c r="BM7" i="11"/>
  <c r="BN7" i="11" s="1"/>
  <c r="BM13" i="11"/>
  <c r="BN13" i="11" s="1"/>
  <c r="BM5" i="11"/>
  <c r="BM16" i="11"/>
  <c r="BN16" i="11" s="1"/>
  <c r="D2" i="9"/>
  <c r="I7" i="9"/>
  <c r="R25" i="10"/>
  <c r="S25" i="10"/>
  <c r="D2" i="10" s="1"/>
  <c r="AF12" i="11"/>
  <c r="O6" i="10"/>
  <c r="AN16" i="11"/>
  <c r="AA15" i="11"/>
  <c r="AN12" i="11"/>
  <c r="AJ12" i="11"/>
  <c r="AJ16" i="11"/>
  <c r="Z5" i="9"/>
  <c r="N25" i="10"/>
  <c r="M26" i="10"/>
  <c r="L6" i="10"/>
  <c r="O14" i="10"/>
  <c r="T5" i="10" s="1"/>
  <c r="U5" i="10" s="1"/>
  <c r="AN18" i="11"/>
  <c r="AJ18" i="11"/>
  <c r="AN7" i="11"/>
  <c r="AJ7" i="11"/>
  <c r="AL7" i="11" s="1"/>
  <c r="AM7" i="11" s="1"/>
  <c r="AN10" i="11"/>
  <c r="AJ10" i="11"/>
  <c r="AN8" i="11"/>
  <c r="BT8" i="11" s="1"/>
  <c r="AJ8" i="11"/>
  <c r="AN9" i="11"/>
  <c r="BT9" i="11" s="1"/>
  <c r="AJ9" i="11"/>
  <c r="AN13" i="11"/>
  <c r="AJ13" i="11"/>
  <c r="AN5" i="11"/>
  <c r="AJ5" i="11"/>
  <c r="AL5" i="11" s="1"/>
  <c r="AM5" i="11" s="1"/>
  <c r="AR5" i="11"/>
  <c r="AN6" i="11"/>
  <c r="AJ6" i="11"/>
  <c r="AL6" i="11" s="1"/>
  <c r="AM6" i="11" s="1"/>
  <c r="AN17" i="11"/>
  <c r="AJ17" i="11"/>
  <c r="AN14" i="11"/>
  <c r="AJ14" i="11"/>
  <c r="AA11" i="11"/>
  <c r="AN11" i="11"/>
  <c r="AJ11" i="11"/>
  <c r="AN15" i="11"/>
  <c r="BT15" i="11" s="1"/>
  <c r="AJ15" i="11"/>
  <c r="AA16" i="11"/>
  <c r="AA17" i="11"/>
  <c r="AA13" i="11"/>
  <c r="AA14" i="11"/>
  <c r="M10" i="40" l="1"/>
  <c r="J7" i="9"/>
  <c r="Q5" i="40" s="1"/>
  <c r="P5" i="40"/>
  <c r="M4" i="40" s="1"/>
  <c r="M6" i="40"/>
  <c r="BA5" i="11"/>
  <c r="BB5" i="11"/>
  <c r="L5" i="11" s="1"/>
  <c r="P48" i="40"/>
  <c r="P24" i="40"/>
  <c r="P56" i="40"/>
  <c r="P40" i="40"/>
  <c r="P32" i="40"/>
  <c r="V35" i="11"/>
  <c r="P59" i="40" s="1"/>
  <c r="P41" i="40"/>
  <c r="P57" i="40"/>
  <c r="P33" i="40"/>
  <c r="P49" i="40"/>
  <c r="P25" i="40"/>
  <c r="T10" i="10"/>
  <c r="U25" i="11"/>
  <c r="BO1" i="11"/>
  <c r="W31" i="11"/>
  <c r="W30" i="11"/>
  <c r="U10" i="10"/>
  <c r="AH18" i="11"/>
  <c r="AI18" i="11" s="1"/>
  <c r="BR18" i="11"/>
  <c r="Y18" i="11"/>
  <c r="BC18" i="11" s="1"/>
  <c r="AZ18" i="11"/>
  <c r="BX18" i="11"/>
  <c r="AX18" i="11"/>
  <c r="AY18" i="11" s="1"/>
  <c r="BH18" i="11"/>
  <c r="BS18" i="11"/>
  <c r="AL18" i="11"/>
  <c r="BT18" i="11"/>
  <c r="AP18" i="11"/>
  <c r="AQ18" i="11" s="1"/>
  <c r="BX5" i="11"/>
  <c r="AX5" i="11"/>
  <c r="AY5" i="11" s="1"/>
  <c r="BU5" i="11"/>
  <c r="AT5" i="11"/>
  <c r="AU5" i="11" s="1"/>
  <c r="U28" i="11" s="1"/>
  <c r="V28" i="11" s="1"/>
  <c r="P47" i="40" s="1"/>
  <c r="BT7" i="11"/>
  <c r="AP7" i="11"/>
  <c r="AQ7" i="11" s="1"/>
  <c r="BT6" i="11"/>
  <c r="AP6" i="11"/>
  <c r="AQ6" i="11" s="1"/>
  <c r="BT5" i="11"/>
  <c r="AP5" i="11"/>
  <c r="AQ5" i="11" s="1"/>
  <c r="BH9" i="11"/>
  <c r="BX9" i="11"/>
  <c r="BS9" i="11"/>
  <c r="BR9" i="11"/>
  <c r="BS8" i="11"/>
  <c r="BS7" i="11"/>
  <c r="BS6" i="11"/>
  <c r="BS5" i="11"/>
  <c r="BH8" i="11"/>
  <c r="BX8" i="11"/>
  <c r="BR8" i="11"/>
  <c r="BR7" i="11"/>
  <c r="BH7" i="11"/>
  <c r="BX7" i="11"/>
  <c r="BR6" i="11"/>
  <c r="V36" i="11"/>
  <c r="AA25" i="11"/>
  <c r="AB25" i="11" s="1"/>
  <c r="V32" i="11" s="1"/>
  <c r="P9" i="40" s="1"/>
  <c r="BH6" i="11"/>
  <c r="BX6" i="11"/>
  <c r="BH5" i="11"/>
  <c r="AW3" i="11"/>
  <c r="Y5" i="11"/>
  <c r="BB13" i="11"/>
  <c r="BB10" i="11"/>
  <c r="BB15" i="11"/>
  <c r="BB11" i="11"/>
  <c r="BB12" i="11"/>
  <c r="BB18" i="11"/>
  <c r="BB16" i="11"/>
  <c r="BB17" i="11"/>
  <c r="BB14" i="11"/>
  <c r="BB7" i="11"/>
  <c r="BB8" i="11"/>
  <c r="BB6" i="11"/>
  <c r="BB9" i="11"/>
  <c r="BF7" i="11"/>
  <c r="BE7" i="11"/>
  <c r="BD7" i="11"/>
  <c r="BD9" i="11"/>
  <c r="BE9" i="11"/>
  <c r="BF9" i="11"/>
  <c r="AZ9" i="11"/>
  <c r="Y9" i="11"/>
  <c r="BC9" i="11" s="1"/>
  <c r="BE8" i="11"/>
  <c r="BF8" i="11"/>
  <c r="BD8" i="11"/>
  <c r="AZ8" i="11"/>
  <c r="Y8" i="11"/>
  <c r="BC8" i="11" s="1"/>
  <c r="AZ7" i="11"/>
  <c r="Y7" i="11"/>
  <c r="BC7" i="11" s="1"/>
  <c r="O25" i="10"/>
  <c r="T6" i="10" s="1"/>
  <c r="U6" i="10" s="1"/>
  <c r="C2" i="10"/>
  <c r="Y6" i="11"/>
  <c r="BC6" i="11" s="1"/>
  <c r="AZ6" i="11"/>
  <c r="BF6" i="11"/>
  <c r="BE6" i="11"/>
  <c r="BD6" i="11"/>
  <c r="BN5" i="11"/>
  <c r="BF5" i="11"/>
  <c r="BE5" i="11"/>
  <c r="AZ5" i="11"/>
  <c r="BA12" i="11"/>
  <c r="BA16" i="11"/>
  <c r="BA15" i="11"/>
  <c r="N6" i="10"/>
  <c r="S2" i="10"/>
  <c r="N2" i="32" s="1"/>
  <c r="O2" i="32" s="1"/>
  <c r="T7" i="10"/>
  <c r="U7" i="10" s="1"/>
  <c r="BA11" i="11"/>
  <c r="BA8" i="11"/>
  <c r="BA7" i="11"/>
  <c r="BA17" i="11"/>
  <c r="BA18" i="11"/>
  <c r="BA10" i="11"/>
  <c r="BA6" i="11"/>
  <c r="BA14" i="11"/>
  <c r="BA13" i="11"/>
  <c r="BA9" i="11"/>
  <c r="L15" i="11" l="1"/>
  <c r="M15" i="11"/>
  <c r="N15" i="11"/>
  <c r="N5" i="11"/>
  <c r="M5" i="11"/>
  <c r="W35" i="11"/>
  <c r="Q59" i="40" s="1"/>
  <c r="P29" i="40"/>
  <c r="P60" i="40"/>
  <c r="P37" i="40"/>
  <c r="P53" i="40"/>
  <c r="P45" i="40"/>
  <c r="P27" i="40"/>
  <c r="P43" i="40"/>
  <c r="P58" i="40"/>
  <c r="P35" i="40"/>
  <c r="P51" i="40"/>
  <c r="Q32" i="40"/>
  <c r="Q24" i="40"/>
  <c r="Q56" i="40"/>
  <c r="Q48" i="40"/>
  <c r="Q40" i="40"/>
  <c r="Q25" i="40"/>
  <c r="Q49" i="40"/>
  <c r="Q33" i="40"/>
  <c r="Q57" i="40"/>
  <c r="Q41" i="40"/>
  <c r="U27" i="11"/>
  <c r="V27" i="11" s="1"/>
  <c r="P39" i="40" s="1"/>
  <c r="W28" i="11"/>
  <c r="Q47" i="40" s="1"/>
  <c r="W36" i="11"/>
  <c r="W32" i="11"/>
  <c r="Q9" i="40" s="1"/>
  <c r="M8" i="40" s="1"/>
  <c r="H2" i="40" s="1"/>
  <c r="C2" i="40" s="1"/>
  <c r="C4" i="21" s="1"/>
  <c r="AA5" i="11"/>
  <c r="BC5" i="11"/>
  <c r="AM18" i="11"/>
  <c r="U26" i="11" s="1"/>
  <c r="V26" i="11" s="1"/>
  <c r="P31" i="40" s="1"/>
  <c r="U29" i="11"/>
  <c r="V29" i="11" s="1"/>
  <c r="P55" i="40" s="1"/>
  <c r="AA18" i="11"/>
  <c r="V25" i="11"/>
  <c r="P23" i="40" s="1"/>
  <c r="AA9" i="11"/>
  <c r="AA8" i="11"/>
  <c r="AA7" i="11"/>
  <c r="AA6" i="11"/>
  <c r="T4" i="10"/>
  <c r="U4" i="10" s="1"/>
  <c r="S3" i="10"/>
  <c r="N3" i="32" s="1"/>
  <c r="O3" i="32" s="1"/>
  <c r="P3" i="32" s="1"/>
  <c r="M46" i="40" l="1"/>
  <c r="H46" i="40" s="1"/>
  <c r="C46" i="40" s="1"/>
  <c r="C9" i="21" s="1"/>
  <c r="Q60" i="40"/>
  <c r="M58" i="40" s="1"/>
  <c r="Q29" i="40"/>
  <c r="Q53" i="40"/>
  <c r="Q37" i="40"/>
  <c r="Q45" i="40"/>
  <c r="W25" i="11"/>
  <c r="Q23" i="40" s="1"/>
  <c r="M22" i="40" s="1"/>
  <c r="W26" i="11"/>
  <c r="Q31" i="40" s="1"/>
  <c r="M30" i="40" s="1"/>
  <c r="W27" i="11"/>
  <c r="Q39" i="40" s="1"/>
  <c r="M38" i="40" s="1"/>
  <c r="W29" i="11"/>
  <c r="Q55" i="40" s="1"/>
  <c r="M54" i="40" s="1"/>
  <c r="M2" i="11"/>
  <c r="L2" i="11"/>
  <c r="N2" i="11"/>
  <c r="H54" i="40" l="1"/>
  <c r="C54" i="40" s="1"/>
  <c r="C10" i="21" s="1"/>
  <c r="H38" i="40"/>
  <c r="C38" i="40" s="1"/>
  <c r="C8" i="21" s="1"/>
  <c r="H30" i="40"/>
  <c r="C30" i="40" s="1"/>
  <c r="C7" i="21" s="1"/>
  <c r="H22" i="40"/>
  <c r="C22" i="40" s="1"/>
  <c r="C6" i="21" s="1"/>
  <c r="V34" i="11"/>
  <c r="BO2" i="11"/>
  <c r="P28" i="40" l="1"/>
  <c r="P52" i="40"/>
  <c r="P44" i="40"/>
  <c r="P36" i="40"/>
  <c r="W34" i="11"/>
  <c r="Q52" i="40" l="1"/>
  <c r="Q44" i="40"/>
  <c r="Q28" i="40"/>
  <c r="Q36" i="40"/>
  <c r="M43" i="40"/>
  <c r="H42" i="40" s="1"/>
  <c r="C42" i="40" s="1"/>
  <c r="C17" i="21" s="1"/>
  <c r="M35" i="40"/>
  <c r="H34" i="40" s="1"/>
  <c r="C34" i="40" s="1"/>
  <c r="C16" i="21" s="1"/>
  <c r="M27" i="40"/>
  <c r="H26" i="40" s="1"/>
  <c r="C26" i="40" s="1"/>
  <c r="C15" i="21" s="1"/>
  <c r="M51" i="40"/>
  <c r="H50" i="40" s="1"/>
  <c r="C50" i="40" s="1"/>
  <c r="C18" i="21" s="1"/>
  <c r="A1" i="21" l="1"/>
</calcChain>
</file>

<file path=xl/sharedStrings.xml><?xml version="1.0" encoding="utf-8"?>
<sst xmlns="http://schemas.openxmlformats.org/spreadsheetml/2006/main" count="10216" uniqueCount="1913">
  <si>
    <t>WARNING NOTICE</t>
  </si>
  <si>
    <t>THIS CHECKLIST HAS FORMULAS THAT AUTOMATICALLY CALCULATE SUMMATIONS AND ROLL-UPS OF COMPLIANCE STATE.  THESE FORMULAS MAY HAVE ERRORS THAT HAVE NOT BEEN DETECTED.  PLEASE BE ADVISED THAT DUE TO THE POTENTIAL FOR AN ERROR IT IS RECOMMENDED THAT A MANUAL VERIFICATION BE PERFORMED BY THE PERSON OR ORGANIZATION FILLING OUT THE CHECKLIST TO ENSURE THAT THE CHECKLIST ACCURATELY REFLECTS THE STATE OF COMPLIANCE FOR THE OMS ELEMENT IN QUESTION.</t>
  </si>
  <si>
    <t>Notes for the User:</t>
  </si>
  <si>
    <t>This workbook has protection applied to preserve formulas and cross referencing.</t>
  </si>
  <si>
    <t>User input is only required/allowed in the blue shaded cells of each worksheet, except for the Cover, Abstract and Rev Table, which are user editable.</t>
  </si>
  <si>
    <t>&lt;OPTIONAL: Organization CDRL Number&gt;</t>
  </si>
  <si>
    <t>&lt;OPTIONAL: Organization Logo&gt;</t>
  </si>
  <si>
    <t>Prepared By:</t>
  </si>
  <si>
    <t>&lt;REQUIRED: Organization&gt;</t>
  </si>
  <si>
    <t>&lt;OPTIONAL: Address&gt;</t>
  </si>
  <si>
    <t>&lt; The abstract is REQUIRED and is a brief summary of the document that follows and is used to help the reader quickly ascertain the document's purpose and overall content. &gt;</t>
  </si>
  <si>
    <t>REVISION RECORD</t>
  </si>
  <si>
    <t>DATE</t>
  </si>
  <si>
    <t>DESCRIPTION</t>
  </si>
  <si>
    <t>-</t>
  </si>
  <si>
    <t>Original</t>
  </si>
  <si>
    <t>ABSTRACT</t>
  </si>
  <si>
    <t>REVISION</t>
  </si>
  <si>
    <t>dd-mmm-yy</t>
  </si>
  <si>
    <t>Non-OMS Message Name</t>
  </si>
  <si>
    <t>&lt;Select&gt;</t>
  </si>
  <si>
    <t>SERVICE MESSAGE MATRIX - NON-OMS MESSAGES</t>
  </si>
  <si>
    <t>Service Contract Compliance Analysis Report for Non-OMS Messages</t>
  </si>
  <si>
    <t>Rationale</t>
  </si>
  <si>
    <t>Message passed through CAL using Extended Schema?</t>
  </si>
  <si>
    <t>Entered New Message</t>
  </si>
  <si>
    <t>Entered Rationale</t>
  </si>
  <si>
    <t>Non-OMS Msg Compliant?</t>
  </si>
  <si>
    <t>&lt;Enter Non-OMS Message Name&gt;</t>
  </si>
  <si>
    <t>&lt;Enter Rationale Here&gt;</t>
  </si>
  <si>
    <t xml:space="preserve">Compliance: </t>
  </si>
  <si>
    <r>
      <rPr>
        <b/>
        <sz val="10"/>
        <color theme="1"/>
        <rFont val="Times New Roman"/>
        <family val="1"/>
      </rPr>
      <t>IF</t>
    </r>
    <r>
      <rPr>
        <sz val="10"/>
        <color theme="1"/>
        <rFont val="Times New Roman"/>
        <family val="1"/>
      </rPr>
      <t xml:space="preserve"> No Non-OMS Messages are entered (all fields left at default values), </t>
    </r>
    <r>
      <rPr>
        <b/>
        <sz val="10"/>
        <color theme="1"/>
        <rFont val="Times New Roman"/>
        <family val="1"/>
      </rPr>
      <t>THEN</t>
    </r>
    <r>
      <rPr>
        <sz val="10"/>
        <color theme="1"/>
        <rFont val="Times New Roman"/>
        <family val="1"/>
      </rPr>
      <t xml:space="preserve"> Service is compliant.</t>
    </r>
  </si>
  <si>
    <t>OMS DATA TRANSFERS per "Data Transfer Formats, APIs, and Protocols" Table</t>
  </si>
  <si>
    <t>per "OMS URI Formats" Table</t>
  </si>
  <si>
    <t>A) Data Type</t>
  </si>
  <si>
    <t>B) Data Formats</t>
  </si>
  <si>
    <t xml:space="preserve">URI Format </t>
  </si>
  <si>
    <t>OMS Compliant 
Data Transfer</t>
  </si>
  <si>
    <t>get Row Number</t>
  </si>
  <si>
    <t>Is B in B List</t>
  </si>
  <si>
    <t>Is C in C List?</t>
  </si>
  <si>
    <t>Is D in D List?</t>
  </si>
  <si>
    <t>Is E in E List?</t>
  </si>
  <si>
    <t>Is URI in list?</t>
  </si>
  <si>
    <t>&lt;select&gt;</t>
  </si>
  <si>
    <t>Compliance:</t>
  </si>
  <si>
    <t>The User completes a row for each OMS Data Transfer described in the Service Contract.</t>
  </si>
  <si>
    <t>Service Contract Compliance Analysis Report for Non-OMS Data Transfer Formats, Protocols, APIs, or Data Types</t>
  </si>
  <si>
    <t>Non-OMS Data Transfer</t>
  </si>
  <si>
    <t>Description</t>
  </si>
  <si>
    <t>Entered Non-OMS Data Transfer</t>
  </si>
  <si>
    <t>Entered Description</t>
  </si>
  <si>
    <t>&lt;Enter Non-OMS Data Transfer&gt;</t>
  </si>
  <si>
    <t>&lt;Enter Description Here&gt;</t>
  </si>
  <si>
    <t>OMS Special Signal Used</t>
  </si>
  <si>
    <t>Permitted</t>
  </si>
  <si>
    <t>OMS Special  Signal Used</t>
  </si>
  <si>
    <t>Subsystem Present</t>
  </si>
  <si>
    <t>Key Fill</t>
  </si>
  <si>
    <t>&lt;Select Special Signal&gt;</t>
  </si>
  <si>
    <t>NON-OMS SPECIAL SIGNALS</t>
  </si>
  <si>
    <t>Service Contract Compliance Analysis Report for Non-OMS Special Signals</t>
  </si>
  <si>
    <t>Legacy Analog Video</t>
  </si>
  <si>
    <t>Non-OMS Special Signal Superseded by OMS Message</t>
  </si>
  <si>
    <t>Entered Name of Other Non-OMS Special Signal</t>
  </si>
  <si>
    <t>Subsystem On Status</t>
  </si>
  <si>
    <t>[Example] Non-OMS Special Signal 
Superceded by OMS Message</t>
  </si>
  <si>
    <t>[Example]
Use Applicable OMS Message</t>
  </si>
  <si>
    <t>Other Non-OMS Special Signal</t>
  </si>
  <si>
    <t>[Example] ConservePower</t>
  </si>
  <si>
    <t>[Example]
Message to enable ConservePower feature not in OMS Message Set</t>
  </si>
  <si>
    <t>&lt;Enter Other Non-OMS Special Signal Here&gt;</t>
  </si>
  <si>
    <r>
      <rPr>
        <b/>
        <sz val="10"/>
        <color theme="1"/>
        <rFont val="Times New Roman"/>
        <family val="1"/>
      </rPr>
      <t>IF</t>
    </r>
    <r>
      <rPr>
        <sz val="10"/>
        <color theme="1"/>
        <rFont val="Times New Roman"/>
        <family val="1"/>
      </rPr>
      <t xml:space="preserve"> no Non-OMS Special Signals are entered (all fields left at default values), </t>
    </r>
    <r>
      <rPr>
        <b/>
        <sz val="10"/>
        <color theme="1"/>
        <rFont val="Times New Roman"/>
        <family val="1"/>
      </rPr>
      <t>THEN</t>
    </r>
    <r>
      <rPr>
        <sz val="10"/>
        <color theme="1"/>
        <rFont val="Times New Roman"/>
        <family val="1"/>
      </rPr>
      <t xml:space="preserve"> the Service meets compliance with regards to Non-OMS Special Signals..</t>
    </r>
  </si>
  <si>
    <r>
      <rPr>
        <b/>
        <sz val="10"/>
        <color theme="1"/>
        <rFont val="Times New Roman"/>
        <family val="1"/>
      </rPr>
      <t>IF</t>
    </r>
    <r>
      <rPr>
        <sz val="10"/>
        <color theme="1"/>
        <rFont val="Times New Roman"/>
        <family val="1"/>
      </rPr>
      <t xml:space="preserve"> a Non-OMS Special Signals Superseded by OMS Messages is entered, </t>
    </r>
    <r>
      <rPr>
        <b/>
        <sz val="10"/>
        <color theme="1"/>
        <rFont val="Times New Roman"/>
        <family val="1"/>
      </rPr>
      <t>THEN</t>
    </r>
    <r>
      <rPr>
        <sz val="10"/>
        <color theme="1"/>
        <rFont val="Times New Roman"/>
        <family val="1"/>
      </rPr>
      <t xml:space="preserve"> the Service is non-compliant..</t>
    </r>
  </si>
  <si>
    <t>URI Formats per "OMS URI Formats" Table</t>
  </si>
  <si>
    <t>URI Formats</t>
  </si>
  <si>
    <t>Audio</t>
  </si>
  <si>
    <t>JPIP</t>
  </si>
  <si>
    <t>FTP</t>
  </si>
  <si>
    <t>FTP - File Transfer Protocol</t>
  </si>
  <si>
    <t>Complex Sensor Data</t>
  </si>
  <si>
    <t>HTTP</t>
  </si>
  <si>
    <t>HTTP - Hypertext Transfer Protocol</t>
  </si>
  <si>
    <t>JPIP - JPEG 2000 Interactive Protocol</t>
  </si>
  <si>
    <t>TCP</t>
  </si>
  <si>
    <t>NFS</t>
  </si>
  <si>
    <t>NFS - Network File System</t>
  </si>
  <si>
    <t>Imagery (raster, vector, etc.)</t>
  </si>
  <si>
    <t>UDP</t>
  </si>
  <si>
    <t>TFTP</t>
  </si>
  <si>
    <t>RDMA - Remote Direct Memory Access</t>
  </si>
  <si>
    <t>TCP - Transmission Control Protocol</t>
  </si>
  <si>
    <t>Mission Data Files (MDFs)</t>
  </si>
  <si>
    <t>TFTP - Trivial File Transfer Protocol</t>
  </si>
  <si>
    <t>MTI Detections</t>
  </si>
  <si>
    <t>UDP - User Datagram Protocol</t>
  </si>
  <si>
    <t>N/A - Not Applicable</t>
  </si>
  <si>
    <t>Operational Flight Programs (OFPs)</t>
  </si>
  <si>
    <t>Video (includes embedded Audio)</t>
  </si>
  <si>
    <t>Text</t>
  </si>
  <si>
    <t>Table Row</t>
  </si>
  <si>
    <t>Lookup Tables</t>
  </si>
  <si>
    <t>A1</t>
  </si>
  <si>
    <t>B1</t>
  </si>
  <si>
    <t xml:space="preserve">C1 </t>
  </si>
  <si>
    <t>D1</t>
  </si>
  <si>
    <t>E1</t>
  </si>
  <si>
    <t>A2</t>
  </si>
  <si>
    <t>B2</t>
  </si>
  <si>
    <t>C2</t>
  </si>
  <si>
    <t>D2</t>
  </si>
  <si>
    <t>E2</t>
  </si>
  <si>
    <t>A3</t>
  </si>
  <si>
    <t>B3</t>
  </si>
  <si>
    <t>C3</t>
  </si>
  <si>
    <t>D3</t>
  </si>
  <si>
    <t>E3</t>
  </si>
  <si>
    <t>A4</t>
  </si>
  <si>
    <t>B4</t>
  </si>
  <si>
    <t>C4</t>
  </si>
  <si>
    <t>D4</t>
  </si>
  <si>
    <t>E4</t>
  </si>
  <si>
    <t>A5</t>
  </si>
  <si>
    <t>B5</t>
  </si>
  <si>
    <t>C5</t>
  </si>
  <si>
    <t>D5</t>
  </si>
  <si>
    <t>E5</t>
  </si>
  <si>
    <t>A6</t>
  </si>
  <si>
    <t>B6</t>
  </si>
  <si>
    <t>C6</t>
  </si>
  <si>
    <t>D6</t>
  </si>
  <si>
    <t>E6</t>
  </si>
  <si>
    <t>A7</t>
  </si>
  <si>
    <t>A9</t>
  </si>
  <si>
    <t>B9</t>
  </si>
  <si>
    <t>C9</t>
  </si>
  <si>
    <t>D9</t>
  </si>
  <si>
    <t>E9</t>
  </si>
  <si>
    <t>A10</t>
  </si>
  <si>
    <t>B10</t>
  </si>
  <si>
    <t>C10</t>
  </si>
  <si>
    <t>D10</t>
  </si>
  <si>
    <t>E10</t>
  </si>
  <si>
    <t>Signal Name</t>
  </si>
  <si>
    <t>Table Caption</t>
  </si>
  <si>
    <t>OMS Discrete and Voltage Reference Signals</t>
  </si>
  <si>
    <t>This discrete is used to tell the vehicle management software that the Subsystem is installed.</t>
  </si>
  <si>
    <t>Subsystem On</t>
  </si>
  <si>
    <t>This signal is used to tell the Subsystem to turn ON. This is separate to the input power pins.</t>
  </si>
  <si>
    <t>Emergency Mode</t>
  </si>
  <si>
    <t>This signal is used to tell the Subsystem to continue to operate in the presence of faults or warnings (such as over temperature)</t>
  </si>
  <si>
    <t>Safety Interlock</t>
  </si>
  <si>
    <t>This signal provides the Subsystem with state data to inhibit Subsystem operation for safety reasons, such as weight on wheels.</t>
  </si>
  <si>
    <t>Data Load</t>
  </si>
  <si>
    <t>This signal is used by the Subsystem to know when it is allowed to load external data.</t>
  </si>
  <si>
    <t>Zeroize/Erase</t>
  </si>
  <si>
    <t>This signal is used by the Subsystem to invoke a sanitization of data within the Subsystem.  (It may also be part of messaging or supplemented by messaging.)</t>
  </si>
  <si>
    <t>Blanking Pulse</t>
  </si>
  <si>
    <t>This signal identifies when a Subsystem is transmitting. There may be multiple blanking pulses per Subsystem.</t>
  </si>
  <si>
    <t>Transmit Override/ Inhibit</t>
  </si>
  <si>
    <t>This signal requests that a Subsystem transmission be inhibited while the signal is active</t>
  </si>
  <si>
    <t>Receive Override/ Inhibit</t>
  </si>
  <si>
    <t>This signal tells a Subsystem to stop receiving operations</t>
  </si>
  <si>
    <t>Platform ID</t>
  </si>
  <si>
    <t>This set of discretes provides information about a unique id number of the platform (e.g., aircraft) that the Subsystem is installed in.</t>
  </si>
  <si>
    <t>Subsystem Configuration</t>
  </si>
  <si>
    <t>This discrete or set of discretes is used to provide configuration data for the role or location of the Subsystem. Examples: left/right side.</t>
  </si>
  <si>
    <t>Expendable Enable</t>
  </si>
  <si>
    <t>This signal enables an expendable.</t>
  </si>
  <si>
    <t>Expendable Jettison/ Launch</t>
  </si>
  <si>
    <t>This signal commands the launch of an expendable</t>
  </si>
  <si>
    <t>Rotor Blade Sensor</t>
  </si>
  <si>
    <t>This signal provides a synchronization pulse for the phase of the rotor to be used to deconflict modulation artifacts.</t>
  </si>
  <si>
    <t>Shared Aperture Available</t>
  </si>
  <si>
    <t>This discrete indicates when a shared aperture is available. May require more than one discrete. May also use a high speed data bus.</t>
  </si>
  <si>
    <t>No signal selected</t>
  </si>
  <si>
    <t>Select special signal from the drop down list.</t>
  </si>
  <si>
    <t>OMS Discrete and Voltage Time Reference Signals</t>
  </si>
  <si>
    <r>
      <t xml:space="preserve">This signal, along with the </t>
    </r>
    <r>
      <rPr>
        <b/>
        <sz val="10"/>
        <color theme="1"/>
        <rFont val="Times New Roman"/>
        <family val="1"/>
      </rPr>
      <t>SystemTimeAtReference</t>
    </r>
    <r>
      <rPr>
        <sz val="10"/>
        <color theme="1"/>
        <rFont val="Times New Roman"/>
        <family val="1"/>
      </rPr>
      <t xml:space="preserve"> OMS message, provides a precision time synchronization between subsystems and the navigation and/or GPS systems.</t>
    </r>
  </si>
  <si>
    <t>BCD Time Code</t>
  </si>
  <si>
    <t>This signal provides a Binary Coded Decimal (BCD) time message to be used in association with the 1 PPS signal.</t>
  </si>
  <si>
    <t>Time Fault Discrete</t>
  </si>
  <si>
    <t>This signal provides fault information associated with the 1 PPS and BCD time code implementations.</t>
  </si>
  <si>
    <t xml:space="preserve"> Other Signals Defined within OMS</t>
  </si>
  <si>
    <t>Standard Key Fill</t>
  </si>
  <si>
    <t>High Definition Video</t>
  </si>
  <si>
    <t>Analog Audio</t>
  </si>
  <si>
    <t>Superceded</t>
  </si>
  <si>
    <t>Reset</t>
  </si>
  <si>
    <t>Subsystem Ready</t>
  </si>
  <si>
    <t>Subsystem Operate</t>
  </si>
  <si>
    <t>Data Select</t>
  </si>
  <si>
    <t>Fault Detection / Fault Isolation (FD/FI)</t>
  </si>
  <si>
    <t>Navigation</t>
  </si>
  <si>
    <t>Not identified in OMS Standard</t>
  </si>
  <si>
    <t>Other Non-OMS Special Signal as identified here.</t>
  </si>
  <si>
    <t>Alternative Navigation Data</t>
  </si>
  <si>
    <t>JREAP-C</t>
  </si>
  <si>
    <t>TCP (JREAP Application Header with X1.0 message)</t>
  </si>
  <si>
    <t>UDP (JREAP Application Header with X1.0 message)</t>
  </si>
  <si>
    <t>A11</t>
  </si>
  <si>
    <t>B11</t>
  </si>
  <si>
    <t>C11</t>
  </si>
  <si>
    <t>D11</t>
  </si>
  <si>
    <t>E11</t>
  </si>
  <si>
    <t>A is N/A or True</t>
  </si>
  <si>
    <r>
      <rPr>
        <b/>
        <sz val="10"/>
        <rFont val="Times New Roman"/>
        <family val="1"/>
      </rPr>
      <t>For Compliance</t>
    </r>
    <r>
      <rPr>
        <sz val="10"/>
        <rFont val="Times New Roman"/>
        <family val="1"/>
      </rPr>
      <t xml:space="preserve">, </t>
    </r>
    <r>
      <rPr>
        <b/>
        <sz val="10"/>
        <rFont val="Times New Roman"/>
        <family val="1"/>
      </rPr>
      <t>Each</t>
    </r>
    <r>
      <rPr>
        <sz val="10"/>
        <rFont val="Times New Roman"/>
        <family val="1"/>
      </rPr>
      <t xml:space="preserve"> Non-OMS message must be compliant as indicated in the "Non-OMS Msg Compliant?" Column above.</t>
    </r>
  </si>
  <si>
    <r>
      <rPr>
        <b/>
        <sz val="10"/>
        <rFont val="Times New Roman"/>
        <family val="1"/>
      </rPr>
      <t>To insert rows</t>
    </r>
    <r>
      <rPr>
        <sz val="10"/>
        <rFont val="Times New Roman"/>
        <family val="1"/>
      </rPr>
      <t xml:space="preserve"> at the end of the table, this sheet must be unlocked using the password </t>
    </r>
    <r>
      <rPr>
        <b/>
        <sz val="10"/>
        <rFont val="Times New Roman"/>
        <family val="1"/>
      </rPr>
      <t>oms</t>
    </r>
    <r>
      <rPr>
        <sz val="10"/>
        <rFont val="Times New Roman"/>
        <family val="1"/>
      </rPr>
      <t xml:space="preserve">. Once the sheet is unprotected, use </t>
    </r>
    <r>
      <rPr>
        <b/>
        <sz val="10"/>
        <rFont val="Times New Roman"/>
        <family val="1"/>
      </rPr>
      <t>CAUTION</t>
    </r>
    <r>
      <rPr>
        <sz val="10"/>
        <rFont val="Times New Roman"/>
        <family val="1"/>
      </rPr>
      <t xml:space="preserve"> to avoid modifying/deleting equations.</t>
    </r>
  </si>
  <si>
    <t>1. Select the entire row just below the last row in the table by selecting the row number at the far left; then right click and select Insert. Repeat using F4 to insert as many rows as needed.</t>
  </si>
  <si>
    <t>3. Paste that row into the blank row(s) you added just below the table; again by selecting the entire row and pasting (CTRL V); repeat as required.</t>
  </si>
  <si>
    <t>Note: These instructions can be removed without unlocking the sheet by selecting the entire rows, right clicking and selecting Delete.</t>
  </si>
  <si>
    <r>
      <rPr>
        <b/>
        <sz val="10"/>
        <rFont val="Times New Roman"/>
        <family val="1"/>
      </rPr>
      <t>To insert rows</t>
    </r>
    <r>
      <rPr>
        <sz val="10"/>
        <rFont val="Times New Roman"/>
        <family val="1"/>
      </rPr>
      <t xml:space="preserve"> at the end of any of these tables, the sheet must be unlocked using the password </t>
    </r>
    <r>
      <rPr>
        <b/>
        <sz val="10"/>
        <rFont val="Times New Roman"/>
        <family val="1"/>
      </rPr>
      <t>oms</t>
    </r>
    <r>
      <rPr>
        <sz val="10"/>
        <rFont val="Times New Roman"/>
        <family val="1"/>
      </rPr>
      <t xml:space="preserve">. Once the sheet is unprotected, use </t>
    </r>
    <r>
      <rPr>
        <b/>
        <sz val="10"/>
        <rFont val="Times New Roman"/>
        <family val="1"/>
      </rPr>
      <t>CAUTION</t>
    </r>
    <r>
      <rPr>
        <sz val="10"/>
        <rFont val="Times New Roman"/>
        <family val="1"/>
      </rPr>
      <t xml:space="preserve"> to avoid modifying/deleting equations.</t>
    </r>
  </si>
  <si>
    <t>OMS Special Signals</t>
  </si>
  <si>
    <t>Other Signals Defined within OMS</t>
  </si>
  <si>
    <t>3. Paste those cells into the cells just below the table and paste (CTRL V); repeat as required.</t>
  </si>
  <si>
    <r>
      <t xml:space="preserve">Note: The rows with examples and these instructions can be removed without unlocking the sheet by selecting the entire row, right clicking and selecting </t>
    </r>
    <r>
      <rPr>
        <b/>
        <sz val="10"/>
        <rFont val="Times New Roman"/>
        <family val="1"/>
      </rPr>
      <t>Delete</t>
    </r>
    <r>
      <rPr>
        <sz val="10"/>
        <rFont val="Times New Roman"/>
        <family val="1"/>
      </rPr>
      <t>.</t>
    </r>
  </si>
  <si>
    <t xml:space="preserve">1. Select the cells containing the bottom row of the table and copy (CTRL C). </t>
  </si>
  <si>
    <t xml:space="preserve">2. Select the entire row containing the bottom row of the table (by clicking the number at the left) and copy (CTRL C). </t>
  </si>
  <si>
    <r>
      <t xml:space="preserve">Note: The example rows and these instructions can be removed without unlocking the sheet by selecting the entire row, right clicking and selecting </t>
    </r>
    <r>
      <rPr>
        <b/>
        <sz val="10"/>
        <rFont val="Times New Roman"/>
        <family val="1"/>
      </rPr>
      <t>Delete</t>
    </r>
    <r>
      <rPr>
        <sz val="10"/>
        <rFont val="Times New Roman"/>
        <family val="1"/>
      </rPr>
      <t>.</t>
    </r>
  </si>
  <si>
    <r>
      <rPr>
        <b/>
        <sz val="10"/>
        <rFont val="Times New Roman"/>
        <family val="1"/>
      </rPr>
      <t>For Compliance, Each</t>
    </r>
    <r>
      <rPr>
        <sz val="10"/>
        <rFont val="Times New Roman"/>
        <family val="1"/>
      </rPr>
      <t xml:space="preserve"> Non-OMS Signal must be compliant as indicated in the "Non-OMS Special Signal Compliant?" column of its respective table above.</t>
    </r>
  </si>
  <si>
    <t>Level</t>
  </si>
  <si>
    <t>Row</t>
  </si>
  <si>
    <t>A13</t>
  </si>
  <si>
    <t>B13</t>
  </si>
  <si>
    <t>Computer Aided Design (CAD)</t>
  </si>
  <si>
    <t>Standard Tessellation Language (STL)</t>
  </si>
  <si>
    <t>A14</t>
  </si>
  <si>
    <t>B14</t>
  </si>
  <si>
    <t>C13</t>
  </si>
  <si>
    <t>D13</t>
  </si>
  <si>
    <t>E13</t>
  </si>
  <si>
    <t>C14</t>
  </si>
  <si>
    <t>D14</t>
  </si>
  <si>
    <t>E14</t>
  </si>
  <si>
    <t>Simulation Data</t>
  </si>
  <si>
    <t>Distributed Interactive Simulation (DIS) Protocol Data Unit (PDU)</t>
  </si>
  <si>
    <t>libfabric</t>
  </si>
  <si>
    <t>F) Max Assessed Tier</t>
  </si>
  <si>
    <t>Shared Aperture Information Files</t>
  </si>
  <si>
    <t>A15</t>
  </si>
  <si>
    <t>A16</t>
  </si>
  <si>
    <t>B15</t>
  </si>
  <si>
    <t>C15</t>
  </si>
  <si>
    <t>D15</t>
  </si>
  <si>
    <t>E15</t>
  </si>
  <si>
    <t>B16</t>
  </si>
  <si>
    <t>C16</t>
  </si>
  <si>
    <t>D16</t>
  </si>
  <si>
    <t>E16</t>
  </si>
  <si>
    <t>F1</t>
  </si>
  <si>
    <t>F16</t>
  </si>
  <si>
    <t>F15</t>
  </si>
  <si>
    <t>F14</t>
  </si>
  <si>
    <t>F13</t>
  </si>
  <si>
    <t>F11</t>
  </si>
  <si>
    <t>F10</t>
  </si>
  <si>
    <t>F9</t>
  </si>
  <si>
    <t>F6</t>
  </si>
  <si>
    <t>F5</t>
  </si>
  <si>
    <t>F4</t>
  </si>
  <si>
    <t>F3</t>
  </si>
  <si>
    <t>F2</t>
  </si>
  <si>
    <t>Map and Navigation Data</t>
  </si>
  <si>
    <t>Custom/binary/text</t>
  </si>
  <si>
    <t>Opaque Data</t>
  </si>
  <si>
    <t>STandard for the Exchange of Product data (STEP)</t>
  </si>
  <si>
    <t>Configuration, Log, Intermediate, or Checkpoint Files</t>
  </si>
  <si>
    <t>Files for Human Consumption</t>
  </si>
  <si>
    <t>Custom/binary</t>
  </si>
  <si>
    <t>Custom/binary (Header and Real and Imaginary number pairs)</t>
  </si>
  <si>
    <t>Not specified</t>
  </si>
  <si>
    <t>C) Exclusive Use Protocols/APIs</t>
  </si>
  <si>
    <t>MISP specified protocols</t>
  </si>
  <si>
    <t>Any</t>
  </si>
  <si>
    <t>D) Shared Read-Only Protocols/APIs</t>
  </si>
  <si>
    <t>RTP (as specified in MISP)</t>
  </si>
  <si>
    <t>E) Shared Read/Modify Protocols/APIs*</t>
  </si>
  <si>
    <t>Pass-Through Data Link Messages</t>
  </si>
  <si>
    <t>A17</t>
  </si>
  <si>
    <t>A18</t>
  </si>
  <si>
    <t>B17</t>
  </si>
  <si>
    <t>C17</t>
  </si>
  <si>
    <t>D17</t>
  </si>
  <si>
    <t>E17</t>
  </si>
  <si>
    <t>F17</t>
  </si>
  <si>
    <t>B18</t>
  </si>
  <si>
    <t>C18</t>
  </si>
  <si>
    <t>D18</t>
  </si>
  <si>
    <t>E18</t>
  </si>
  <si>
    <t>F18</t>
  </si>
  <si>
    <t>B19</t>
  </si>
  <si>
    <t>C19</t>
  </si>
  <si>
    <t>D19</t>
  </si>
  <si>
    <t>E19</t>
  </si>
  <si>
    <t>F19</t>
  </si>
  <si>
    <t>A19</t>
  </si>
  <si>
    <t>Comma Separated Values (CSV)</t>
  </si>
  <si>
    <t>A20</t>
  </si>
  <si>
    <t>B20</t>
  </si>
  <si>
    <t>C20</t>
  </si>
  <si>
    <t>D20</t>
  </si>
  <si>
    <t>E20</t>
  </si>
  <si>
    <t>F20</t>
  </si>
  <si>
    <t>Max Assessed Tier</t>
  </si>
  <si>
    <t>B7</t>
  </si>
  <si>
    <t>C7</t>
  </si>
  <si>
    <t>D7</t>
  </si>
  <si>
    <t>E7</t>
  </si>
  <si>
    <t>F7</t>
  </si>
  <si>
    <t>A8</t>
  </si>
  <si>
    <t>B8</t>
  </si>
  <si>
    <t>C8</t>
  </si>
  <si>
    <t>D8</t>
  </si>
  <si>
    <t>E8</t>
  </si>
  <si>
    <t>F8</t>
  </si>
  <si>
    <t>A12</t>
  </si>
  <si>
    <t>B12</t>
  </si>
  <si>
    <t>C12</t>
  </si>
  <si>
    <t>D12</t>
  </si>
  <si>
    <t>E12</t>
  </si>
  <si>
    <t>F12</t>
  </si>
  <si>
    <t>Complex Sensor Data (Exclusive Use Protocols/APIs Does Not Apply)</t>
  </si>
  <si>
    <t>"get Row Number" Ref</t>
  </si>
  <si>
    <t>Shared Aperture Digital Data Streams</t>
  </si>
  <si>
    <t>Shared Aperture RF Distribution Data</t>
  </si>
  <si>
    <t>VITA 17.3</t>
  </si>
  <si>
    <t>A21</t>
  </si>
  <si>
    <t>B21</t>
  </si>
  <si>
    <t>C21</t>
  </si>
  <si>
    <t>D21</t>
  </si>
  <si>
    <t>E21</t>
  </si>
  <si>
    <t>F21</t>
  </si>
  <si>
    <t>A22</t>
  </si>
  <si>
    <t>B22</t>
  </si>
  <si>
    <t>C22</t>
  </si>
  <si>
    <t>D22</t>
  </si>
  <si>
    <t>E22</t>
  </si>
  <si>
    <t>F22</t>
  </si>
  <si>
    <t>N/A</t>
  </si>
  <si>
    <t>OMS Lists for PullDown</t>
  </si>
  <si>
    <t>DTAL</t>
  </si>
  <si>
    <t>FTPS</t>
  </si>
  <si>
    <t>HTTPS</t>
  </si>
  <si>
    <t>Non-OMS Lists for PullDown</t>
  </si>
  <si>
    <t>Other (See Description)</t>
  </si>
  <si>
    <t>1 Pulse Per Second (PPS)</t>
  </si>
  <si>
    <t>Non-OMS Special Signals Compliant at Tier 2</t>
  </si>
  <si>
    <t>Non-OMS Special Signals Compliant at Tier 3</t>
  </si>
  <si>
    <t>AC Met?</t>
  </si>
  <si>
    <t>Non-OMS Special Signals Allowed in the OMS Standard</t>
  </si>
  <si>
    <t>Tier 3 Non-OMS Special Signals Compliant 
(Max Tier 2 when FALSE)</t>
  </si>
  <si>
    <t>Column "A" Selection Exist in Table? Except "&lt;Select Special Signal&gt;"</t>
  </si>
  <si>
    <t>Compliance if Selected?</t>
  </si>
  <si>
    <t>Column "A" Selection Exist in Table? Except "&lt;Select Special Signal&gt;" Completed?</t>
  </si>
  <si>
    <t>Populated?</t>
  </si>
  <si>
    <t>Count for Non-OMS Special Signals Allowed in the OMS Standard</t>
  </si>
  <si>
    <t>Tier 2</t>
  </si>
  <si>
    <t>Tier 3</t>
  </si>
  <si>
    <t>Non-OMS Special Signals Superseded by OMS Messages</t>
  </si>
  <si>
    <t>Name of Non-OMS Special Signal</t>
  </si>
  <si>
    <t>Entered "Other Non-OMS Special Signal"</t>
  </si>
  <si>
    <t>Count for Other Non-OMS Special Signal</t>
  </si>
  <si>
    <t>Non-OMS Data Transfers</t>
  </si>
  <si>
    <r>
      <t>*</t>
    </r>
    <r>
      <rPr>
        <b/>
        <sz val="11"/>
        <color rgb="FFFF0000"/>
        <rFont val="Times New Roman"/>
        <family val="1"/>
      </rPr>
      <t>**IMPORTANT***</t>
    </r>
    <r>
      <rPr>
        <b/>
        <sz val="11"/>
        <color theme="1"/>
        <rFont val="Times New Roman"/>
        <family val="1"/>
      </rPr>
      <t xml:space="preserve"> This tab only applies to Non-OMS Data Transfers, i.e., those NOT listed in the "Data Transfer Formats, APIs, and Protocols" table. </t>
    </r>
    <r>
      <rPr>
        <b/>
        <sz val="11"/>
        <color rgb="FFFF0000"/>
        <rFont val="Times New Roman"/>
        <family val="1"/>
      </rPr>
      <t xml:space="preserve">***IMPORTANT*** </t>
    </r>
  </si>
  <si>
    <t>Tier 1</t>
  </si>
  <si>
    <t>Total number of Rows</t>
  </si>
  <si>
    <t>Number of empty value rows</t>
  </si>
  <si>
    <t>NON-OMS DATA TRANSFERS per "Non-OMS Data Transfers" Table based upon the OMS DATA TRANSFERS per "Data Transfer Formats, APIs, and Protocols" Table</t>
  </si>
  <si>
    <t>Data Transfer Tier Compliance</t>
  </si>
  <si>
    <t>Non-OMS Data Transfer Name</t>
  </si>
  <si>
    <t>Tier 1 Data Transfer Compliant</t>
  </si>
  <si>
    <t>Tier 2 Data Transfer Compliant</t>
  </si>
  <si>
    <t>Tier 3 Data Transfer Compliant</t>
  </si>
  <si>
    <t>ACs</t>
  </si>
  <si>
    <t>Sub-Calculation</t>
  </si>
  <si>
    <t>Main Calculation</t>
  </si>
  <si>
    <t>Valid Combination?</t>
  </si>
  <si>
    <t>Entered Non-OMS URI</t>
  </si>
  <si>
    <t>TRUE if Default value</t>
  </si>
  <si>
    <t>For Calculation STD-004998 (-3)_1</t>
  </si>
  <si>
    <t>For Calculation STD-004998 (-3)_2</t>
  </si>
  <si>
    <t>For Calculation STD-004998 (-3)_3</t>
  </si>
  <si>
    <t>For Calculation STD-004998 (-1)_2</t>
  </si>
  <si>
    <t>For Calculation STD-004998 (-1)_3</t>
  </si>
  <si>
    <t>For Calculation STD-004998 (-1)_4</t>
  </si>
  <si>
    <t>For Calculation STD-005001 (-1)_2</t>
  </si>
  <si>
    <r>
      <rPr>
        <b/>
        <sz val="10"/>
        <color theme="1"/>
        <rFont val="Times New Roman"/>
        <family val="1"/>
      </rPr>
      <t>IF</t>
    </r>
    <r>
      <rPr>
        <sz val="10"/>
        <color theme="1"/>
        <rFont val="Times New Roman"/>
        <family val="1"/>
      </rPr>
      <t xml:space="preserve"> no Non-OMS Data Transfers are entered (all fields left at default values), </t>
    </r>
    <r>
      <rPr>
        <b/>
        <sz val="10"/>
        <color theme="1"/>
        <rFont val="Times New Roman"/>
        <family val="1"/>
      </rPr>
      <t>THEN</t>
    </r>
    <r>
      <rPr>
        <sz val="10"/>
        <color theme="1"/>
        <rFont val="Times New Roman"/>
        <family val="1"/>
      </rPr>
      <t xml:space="preserve"> Service is compliant.</t>
    </r>
  </si>
  <si>
    <t>The User completes a row for each Non-OMS Data Transfer described in the Service Contract.</t>
  </si>
  <si>
    <t>The User enters the Name of the Non-OMS Data Transfer in the far left column.</t>
  </si>
  <si>
    <t>The User completes the blue entries for each column based on the information in the Service Contract.</t>
  </si>
  <si>
    <t>The user completes description and rationale column for each Non-OMS Data Transfer entered.</t>
  </si>
  <si>
    <r>
      <rPr>
        <b/>
        <sz val="10"/>
        <color theme="1"/>
        <rFont val="Times New Roman"/>
        <family val="1"/>
      </rPr>
      <t>For Compliance</t>
    </r>
    <r>
      <rPr>
        <sz val="10"/>
        <color theme="1"/>
        <rFont val="Times New Roman"/>
        <family val="1"/>
      </rPr>
      <t xml:space="preserve">, </t>
    </r>
    <r>
      <rPr>
        <b/>
        <sz val="10"/>
        <color theme="1"/>
        <rFont val="Times New Roman"/>
        <family val="1"/>
      </rPr>
      <t>each</t>
    </r>
    <r>
      <rPr>
        <sz val="10"/>
        <color theme="1"/>
        <rFont val="Times New Roman"/>
        <family val="1"/>
      </rPr>
      <t xml:space="preserve"> Non-OMS Data Transfer is automatically indicated in the "Data Transfer Tier Compliance" summary cells L2 through N2.</t>
    </r>
  </si>
  <si>
    <t>OMS Data Transfers</t>
  </si>
  <si>
    <r>
      <rPr>
        <b/>
        <sz val="11"/>
        <color rgb="FFFF0000"/>
        <rFont val="Times New Roman"/>
        <family val="1"/>
      </rPr>
      <t>***IMPORTANT***</t>
    </r>
    <r>
      <rPr>
        <b/>
        <sz val="11"/>
        <color theme="1"/>
        <rFont val="Times New Roman"/>
        <family val="1"/>
      </rPr>
      <t xml:space="preserve"> This tab only applies to OMS Data Transfers, i.e., those listed in the "Data Transfer Formats, APIs, and Protocols" table. </t>
    </r>
    <r>
      <rPr>
        <b/>
        <sz val="11"/>
        <color rgb="FFFF0000"/>
        <rFont val="Times New Roman"/>
        <family val="1"/>
      </rPr>
      <t xml:space="preserve">***IMPORTANT*** </t>
    </r>
  </si>
  <si>
    <t>Service Contract Compliance Analysis Report for OMS Data Transfer Formats, Protocols, APIs, or Data Types</t>
  </si>
  <si>
    <t>Data Transfer Restriction Checks</t>
  </si>
  <si>
    <t>OMS Data Transfer Tier Compliance</t>
  </si>
  <si>
    <t>OMS Data Transfer Name</t>
  </si>
  <si>
    <t>This Data Transfer does not overlap with OMS Messages</t>
  </si>
  <si>
    <t>This Data Transfer does not overlap with other OMS Data Exchanges</t>
  </si>
  <si>
    <t>This Data Transfer does not send external standard info secondhand</t>
  </si>
  <si>
    <t>Tier 1 OMS Data Transfer Compliant</t>
  </si>
  <si>
    <t>Tier 2 OMS Data Transfer Compliant</t>
  </si>
  <si>
    <t>Tier 3 OMS Data Transfer Compliant</t>
  </si>
  <si>
    <t>Comments/
Description/
Rationale</t>
  </si>
  <si>
    <t>Restriction Questions</t>
  </si>
  <si>
    <t>4998 (-1)_1</t>
  </si>
  <si>
    <t>4999 (-1)_1</t>
  </si>
  <si>
    <t>010122 (-1)_1</t>
  </si>
  <si>
    <t>005000 (-1)_1</t>
  </si>
  <si>
    <t>005001 (-1)_1</t>
  </si>
  <si>
    <t>STD-004998 (-1)_1</t>
  </si>
  <si>
    <t>STD-004999 (-1)_1</t>
  </si>
  <si>
    <t>STD-010122 (-1)_1</t>
  </si>
  <si>
    <t>STD-005000 (-1)_1</t>
  </si>
  <si>
    <t>STD-005001 (-1)_1</t>
  </si>
  <si>
    <t>IF no OMS Data Transfers are entered (all fields left at default values), THEN Service is compliant.</t>
  </si>
  <si>
    <t>The User enters the Name of the OMS Data Transfer in the far left column.</t>
  </si>
  <si>
    <t>The entries are automatically evaluated against the requirements in the "Data Transfer Formats, APIs, and Protocols"  table and the "OMS URI Formats" table.</t>
  </si>
  <si>
    <t>For Compliance, each OMS Data Transfer is automatically indicated in the "Data Transfer Tier Compliance" summary cells K2 through M2.</t>
  </si>
  <si>
    <t>Any comments, description, and/or rationale may be entered in column N.</t>
  </si>
  <si>
    <t>If tier compliance shows FALSE for all 3 tiers in columns K-M in a single row, then the data entered in that row is an invalid OMS Data Transfer. If the data entered is correct, then this is a Non-OMS Data Transfer. Remove the row from this tab and re-enter this data in a new row in the [[Non-OMS Data Transfer]] tab.</t>
  </si>
  <si>
    <t>OMS Compliant?</t>
  </si>
  <si>
    <t>Non-OMS Messages - A Non-OMS Message is a discrete unit of information exchanged in a messaging pattern (as opposed to a Data Transfer, Special Signal, or Security Information Exchange) that does not use an OMS CAL.</t>
  </si>
  <si>
    <t>Count for Non-OMS  Msg Entered</t>
  </si>
  <si>
    <t>Count for Rationale</t>
  </si>
  <si>
    <t>Non-OMS Msg with Rationale</t>
  </si>
  <si>
    <t>X</t>
  </si>
  <si>
    <t>Sub-calculation</t>
  </si>
  <si>
    <r>
      <rPr>
        <b/>
        <sz val="10"/>
        <color theme="1"/>
        <rFont val="Times New Roman"/>
        <family val="1"/>
      </rPr>
      <t xml:space="preserve">Subsystem: </t>
    </r>
    <r>
      <rPr>
        <sz val="10"/>
        <color theme="1"/>
        <rFont val="Times New Roman"/>
        <family val="1"/>
      </rPr>
      <t xml:space="preserve">STD-000073 (-1)_1 Non-OMS Special Signal
</t>
    </r>
    <r>
      <rPr>
        <b/>
        <sz val="10"/>
        <color theme="1"/>
        <rFont val="Times New Roman"/>
        <family val="1"/>
      </rPr>
      <t>Service:</t>
    </r>
    <r>
      <rPr>
        <sz val="10"/>
        <color theme="1"/>
        <rFont val="Times New Roman"/>
        <family val="1"/>
      </rPr>
      <t xml:space="preserve"> STD-000054 (-1)_1 Non-OMS Special Signal</t>
    </r>
  </si>
  <si>
    <t>See "OMS Special Signal for 000073 (-1)_1
and STD-000054 (-1)_1</t>
  </si>
  <si>
    <r>
      <rPr>
        <b/>
        <sz val="10"/>
        <color theme="1"/>
        <rFont val="Times New Roman"/>
        <family val="1"/>
      </rPr>
      <t>Subsystem:</t>
    </r>
    <r>
      <rPr>
        <sz val="10"/>
        <color theme="1"/>
        <rFont val="Times New Roman"/>
        <family val="1"/>
      </rPr>
      <t xml:space="preserve"> STD-000073 (-1)_2 Non-OMS Special Signal
</t>
    </r>
    <r>
      <rPr>
        <b/>
        <sz val="10"/>
        <color theme="1"/>
        <rFont val="Times New Roman"/>
        <family val="1"/>
      </rPr>
      <t>Service:</t>
    </r>
    <r>
      <rPr>
        <sz val="10"/>
        <color theme="1"/>
        <rFont val="Times New Roman"/>
        <family val="1"/>
      </rPr>
      <t xml:space="preserve"> STD-000054 (-1)_2 Non-OMS Special Signal</t>
    </r>
  </si>
  <si>
    <t>See "OMS Special Signal for 000073 (-1)_2
and STD-000054 (-1)_2</t>
  </si>
  <si>
    <r>
      <rPr>
        <b/>
        <sz val="10"/>
        <color theme="1"/>
        <rFont val="Times New Roman"/>
        <family val="1"/>
      </rPr>
      <t xml:space="preserve">Subsystem: </t>
    </r>
    <r>
      <rPr>
        <sz val="10"/>
        <color theme="1"/>
        <rFont val="Times New Roman"/>
        <family val="1"/>
      </rPr>
      <t xml:space="preserve">STD-000073 (-1)_4
</t>
    </r>
    <r>
      <rPr>
        <b/>
        <sz val="10"/>
        <color theme="1"/>
        <rFont val="Times New Roman"/>
        <family val="1"/>
      </rPr>
      <t>Service:</t>
    </r>
    <r>
      <rPr>
        <sz val="10"/>
        <color theme="1"/>
        <rFont val="Times New Roman"/>
        <family val="1"/>
      </rPr>
      <t xml:space="preserve"> STD-000054 (-1)_4</t>
    </r>
  </si>
  <si>
    <t>Non-OMS Special Signals Completed?</t>
  </si>
  <si>
    <t>Calculation for STD-000073 (-1)_2 and STD-000073 (-1)_4</t>
  </si>
  <si>
    <r>
      <rPr>
        <b/>
        <sz val="10"/>
        <color theme="1"/>
        <rFont val="Times New Roman"/>
        <family val="1"/>
      </rPr>
      <t>Subsystem:</t>
    </r>
    <r>
      <rPr>
        <sz val="10"/>
        <color theme="1"/>
        <rFont val="Times New Roman"/>
        <family val="1"/>
      </rPr>
      <t xml:space="preserve"> STD-000073 (-1)_5
</t>
    </r>
    <r>
      <rPr>
        <b/>
        <sz val="10"/>
        <color theme="1"/>
        <rFont val="Times New Roman"/>
        <family val="1"/>
      </rPr>
      <t xml:space="preserve">Service: </t>
    </r>
    <r>
      <rPr>
        <sz val="10"/>
        <color theme="1"/>
        <rFont val="Times New Roman"/>
        <family val="1"/>
      </rPr>
      <t>STD-000054 (-1)_5</t>
    </r>
  </si>
  <si>
    <r>
      <rPr>
        <b/>
        <sz val="10"/>
        <color theme="1"/>
        <rFont val="Times New Roman"/>
        <family val="1"/>
      </rPr>
      <t>Subsystem:</t>
    </r>
    <r>
      <rPr>
        <sz val="10"/>
        <color theme="1"/>
        <rFont val="Times New Roman"/>
        <family val="1"/>
      </rPr>
      <t xml:space="preserve"> STD-000073 (-1)_6
</t>
    </r>
    <r>
      <rPr>
        <b/>
        <sz val="10"/>
        <color theme="1"/>
        <rFont val="Times New Roman"/>
        <family val="1"/>
      </rPr>
      <t>Service:</t>
    </r>
    <r>
      <rPr>
        <sz val="10"/>
        <color theme="1"/>
        <rFont val="Times New Roman"/>
        <family val="1"/>
      </rPr>
      <t xml:space="preserve"> STD-000054 (-1)_6</t>
    </r>
  </si>
  <si>
    <r>
      <rPr>
        <b/>
        <sz val="10"/>
        <color theme="1"/>
        <rFont val="Times New Roman"/>
        <family val="1"/>
      </rPr>
      <t xml:space="preserve">Subsystem: </t>
    </r>
    <r>
      <rPr>
        <sz val="10"/>
        <color theme="1"/>
        <rFont val="Times New Roman"/>
        <family val="1"/>
      </rPr>
      <t xml:space="preserve">STD-000073 (-2)_1
</t>
    </r>
    <r>
      <rPr>
        <b/>
        <sz val="10"/>
        <color theme="1"/>
        <rFont val="Times New Roman"/>
        <family val="1"/>
      </rPr>
      <t>Service:</t>
    </r>
    <r>
      <rPr>
        <sz val="10"/>
        <color theme="1"/>
        <rFont val="Times New Roman"/>
        <family val="1"/>
      </rPr>
      <t xml:space="preserve"> STD-000054 (-2)_1</t>
    </r>
  </si>
  <si>
    <r>
      <rPr>
        <b/>
        <sz val="10"/>
        <color theme="1"/>
        <rFont val="Times New Roman"/>
        <family val="1"/>
      </rPr>
      <t>Subsystem:</t>
    </r>
    <r>
      <rPr>
        <sz val="10"/>
        <color theme="1"/>
        <rFont val="Times New Roman"/>
        <family val="1"/>
      </rPr>
      <t xml:space="preserve"> STD-000073 (-2)_2
</t>
    </r>
    <r>
      <rPr>
        <b/>
        <sz val="10"/>
        <color theme="1"/>
        <rFont val="Times New Roman"/>
        <family val="1"/>
      </rPr>
      <t xml:space="preserve">Service: </t>
    </r>
    <r>
      <rPr>
        <sz val="10"/>
        <color theme="1"/>
        <rFont val="Times New Roman"/>
        <family val="1"/>
      </rPr>
      <t>STD-000054 (-2)_2</t>
    </r>
  </si>
  <si>
    <r>
      <rPr>
        <b/>
        <sz val="10"/>
        <color theme="1"/>
        <rFont val="Times New Roman"/>
        <family val="1"/>
      </rPr>
      <t xml:space="preserve">Subsystem: </t>
    </r>
    <r>
      <rPr>
        <sz val="10"/>
        <color theme="1"/>
        <rFont val="Times New Roman"/>
        <family val="1"/>
      </rPr>
      <t xml:space="preserve">STD-000073 (-2)_3
</t>
    </r>
    <r>
      <rPr>
        <b/>
        <sz val="10"/>
        <color theme="1"/>
        <rFont val="Times New Roman"/>
        <family val="1"/>
      </rPr>
      <t>Service:</t>
    </r>
    <r>
      <rPr>
        <sz val="10"/>
        <color theme="1"/>
        <rFont val="Times New Roman"/>
        <family val="1"/>
      </rPr>
      <t xml:space="preserve"> STD-000054 (-2)_3</t>
    </r>
  </si>
  <si>
    <r>
      <t xml:space="preserve">Isolator: </t>
    </r>
    <r>
      <rPr>
        <sz val="10"/>
        <color theme="1"/>
        <rFont val="Times New Roman"/>
        <family val="1"/>
      </rPr>
      <t>STD-000427 (-6)_2</t>
    </r>
  </si>
  <si>
    <t>Count for TRUE Populated</t>
  </si>
  <si>
    <t>Calculation for STD-000073 (-1)_2 and STD-000073 (-1)_5</t>
  </si>
  <si>
    <t>Calculation for STD-000073 (-1)_2 and STD-000073 (-1)_6</t>
  </si>
  <si>
    <t>Sub Calculation 1</t>
  </si>
  <si>
    <t>Sub Calculation 2</t>
  </si>
  <si>
    <r>
      <rPr>
        <b/>
        <sz val="10"/>
        <color theme="1"/>
        <rFont val="Times New Roman"/>
        <family val="1"/>
      </rPr>
      <t xml:space="preserve">Subsystem: </t>
    </r>
    <r>
      <rPr>
        <sz val="10"/>
        <color theme="1"/>
        <rFont val="Times New Roman"/>
        <family val="1"/>
      </rPr>
      <t>STD-000073 (-1)_1 OMS Special Signal</t>
    </r>
    <r>
      <rPr>
        <b/>
        <sz val="10"/>
        <color theme="1"/>
        <rFont val="Times New Roman"/>
        <family val="1"/>
      </rPr>
      <t xml:space="preserve">
Service:</t>
    </r>
    <r>
      <rPr>
        <sz val="10"/>
        <color theme="1"/>
        <rFont val="Times New Roman"/>
        <family val="1"/>
      </rPr>
      <t xml:space="preserve"> STD-000054 (-1)_1 OMS Special Signal</t>
    </r>
  </si>
  <si>
    <r>
      <rPr>
        <b/>
        <sz val="10"/>
        <color theme="1"/>
        <rFont val="Times New Roman"/>
        <family val="1"/>
      </rPr>
      <t xml:space="preserve">Subsystem: </t>
    </r>
    <r>
      <rPr>
        <sz val="10"/>
        <color theme="1"/>
        <rFont val="Times New Roman"/>
        <family val="1"/>
      </rPr>
      <t xml:space="preserve">STD-000073 (-1)_2 OMS Special Signal
</t>
    </r>
    <r>
      <rPr>
        <b/>
        <sz val="10"/>
        <color theme="1"/>
        <rFont val="Times New Roman"/>
        <family val="1"/>
      </rPr>
      <t xml:space="preserve">Service: </t>
    </r>
    <r>
      <rPr>
        <sz val="10"/>
        <color theme="1"/>
        <rFont val="Times New Roman"/>
        <family val="1"/>
      </rPr>
      <t>STD-000054 (-1)_2 OMS Special Signal</t>
    </r>
  </si>
  <si>
    <t>OMS Discrete and Voltage  Reference Signals Populated?</t>
  </si>
  <si>
    <t>Counts</t>
  </si>
  <si>
    <t>OMS Special Signals Completed?</t>
  </si>
  <si>
    <t>Calculation for STD-000073 (-1)_2, STD-000073 (-1)_3, STD-000054 (-1)_2, and STD-000054 (-1)_3</t>
  </si>
  <si>
    <t>OMS Discrete and Voltage Time Reference Signals Populated?</t>
  </si>
  <si>
    <t>Other Signals Defined within OMS Populated?</t>
  </si>
  <si>
    <t>Check if the data entered is OMS or NOT</t>
  </si>
  <si>
    <t>Count</t>
  </si>
  <si>
    <t>Data Transfer Completed?</t>
  </si>
  <si>
    <t>Calculation for 000042 (-5)_2</t>
  </si>
  <si>
    <t>For Calculation STD-004999 (-1)_2</t>
  </si>
  <si>
    <t>For Calculation STD-010122 (-1)_2</t>
  </si>
  <si>
    <t>For Calculation STD-005000 (-1)_2</t>
  </si>
  <si>
    <t>Isolator: STD-006939 (-1)_3
Isolator: STD-006940 (-1)_3
Isolator: STD-010121 (-1)_3
Isolator: STD-006941 (-1)_3
Isolator: STD-006942 (-1)_3
Service: STD-004998 (-1)_3
Service: STD-004999 (-1)_3
Service: STD-010122 (-1)_3
Service: STD-005000 (-1)_3
Service: STD-005001 (-1)_3
Subsystem: STD-006935 (-1)_3
Subsystem: STD-006936 (-1)_3
Subsystem: STD-010123 (-1)_3
Subsystem: STD-006937 (-1)_3
Subsystem: STD-006938 (-1)_3</t>
  </si>
  <si>
    <t>Isolator: STD-006939 (-1)_4
Isolator: STD-006940 (-1)_4
Isolator: STD-010121 (-1)_4
Isolator: STD-006941 (-1)_4
Isolator: STD-006942 (-1)_4 
Service: STD-004998 (-1)_4
Service: STD-004999 (-1)_4
Service: STD-010122 (-1)_4
Service: STD-005000 (-1)_4
Service: STD-005001 (-1)_4
Subsystem: STD-006935 (-1)_4
Subsystem: STD-006936 (-1)_4
Subsystem: STD-010123 (-1)_4
Subsystem: STD-006937 (-1)_4
Subsystem: STD-006938 (-1)_4</t>
  </si>
  <si>
    <t>Isolator: STD-000427 (-5)_2
Service: STD-000042 (-5)_2
Subsystem: STD-000060 (-5)_2</t>
  </si>
  <si>
    <t>Isolator: STD-006939 (-3)_1
Isolator: STD-006940 (-3)_1
Isolator: STD-010121 (-3)_1
Isolator: STD-006941 (-3)_1
Isolator: STD-006942 (-2)_1
Service: STD-004998 (-3)_1
Service: STD-004999 (-3)_1
Service: STD-010122 (-3)_1
Service: STD-005000 (-3)_1
Service: STD-005001 (-2)_1
Subsystem: STD-006935 (-3)_1
Subsystem: STD-006936 (-3)_1
Subsystem: STD-010123 (-3)_1
Subsystem: STD-006937 (-3)_1
Subsystem: STD-006938 (-2)_1</t>
  </si>
  <si>
    <t>Calculation for 000042 (-5)_1</t>
  </si>
  <si>
    <t>These are for sub-calculation USED
For Main Calculation (DO NOT DELETE)</t>
  </si>
  <si>
    <t>Isolator: STD-006939 (-2)_1
Isolator: STD-006940 (-2)_1
Isolator: STD-010121 (-2)_1
Isolator: STD-006941 (-2)_1
Service: STD-004998 (-2)_1
Service: STD-004999 (-2)_1
Service: STD-010122 (-2)_1
Service: STD-005000 (-2)_1
Subsystem: STD-006935 (-2)_1
Subsystem: STD-006936 (-2)_1
Subsystem: STD-010123 (-2)_1
Subsystem: STD-006937 (-2)_1</t>
  </si>
  <si>
    <t>Isolator: STD-006939 (-1)_1
Service: STD-004998 (-1)_1
Subsystem: STD-006935 (-1)_1</t>
  </si>
  <si>
    <t>Isolator: STD-006940 (-1)_1
Service: STD-004999 (-1)_1
Subsystem: STD-006936 (-1)_1</t>
  </si>
  <si>
    <t>Isolator: STD-010121 (-1)_1
Service: STD-010122 (-1)_1
Subsystem: STD-010123 (-1)_1</t>
  </si>
  <si>
    <t>Isolator: STD-006941 (-1)_1
Service: STD-005000 (-1)_1
Subsystem: STD-006937 (-1)_1</t>
  </si>
  <si>
    <t>Isolator: STD-006942 (-1)_1
Service: STD-005001 (-1)_1
Subsystem: STD-006938 (-1)_1</t>
  </si>
  <si>
    <t>Isolator: STD-000427 (-5)_1
Service: STD-000042 (-5)_1
Subsystem: STD-000060 (-5)_1</t>
  </si>
  <si>
    <t>Message Passed Though CAL Completed?</t>
  </si>
  <si>
    <t>Non-OMS Msg entered and completed?</t>
  </si>
  <si>
    <t>User Completed this tab?</t>
  </si>
  <si>
    <t>Service: STD-000042 (-4)_1
Subsystem: STD-000060 (-4)_1</t>
  </si>
  <si>
    <t>Service: STD-000042 (-4)_2
Subsystem: STD-000060 (-4)_2</t>
  </si>
  <si>
    <t>Isolator: STD-000427 (-3)_2
Service: STD-000042 (-3)_2
Subsystem: STD-000060 (-3)_2</t>
  </si>
  <si>
    <t>Entered New Message, Rationale, and MPTC columns completed?</t>
  </si>
  <si>
    <t>Count for Populated</t>
  </si>
  <si>
    <t>OMS Data Transfer Name Entered?</t>
  </si>
  <si>
    <t>B to URI Populated?</t>
  </si>
  <si>
    <r>
      <rPr>
        <b/>
        <sz val="10"/>
        <color theme="1"/>
        <rFont val="Times New Roman"/>
        <family val="1"/>
      </rPr>
      <t>Isolator:</t>
    </r>
    <r>
      <rPr>
        <sz val="10"/>
        <color theme="1"/>
        <rFont val="Times New Roman"/>
        <family val="1"/>
      </rPr>
      <t xml:space="preserve"> STD-000427 (-6)_1</t>
    </r>
    <r>
      <rPr>
        <b/>
        <sz val="10"/>
        <color theme="1"/>
        <rFont val="Times New Roman"/>
        <family val="1"/>
      </rPr>
      <t xml:space="preserve">
Subsystem: </t>
    </r>
    <r>
      <rPr>
        <sz val="10"/>
        <color theme="1"/>
        <rFont val="Times New Roman"/>
        <family val="1"/>
      </rPr>
      <t xml:space="preserve">STD-000073 (-1)_3
</t>
    </r>
    <r>
      <rPr>
        <b/>
        <sz val="10"/>
        <color theme="1"/>
        <rFont val="Times New Roman"/>
        <family val="1"/>
      </rPr>
      <t xml:space="preserve">Service: </t>
    </r>
    <r>
      <rPr>
        <sz val="10"/>
        <color theme="1"/>
        <rFont val="Times New Roman"/>
        <family val="1"/>
      </rPr>
      <t>STD-000054 (-1)_3</t>
    </r>
  </si>
  <si>
    <t>Message Passed Through CAL?</t>
  </si>
  <si>
    <t>RTP</t>
  </si>
  <si>
    <t>RTP with RTCP</t>
  </si>
  <si>
    <t>FTPS - File Transfer Protocol Secure</t>
  </si>
  <si>
    <t>HTTPS - Hypertext Transfer Protocol Secure</t>
  </si>
  <si>
    <t>RTP - Real-Time Transport Protocol</t>
  </si>
  <si>
    <t>RTP With RTCP - Real-time Transport Protocol with Real-time Transport Control Protocol</t>
  </si>
  <si>
    <t>Binary (based on All Source Positioning and Navigation (ASPN) ICD)</t>
  </si>
  <si>
    <t>3D Studio (3DS)</t>
  </si>
  <si>
    <t>LightWave 3D Object (LWO)</t>
  </si>
  <si>
    <t>Material Template Library (MTL)</t>
  </si>
  <si>
    <t>Wavefront 3D Viewer (OBJ)</t>
  </si>
  <si>
    <t>AutoCAD Drawing (DWG)</t>
  </si>
  <si>
    <t>AutoCAD Drawing Exchange (DXF)</t>
  </si>
  <si>
    <t>Microstation Design (DGN)</t>
  </si>
  <si>
    <t>Keyhole Markup Language (KML)</t>
  </si>
  <si>
    <t>Keyhole Markup Language Zipped (KMZ)</t>
  </si>
  <si>
    <t>Naming Standards Model (NSM)</t>
  </si>
  <si>
    <t>Approved files documented as an Extensible Markup Language (XML) Schema Definition (XSD)</t>
  </si>
  <si>
    <t>Modular Open RF Architecture (MORA) Data Message VITA Radio Transport (VRT)</t>
  </si>
  <si>
    <t>Scalable Payload for Electronic Attack Development (SPEAD) High Speed Signaling</t>
  </si>
  <si>
    <t>Portable Data Format (PDF)</t>
  </si>
  <si>
    <t>Tab Separated Values (TSV)</t>
  </si>
  <si>
    <t>Office Open XML (OOXML)</t>
  </si>
  <si>
    <t>IRIG B</t>
  </si>
  <si>
    <t>IRIG B is part of the IRIG Serial Time Codes family of formats that use coded bits sent within an established time frame to simultaneously synchronize time and send time data. Time code B sends 100 bits of information within a 1 second time frame and contains time-of-year and year information in a BCD format, and time-of-day information in SBS.</t>
  </si>
  <si>
    <t>Geographic Tagged Image File Format (GeoTIFF)</t>
  </si>
  <si>
    <t>Motion Imagery Standards Profile (MISP) specified formats</t>
  </si>
  <si>
    <t>Waveform Audio File (WAV)</t>
  </si>
  <si>
    <t>Audio File (AU)</t>
  </si>
  <si>
    <t>Pulse Code Modulation (PCM)</t>
  </si>
  <si>
    <t>MPEG Audio Layer-3 (MP3)</t>
  </si>
  <si>
    <t>Windows Media Audio (WMA)</t>
  </si>
  <si>
    <t>MPEG Audio Layer-4 (MP4)</t>
  </si>
  <si>
    <t>MPEG-4 Audio (M4A)</t>
  </si>
  <si>
    <t>The National Imagery Transmission Format (NITF)</t>
  </si>
  <si>
    <t>Joint Photographic Experts Group (JPEG) 2000 (JP2)</t>
  </si>
  <si>
    <t>Standardization Agreement (STANAG) 4607</t>
  </si>
  <si>
    <t>Digital Terrain Elevation Data (DTED)</t>
  </si>
  <si>
    <t>Digital Feature Analysis Data (DFAD)</t>
  </si>
  <si>
    <t>Digital Point Positioning Database (DPPDB)</t>
  </si>
  <si>
    <t>Open Geospatial Consortium (OGC)</t>
  </si>
  <si>
    <t>Compressed ADRG (CADRG)</t>
  </si>
  <si>
    <t>Controlled Image Base (CIB)</t>
  </si>
  <si>
    <t>Vector Product Format (VPF)</t>
  </si>
  <si>
    <t>Shapefile (Shape)</t>
  </si>
  <si>
    <t>General Regularly-distributed Information in Binary form (GRIB)</t>
  </si>
  <si>
    <t>Joint Range Extension Applications Protocol (JREAP) Messages</t>
  </si>
  <si>
    <t>Binary based on Joint Interface Control Document (JICD)</t>
  </si>
  <si>
    <t>1 Pulse Per Second (1 PPS)</t>
  </si>
  <si>
    <t>This signal provides analog video, typically for displays.
Note that digital video can be treated as a Subsystem data product, not as an OMS Message. Otherwise, digital video data transfers can be used.</t>
  </si>
  <si>
    <t>This signal provides digital video, typically for displays.
Note that digital video can be treated as a Subsystem data product, not as an OMS Message. Otherwise, digital video data transfers can be used.</t>
  </si>
  <si>
    <t>This signal provides analog audio, used as warnings and cautions, as well as voice, tones and other modulations.
Note that digital audio can be treated as a Subsystem data product, not as an OMS Message. Otherwise, digital audio data transfers can be used.</t>
  </si>
  <si>
    <r>
      <t xml:space="preserve">This signal is used by the Subsystem to invoke a soft reset of the Central Processing Unit (CPU).
This signal is frequently present as an external Input/Output (I/O) for Subsystems, but does not need to be included in the OMS Standard since it is uncommon to be part of the Platform interface.
It is preferred that this signal information be provided by messaging in an OMS system. For example, use the </t>
    </r>
    <r>
      <rPr>
        <b/>
        <sz val="10"/>
        <color theme="1"/>
        <rFont val="Times New Roman"/>
        <family val="1"/>
      </rPr>
      <t>SubsystemStateCommand</t>
    </r>
    <r>
      <rPr>
        <sz val="10"/>
        <color theme="1"/>
        <rFont val="Times New Roman"/>
        <family val="1"/>
      </rPr>
      <t xml:space="preserve"> message with CommandedState set to PRE_INITIALIZATION.</t>
    </r>
  </si>
  <si>
    <r>
      <t xml:space="preserve">This discrete is used to tell the vehicle management software that the Subsystem is powered up and is not in the OFF mode.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</si>
  <si>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signal is used to tell the Subsystem to change to one of the operating states.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</si>
  <si>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discrete is used to tell the vehicle management software what state the Subsystem is in.
This is a non-normative signal.
It is preferred that this signal information be provided by messaging in an OMS system. For example, use the </t>
    </r>
    <r>
      <rPr>
        <b/>
        <sz val="10"/>
        <color theme="1"/>
        <rFont val="Times New Roman"/>
        <family val="1"/>
      </rPr>
      <t>SubsystemStatus</t>
    </r>
    <r>
      <rPr>
        <sz val="10"/>
        <color theme="1"/>
        <rFont val="Times New Roman"/>
        <family val="1"/>
      </rPr>
      <t xml:space="preserve"> message and check the value of SubsystemState.</t>
    </r>
  </si>
  <si>
    <r>
      <t xml:space="preserve">This signal is used by the Subsystem to select the data file it should be using.
This is a non-normative signal.
It is preferred that this signal information be provided by messaging in an OMS system. For example, use the </t>
    </r>
    <r>
      <rPr>
        <b/>
        <sz val="10"/>
        <color theme="1"/>
        <rFont val="Times New Roman"/>
        <family val="1"/>
      </rPr>
      <t>*CapabilitySettingsCommand</t>
    </r>
    <r>
      <rPr>
        <sz val="10"/>
        <color theme="1"/>
        <rFont val="Times New Roman"/>
        <family val="1"/>
      </rPr>
      <t xml:space="preserve"> and </t>
    </r>
    <r>
      <rPr>
        <b/>
        <sz val="10"/>
        <color theme="1"/>
        <rFont val="Times New Roman"/>
        <family val="1"/>
      </rPr>
      <t>*CapabilitySettingsCommandStatus</t>
    </r>
    <r>
      <rPr>
        <sz val="10"/>
        <color theme="1"/>
        <rFont val="Times New Roman"/>
        <family val="1"/>
      </rPr>
      <t xml:space="preserve"> messages.</t>
    </r>
  </si>
  <si>
    <r>
      <t xml:space="preserve">This signal indicates the presence of a fault. There may be multiple lines to define different faults.
This is a non-normative signal.
It is preferred that this signal information be provided by messaging in an OMS system. For example, use the </t>
    </r>
    <r>
      <rPr>
        <b/>
        <sz val="10"/>
        <color theme="1"/>
        <rFont val="Times New Roman"/>
        <family val="1"/>
      </rPr>
      <t>Fault</t>
    </r>
    <r>
      <rPr>
        <sz val="10"/>
        <color theme="1"/>
        <rFont val="Times New Roman"/>
        <family val="1"/>
      </rPr>
      <t xml:space="preserve"> and/or </t>
    </r>
    <r>
      <rPr>
        <b/>
        <sz val="10"/>
        <color theme="1"/>
        <rFont val="Times New Roman"/>
        <family val="1"/>
      </rPr>
      <t xml:space="preserve">SubsystemBIT_Status </t>
    </r>
    <r>
      <rPr>
        <sz val="10"/>
        <color theme="1"/>
        <rFont val="Times New Roman"/>
        <family val="1"/>
      </rPr>
      <t>messages.</t>
    </r>
  </si>
  <si>
    <r>
      <t xml:space="preserve">This signal represents legacy navigation inputs into Subsystems. 
This is a non-normative signal.
It is preferred that this signal information be provided by messaging in an OMS system. For example, use the </t>
    </r>
    <r>
      <rPr>
        <b/>
        <sz val="10"/>
        <color theme="1"/>
        <rFont val="Times New Roman"/>
        <family val="1"/>
      </rPr>
      <t>PositionReport</t>
    </r>
    <r>
      <rPr>
        <sz val="10"/>
        <color theme="1"/>
        <rFont val="Times New Roman"/>
        <family val="1"/>
      </rPr>
      <t xml:space="preserve"> or </t>
    </r>
    <r>
      <rPr>
        <b/>
        <sz val="10"/>
        <color theme="1"/>
        <rFont val="Times New Roman"/>
        <family val="1"/>
      </rPr>
      <t>PositionReportDetailed</t>
    </r>
    <r>
      <rPr>
        <sz val="10"/>
        <color theme="1"/>
        <rFont val="Times New Roman"/>
        <family val="1"/>
      </rPr>
      <t xml:space="preserve"> messages.</t>
    </r>
  </si>
  <si>
    <t>Assessed Tier</t>
  </si>
  <si>
    <t>Count For Message Name Entered</t>
  </si>
  <si>
    <t>All Columns Populated?</t>
  </si>
  <si>
    <t>Count For select in B</t>
  </si>
  <si>
    <t>Count For select in E</t>
  </si>
  <si>
    <t>Count For select in D</t>
  </si>
  <si>
    <t>Count For select in C</t>
  </si>
  <si>
    <t>&lt;select&gt; Count For B</t>
  </si>
  <si>
    <t>&lt;select&gt; Count For C</t>
  </si>
  <si>
    <t>&lt;select&gt; Count For D</t>
  </si>
  <si>
    <t>&lt;select&gt; Count For E</t>
  </si>
  <si>
    <t>OMS</t>
  </si>
  <si>
    <t>Non-OMS</t>
  </si>
  <si>
    <t>Total Rows Count</t>
  </si>
  <si>
    <t>Number of Empty Rows</t>
  </si>
  <si>
    <t>&lt;select&gt; Count For URI</t>
  </si>
  <si>
    <t>Count For select in URI</t>
  </si>
  <si>
    <t>Tab Completed?</t>
  </si>
  <si>
    <t>Isolator: STD-006939 (-3)_3
Isolator: STD-006940 (-3)_3
Isolator: STD-010121 (-3)_3
Isolator: STD-006941 (-3)_3
Isolator: STD-006942 (-2)_3
Service: STD-004998 (-3)_3
Service: STD-004999 (-3)_3
Service: STD-010122 (-3)_3
Service: STD-005000 (-3)_3
Service: STD-005001 (-2)_3
Subsystem: STD-006935 (-3)_3
Subsystem: STD-006936 (-3)_3
Subsystem: STD-010123 (-3)_3
Subsystem: STD-006937 (-3)_3
Subsystem: STD-006938 (-2)_3</t>
  </si>
  <si>
    <t>Does Not Use</t>
  </si>
  <si>
    <t>Other Value filled?</t>
  </si>
  <si>
    <t>Assessing Single Protocol/API used</t>
  </si>
  <si>
    <t>C</t>
  </si>
  <si>
    <t>D</t>
  </si>
  <si>
    <t>E</t>
  </si>
  <si>
    <t>A to URI Populated?</t>
  </si>
  <si>
    <t>Is A Data Type Entered?</t>
  </si>
  <si>
    <t>Count For select in A</t>
  </si>
  <si>
    <t>All of A-E
Filled with any data?</t>
  </si>
  <si>
    <t>B</t>
  </si>
  <si>
    <t>Does C Contain "Does Not Use"?</t>
  </si>
  <si>
    <t>Does D Contain "Does Not Use"?</t>
  </si>
  <si>
    <t>Does E Contain "Does Not Use"?</t>
  </si>
  <si>
    <t>Are there 2 "Does Not Use"?</t>
  </si>
  <si>
    <t>RQMT ID</t>
  </si>
  <si>
    <t>RQMT Text</t>
  </si>
  <si>
    <t>RQMT Met?</t>
  </si>
  <si>
    <t>Clarification</t>
  </si>
  <si>
    <t>Subordinate RQMTS</t>
  </si>
  <si>
    <t>Sub RQMTS Met?</t>
  </si>
  <si>
    <t>VR List</t>
  </si>
  <si>
    <t>All VRs Met?</t>
  </si>
  <si>
    <t>Verification Requirement (VR)</t>
  </si>
  <si>
    <t>VR Tier</t>
  </si>
  <si>
    <t>Guidance</t>
  </si>
  <si>
    <t>AC List</t>
  </si>
  <si>
    <t>VR Met?</t>
  </si>
  <si>
    <t>Acceptance Criteria (AC)</t>
  </si>
  <si>
    <t>Assessed Article</t>
  </si>
  <si>
    <t>N/A Rationale</t>
  </si>
  <si>
    <t>1, 2, 3</t>
  </si>
  <si>
    <t>“Current Version” in this context refers to the version of the Service Contract Template specified in the OMS Standard against which compliance is being measured.</t>
  </si>
  <si>
    <t>(-1)_1</t>
  </si>
  <si>
    <t>Although a Service Contract may contain references to proprietary documentation, the Service Contract itself must be non-proprietary.</t>
  </si>
  <si>
    <t>(-2)_1</t>
  </si>
  <si>
    <t>Service Contract</t>
  </si>
  <si>
    <t>AC 2-1 Met?</t>
  </si>
  <si>
    <t>(-3)_1
(-3)_2</t>
  </si>
  <si>
    <t>The use of Non-OMS Messages are not OMS compliant.</t>
  </si>
  <si>
    <t>(-4)_1
(-4)_2</t>
  </si>
  <si>
    <t>(-5)_1
(-5)_2</t>
  </si>
  <si>
    <t>(-6)_1
(-6)_2</t>
  </si>
  <si>
    <t>This information is typically provided in the “Data Transfer Ports and Protocols” section of the Service Contract.</t>
  </si>
  <si>
    <t>(-7)_1
(-7)_2</t>
  </si>
  <si>
    <t>AC 7-1 Met?</t>
  </si>
  <si>
    <t>AC 7-2 Met?</t>
  </si>
  <si>
    <t>This information is typically provided in the “Data Transfer Confidentiality Mechanisms” section of the Service Contract.</t>
  </si>
  <si>
    <t>(-8)_1
(-8)_2</t>
  </si>
  <si>
    <t>AC 8-1 Met?</t>
  </si>
  <si>
    <t>AC 8-2 Met?</t>
  </si>
  <si>
    <t>This information is typically provided in the “Data Transfer Integrity Mechanisms” section of the Service Contract.</t>
  </si>
  <si>
    <t>(-9)_1
(-9)_2</t>
  </si>
  <si>
    <t>AC 9-1 Met?</t>
  </si>
  <si>
    <t>AC 9-2 Met?</t>
  </si>
  <si>
    <t>This information is typically provided in the “Data Transfer Failure Behaviors” section of the Service Contract.</t>
  </si>
  <si>
    <t>(-1)</t>
  </si>
  <si>
    <t>(-1)_1
(-1)_2</t>
  </si>
  <si>
    <t>functional test results</t>
  </si>
  <si>
    <t>AC 1-2 Met?</t>
  </si>
  <si>
    <t>(-1)_1
(-1)_2
(-1)_3
(-1)_4</t>
  </si>
  <si>
    <t>(-1)
(-2)
(-3)</t>
  </si>
  <si>
    <t>Data transfers that use one of the permitted combinations for Max Assessed Tier of 3 per the “Data Transfer Formats, APIs, and Protocols” table are recorded in the [[OMS Data Transfer]] tab.</t>
  </si>
  <si>
    <t>(-3)_1
(-3)_2
(-3)_3</t>
  </si>
  <si>
    <t>(-1)
(-2)</t>
  </si>
  <si>
    <t>(-2)_1
(-2)_2
(-2)_3</t>
  </si>
  <si>
    <t>AC 1-1 Met?</t>
  </si>
  <si>
    <t>This information is typically provided in the “Service Status” section of the Service Contract.</t>
  </si>
  <si>
    <t>(-2)_1
(-2)_2</t>
  </si>
  <si>
    <t>AC 2-2 Met?</t>
  </si>
  <si>
    <t>AC 3-1 Met?</t>
  </si>
  <si>
    <t>AC 3-2 Met?</t>
  </si>
  <si>
    <t>Non-OMS Data Transfer Name Entered?</t>
  </si>
  <si>
    <t>Is anything populated?</t>
  </si>
  <si>
    <t>Number of empty value row for A</t>
  </si>
  <si>
    <t>Number of empty value row for B</t>
  </si>
  <si>
    <t>Number of empty value row for C</t>
  </si>
  <si>
    <t>Number of empty value row for D</t>
  </si>
  <si>
    <t>Number of empty value row for E</t>
  </si>
  <si>
    <t>Number of empty value row for URI</t>
  </si>
  <si>
    <t>Entered OMS or Non-OMS Shared Read/Modify Protocols/APIs?</t>
  </si>
  <si>
    <t>B have &lt;Select&gt; or Empty?</t>
  </si>
  <si>
    <t>C have &lt;Select&gt; or Empty?</t>
  </si>
  <si>
    <t>D have &lt;Select&gt; or Empty?</t>
  </si>
  <si>
    <t>E have &lt;Select&gt; or Empty?</t>
  </si>
  <si>
    <t>URI Format  have &lt;Select&gt; or Empty?</t>
  </si>
  <si>
    <t>A have &lt;Select&gt; or Empty?</t>
  </si>
  <si>
    <t>Entered OMS/Non-OMS Data Type or Empty?</t>
  </si>
  <si>
    <t>Calculation for Checking Combination for Data Type (A) and Formats (B)</t>
  </si>
  <si>
    <t>Entered OMS/Non-OMS Exclusive Use Protocols/APIs?</t>
  </si>
  <si>
    <t>Entered OMS/Non-OMS Shared Read-Only Protocols/APIs?</t>
  </si>
  <si>
    <t>Calculation for Checking Combination for Data Type (A) and Shared Read/Modify (E)</t>
  </si>
  <si>
    <t>Entered OMS/Non-OMS URI or Empty?</t>
  </si>
  <si>
    <t>Calculation for Checking Combination for Data Type (A) and URI</t>
  </si>
  <si>
    <t>B to A Combination:
Isolator: STD-006939 (-1)_2
Service: STD-004998 (-1)_2
Subsystem: STD-006935 (-1)_2</t>
  </si>
  <si>
    <t>C to A Combination: 
Isolator: STD-006940 (-1)_2
Service: STD-004999 (-1)_2
Subsystem: STD-006936 (-1)_2</t>
  </si>
  <si>
    <t>D to A Combination: 
Isolator: STD-010121 (-1)_2
Service: STD-010122 (-1)_2
Subsystem: STD-010123 (-1)_2</t>
  </si>
  <si>
    <t>E to A Combination: 
Isolator: STD-006941 (-1)_2
Service: STD-005000 (-1)_2
Subsystem: STD-006937 (-1)_2</t>
  </si>
  <si>
    <t>URI to A Combination: 
Isolator: STD-006942 (-1)_2
Service: STD-005001 (-1)_2
Subsystem: STD-006938 (-1)_2</t>
  </si>
  <si>
    <t>Change Request ID</t>
  </si>
  <si>
    <t>Entered Change Request ID</t>
  </si>
  <si>
    <t>&lt;Enter Change Request ID Here&gt;</t>
  </si>
  <si>
    <t>Services will restricted to the max allowed tier per the approved Change Request and the Request Identifier (e.g., OAM-XXXX) for the Change Request must be entered.</t>
  </si>
  <si>
    <t>Approved Change Request Identifier</t>
  </si>
  <si>
    <t>Change Request</t>
  </si>
  <si>
    <t>Enteted Approved Change Request Identifier</t>
  </si>
  <si>
    <t>Count for Change Request Identified</t>
  </si>
  <si>
    <t>IF an Other Non-OMS Special Signal  is entered, THEN the Name of Other Non-OMS Special Signal AND the Rationale AND the Change Request Identifier (e.g., OAM-XXXX) must be entered.</t>
  </si>
  <si>
    <t>&lt;Enter OMS Data Transfer&gt;</t>
  </si>
  <si>
    <t>Isolator: STD-006942 (-2)_2
Service: STD-005001 (-2)_2
Subsystem: STD-006938 (-2)_2</t>
  </si>
  <si>
    <t>Isolator: STD-006939 (-3)_2
Isolator: STD-006940 (-3)_2
Isolator: STD-010121 (-3)_2
Isolator: STD-006941 (-3)_2
Service: STD-004998 (-3)_2
Service: STD-004999 (-3)_2
Service: STD-010122 (-3)_2
Service: STD-005000 (-3)_2
Subsystem: STD-006935 (-3)_2
Subsystem: STD-006936 (-3)_2
Subsystem: STD-010123 (-3)_2
Subsystem: STD-006937 (-3)_2</t>
  </si>
  <si>
    <t>Entered Change Request ID
(Not Needed, can be deleted)</t>
  </si>
  <si>
    <t>IF a Non-OMS Message is entered, THEN the Service is not OMS compliant at any tier. Consider using a Data Transfer until the Non-OMS Message can be added to a future baseline UCI Schema using an Change Request, so it will go through a CAL.</t>
  </si>
  <si>
    <t>Count for Tier 1 Sub MMS "N/A" entered</t>
  </si>
  <si>
    <t>Count for Tier 1 Sub MMS "N/A" with Rationale entered</t>
  </si>
  <si>
    <t>Count for Tier 1 MMS "YES WITH MODIFICATION"</t>
  </si>
  <si>
    <t>Count for Tier 1 MMS "N/A" entered</t>
  </si>
  <si>
    <t>Count for Tier 1 MMS "N/A" with Rationale entered</t>
  </si>
  <si>
    <t>Calculation for Checking Combination for Data Type (A) and Shared Read-Only (D)</t>
  </si>
  <si>
    <t>Calculation for Checking Combination for Data Type (A) and Exclusive (C)</t>
  </si>
  <si>
    <t>OMS Messages</t>
  </si>
  <si>
    <t>Message Set</t>
  </si>
  <si>
    <t>Implementation</t>
  </si>
  <si>
    <t>Used</t>
  </si>
  <si>
    <t>Rationale for N/A</t>
  </si>
  <si>
    <t>Input</t>
  </si>
  <si>
    <t>Output</t>
  </si>
  <si>
    <t>Notes</t>
  </si>
  <si>
    <t>AMTI_Activity</t>
  </si>
  <si>
    <t>YES</t>
  </si>
  <si>
    <t>NO</t>
  </si>
  <si>
    <t>SC §3.X.X.X</t>
  </si>
  <si>
    <t>&lt;enter location here&gt;</t>
  </si>
  <si>
    <t>AMTI_Capability</t>
  </si>
  <si>
    <t>AMTI_CapabilityStatus</t>
  </si>
  <si>
    <t>AMTI_Command</t>
  </si>
  <si>
    <t>AMTI_CommandStatus</t>
  </si>
  <si>
    <t>AMTI_SettingsCommand</t>
  </si>
  <si>
    <t>AMTI_SettingsCommandStatus</t>
  </si>
  <si>
    <t>AO_Activity</t>
  </si>
  <si>
    <t>AO_Capability</t>
  </si>
  <si>
    <t>AO_CapabilityStatus</t>
  </si>
  <si>
    <t>AO_Command</t>
  </si>
  <si>
    <t>AO_CommandStatus</t>
  </si>
  <si>
    <t>AO_ConsentRequest</t>
  </si>
  <si>
    <t>AO_ConsentRequestStatus</t>
  </si>
  <si>
    <t>AO_SettingsCommand</t>
  </si>
  <si>
    <t>AO_SettingsCommandStatus</t>
  </si>
  <si>
    <t>EA_Activity</t>
  </si>
  <si>
    <t>EA_Capability</t>
  </si>
  <si>
    <t>EA_CapabilityStatus</t>
  </si>
  <si>
    <t>EA_Command</t>
  </si>
  <si>
    <t>EA_CommandStatus</t>
  </si>
  <si>
    <t>EA_ConsentRequest</t>
  </si>
  <si>
    <t>EA_ConsentRequestStatus</t>
  </si>
  <si>
    <t>EA_SettingsCommand</t>
  </si>
  <si>
    <t>EA_SettingsCommandStatus</t>
  </si>
  <si>
    <t>Entity</t>
  </si>
  <si>
    <t>ESM_Activity</t>
  </si>
  <si>
    <t>ESM_Capability</t>
  </si>
  <si>
    <t>ESM_CapabilityStatus</t>
  </si>
  <si>
    <t>ESM_Command</t>
  </si>
  <si>
    <t>ESM_CommandStatus</t>
  </si>
  <si>
    <t>ESM_ConsentRequest</t>
  </si>
  <si>
    <t>ESM_ConsentRequestStatus</t>
  </si>
  <si>
    <t>ESM_SettingsCommand</t>
  </si>
  <si>
    <t>ESM_SettingsCommandStatus</t>
  </si>
  <si>
    <t>FileLocation</t>
  </si>
  <si>
    <t>FileMetadata</t>
  </si>
  <si>
    <t>NavigationReport</t>
  </si>
  <si>
    <t>PO_Activity</t>
  </si>
  <si>
    <t>PO_Capability</t>
  </si>
  <si>
    <t>PO_CapabilityStatus</t>
  </si>
  <si>
    <t>PO_Command</t>
  </si>
  <si>
    <t>PO_CommandStatus</t>
  </si>
  <si>
    <t>PO_SettingsCommand</t>
  </si>
  <si>
    <t>PO_SettingsCommandStatus</t>
  </si>
  <si>
    <t>PositionReport</t>
  </si>
  <si>
    <t>ProductLocation</t>
  </si>
  <si>
    <t>ProductMetadata</t>
  </si>
  <si>
    <t>SAR_Activity</t>
  </si>
  <si>
    <t>SAR_Capability</t>
  </si>
  <si>
    <t>SAR_CapabilityStatus</t>
  </si>
  <si>
    <t>SAR_Command</t>
  </si>
  <si>
    <t>SAR_CommandStatus</t>
  </si>
  <si>
    <t>SAR_SettingsCommand</t>
  </si>
  <si>
    <t>SAR_SettingsCommandStatus</t>
  </si>
  <si>
    <t>ServiceStatus</t>
  </si>
  <si>
    <t>ServiceStatusDataRequest</t>
  </si>
  <si>
    <t>ServiceStatusDataRequestStatus</t>
  </si>
  <si>
    <t>SMTI_Activity</t>
  </si>
  <si>
    <t>SMTI_Capability</t>
  </si>
  <si>
    <t>SMTI_CapabilityStatus</t>
  </si>
  <si>
    <t>SMTI_Command</t>
  </si>
  <si>
    <t>SMTI_CommandStatus</t>
  </si>
  <si>
    <t>SMTI_SettingsCommand</t>
  </si>
  <si>
    <t>SMTI_SettingsCommandStatus</t>
  </si>
  <si>
    <t>StrikeActivity</t>
  </si>
  <si>
    <t>StrikeCapability</t>
  </si>
  <si>
    <t>StrikeCapabilityStatus</t>
  </si>
  <si>
    <t>StrikeCommand</t>
  </si>
  <si>
    <t>StrikeCommandStatus</t>
  </si>
  <si>
    <t>StrikeConsentRequest</t>
  </si>
  <si>
    <t>StrikeConsentRequestStatus</t>
  </si>
  <si>
    <t>StrikeSettingsCommand</t>
  </si>
  <si>
    <t>StrikeSettingsCommandStatus</t>
  </si>
  <si>
    <t>SubsystemEraseCommand</t>
  </si>
  <si>
    <t>SubsystemEraseCommandStatus</t>
  </si>
  <si>
    <t>SubsystemSettingsCommand</t>
  </si>
  <si>
    <t>SubsystemSettingsCommandStatus</t>
  </si>
  <si>
    <t>SubsystemStateCommand</t>
  </si>
  <si>
    <t>SubsystemStateCommandStatus</t>
  </si>
  <si>
    <t>SubsystemStatus</t>
  </si>
  <si>
    <t>SubsystemStatusDataRequest</t>
  </si>
  <si>
    <t>SubsystemStatusDataRequestStatus</t>
  </si>
  <si>
    <t>SystemStatus</t>
  </si>
  <si>
    <t>Task</t>
  </si>
  <si>
    <t>TaskCancelCommand</t>
  </si>
  <si>
    <t>TaskCancelCommandStatus</t>
  </si>
  <si>
    <t>TaskCommand</t>
  </si>
  <si>
    <t>TaskCommandStatus</t>
  </si>
  <si>
    <t>TaskStatus</t>
  </si>
  <si>
    <t>COMINT_Activity</t>
  </si>
  <si>
    <t>COMINT_Capability</t>
  </si>
  <si>
    <t>COMINT_CapabilityStatus</t>
  </si>
  <si>
    <t>COMINT_Command</t>
  </si>
  <si>
    <t>COMINT_CommandStatus</t>
  </si>
  <si>
    <t>ActivityMetrics</t>
  </si>
  <si>
    <t>ActivityPlan</t>
  </si>
  <si>
    <t>ActivityPlanApprovalStatus</t>
  </si>
  <si>
    <t>ActivityPlanCommand</t>
  </si>
  <si>
    <t>ActivityPlanCommandStatus</t>
  </si>
  <si>
    <t>ActivityPlanExecutionStatus</t>
  </si>
  <si>
    <t>ActivityPlanStatus</t>
  </si>
  <si>
    <t>ApprovalAuthority</t>
  </si>
  <si>
    <t>ApprovalAuthorityRequest</t>
  </si>
  <si>
    <t>ApprovalAuthorityRequestStatus</t>
  </si>
  <si>
    <t>ApprovalPolicy</t>
  </si>
  <si>
    <t>ApprovalRequest</t>
  </si>
  <si>
    <t>ApprovalRequestStatus</t>
  </si>
  <si>
    <t>MissionPlan</t>
  </si>
  <si>
    <t>MissionPlanActivationCommand</t>
  </si>
  <si>
    <t>MissionPlanActivationCommandStatus</t>
  </si>
  <si>
    <t>MissionPlanActivationStatus</t>
  </si>
  <si>
    <t>MissionPlanApprovalStatus</t>
  </si>
  <si>
    <t>MissionPlanCommand</t>
  </si>
  <si>
    <t>MissionPlanCommandStatus</t>
  </si>
  <si>
    <t>MissionPlanExecutionStatus</t>
  </si>
  <si>
    <t>MissionPlanMetricsReport</t>
  </si>
  <si>
    <t>MissionPlanStatus</t>
  </si>
  <si>
    <t>OrbitActivityPlan</t>
  </si>
  <si>
    <t>OrbitActivityPlanApprovalStatus</t>
  </si>
  <si>
    <t>OrbitActivityPlanCommand</t>
  </si>
  <si>
    <t>OrbitActivityPlanCommandStatus</t>
  </si>
  <si>
    <t>OrbitActivityPlanExecutionStatus</t>
  </si>
  <si>
    <t>OrbitActivityPlanStatus</t>
  </si>
  <si>
    <t>OrbitMetrics</t>
  </si>
  <si>
    <t>OrbitPlan</t>
  </si>
  <si>
    <t>OrbitPlanApprovalStatus</t>
  </si>
  <si>
    <t>OrbitPlanCommand</t>
  </si>
  <si>
    <t>OrbitPlanCommandStatus</t>
  </si>
  <si>
    <t>OrbitPlanExecutionStatus</t>
  </si>
  <si>
    <t>OrbitPlanStatus</t>
  </si>
  <si>
    <t>RequirementMetrics</t>
  </si>
  <si>
    <t>RouteActivityPlan</t>
  </si>
  <si>
    <t>RouteActivityPlanApprovalStatus</t>
  </si>
  <si>
    <t>RouteActivityPlanCommand</t>
  </si>
  <si>
    <t>RouteActivityPlanExecutionStatus</t>
  </si>
  <si>
    <t>RouteActivityPlanStatus</t>
  </si>
  <si>
    <t>RouteMetrics</t>
  </si>
  <si>
    <t>RoutePlan</t>
  </si>
  <si>
    <t>RoutePlanApprovalStatus</t>
  </si>
  <si>
    <t>RoutePlanCommand</t>
  </si>
  <si>
    <t>RoutePlanCommandStatus</t>
  </si>
  <si>
    <t>RoutePlanExecutionStatus</t>
  </si>
  <si>
    <t>RoutePlanStatus</t>
  </si>
  <si>
    <t>TaskExecutionApprovalStatus</t>
  </si>
  <si>
    <t>TaskPlan</t>
  </si>
  <si>
    <t>TaskPlanApprovalStatus</t>
  </si>
  <si>
    <t>TaskPlanCommand</t>
  </si>
  <si>
    <t>TaskPlanCommandStatus</t>
  </si>
  <si>
    <t>TaskPlanExecutionStatus</t>
  </si>
  <si>
    <t>TaskPlanningStatus</t>
  </si>
  <si>
    <t>TaskPlanStatus</t>
  </si>
  <si>
    <t>AccessAssessment</t>
  </si>
  <si>
    <t>AccessAssessmentRequest</t>
  </si>
  <si>
    <t>AccessAssessmentRequestStatus</t>
  </si>
  <si>
    <t>Action</t>
  </si>
  <si>
    <t>ActionActivity</t>
  </si>
  <si>
    <t>ActionCancelCommand</t>
  </si>
  <si>
    <t>ActionCancelCommandStatus</t>
  </si>
  <si>
    <t>ActionCapability</t>
  </si>
  <si>
    <t>ActionCapabilityStatus</t>
  </si>
  <si>
    <t>ActionCommand</t>
  </si>
  <si>
    <t>ActionCommandStatus</t>
  </si>
  <si>
    <t>ActionExecutionApprovalStatus</t>
  </si>
  <si>
    <t>ActionPlan</t>
  </si>
  <si>
    <t>ActionPlanApprovalStatus</t>
  </si>
  <si>
    <t>ActionPlanCommand</t>
  </si>
  <si>
    <t>ActionPlanCommandStatus</t>
  </si>
  <si>
    <t>ActionPlanExecutionStatus</t>
  </si>
  <si>
    <t>ActionPlanningStatus</t>
  </si>
  <si>
    <t>ActionPlanStatus</t>
  </si>
  <si>
    <t>ActionPlanValidation</t>
  </si>
  <si>
    <t>ActionPlanValidationCommand</t>
  </si>
  <si>
    <t>ActionPlanValidationCommandStatus</t>
  </si>
  <si>
    <t>ActionStatus</t>
  </si>
  <si>
    <t>ActivityMetricsRequest</t>
  </si>
  <si>
    <t>ActivityMetricsRequestStatus</t>
  </si>
  <si>
    <t>ActivityPlanValidation</t>
  </si>
  <si>
    <t>ActivityPlanValidationCommand</t>
  </si>
  <si>
    <t>ActivityPlanValidationCommandStatus</t>
  </si>
  <si>
    <t>AirfieldReport</t>
  </si>
  <si>
    <t>AirReport</t>
  </si>
  <si>
    <t>AirSampleActivity</t>
  </si>
  <si>
    <t>AirSampleCapability</t>
  </si>
  <si>
    <t>AirSampleCapabilityStatus</t>
  </si>
  <si>
    <t>AirSampleCommand</t>
  </si>
  <si>
    <t>AirSampleCommandStatus</t>
  </si>
  <si>
    <t>AirSampleSettingsCommand</t>
  </si>
  <si>
    <t>AirSampleSettingsCommandStatus</t>
  </si>
  <si>
    <t>AnalysisRoute</t>
  </si>
  <si>
    <t>AnalysisRouteRequest</t>
  </si>
  <si>
    <t>AnalysisRouteRequestStatus</t>
  </si>
  <si>
    <t>ApprovalManagementCommand</t>
  </si>
  <si>
    <t>ApprovalManagementCommandStatus</t>
  </si>
  <si>
    <t>Assessment</t>
  </si>
  <si>
    <t>AssessmentRequest</t>
  </si>
  <si>
    <t>AssessmentRequestStatus</t>
  </si>
  <si>
    <t>Authorization</t>
  </si>
  <si>
    <t>AuthorizationRequest</t>
  </si>
  <si>
    <t>AuthorizationRequestStatus</t>
  </si>
  <si>
    <t>CapabilityCoverageArea</t>
  </si>
  <si>
    <t>CapabilityCoverageAreaRequest</t>
  </si>
  <si>
    <t>CapabilityCoverageAreaRequestStatus</t>
  </si>
  <si>
    <t>CargoDeliveryCapability</t>
  </si>
  <si>
    <t>CargoDeliveryCapabilityStatus</t>
  </si>
  <si>
    <t>CargoStatus</t>
  </si>
  <si>
    <t>COMINT_ConsentRequest</t>
  </si>
  <si>
    <t>COMINT_ConsentRequestStatus</t>
  </si>
  <si>
    <t>COMINT_SettingsCommand</t>
  </si>
  <si>
    <t>COMINT_SettingsCommandStatus</t>
  </si>
  <si>
    <t>CommandedTimelineActivity</t>
  </si>
  <si>
    <t>CommandedTimelineCapability</t>
  </si>
  <si>
    <t>CommandedTimelineCapabilityStatus</t>
  </si>
  <si>
    <t>CommandedTimelineCommand</t>
  </si>
  <si>
    <t>CommandedTimelineCommandStatus</t>
  </si>
  <si>
    <t>CommandedTimelineSettingsCommand</t>
  </si>
  <si>
    <t>CommandedTimelineSettingsCommandStatus</t>
  </si>
  <si>
    <t>CommPointing</t>
  </si>
  <si>
    <t>CommSupport</t>
  </si>
  <si>
    <t>CommSupportActivity</t>
  </si>
  <si>
    <t>CommSupportCancelCommand</t>
  </si>
  <si>
    <t>CommSupportCancelCommandStatus</t>
  </si>
  <si>
    <t>CommSupportCapability</t>
  </si>
  <si>
    <t>CommSupportCapabilityStatus</t>
  </si>
  <si>
    <t>CommSupportCommand</t>
  </si>
  <si>
    <t>CommSupportCommandStatus</t>
  </si>
  <si>
    <t>CommSupportExecutionApprovalStatus</t>
  </si>
  <si>
    <t>CommSupportPlan</t>
  </si>
  <si>
    <t>CommSupportPlanApprovalStatus</t>
  </si>
  <si>
    <t>CommSupportPlanCommand</t>
  </si>
  <si>
    <t>CommSupportPlanCommandStatus</t>
  </si>
  <si>
    <t>CommSupportPlanExecutionStatus</t>
  </si>
  <si>
    <t>CommSupportPlanningStatus</t>
  </si>
  <si>
    <t>CommSupportPlanStatus</t>
  </si>
  <si>
    <t>CommSupportPlanValidation</t>
  </si>
  <si>
    <t>CommSupportPlanValidationCommand</t>
  </si>
  <si>
    <t>CommSupportPlanValidationCommandStatus</t>
  </si>
  <si>
    <t>CommSupportSettingsCommand</t>
  </si>
  <si>
    <t>CommSupportSettingsCommandStatus</t>
  </si>
  <si>
    <t>CommSupportStatus</t>
  </si>
  <si>
    <t>CommTerminalActivity</t>
  </si>
  <si>
    <t>CommTerminalCapability</t>
  </si>
  <si>
    <t>CommTerminalCapabilityStatus</t>
  </si>
  <si>
    <t>CommTerminalCommand</t>
  </si>
  <si>
    <t>CommTerminalCommandStatus</t>
  </si>
  <si>
    <t>CommTerminalPlan</t>
  </si>
  <si>
    <t>CommTerminalPlanActivationCommand</t>
  </si>
  <si>
    <t>CommTerminalPlanActivationCommandStatus</t>
  </si>
  <si>
    <t>CommTerminalPlanActivationStatus</t>
  </si>
  <si>
    <t>CommTerminalPlanOverrideRequest</t>
  </si>
  <si>
    <t>CommTerminalPlanOverrideRequestStatus</t>
  </si>
  <si>
    <t>CommTerminalSettingsCommand</t>
  </si>
  <si>
    <t>CommTerminalSettingsCommandStatus</t>
  </si>
  <si>
    <t>ComponentConfiguration</t>
  </si>
  <si>
    <t>ComponentConfigurationDataRequest</t>
  </si>
  <si>
    <t>ComponentConfigurationDataRequestStatus</t>
  </si>
  <si>
    <t>ComponentSettingsCommand</t>
  </si>
  <si>
    <t>ComponentSettingsCommandStatus</t>
  </si>
  <si>
    <t>ComponentStatus</t>
  </si>
  <si>
    <t>ComponentStatusDataRequest</t>
  </si>
  <si>
    <t>ComponentStatusDataRequestStatus</t>
  </si>
  <si>
    <t>ControlInterfacesCommand</t>
  </si>
  <si>
    <t>ControlInterfacesCommandStatus</t>
  </si>
  <si>
    <t>ControlRequest</t>
  </si>
  <si>
    <t>ControlRequestStatus</t>
  </si>
  <si>
    <t>ControlSourcesCommand</t>
  </si>
  <si>
    <t>ControlSourcesCommandStatus</t>
  </si>
  <si>
    <t>ControlStatus</t>
  </si>
  <si>
    <t>CoordinatedRequirementSet</t>
  </si>
  <si>
    <t>CoordinatedRequirementSetStatus</t>
  </si>
  <si>
    <t>CounterSpaceActivity</t>
  </si>
  <si>
    <t>CounterSpaceCapability</t>
  </si>
  <si>
    <t>CounterSpaceCapabilityStatus</t>
  </si>
  <si>
    <t>CounterSpaceDeconfliction</t>
  </si>
  <si>
    <t>CounterSpaceReport</t>
  </si>
  <si>
    <t>CryptoCommand</t>
  </si>
  <si>
    <t>CryptoCommandStatus</t>
  </si>
  <si>
    <t>CryptoStatus</t>
  </si>
  <si>
    <t>DamageAssessment</t>
  </si>
  <si>
    <t>DamageAssessmentRequest</t>
  </si>
  <si>
    <t>DamageAssessmentRequestStatus</t>
  </si>
  <si>
    <t>DamageEstimate</t>
  </si>
  <si>
    <t>DamageEstimateRequest</t>
  </si>
  <si>
    <t>DamageEstimateRequestStatus</t>
  </si>
  <si>
    <t>DamageReport</t>
  </si>
  <si>
    <t>DamageSummary</t>
  </si>
  <si>
    <t>DataDeleteRequest</t>
  </si>
  <si>
    <t>DataDeleteRequestStatus</t>
  </si>
  <si>
    <t>DataManagementRequest</t>
  </si>
  <si>
    <t>DataManagementRequestStatus</t>
  </si>
  <si>
    <t>DataPlan</t>
  </si>
  <si>
    <t>DataPlanActivationCommand</t>
  </si>
  <si>
    <t>DataPlanActivationCommandStatus</t>
  </si>
  <si>
    <t>DataPlanActivationStatus</t>
  </si>
  <si>
    <t>DataPlanOverrideRequest</t>
  </si>
  <si>
    <t>DataPlanOverrideRequestStatus</t>
  </si>
  <si>
    <t>DataRecordListManagementRequest</t>
  </si>
  <si>
    <t>DataRecordListManagementRequestStatus</t>
  </si>
  <si>
    <t>DataRecordManagementRequest</t>
  </si>
  <si>
    <t>DataRecordManagementRequestStatus</t>
  </si>
  <si>
    <t>DataStorageUtilizationRequest</t>
  </si>
  <si>
    <t>DataStorageUtilizationRequestStatus</t>
  </si>
  <si>
    <t>DataUpdateRequest</t>
  </si>
  <si>
    <t>DataUpdateRequestStatus</t>
  </si>
  <si>
    <t>Designation</t>
  </si>
  <si>
    <t>DesignationRequest</t>
  </si>
  <si>
    <t>DesignationRequestStatus</t>
  </si>
  <si>
    <t>DiscreteStatus</t>
  </si>
  <si>
    <t>DLZ</t>
  </si>
  <si>
    <t>DLZ_Request</t>
  </si>
  <si>
    <t>DLZ_RequestStatus</t>
  </si>
  <si>
    <t>DMPI</t>
  </si>
  <si>
    <t>DMPI_CancelCommand</t>
  </si>
  <si>
    <t>DMPI_CancelCommandStatus</t>
  </si>
  <si>
    <t>DMPI_Designation</t>
  </si>
  <si>
    <t>DMPI_DesignationRequest</t>
  </si>
  <si>
    <t>DMPI_DesignationRequestStatus</t>
  </si>
  <si>
    <t>DMPI_Pattern</t>
  </si>
  <si>
    <t>DMPI_Status</t>
  </si>
  <si>
    <t>DoorCommand</t>
  </si>
  <si>
    <t>DoorCommandStatus</t>
  </si>
  <si>
    <t>DoorStatus</t>
  </si>
  <si>
    <t>EarthOrientationParameters</t>
  </si>
  <si>
    <t>EEI</t>
  </si>
  <si>
    <t>Effect</t>
  </si>
  <si>
    <t>EffectActivity</t>
  </si>
  <si>
    <t>EffectCancelCommand</t>
  </si>
  <si>
    <t>EffectCancelCommandStatus</t>
  </si>
  <si>
    <t>EffectCapability</t>
  </si>
  <si>
    <t>EffectCapabilityStatus</t>
  </si>
  <si>
    <t>EffectCommand</t>
  </si>
  <si>
    <t>EffectCommandStatus</t>
  </si>
  <si>
    <t>EffectExecutionApprovalStatus</t>
  </si>
  <si>
    <t>EffectPlan</t>
  </si>
  <si>
    <t>EffectPlanApprovalStatus</t>
  </si>
  <si>
    <t>EffectPlanCommand</t>
  </si>
  <si>
    <t>EffectPlanCommandStatus</t>
  </si>
  <si>
    <t>EffectPlanExecutionStatus</t>
  </si>
  <si>
    <t>EffectPlanningStatus</t>
  </si>
  <si>
    <t>EffectPlanStatus</t>
  </si>
  <si>
    <t>EffectPlanValidation</t>
  </si>
  <si>
    <t>EffectPlanValidationCommand</t>
  </si>
  <si>
    <t>EffectPlanValidationCommandStatus</t>
  </si>
  <si>
    <t>EffectStatus</t>
  </si>
  <si>
    <t>ElevationRequest</t>
  </si>
  <si>
    <t>ElevationRequestStatus</t>
  </si>
  <si>
    <t>ElevationVisibilityRequest</t>
  </si>
  <si>
    <t>ElevationVisibilityRequestStatus</t>
  </si>
  <si>
    <t>EntityConfirmation</t>
  </si>
  <si>
    <t>EntityConfirmationRequest</t>
  </si>
  <si>
    <t>EntityConfirmationRequestStatus</t>
  </si>
  <si>
    <t>EntityLost</t>
  </si>
  <si>
    <t>EntityManagementRequest</t>
  </si>
  <si>
    <t>EntityManagementRequestStatus</t>
  </si>
  <si>
    <t>EntityMetadata</t>
  </si>
  <si>
    <t>EntityNotification</t>
  </si>
  <si>
    <t>EntityOrbitalCSO</t>
  </si>
  <si>
    <t>EntityOrbitalElementSet</t>
  </si>
  <si>
    <t>EntityOrbitalElementSetRequest</t>
  </si>
  <si>
    <t>EntityOrbitalElementSetRequestStatus</t>
  </si>
  <si>
    <t>EntityOrbitalEphemeris</t>
  </si>
  <si>
    <t>EntityOrbitalEphemerisRequest</t>
  </si>
  <si>
    <t>EntityOrbitalEphemerisRequestStatus</t>
  </si>
  <si>
    <t>EntityOrbitalManeuver</t>
  </si>
  <si>
    <t>EntityOrbitalVCM</t>
  </si>
  <si>
    <t>EntityOrbitalVCM_Request</t>
  </si>
  <si>
    <t>EntityOrbitalVCM_RequestStatus</t>
  </si>
  <si>
    <t>EntityPropagation</t>
  </si>
  <si>
    <t>EW_Configuration</t>
  </si>
  <si>
    <t>ExternalDataRequest</t>
  </si>
  <si>
    <t>ExternalDataRequestStatus</t>
  </si>
  <si>
    <t>Fault</t>
  </si>
  <si>
    <t>FlightActivity</t>
  </si>
  <si>
    <t>FlightCapability</t>
  </si>
  <si>
    <t>FlightCapabilityStatus</t>
  </si>
  <si>
    <t>ForeignKeyMap</t>
  </si>
  <si>
    <t>ForeignKeyPair</t>
  </si>
  <si>
    <t>FusionSettings</t>
  </si>
  <si>
    <t>FusionSettingsRequest</t>
  </si>
  <si>
    <t>FusionSettingsRequestStatus</t>
  </si>
  <si>
    <t>GatewayActivity</t>
  </si>
  <si>
    <t>GatewayCapability</t>
  </si>
  <si>
    <t>GatewayCapabilityStatus</t>
  </si>
  <si>
    <t>GatewayCommand</t>
  </si>
  <si>
    <t>GatewayCommandStatus</t>
  </si>
  <si>
    <t>GatewaySettingsCommand</t>
  </si>
  <si>
    <t>GatewaySettingsCommandStatus</t>
  </si>
  <si>
    <t>IFF_Activity</t>
  </si>
  <si>
    <t>IFF_Capability</t>
  </si>
  <si>
    <t>IFF_CapabilityStatus</t>
  </si>
  <si>
    <t>IFF_Command</t>
  </si>
  <si>
    <t>IFF_CommandStatus</t>
  </si>
  <si>
    <t>IFF_ConsentRequest</t>
  </si>
  <si>
    <t>IFF_ConsentRequestStatus</t>
  </si>
  <si>
    <t>IFF_MeasurementAndDataReport</t>
  </si>
  <si>
    <t>IFF_SettingsCommand</t>
  </si>
  <si>
    <t>IFF_SettingsCommandStatus</t>
  </si>
  <si>
    <t>IO_PortCommand</t>
  </si>
  <si>
    <t>IO_PortCommandStatus</t>
  </si>
  <si>
    <t>IO_PortStatus</t>
  </si>
  <si>
    <t>JamStrobeReport</t>
  </si>
  <si>
    <t>LAR</t>
  </si>
  <si>
    <t>LAR_Report</t>
  </si>
  <si>
    <t>LAR_Request</t>
  </si>
  <si>
    <t>LAR_RequestStatus</t>
  </si>
  <si>
    <t>LaunchObservation</t>
  </si>
  <si>
    <t>Log</t>
  </si>
  <si>
    <t>MessageTransmissionFilterRecord</t>
  </si>
  <si>
    <t>MessageTransmissionList</t>
  </si>
  <si>
    <t>Mission</t>
  </si>
  <si>
    <t>MissionActivationRequest</t>
  </si>
  <si>
    <t>MissionActivationRequestStatus</t>
  </si>
  <si>
    <t>MissionApprovalStatus</t>
  </si>
  <si>
    <t>MissionContingencyAlert</t>
  </si>
  <si>
    <t>MissionEnvironmentOverride</t>
  </si>
  <si>
    <t>MissionPlanActivationApprovalStatus</t>
  </si>
  <si>
    <t>MissionPlanMetricsReportRequest</t>
  </si>
  <si>
    <t>MissionPlanMetricsReportRequestStatus</t>
  </si>
  <si>
    <t>MissionPlanningOrchestration</t>
  </si>
  <si>
    <t>MissionPlanValidation</t>
  </si>
  <si>
    <t>MissionPlanValidationCommand</t>
  </si>
  <si>
    <t>MissionPlanValidationCommandStatus</t>
  </si>
  <si>
    <t>MissionRequirementStatus</t>
  </si>
  <si>
    <t>MissionStatus</t>
  </si>
  <si>
    <t>MissionValidation</t>
  </si>
  <si>
    <t>MissionValidationCommand</t>
  </si>
  <si>
    <t>MissionValidationCommandStatus</t>
  </si>
  <si>
    <t>MultistaticEmitterData</t>
  </si>
  <si>
    <t>MvAnomalyEvent</t>
  </si>
  <si>
    <t>NavigationActivity</t>
  </si>
  <si>
    <t>NavigationCapability</t>
  </si>
  <si>
    <t>NavigationCapabilityStatus</t>
  </si>
  <si>
    <t>NavigationCommand</t>
  </si>
  <si>
    <t>NavigationCommandStatus</t>
  </si>
  <si>
    <t>NavigationSettingsCommand</t>
  </si>
  <si>
    <t>NavigationSettingsCommandStatus</t>
  </si>
  <si>
    <t>ObservationMeasurementReport</t>
  </si>
  <si>
    <t>ObservationReport</t>
  </si>
  <si>
    <t>OpaqueCapability</t>
  </si>
  <si>
    <t>OpaqueCapabilityStatus</t>
  </si>
  <si>
    <t>OpaqueSettingsCommand</t>
  </si>
  <si>
    <t>OpaqueSettingsCommandStatus</t>
  </si>
  <si>
    <t>Operator</t>
  </si>
  <si>
    <t>OperatorActionCommand</t>
  </si>
  <si>
    <t>OperatorActionCommandStatus</t>
  </si>
  <si>
    <t>OperatorAnnotation</t>
  </si>
  <si>
    <t>OperatorLocationOfInterest</t>
  </si>
  <si>
    <t>OperatorNotification</t>
  </si>
  <si>
    <t>OperatorNotificationAck</t>
  </si>
  <si>
    <t>OperatorNotificationOverride</t>
  </si>
  <si>
    <t>OperatorRole</t>
  </si>
  <si>
    <t>OpLine</t>
  </si>
  <si>
    <t>OpNotification</t>
  </si>
  <si>
    <t>OpPoint</t>
  </si>
  <si>
    <t>OpRouting</t>
  </si>
  <si>
    <t>OpVolume</t>
  </si>
  <si>
    <t>OpZone</t>
  </si>
  <si>
    <t>OrbitActivityPlanValidation</t>
  </si>
  <si>
    <t>OrbitActivityPlanValidationCommand</t>
  </si>
  <si>
    <t>OrbitActivityPlanValidationCommandStatus</t>
  </si>
  <si>
    <t>OrbitalDebrisEstimate</t>
  </si>
  <si>
    <t>OrbitalDebrisEstimateRequest</t>
  </si>
  <si>
    <t>OrbitalDebrisEstimateRequestStatus</t>
  </si>
  <si>
    <t>OrbitalSurveillanceActivity</t>
  </si>
  <si>
    <t>OrbitalSurveillanceCapability</t>
  </si>
  <si>
    <t>OrbitalSurveillanceCapabilityStatus</t>
  </si>
  <si>
    <t>OrbitalSurveillanceSensorActivity</t>
  </si>
  <si>
    <t>OrbitalSurveillanceSensorCapability</t>
  </si>
  <si>
    <t>OrbitalSurveillanceSensorCapabilityStatus</t>
  </si>
  <si>
    <t>OrbitChangeActivity</t>
  </si>
  <si>
    <t>OrbitChangeCapability</t>
  </si>
  <si>
    <t>OrbitChangeCapabilityStatus</t>
  </si>
  <si>
    <t>OrbitConjunctionAssessment</t>
  </si>
  <si>
    <t>OrbitConjunctionAssessmentRequest</t>
  </si>
  <si>
    <t>OrbitConjunctionAssessmentRequestStatus</t>
  </si>
  <si>
    <t>OrbitMetricsRequest</t>
  </si>
  <si>
    <t>OrbitMetricsRequestStatus</t>
  </si>
  <si>
    <t>OrbitModificationRequest</t>
  </si>
  <si>
    <t>OrbitModificationRequestStatus</t>
  </si>
  <si>
    <t>OrbitPlanValidation</t>
  </si>
  <si>
    <t>OrbitPlanValidationCommand</t>
  </si>
  <si>
    <t>OrbitPlanValidationCommandStatus</t>
  </si>
  <si>
    <t>OrderOfBattle</t>
  </si>
  <si>
    <t>OrdersMetadata</t>
  </si>
  <si>
    <t>Package</t>
  </si>
  <si>
    <t>PackageReadiness</t>
  </si>
  <si>
    <t>PackageStatus</t>
  </si>
  <si>
    <t>PlanModificationRequest</t>
  </si>
  <si>
    <t>PlanModificationRequestStatus</t>
  </si>
  <si>
    <t>PlanningFunction</t>
  </si>
  <si>
    <t>PlanningFunctionSettingsCommand</t>
  </si>
  <si>
    <t>PlanningFunctionSettingsCommandStatus</t>
  </si>
  <si>
    <t>PlanningFunctionStatus</t>
  </si>
  <si>
    <t>PlanScores</t>
  </si>
  <si>
    <t>PlanScoresRequest</t>
  </si>
  <si>
    <t>PlanScoresRequestStatus</t>
  </si>
  <si>
    <t>PositionReportDetailed</t>
  </si>
  <si>
    <t>PrioritizationList</t>
  </si>
  <si>
    <t>ProductDownloadPlan</t>
  </si>
  <si>
    <t>ProductDownloadReport</t>
  </si>
  <si>
    <t>ProductDownloadRequest</t>
  </si>
  <si>
    <t>ProductDownloadRequestStatus</t>
  </si>
  <si>
    <t>ProductDownloadTask</t>
  </si>
  <si>
    <t>ProductDownloadTaskStatus</t>
  </si>
  <si>
    <t>ProductOrFileClassificationPlan</t>
  </si>
  <si>
    <t>ProductOrFileClassificationReport</t>
  </si>
  <si>
    <t>ProductOrFileClassificationRequest</t>
  </si>
  <si>
    <t>ProductOrFileClassificationRequestStatus</t>
  </si>
  <si>
    <t>ProductOrFileClassificationTask</t>
  </si>
  <si>
    <t>ProductOrFileClassificationTaskStatus</t>
  </si>
  <si>
    <t>ProductOrFileDisseminationConfiguration</t>
  </si>
  <si>
    <t>ProductOrFileDisseminationDestination</t>
  </si>
  <si>
    <t>ProductOrFileDisseminationPlan</t>
  </si>
  <si>
    <t>ProductOrFileDisseminationReport</t>
  </si>
  <si>
    <t>ProductOrFileDisseminationRequest</t>
  </si>
  <si>
    <t>ProductOrFileDisseminationRequestStatus</t>
  </si>
  <si>
    <t>ProductOrFileDisseminationTask</t>
  </si>
  <si>
    <t>ProductOrFileDisseminationTaskStatus</t>
  </si>
  <si>
    <t>ProductProcessingFunction</t>
  </si>
  <si>
    <t>ProductProcessingFunctionStatus</t>
  </si>
  <si>
    <t>ProductProcessingPlan</t>
  </si>
  <si>
    <t>ProductProcessingReport</t>
  </si>
  <si>
    <t>ProductProcessingRequest</t>
  </si>
  <si>
    <t>ProductProcessingRequestStatus</t>
  </si>
  <si>
    <t>ProductProcessingTask</t>
  </si>
  <si>
    <t>ProductProcessingTaskStatus</t>
  </si>
  <si>
    <t>PropagatorSettings</t>
  </si>
  <si>
    <t>PropagatorSettingsDataRequest</t>
  </si>
  <si>
    <t>PropagatorSettingsDataRequestStatus</t>
  </si>
  <si>
    <t>PulseData</t>
  </si>
  <si>
    <t>QueryDataRequest</t>
  </si>
  <si>
    <t>QueryDataRequestStatus</t>
  </si>
  <si>
    <t>RadarAltimeterActivity</t>
  </si>
  <si>
    <t>RadarAltimeterCapability</t>
  </si>
  <si>
    <t>RadarAltimeterCapabilityStatus</t>
  </si>
  <si>
    <t>RadarAltimeterCommand</t>
  </si>
  <si>
    <t>RadarAltimeterCommandStatus</t>
  </si>
  <si>
    <t>RadarAltimeterReport</t>
  </si>
  <si>
    <t>RadarAltimeterSettingsCommand</t>
  </si>
  <si>
    <t>RadarAltimeterSettingsCommandStatus</t>
  </si>
  <si>
    <t>RDMA_Initialize</t>
  </si>
  <si>
    <t>RDMA_InitializeSetup</t>
  </si>
  <si>
    <t>ReferenceActivity</t>
  </si>
  <si>
    <t>ReferenceCapability</t>
  </si>
  <si>
    <t>ReferenceCapabilityStatus</t>
  </si>
  <si>
    <t>ReferenceFrame</t>
  </si>
  <si>
    <t>RefuelActivity</t>
  </si>
  <si>
    <t>RefuelCapability</t>
  </si>
  <si>
    <t>RefuelCapabilityStatus</t>
  </si>
  <si>
    <t>RefuelCommand</t>
  </si>
  <si>
    <t>RefuelCommandStatus</t>
  </si>
  <si>
    <t>RefuelSettingsCommand</t>
  </si>
  <si>
    <t>RefuelSettingsCommandStatus</t>
  </si>
  <si>
    <t>RelationshipDesignation</t>
  </si>
  <si>
    <t>RequirementMetricsRequest</t>
  </si>
  <si>
    <t>RequirementMetricsRequestStatus</t>
  </si>
  <si>
    <t>RequirementOptions</t>
  </si>
  <si>
    <t>RequirementOptionsCommand</t>
  </si>
  <si>
    <t>RequirementOptionsCommandStatus</t>
  </si>
  <si>
    <t>RequirementSet</t>
  </si>
  <si>
    <t>ResendDataRequest</t>
  </si>
  <si>
    <t>ResendDataRequestStatus</t>
  </si>
  <si>
    <t>Response</t>
  </si>
  <si>
    <t>ResponseActivity</t>
  </si>
  <si>
    <t>ResponseCancelCommand</t>
  </si>
  <si>
    <t>ResponseCancelCommandStatus</t>
  </si>
  <si>
    <t>ResponseCapability</t>
  </si>
  <si>
    <t>ResponseCapabilityStatus</t>
  </si>
  <si>
    <t>ResponseCommand</t>
  </si>
  <si>
    <t>ResponseCommandStatus</t>
  </si>
  <si>
    <t>ResponseExecutionApprovalStatus</t>
  </si>
  <si>
    <t>ResponsePlan</t>
  </si>
  <si>
    <t>ResponsePlanApprovalStatus</t>
  </si>
  <si>
    <t>ResponsePlanCommand</t>
  </si>
  <si>
    <t>ResponsePlanCommandStatus</t>
  </si>
  <si>
    <t>ResponsePlanExecutionStatus</t>
  </si>
  <si>
    <t>ResponsePlanningStatus</t>
  </si>
  <si>
    <t>ResponsePlanStatus</t>
  </si>
  <si>
    <t>ResponsePlanValidation</t>
  </si>
  <si>
    <t>ResponsePlanValidationCommand</t>
  </si>
  <si>
    <t>ResponsePlanValidationCommandStatus</t>
  </si>
  <si>
    <t>ResponseStatus</t>
  </si>
  <si>
    <t>RF_ControlCommand</t>
  </si>
  <si>
    <t>RF_ControlCommandStatus</t>
  </si>
  <si>
    <t>RF_Profile</t>
  </si>
  <si>
    <t>RF_Report</t>
  </si>
  <si>
    <t>RF_ResourceAllocation</t>
  </si>
  <si>
    <t>RF_ResourceAllocationRequest</t>
  </si>
  <si>
    <t>RF_ResourceAllocationRequestStatus</t>
  </si>
  <si>
    <t>RF_ThreadInstanceSetupCommand</t>
  </si>
  <si>
    <t>RF_ThreadInstanceSetupCommandStatus</t>
  </si>
  <si>
    <t>RouteActivityPlanCommandStatus</t>
  </si>
  <si>
    <t>RouteActivityPlanValidation</t>
  </si>
  <si>
    <t>RouteActivityPlanValidationCommand</t>
  </si>
  <si>
    <t>RouteActivityPlanValidationCommandStatus</t>
  </si>
  <si>
    <t>RouteMetricsRequest</t>
  </si>
  <si>
    <t>RouteMetricsRequestStatus</t>
  </si>
  <si>
    <t>RouteModificationRequest</t>
  </si>
  <si>
    <t>RouteModificationRequestStatus</t>
  </si>
  <si>
    <t>RoutePlanValidation</t>
  </si>
  <si>
    <t>RoutePlanValidationCommand</t>
  </si>
  <si>
    <t>RoutePlanValidationCommandStatus</t>
  </si>
  <si>
    <t>SelfDefenseStatus</t>
  </si>
  <si>
    <t>ServiceConfigurationChangeRequest</t>
  </si>
  <si>
    <t>ServiceConfigurationChangeRequestStatus</t>
  </si>
  <si>
    <t>ServiceConfigurationParams</t>
  </si>
  <si>
    <t>ServiceConfigurationParamsDataRequest</t>
  </si>
  <si>
    <t>ServiceConfigurationParamsDataRequestStatus</t>
  </si>
  <si>
    <t>ServiceErrorReport</t>
  </si>
  <si>
    <t>ServiceLifecycleCommand</t>
  </si>
  <si>
    <t>ServiceLifecycleCommandStatus</t>
  </si>
  <si>
    <t>ServiceRegistrationRequest</t>
  </si>
  <si>
    <t>ServiceRegistrationRequestStatus</t>
  </si>
  <si>
    <t>ServiceSettingsCommand</t>
  </si>
  <si>
    <t>ServiceSettingsCommandStatus</t>
  </si>
  <si>
    <t>SharedApertureSupportCapabilityStatus</t>
  </si>
  <si>
    <t>SignalReport</t>
  </si>
  <si>
    <t>SpaceWeather</t>
  </si>
  <si>
    <t>SpectralDensityReport</t>
  </si>
  <si>
    <t>StoreCarriageCapabilityStatus</t>
  </si>
  <si>
    <t>StoreLoadoutConfiguration</t>
  </si>
  <si>
    <t>StoreManagementCommand</t>
  </si>
  <si>
    <t>StoreManagementCommandStatus</t>
  </si>
  <si>
    <t>StoreManagementReport</t>
  </si>
  <si>
    <t>StoreManagementStatus</t>
  </si>
  <si>
    <t>SubsystemBIT_Command</t>
  </si>
  <si>
    <t>SubsystemBIT_CommandStatus</t>
  </si>
  <si>
    <t>SubsystemBIT_Configuration</t>
  </si>
  <si>
    <t>SubsystemBIT_Status</t>
  </si>
  <si>
    <t>SubsystemCalibrationCommand</t>
  </si>
  <si>
    <t>SubsystemCalibrationCommandStatus</t>
  </si>
  <si>
    <t>SubsystemCalibrationConfiguration</t>
  </si>
  <si>
    <t>SubsystemCalibrationStatus</t>
  </si>
  <si>
    <t>SubsystemConfiguration</t>
  </si>
  <si>
    <t>SubsystemConfigurationDataRequest</t>
  </si>
  <si>
    <t>SubsystemConfigurationDataRequestStatus</t>
  </si>
  <si>
    <t>SubsystemMaintenanceCommand</t>
  </si>
  <si>
    <t>SubsystemMaintenanceCommandStatus</t>
  </si>
  <si>
    <t>SubsystemMaintenanceConfiguration</t>
  </si>
  <si>
    <t>SubsystemMaintenanceStatus</t>
  </si>
  <si>
    <t>SubsystemStatusDetailed</t>
  </si>
  <si>
    <t>SubsystemStatusDetailedDataRequest</t>
  </si>
  <si>
    <t>SubsystemStatusDetailedDataRequestStatus</t>
  </si>
  <si>
    <t>SubsystemStream</t>
  </si>
  <si>
    <t>SupportManagementRequest</t>
  </si>
  <si>
    <t>SupportManagementRequestStatus</t>
  </si>
  <si>
    <t>SupportPlan</t>
  </si>
  <si>
    <t>SupportPlanExecutionStatus</t>
  </si>
  <si>
    <t>SupportPlanRequest</t>
  </si>
  <si>
    <t>SupportPlanRequestStatus</t>
  </si>
  <si>
    <t>SupportPlanStatus</t>
  </si>
  <si>
    <t>SupportRequest</t>
  </si>
  <si>
    <t>SupportRequestStatus</t>
  </si>
  <si>
    <t>SurvivabilityRiskLevel</t>
  </si>
  <si>
    <t>SystemDeploymentActivity</t>
  </si>
  <si>
    <t>SystemDeploymentCapability</t>
  </si>
  <si>
    <t>SystemDeploymentCapabilityStatus</t>
  </si>
  <si>
    <t>SystemEstimationRequest</t>
  </si>
  <si>
    <t>SystemEstimationRequestStatus</t>
  </si>
  <si>
    <t>SystemManagementRequest</t>
  </si>
  <si>
    <t>SystemManagementRequestStatus</t>
  </si>
  <si>
    <t>SystemMetadata</t>
  </si>
  <si>
    <t>SystemNotification</t>
  </si>
  <si>
    <t>SystemOrbitalElementSet</t>
  </si>
  <si>
    <t>SystemOrbitalElementSetRequest</t>
  </si>
  <si>
    <t>SystemOrbitalElementSetRequestStatus</t>
  </si>
  <si>
    <t>SystemOrbitalEphemeris</t>
  </si>
  <si>
    <t>SystemOrbitalEphemerisRequest</t>
  </si>
  <si>
    <t>SystemOrbitalEphemerisRequestStatus</t>
  </si>
  <si>
    <t>SystemOrbitalPositionReport</t>
  </si>
  <si>
    <t>SystemOrbitalVCM</t>
  </si>
  <si>
    <t>SystemOrbitalVCM_Request</t>
  </si>
  <si>
    <t>SystemOrbitalVCM_RequestStatus</t>
  </si>
  <si>
    <t>SystemOrbitReport</t>
  </si>
  <si>
    <t>SystemReadiness</t>
  </si>
  <si>
    <t>SystemsNeededRequest</t>
  </si>
  <si>
    <t>SystemsNeededRequestStatus</t>
  </si>
  <si>
    <t>SystemTimeAtReference</t>
  </si>
  <si>
    <t>TacticalOrderActivity</t>
  </si>
  <si>
    <t>TacticalOrderCapability</t>
  </si>
  <si>
    <t>TacticalOrderCapabilityStatus</t>
  </si>
  <si>
    <t>TagAssociation</t>
  </si>
  <si>
    <t>TaskPlanValidation</t>
  </si>
  <si>
    <t>TaskPlanValidationCommand</t>
  </si>
  <si>
    <t>TaskPlanValidationCommandStatus</t>
  </si>
  <si>
    <t>TurretCommand</t>
  </si>
  <si>
    <t>TurretCommandStatus</t>
  </si>
  <si>
    <t>TurretReport</t>
  </si>
  <si>
    <t>TurretStatus</t>
  </si>
  <si>
    <t>Weather</t>
  </si>
  <si>
    <t>WeatherDataset</t>
  </si>
  <si>
    <t>WeatherObservation</t>
  </si>
  <si>
    <t>WeatherRadarActivity</t>
  </si>
  <si>
    <t>WeatherRadarCapability</t>
  </si>
  <si>
    <t>WeatherRadarCapabilityStatus</t>
  </si>
  <si>
    <t>WeatherRadarCommand</t>
  </si>
  <si>
    <t>WeatherRadarCommandStatus</t>
  </si>
  <si>
    <t>WeatherRadarObservation</t>
  </si>
  <si>
    <t>WeatherRadarSettingsCommand</t>
  </si>
  <si>
    <t>WeatherRadarSettingsCommandStatus</t>
  </si>
  <si>
    <t>&lt;AdditionalMessage&gt;</t>
  </si>
  <si>
    <t>To insert rows at the end of the table, this sheet must be unlocked using the password oms. Once the sheet is unprotected, use CAUTION to avoid modifying/deleting equations.</t>
  </si>
  <si>
    <t>1. Select the entire last row (&lt;AdditionalMessage&gt;) in the table by selecting the row number at the far left; then right click and select Insert. Repeat using right click and select Insert or use F4 (shortcut to perform the last action) to insert as many rows as needed</t>
  </si>
  <si>
    <t>2. Select the entire &lt;AdditionalMessage&gt;) row at the bottom of the table (by clicking the number at the left) and copy (CTRL C).</t>
  </si>
  <si>
    <t>3. Paste the copied row into the blank row(s) that was recently added; again by selecting the entire row and pasting (CTRL V); repeat as required.</t>
  </si>
  <si>
    <t>4. Replace &lt;AdditionalMessage&gt; in column A with the name of the new OMS message.</t>
  </si>
  <si>
    <t>Once completed, it is recommended to lock the sheet with the same “oms” password to avoid modifying/deleting equations.</t>
  </si>
  <si>
    <t>Msg Used</t>
  </si>
  <si>
    <t>Not Used Count</t>
  </si>
  <si>
    <t>Used Count</t>
  </si>
  <si>
    <t>Contains "&lt;Select&gt;"?</t>
  </si>
  <si>
    <t>Contains "N/A" in column F</t>
  </si>
  <si>
    <t>Contains "N/A" and Rationale in column F</t>
  </si>
  <si>
    <t>Contains YES WITH MODIFICATION</t>
  </si>
  <si>
    <t>CR Identified</t>
  </si>
  <si>
    <t>Same value for TRUE for YES WITH MODIFICATION AND CR Identified?</t>
  </si>
  <si>
    <t>YES WITH MODIFICATION have CR identified?</t>
  </si>
  <si>
    <t>Message Sets</t>
  </si>
  <si>
    <t>Functional Test Result Location Entered?</t>
  </si>
  <si>
    <t>Message is documented and tested?</t>
  </si>
  <si>
    <t>Check for "STD-000063 (-1)_2"</t>
  </si>
  <si>
    <t>Check for "STD-000064 (-1)_2"</t>
  </si>
  <si>
    <t>Check for "STD-000064 (-1)_3"</t>
  </si>
  <si>
    <t>Count check for Tier 1 MMS YES WITH MODIFICATION</t>
  </si>
  <si>
    <t>Count check for Tier 1 MMS CR Identified</t>
  </si>
  <si>
    <t>Count check for Tier 1 MMS "N/A"</t>
  </si>
  <si>
    <t>Count check for Tier 1 MMS Rationale Entered</t>
  </si>
  <si>
    <t>Count check for Tier 1 Sub MMS YES WITH MODIFICATION</t>
  </si>
  <si>
    <t>Count check for Tier 1 Sub MMS CR Identified</t>
  </si>
  <si>
    <t>Count check for Tier 1 Sub MMS "N/A"</t>
  </si>
  <si>
    <t>Count check for Tier 1 Sub MMS Rationale Entered</t>
  </si>
  <si>
    <t>Count check for Tier 2 MMS YES WITH MODIFICATION</t>
  </si>
  <si>
    <t>Count check for Tier 2 MMS CR Identified</t>
  </si>
  <si>
    <t>Count check for Tier 2 MMS "N/A"</t>
  </si>
  <si>
    <t>Count check for Tier 2 MMS Rationale Entered</t>
  </si>
  <si>
    <t>OMS Msgs Completed and FTR Locations are identified</t>
  </si>
  <si>
    <t>Check for "STD-000074 (-2)_1"</t>
  </si>
  <si>
    <t>Check for "STD-000074 (-2)_2"</t>
  </si>
  <si>
    <t>Column F row completed?</t>
  </si>
  <si>
    <t>Count for "&lt;Select&gt;"</t>
  </si>
  <si>
    <t>Subsystem: 63 (-1)_1</t>
  </si>
  <si>
    <t>Count for Tier 2 MMS "YES WITH MODIFICATION"</t>
  </si>
  <si>
    <t>Subsystem: 63 (-1)_2</t>
  </si>
  <si>
    <t>Count for "N/A"</t>
  </si>
  <si>
    <t>Count for Tier 2 MMS CR Identified</t>
  </si>
  <si>
    <t>Count for "N/A" Rationale Entered</t>
  </si>
  <si>
    <t>Count for Tier 2 MMS "N/A" entered</t>
  </si>
  <si>
    <t>Count for Tier 2 MMS "N/A" with Rationale entered</t>
  </si>
  <si>
    <t>Count for Tier 1 Sub MMS "YES WITH MODIFICATION"</t>
  </si>
  <si>
    <t>Count for Tier 1 Sub MMS CR Identified</t>
  </si>
  <si>
    <t>Count for Tier 1 MMS CR Identified</t>
  </si>
  <si>
    <t>Column F Completed?</t>
  </si>
  <si>
    <t>Uses 
Applicable 
Tier 1 MMS</t>
  </si>
  <si>
    <t>Uses Applicable 
Tier 1 Required 
Subsystem</t>
  </si>
  <si>
    <t>Uses 
Applicable 
Tier 2 MMS</t>
  </si>
  <si>
    <t>Tier 3 Uses 
Applicable 
OMS Msgs</t>
  </si>
  <si>
    <t>Messages 
Documented
and Tested</t>
  </si>
  <si>
    <t>OMS Tier 1
MMS</t>
  </si>
  <si>
    <t>Tier 1 Required
Subsystem
Message Set</t>
  </si>
  <si>
    <t>OMS Tier 2
MMS</t>
  </si>
  <si>
    <t>Valid OMS
Message</t>
  </si>
  <si>
    <t>Tier 1 MMS 
Compliant</t>
  </si>
  <si>
    <t>Check Tier 1
MMS</t>
  </si>
  <si>
    <t>Tier 1 Required 
Subsystem Compliant</t>
  </si>
  <si>
    <t>Check Tier 1
Subsystem</t>
  </si>
  <si>
    <t>Tier 2 MMS
Compliant</t>
  </si>
  <si>
    <t>Check Tier 2
MMS</t>
  </si>
  <si>
    <t>Tier 3 
Compliant</t>
  </si>
  <si>
    <t>Uses
Applicable
Msgs</t>
  </si>
  <si>
    <t>Service 
Contract 
Section</t>
  </si>
  <si>
    <t>Functional Test
Results Location</t>
  </si>
  <si>
    <t>Message
Documented
and Tested</t>
  </si>
  <si>
    <t>Change Request 
Identifier, if
Applicable</t>
  </si>
  <si>
    <t>If Used is 
Documented</t>
  </si>
  <si>
    <t>Entered 
SC 
Section</t>
  </si>
  <si>
    <t>Indicated 
Input</t>
  </si>
  <si>
    <t>Indicated 
Output</t>
  </si>
  <si>
    <t>Entered 
FTR 
Location</t>
  </si>
  <si>
    <t>Entered 
Applicable
CR</t>
  </si>
  <si>
    <t>Subsystem: 64 (-1)_1
Service: 44 (-1)_1</t>
  </si>
  <si>
    <t>Subsystem: 64 (-1)_2
Service: 44 (-1)_2</t>
  </si>
  <si>
    <t>Subsystem: 64 (-1)_3
Subsystem: 64 (-1)_4
Service: 44 (-1)_3</t>
  </si>
  <si>
    <t>Subsystem: 70 (-1)_1
Service: 51 (-1)_1</t>
  </si>
  <si>
    <t>Subsystem: 70 (-1)_2
Service: 51 (-1)_2</t>
  </si>
  <si>
    <t>Subsystem: 70 (-1)_3
Subsystem: 70 (-1)_4
Service: 51 (-1)_3
Service: 51 (-1)_4</t>
  </si>
  <si>
    <t>Subsystem: 74 (-2)_1
Service: 55 (-2)_1</t>
  </si>
  <si>
    <t>Subsystem: 74 (-2)_2
Service: 55 (-2)_2</t>
  </si>
  <si>
    <t>Subsystem: 74 (-2)_3
Service: 55 (-2)_3</t>
  </si>
  <si>
    <t>Subsystem: 74 (-3)_1
Service: 55 (-3)_1</t>
  </si>
  <si>
    <t>Subsystem: 74 (-3)_2
Service: 55 (-3)_2</t>
  </si>
  <si>
    <t>Subsystem: 74 (-3)_3
Service: 55 (-3)_3</t>
  </si>
  <si>
    <t>Isolator: STD-000427 (-3)_1
Service: STD-000042 (-3)_1
Subsystem: STD-000060 (-3)_1</t>
  </si>
  <si>
    <t>Isolator: STD-000431 (-1)_1
Subsystem: STD-000061 (-1)_1
Service: STD-000043 (-1)_1</t>
  </si>
  <si>
    <t>Count for TRUE</t>
  </si>
  <si>
    <t>AC</t>
  </si>
  <si>
    <t>Count for all with "YES WITH MODIFICATION"</t>
  </si>
  <si>
    <t>Input/Output Data Validation</t>
  </si>
  <si>
    <t>Arc-second raster chart/map (ARC) Digitized Raster Graphics (ADRG)</t>
  </si>
  <si>
    <t>Service Contract Template Item</t>
  </si>
  <si>
    <t>Compliance</t>
  </si>
  <si>
    <t>Per Template?</t>
  </si>
  <si>
    <t>Compliance Met?</t>
  </si>
  <si>
    <t>Section Rollup</t>
  </si>
  <si>
    <t>&lt;REQUIRED: Service Contract Title&gt;</t>
  </si>
  <si>
    <t>Required</t>
  </si>
  <si>
    <t>&lt;REQUIRED: Date as DD Month YYYY&gt;</t>
  </si>
  <si>
    <t>Abstract</t>
  </si>
  <si>
    <t>Open Mission Systems (OMS) is a non-proprietary open architecture for integrating subsystems and services into mission packages.</t>
  </si>
  <si>
    <t>Proprietary Notice: This document contains only non-proprietary information. Referenced documents conform to the Proprietary Notice statement for each major sub section.</t>
  </si>
  <si>
    <t>Proprietary Notice: References to external documents that provide for the data in this section refer only to non-proprietary documents, except where otherwise noted in specific sub-sections that may refer to proprietary documents.</t>
  </si>
  <si>
    <t>Proprietary Notice: References to external documents that provide for the data in this section may refer to proprietary documents.</t>
  </si>
  <si>
    <t>Table 1.1-1 Reference Documents</t>
  </si>
  <si>
    <t>Table 1.2-1 Environment Specifications</t>
  </si>
  <si>
    <t>Table 1.2-2 OMS Message Set</t>
  </si>
  <si>
    <t>Table 1.2-3 Externalizer Version Information</t>
  </si>
  <si>
    <t>Table 1.2-4 SOAC-1</t>
  </si>
  <si>
    <t xml:space="preserve">Proprietary Notice: References to external documents that provide for the data in this section may refer to proprietary documents. </t>
  </si>
  <si>
    <t>Table 1.5-1 Hardware Requirements</t>
  </si>
  <si>
    <t>Table 1.5-2 Compatible Operating Systems</t>
  </si>
  <si>
    <t>Table 1.6-1 Data Items for OMS Data Transfer</t>
  </si>
  <si>
    <t>Table 1.6-2 Data Items for Non-OMS Data Transfer</t>
  </si>
  <si>
    <t>Table 1.6-3 Data Transfer Configuration</t>
  </si>
  <si>
    <t>Table 1.6-4 Open Ports and Protocols</t>
  </si>
  <si>
    <t>Table 1.6-5 Data Transfer Confidentiality</t>
  </si>
  <si>
    <t>Table 1.6-6 Data Transfer Integrity</t>
  </si>
  <si>
    <t>Table 1.9-1 Dependencies</t>
  </si>
  <si>
    <t>Table 1.9-2 Licenses</t>
  </si>
  <si>
    <t>Table 1.11-1 OMS Special Signals</t>
  </si>
  <si>
    <t>Table 1.11-2 Non-OMS Special Signals</t>
  </si>
  <si>
    <t>Proprietary Notice: References to external documents that provide for the data in this section refer only to non-proprietary documents.</t>
  </si>
  <si>
    <t>Table 3.0-1 Function List</t>
  </si>
  <si>
    <t>Table 3.1-1 Service Initialization Inputs and Outputs</t>
  </si>
  <si>
    <t>Table 3.1-2 Service Status Inputs and Outputs</t>
  </si>
  <si>
    <t>Figure 3.1-1 Service Status State Diagram</t>
  </si>
  <si>
    <t>Figure 3.1-2 Allowed Service State Transitions</t>
  </si>
  <si>
    <t>Figure 3.1-3 Service Status Sequence Diagram</t>
  </si>
  <si>
    <t>Figure 3.1-4 Service Status Data Request Response Rules</t>
  </si>
  <si>
    <t>Table 3.2-1 Subsystem Startup Inputs and Outputs</t>
  </si>
  <si>
    <t>Table 3.2-2 Subsystem Status Inputs and Outputs</t>
  </si>
  <si>
    <t>Figure 3.2-1 Subsystem Status State Diagram</t>
  </si>
  <si>
    <t>Figure 3.2-2 Allowed Subsystem State Transitions</t>
  </si>
  <si>
    <t>Figure 3.2-3 Subsystem Status Sequence Diagram</t>
  </si>
  <si>
    <t>Figure 3.2-4 Subsystem Status Data Request Response Rules</t>
  </si>
  <si>
    <t>Table 3.2-3 Subsystem State Command Processing Inputs and Outputs</t>
  </si>
  <si>
    <t>Table 3.2-4 Subsystem BIT Inputs and Outputs</t>
  </si>
  <si>
    <t>Table 3.2-5 Subsystem Calibration Inputs and Outputs</t>
  </si>
  <si>
    <t>Table 3.2-6 Subsystem Shutdown Inputs and Outputs</t>
  </si>
  <si>
    <t>Table 3.3-1 Position Information Processing Inputs and Outputs</t>
  </si>
  <si>
    <t>Table 3.3-2 [CapabilityName] Capability and Capability Status Inputs and Outputs</t>
  </si>
  <si>
    <t>Table 3.3-3 [CapabilityName] Capability Enable/Disable Inputs and Outputs</t>
  </si>
  <si>
    <t>Table 3.3-4 [CapabilityName] Capability Operations Inputs and Outputs</t>
  </si>
  <si>
    <t>Table 3.4-1 [FunctionName] Inputs and Outputs</t>
  </si>
  <si>
    <t>Table 4.0-1 Non-OMS Messages</t>
  </si>
  <si>
    <t>Table 5.0-1 Change Request Identification</t>
  </si>
  <si>
    <t>Table 6.1-1 Applicable System Survivability KPP Prevent CSAs</t>
  </si>
  <si>
    <t>Table 6.1-2 Applicable System Survivability KPP Mitigate CSAs</t>
  </si>
  <si>
    <t>Proprietary Notice: The Security Addendum reference in this section is a non-proprietary document. The Security Addendum may contain references to external documents that may be proprietary.</t>
  </si>
  <si>
    <t xml:space="preserve">Table A.0-1 List of Acronyms and Abbreviation Definitions </t>
  </si>
  <si>
    <t>Table B.0-1 List of Term Definitions</t>
  </si>
  <si>
    <t>Note: Headings are marked "Required" to maintain section numbering; in some cases, the content of the section may be annotated as "Not Applicable".</t>
  </si>
  <si>
    <r>
      <t xml:space="preserve">1           </t>
    </r>
    <r>
      <rPr>
        <b/>
        <sz val="10"/>
        <color rgb="FF000000"/>
        <rFont val="Times New Roman"/>
        <family val="1"/>
      </rPr>
      <t>Overview</t>
    </r>
  </si>
  <si>
    <r>
      <t xml:space="preserve">1.1         </t>
    </r>
    <r>
      <rPr>
        <b/>
        <sz val="10"/>
        <color rgb="FF000000"/>
        <rFont val="Times New Roman"/>
        <family val="1"/>
      </rPr>
      <t>References</t>
    </r>
  </si>
  <si>
    <r>
      <t xml:space="preserve">1.2         </t>
    </r>
    <r>
      <rPr>
        <b/>
        <sz val="10"/>
        <color rgb="FF000000"/>
        <rFont val="Times New Roman"/>
        <family val="1"/>
      </rPr>
      <t>OMS Environment Specifications</t>
    </r>
  </si>
  <si>
    <r>
      <t xml:space="preserve">1.2.1        </t>
    </r>
    <r>
      <rPr>
        <b/>
        <sz val="10"/>
        <color rgb="FF000000"/>
        <rFont val="Times New Roman"/>
        <family val="1"/>
      </rPr>
      <t>Externalizer Specifications</t>
    </r>
  </si>
  <si>
    <r>
      <t xml:space="preserve">1.2.2        </t>
    </r>
    <r>
      <rPr>
        <b/>
        <sz val="10"/>
        <color rgb="FF000000"/>
        <rFont val="Times New Roman"/>
        <family val="1"/>
      </rPr>
      <t>CAL Operational Attributes</t>
    </r>
  </si>
  <si>
    <r>
      <t xml:space="preserve">1.3         </t>
    </r>
    <r>
      <rPr>
        <b/>
        <sz val="10"/>
        <color rgb="FF000000"/>
        <rFont val="Times New Roman"/>
        <family val="1"/>
      </rPr>
      <t>Classification</t>
    </r>
  </si>
  <si>
    <r>
      <t xml:space="preserve">1.4         </t>
    </r>
    <r>
      <rPr>
        <b/>
        <sz val="10"/>
        <color rgb="FF000000"/>
        <rFont val="Times New Roman"/>
        <family val="1"/>
      </rPr>
      <t>Known Limitations</t>
    </r>
  </si>
  <si>
    <r>
      <t xml:space="preserve">1.5         </t>
    </r>
    <r>
      <rPr>
        <b/>
        <sz val="10"/>
        <color rgb="FF000000"/>
        <rFont val="Times New Roman"/>
        <family val="1"/>
      </rPr>
      <t>System Requirements</t>
    </r>
  </si>
  <si>
    <r>
      <t xml:space="preserve">1.5.1        </t>
    </r>
    <r>
      <rPr>
        <b/>
        <sz val="10"/>
        <color rgb="FF000000"/>
        <rFont val="Times New Roman"/>
        <family val="1"/>
      </rPr>
      <t>Hardware Requirements</t>
    </r>
  </si>
  <si>
    <r>
      <t xml:space="preserve">1.5.2        </t>
    </r>
    <r>
      <rPr>
        <b/>
        <sz val="10"/>
        <color rgb="FF000000"/>
        <rFont val="Times New Roman"/>
        <family val="1"/>
      </rPr>
      <t>Operating Systems</t>
    </r>
  </si>
  <si>
    <r>
      <t xml:space="preserve">1.6         </t>
    </r>
    <r>
      <rPr>
        <b/>
        <sz val="10"/>
        <color rgb="FF000000"/>
        <rFont val="Times New Roman"/>
        <family val="1"/>
      </rPr>
      <t>Data Transfer</t>
    </r>
  </si>
  <si>
    <r>
      <t xml:space="preserve">1.6.1        </t>
    </r>
    <r>
      <rPr>
        <b/>
        <sz val="10"/>
        <color rgb="FF000000"/>
        <rFont val="Times New Roman"/>
        <family val="1"/>
      </rPr>
      <t>Data Items for OMS Data Transfer</t>
    </r>
  </si>
  <si>
    <r>
      <t xml:space="preserve">1.6.2        </t>
    </r>
    <r>
      <rPr>
        <b/>
        <sz val="10"/>
        <color rgb="FF000000"/>
        <rFont val="Times New Roman"/>
        <family val="1"/>
      </rPr>
      <t>Data Items for Non-OMS Data Transfer</t>
    </r>
  </si>
  <si>
    <r>
      <t xml:space="preserve">1.6.3        </t>
    </r>
    <r>
      <rPr>
        <b/>
        <sz val="10"/>
        <color rgb="FF000000"/>
        <rFont val="Times New Roman"/>
        <family val="1"/>
      </rPr>
      <t>Data Transfer Configuration</t>
    </r>
  </si>
  <si>
    <r>
      <t xml:space="preserve">1.6.4        </t>
    </r>
    <r>
      <rPr>
        <b/>
        <sz val="10"/>
        <color rgb="FF000000"/>
        <rFont val="Times New Roman"/>
        <family val="1"/>
      </rPr>
      <t>Data Transfer Ports and Protocols</t>
    </r>
  </si>
  <si>
    <r>
      <t xml:space="preserve">1.6.5        </t>
    </r>
    <r>
      <rPr>
        <b/>
        <sz val="10"/>
        <color rgb="FF000000"/>
        <rFont val="Times New Roman"/>
        <family val="1"/>
      </rPr>
      <t>Data Transfer Confidentiality Mechanisms</t>
    </r>
  </si>
  <si>
    <r>
      <t xml:space="preserve">1.6.6        </t>
    </r>
    <r>
      <rPr>
        <b/>
        <sz val="10"/>
        <color rgb="FF000000"/>
        <rFont val="Times New Roman"/>
        <family val="1"/>
      </rPr>
      <t>Data Transfer Integrity Mechanisms</t>
    </r>
  </si>
  <si>
    <r>
      <t xml:space="preserve">1.6.7        </t>
    </r>
    <r>
      <rPr>
        <b/>
        <sz val="10"/>
        <color rgb="FF000000"/>
        <rFont val="Times New Roman"/>
        <family val="1"/>
      </rPr>
      <t>Data Transfer Boundary Protection Mechanisms</t>
    </r>
  </si>
  <si>
    <r>
      <t xml:space="preserve">1.6.8        </t>
    </r>
    <r>
      <rPr>
        <b/>
        <sz val="10"/>
        <color rgb="FF000000"/>
        <rFont val="Times New Roman"/>
        <family val="1"/>
      </rPr>
      <t>Data Transfer Failure Behaviors</t>
    </r>
  </si>
  <si>
    <r>
      <t xml:space="preserve">1.7         </t>
    </r>
    <r>
      <rPr>
        <b/>
        <sz val="10"/>
        <color rgb="FF000000"/>
        <rFont val="Times New Roman"/>
        <family val="1"/>
      </rPr>
      <t>Data Storage</t>
    </r>
  </si>
  <si>
    <r>
      <t xml:space="preserve">1.8         </t>
    </r>
    <r>
      <rPr>
        <b/>
        <sz val="10"/>
        <color rgb="FF000000"/>
        <rFont val="Times New Roman"/>
        <family val="1"/>
      </rPr>
      <t>External Data Dependencies</t>
    </r>
  </si>
  <si>
    <r>
      <t xml:space="preserve">1.8.1        </t>
    </r>
    <r>
      <rPr>
        <b/>
        <sz val="10"/>
        <color rgb="FF000000"/>
        <rFont val="Times New Roman"/>
        <family val="1"/>
      </rPr>
      <t>Configuration</t>
    </r>
  </si>
  <si>
    <r>
      <t xml:space="preserve">1.9         </t>
    </r>
    <r>
      <rPr>
        <b/>
        <sz val="10"/>
        <color rgb="FF000000"/>
        <rFont val="Times New Roman"/>
        <family val="1"/>
      </rPr>
      <t>Additional Prerequisites</t>
    </r>
  </si>
  <si>
    <r>
      <t xml:space="preserve">1.9.1        </t>
    </r>
    <r>
      <rPr>
        <b/>
        <sz val="10"/>
        <color rgb="FF000000"/>
        <rFont val="Times New Roman"/>
        <family val="1"/>
      </rPr>
      <t>Dependencies</t>
    </r>
  </si>
  <si>
    <r>
      <t xml:space="preserve">1.9.2        </t>
    </r>
    <r>
      <rPr>
        <b/>
        <sz val="10"/>
        <color rgb="FF000000"/>
        <rFont val="Times New Roman"/>
        <family val="1"/>
      </rPr>
      <t>Licenses</t>
    </r>
  </si>
  <si>
    <r>
      <t xml:space="preserve">1.10     </t>
    </r>
    <r>
      <rPr>
        <b/>
        <sz val="10"/>
        <color rgb="FF000000"/>
        <rFont val="Times New Roman"/>
        <family val="1"/>
      </rPr>
      <t>Service Level Agreements</t>
    </r>
  </si>
  <si>
    <r>
      <t xml:space="preserve">1.10.1    </t>
    </r>
    <r>
      <rPr>
        <b/>
        <sz val="10"/>
        <color rgb="FF000000"/>
        <rFont val="Times New Roman"/>
        <family val="1"/>
      </rPr>
      <t>Capacity/Performance</t>
    </r>
  </si>
  <si>
    <r>
      <t xml:space="preserve">1.10.2    </t>
    </r>
    <r>
      <rPr>
        <b/>
        <sz val="10"/>
        <color rgb="FF000000"/>
        <rFont val="Times New Roman"/>
        <family val="1"/>
      </rPr>
      <t>Handling Time Characteristics</t>
    </r>
  </si>
  <si>
    <r>
      <t xml:space="preserve">1.10.3    </t>
    </r>
    <r>
      <rPr>
        <b/>
        <sz val="10"/>
        <color rgb="FF000000"/>
        <rFont val="Times New Roman"/>
        <family val="1"/>
      </rPr>
      <t>Availability Category</t>
    </r>
  </si>
  <si>
    <r>
      <t xml:space="preserve">1.11     </t>
    </r>
    <r>
      <rPr>
        <b/>
        <sz val="10"/>
        <color rgb="FF000000"/>
        <rFont val="Times New Roman"/>
        <family val="1"/>
      </rPr>
      <t>Special Signals</t>
    </r>
  </si>
  <si>
    <r>
      <t xml:space="preserve">2           </t>
    </r>
    <r>
      <rPr>
        <b/>
        <sz val="10"/>
        <color rgb="FF000000"/>
        <rFont val="Times New Roman"/>
        <family val="1"/>
      </rPr>
      <t>Lifecycle Management</t>
    </r>
  </si>
  <si>
    <r>
      <t xml:space="preserve">2.1         </t>
    </r>
    <r>
      <rPr>
        <b/>
        <sz val="10"/>
        <color rgb="FF000000"/>
        <rFont val="Times New Roman"/>
        <family val="1"/>
      </rPr>
      <t>Packaging and Deployment</t>
    </r>
  </si>
  <si>
    <r>
      <t xml:space="preserve">2.2         </t>
    </r>
    <r>
      <rPr>
        <b/>
        <sz val="10"/>
        <color rgb="FF000000"/>
        <rFont val="Times New Roman"/>
        <family val="1"/>
      </rPr>
      <t>Initialization</t>
    </r>
  </si>
  <si>
    <r>
      <t xml:space="preserve">2.3         </t>
    </r>
    <r>
      <rPr>
        <b/>
        <sz val="10"/>
        <color rgb="FF000000"/>
        <rFont val="Times New Roman"/>
        <family val="1"/>
      </rPr>
      <t>Restart</t>
    </r>
  </si>
  <si>
    <r>
      <t xml:space="preserve">2.4         </t>
    </r>
    <r>
      <rPr>
        <b/>
        <sz val="10"/>
        <color rgb="FF000000"/>
        <rFont val="Times New Roman"/>
        <family val="1"/>
      </rPr>
      <t>Shutdown</t>
    </r>
  </si>
  <si>
    <r>
      <t xml:space="preserve">3           </t>
    </r>
    <r>
      <rPr>
        <b/>
        <sz val="10"/>
        <color rgb="FF000000"/>
        <rFont val="Times New Roman"/>
        <family val="1"/>
      </rPr>
      <t>Functions</t>
    </r>
  </si>
  <si>
    <r>
      <t xml:space="preserve">3.1         </t>
    </r>
    <r>
      <rPr>
        <b/>
        <sz val="10"/>
        <color rgb="FF000000"/>
        <rFont val="Times New Roman"/>
        <family val="1"/>
      </rPr>
      <t>Required Service Functions</t>
    </r>
  </si>
  <si>
    <r>
      <t xml:space="preserve">3.1.1        </t>
    </r>
    <r>
      <rPr>
        <b/>
        <sz val="10"/>
        <color rgb="FF000000"/>
        <rFont val="Times New Roman"/>
        <family val="1"/>
      </rPr>
      <t>Service Initialization</t>
    </r>
  </si>
  <si>
    <r>
      <t xml:space="preserve">3.1.1.1       </t>
    </r>
    <r>
      <rPr>
        <b/>
        <sz val="10"/>
        <color rgb="FF000000"/>
        <rFont val="Times New Roman"/>
        <family val="1"/>
      </rPr>
      <t>Service Initialization Description</t>
    </r>
  </si>
  <si>
    <r>
      <t xml:space="preserve">3.1.1.2       </t>
    </r>
    <r>
      <rPr>
        <b/>
        <sz val="10"/>
        <color rgb="FF000000"/>
        <rFont val="Times New Roman"/>
        <family val="1"/>
      </rPr>
      <t>Service Initialization Preconditions</t>
    </r>
  </si>
  <si>
    <r>
      <t xml:space="preserve">3.1.1.3       </t>
    </r>
    <r>
      <rPr>
        <b/>
        <sz val="10"/>
        <color rgb="FF000000"/>
        <rFont val="Times New Roman"/>
        <family val="1"/>
      </rPr>
      <t>Service Initialization Reporting Interval</t>
    </r>
  </si>
  <si>
    <r>
      <t xml:space="preserve">3.1.1.4       </t>
    </r>
    <r>
      <rPr>
        <b/>
        <sz val="10"/>
        <color rgb="FF000000"/>
        <rFont val="Times New Roman"/>
        <family val="1"/>
      </rPr>
      <t>Service Initialization Inputs and Outputs</t>
    </r>
  </si>
  <si>
    <r>
      <t xml:space="preserve">3.1.1.5       </t>
    </r>
    <r>
      <rPr>
        <b/>
        <sz val="10"/>
        <color rgb="FF000000"/>
        <rFont val="Times New Roman"/>
        <family val="1"/>
      </rPr>
      <t>Service Initialization Workflow and Orchestration</t>
    </r>
  </si>
  <si>
    <r>
      <t xml:space="preserve">3.1.1.6       </t>
    </r>
    <r>
      <rPr>
        <b/>
        <sz val="10"/>
        <color rgb="FF000000"/>
        <rFont val="Times New Roman"/>
        <family val="1"/>
      </rPr>
      <t>Service Initialization Post Conditions</t>
    </r>
  </si>
  <si>
    <r>
      <t xml:space="preserve">3.1.1.7       </t>
    </r>
    <r>
      <rPr>
        <b/>
        <sz val="10"/>
        <color rgb="FF000000"/>
        <rFont val="Times New Roman"/>
        <family val="1"/>
      </rPr>
      <t>Service Initialization Error Handling</t>
    </r>
  </si>
  <si>
    <r>
      <t xml:space="preserve">3.1.2        </t>
    </r>
    <r>
      <rPr>
        <b/>
        <sz val="10"/>
        <color rgb="FF000000"/>
        <rFont val="Times New Roman"/>
        <family val="1"/>
      </rPr>
      <t>Service Status</t>
    </r>
  </si>
  <si>
    <r>
      <t xml:space="preserve">3.1.2.1       </t>
    </r>
    <r>
      <rPr>
        <b/>
        <sz val="10"/>
        <color rgb="FF000000"/>
        <rFont val="Times New Roman"/>
        <family val="1"/>
      </rPr>
      <t>Service Status Description</t>
    </r>
  </si>
  <si>
    <r>
      <t xml:space="preserve">3.1.2.2       </t>
    </r>
    <r>
      <rPr>
        <b/>
        <sz val="10"/>
        <color rgb="FF000000"/>
        <rFont val="Times New Roman"/>
        <family val="1"/>
      </rPr>
      <t>Service Status Preconditions</t>
    </r>
  </si>
  <si>
    <r>
      <t xml:space="preserve">3.1.2.3       </t>
    </r>
    <r>
      <rPr>
        <b/>
        <sz val="10"/>
        <color rgb="FF000000"/>
        <rFont val="Times New Roman"/>
        <family val="1"/>
      </rPr>
      <t>Service Status Reporting Interval</t>
    </r>
  </si>
  <si>
    <r>
      <t xml:space="preserve">3.1.2.4       </t>
    </r>
    <r>
      <rPr>
        <b/>
        <sz val="10"/>
        <color rgb="FF000000"/>
        <rFont val="Times New Roman"/>
        <family val="1"/>
      </rPr>
      <t>Service Status Inputs and Outputs</t>
    </r>
  </si>
  <si>
    <r>
      <t xml:space="preserve">3.1.2.5       </t>
    </r>
    <r>
      <rPr>
        <b/>
        <sz val="10"/>
        <color rgb="FF000000"/>
        <rFont val="Times New Roman"/>
        <family val="1"/>
      </rPr>
      <t>Service Status Workflow and Orchestration</t>
    </r>
  </si>
  <si>
    <r>
      <t xml:space="preserve">3.1.2.5.1      </t>
    </r>
    <r>
      <rPr>
        <b/>
        <i/>
        <sz val="10"/>
        <color rgb="FF000000"/>
        <rFont val="Times New Roman"/>
        <family val="1"/>
      </rPr>
      <t>Allowed States and Transitions</t>
    </r>
  </si>
  <si>
    <r>
      <t xml:space="preserve">3.1.2.5.2      </t>
    </r>
    <r>
      <rPr>
        <b/>
        <i/>
        <sz val="10"/>
        <color rgb="FF000000"/>
        <rFont val="Times New Roman"/>
        <family val="1"/>
      </rPr>
      <t>Service Status Sequence Diagram</t>
    </r>
  </si>
  <si>
    <r>
      <t xml:space="preserve">3.1.2.6       </t>
    </r>
    <r>
      <rPr>
        <b/>
        <sz val="10"/>
        <color rgb="FF000000"/>
        <rFont val="Times New Roman"/>
        <family val="1"/>
      </rPr>
      <t>Service Status Post Conditions</t>
    </r>
  </si>
  <si>
    <r>
      <t xml:space="preserve">3.1.2.7       </t>
    </r>
    <r>
      <rPr>
        <b/>
        <sz val="10"/>
        <color rgb="FF000000"/>
        <rFont val="Times New Roman"/>
        <family val="1"/>
      </rPr>
      <t>Service Status Error Handling</t>
    </r>
  </si>
  <si>
    <r>
      <t xml:space="preserve">3.2         </t>
    </r>
    <r>
      <rPr>
        <b/>
        <sz val="10"/>
        <color rgb="FF000000"/>
        <rFont val="Times New Roman"/>
        <family val="1"/>
      </rPr>
      <t>Required Subsystem Functions</t>
    </r>
  </si>
  <si>
    <r>
      <t xml:space="preserve">3.2.1        </t>
    </r>
    <r>
      <rPr>
        <b/>
        <sz val="10"/>
        <color rgb="FF000000"/>
        <rFont val="Times New Roman"/>
        <family val="1"/>
      </rPr>
      <t>Subsystem Startup</t>
    </r>
  </si>
  <si>
    <r>
      <t xml:space="preserve">3.2.1.1       </t>
    </r>
    <r>
      <rPr>
        <b/>
        <sz val="10"/>
        <color rgb="FF000000"/>
        <rFont val="Times New Roman"/>
        <family val="1"/>
      </rPr>
      <t>Subsystem Startup Description</t>
    </r>
  </si>
  <si>
    <r>
      <t xml:space="preserve">3.2.1.2       </t>
    </r>
    <r>
      <rPr>
        <b/>
        <sz val="10"/>
        <color rgb="FF000000"/>
        <rFont val="Times New Roman"/>
        <family val="1"/>
      </rPr>
      <t>Subsystem Startup Preconditions</t>
    </r>
  </si>
  <si>
    <r>
      <t xml:space="preserve">3.2.1.3       </t>
    </r>
    <r>
      <rPr>
        <b/>
        <sz val="10"/>
        <color rgb="FF000000"/>
        <rFont val="Times New Roman"/>
        <family val="1"/>
      </rPr>
      <t>Subsystem Startup Reporting Interval</t>
    </r>
  </si>
  <si>
    <r>
      <t xml:space="preserve">3.2.1.4       </t>
    </r>
    <r>
      <rPr>
        <b/>
        <sz val="10"/>
        <color rgb="FF000000"/>
        <rFont val="Times New Roman"/>
        <family val="1"/>
      </rPr>
      <t>Subsystem Startup Inputs and Outputs</t>
    </r>
  </si>
  <si>
    <r>
      <t xml:space="preserve">3.2.1.5       </t>
    </r>
    <r>
      <rPr>
        <b/>
        <sz val="10"/>
        <color rgb="FF000000"/>
        <rFont val="Times New Roman"/>
        <family val="1"/>
      </rPr>
      <t>Subsystem Startup Workflow and Orchestration</t>
    </r>
  </si>
  <si>
    <r>
      <t xml:space="preserve">3.2.1.6       </t>
    </r>
    <r>
      <rPr>
        <b/>
        <sz val="10"/>
        <color rgb="FF000000"/>
        <rFont val="Times New Roman"/>
        <family val="1"/>
      </rPr>
      <t>Subsystem Startup Post Conditions</t>
    </r>
  </si>
  <si>
    <r>
      <t xml:space="preserve">3.2.1.7       </t>
    </r>
    <r>
      <rPr>
        <b/>
        <sz val="10"/>
        <color rgb="FF000000"/>
        <rFont val="Times New Roman"/>
        <family val="1"/>
      </rPr>
      <t>Subsystem Startup Error Handling</t>
    </r>
  </si>
  <si>
    <r>
      <t xml:space="preserve">3.2.2        </t>
    </r>
    <r>
      <rPr>
        <b/>
        <sz val="10"/>
        <color rgb="FF000000"/>
        <rFont val="Times New Roman"/>
        <family val="1"/>
      </rPr>
      <t>Subsystem Status</t>
    </r>
  </si>
  <si>
    <r>
      <t xml:space="preserve">3.2.2.1       </t>
    </r>
    <r>
      <rPr>
        <b/>
        <sz val="10"/>
        <color rgb="FF000000"/>
        <rFont val="Times New Roman"/>
        <family val="1"/>
      </rPr>
      <t>Subsystem Status Description</t>
    </r>
  </si>
  <si>
    <r>
      <t xml:space="preserve">3.2.2.2       </t>
    </r>
    <r>
      <rPr>
        <b/>
        <sz val="10"/>
        <color rgb="FF000000"/>
        <rFont val="Times New Roman"/>
        <family val="1"/>
      </rPr>
      <t>Subsystem Status Preconditions</t>
    </r>
  </si>
  <si>
    <r>
      <t xml:space="preserve">3.2.2.3       </t>
    </r>
    <r>
      <rPr>
        <b/>
        <sz val="10"/>
        <color rgb="FF000000"/>
        <rFont val="Times New Roman"/>
        <family val="1"/>
      </rPr>
      <t>Subsystem Status Reporting Interval</t>
    </r>
  </si>
  <si>
    <r>
      <t xml:space="preserve">3.2.2.4       </t>
    </r>
    <r>
      <rPr>
        <b/>
        <sz val="10"/>
        <color rgb="FF000000"/>
        <rFont val="Times New Roman"/>
        <family val="1"/>
      </rPr>
      <t>Subsystem Status Inputs and Outputs</t>
    </r>
  </si>
  <si>
    <r>
      <t xml:space="preserve">3.2.2.5       </t>
    </r>
    <r>
      <rPr>
        <b/>
        <sz val="10"/>
        <color rgb="FF000000"/>
        <rFont val="Times New Roman"/>
        <family val="1"/>
      </rPr>
      <t>Subsystem Status Workflow and Orchestration</t>
    </r>
  </si>
  <si>
    <r>
      <t xml:space="preserve">3.2.2.5.1      </t>
    </r>
    <r>
      <rPr>
        <b/>
        <i/>
        <sz val="10"/>
        <color rgb="FF000000"/>
        <rFont val="Times New Roman"/>
        <family val="1"/>
      </rPr>
      <t>Allowed States and Transitions</t>
    </r>
  </si>
  <si>
    <r>
      <t xml:space="preserve">3.2.2.5.2      </t>
    </r>
    <r>
      <rPr>
        <b/>
        <i/>
        <sz val="10"/>
        <color rgb="FF000000"/>
        <rFont val="Times New Roman"/>
        <family val="1"/>
      </rPr>
      <t>Subsystem Status Sequence Diagram</t>
    </r>
  </si>
  <si>
    <r>
      <t xml:space="preserve">3.2.2.6       </t>
    </r>
    <r>
      <rPr>
        <b/>
        <sz val="10"/>
        <color rgb="FF000000"/>
        <rFont val="Times New Roman"/>
        <family val="1"/>
      </rPr>
      <t>Subsystem Status Post Conditions</t>
    </r>
  </si>
  <si>
    <r>
      <t xml:space="preserve">3.2.2.7       </t>
    </r>
    <r>
      <rPr>
        <b/>
        <sz val="10"/>
        <color rgb="FF000000"/>
        <rFont val="Times New Roman"/>
        <family val="1"/>
      </rPr>
      <t>Subsystem Status Error Handling</t>
    </r>
  </si>
  <si>
    <r>
      <t xml:space="preserve">3.2.3        </t>
    </r>
    <r>
      <rPr>
        <b/>
        <sz val="10"/>
        <color rgb="FF000000"/>
        <rFont val="Times New Roman"/>
        <family val="1"/>
      </rPr>
      <t>Subsystem State Command Processing</t>
    </r>
  </si>
  <si>
    <r>
      <t xml:space="preserve">3.2.3.1       </t>
    </r>
    <r>
      <rPr>
        <b/>
        <sz val="10"/>
        <color rgb="FF000000"/>
        <rFont val="Times New Roman"/>
        <family val="1"/>
      </rPr>
      <t>Subsystem State Command Processing Description</t>
    </r>
  </si>
  <si>
    <r>
      <t xml:space="preserve">3.2.3.2       </t>
    </r>
    <r>
      <rPr>
        <b/>
        <sz val="10"/>
        <color rgb="FF000000"/>
        <rFont val="Times New Roman"/>
        <family val="1"/>
      </rPr>
      <t>Subsystem State Command Processing Preconditions</t>
    </r>
  </si>
  <si>
    <r>
      <t xml:space="preserve">3.2.3.3       </t>
    </r>
    <r>
      <rPr>
        <b/>
        <sz val="10"/>
        <color rgb="FF000000"/>
        <rFont val="Times New Roman"/>
        <family val="1"/>
      </rPr>
      <t>Subsystem State Command Processing Reporting Interval</t>
    </r>
  </si>
  <si>
    <r>
      <t xml:space="preserve">3.2.3.4       </t>
    </r>
    <r>
      <rPr>
        <b/>
        <sz val="10"/>
        <color rgb="FF000000"/>
        <rFont val="Times New Roman"/>
        <family val="1"/>
      </rPr>
      <t>Subsystem State Command Processing Inputs and Outputs</t>
    </r>
  </si>
  <si>
    <r>
      <t xml:space="preserve">3.2.3.5       </t>
    </r>
    <r>
      <rPr>
        <b/>
        <sz val="10"/>
        <color rgb="FF000000"/>
        <rFont val="Times New Roman"/>
        <family val="1"/>
      </rPr>
      <t>Subsystem State Command Processing Workflow and Orchestration</t>
    </r>
  </si>
  <si>
    <r>
      <t xml:space="preserve">3.2.3.6       </t>
    </r>
    <r>
      <rPr>
        <b/>
        <sz val="10"/>
        <color rgb="FF000000"/>
        <rFont val="Times New Roman"/>
        <family val="1"/>
      </rPr>
      <t>Subsystem State Command Processing Post Conditions</t>
    </r>
  </si>
  <si>
    <r>
      <t xml:space="preserve">3.2.3.7       </t>
    </r>
    <r>
      <rPr>
        <b/>
        <sz val="10"/>
        <color rgb="FF000000"/>
        <rFont val="Times New Roman"/>
        <family val="1"/>
      </rPr>
      <t>Subsystem State Command Processing Error Handling</t>
    </r>
  </si>
  <si>
    <r>
      <t xml:space="preserve">3.2.4        </t>
    </r>
    <r>
      <rPr>
        <b/>
        <sz val="10"/>
        <color rgb="FF000000"/>
        <rFont val="Times New Roman"/>
        <family val="1"/>
      </rPr>
      <t>Subsystem Built-In Test (BIT)</t>
    </r>
  </si>
  <si>
    <r>
      <t xml:space="preserve">3.2.4.1       </t>
    </r>
    <r>
      <rPr>
        <b/>
        <sz val="10"/>
        <color rgb="FF000000"/>
        <rFont val="Times New Roman"/>
        <family val="1"/>
      </rPr>
      <t>Subsystem BIT Description</t>
    </r>
  </si>
  <si>
    <r>
      <t xml:space="preserve">3.2.4.2       </t>
    </r>
    <r>
      <rPr>
        <b/>
        <sz val="10"/>
        <color rgb="FF000000"/>
        <rFont val="Times New Roman"/>
        <family val="1"/>
      </rPr>
      <t>Subsystem BIT Preconditions</t>
    </r>
  </si>
  <si>
    <r>
      <t xml:space="preserve">3.2.4.3       </t>
    </r>
    <r>
      <rPr>
        <b/>
        <sz val="10"/>
        <color rgb="FF000000"/>
        <rFont val="Times New Roman"/>
        <family val="1"/>
      </rPr>
      <t>Subsystem BIT Reporting Interval</t>
    </r>
  </si>
  <si>
    <r>
      <t xml:space="preserve">3.2.4.4       </t>
    </r>
    <r>
      <rPr>
        <b/>
        <sz val="10"/>
        <color rgb="FF000000"/>
        <rFont val="Times New Roman"/>
        <family val="1"/>
      </rPr>
      <t>Subsystem BIT Inputs and Outputs</t>
    </r>
  </si>
  <si>
    <r>
      <t xml:space="preserve">3.2.4.5       </t>
    </r>
    <r>
      <rPr>
        <b/>
        <sz val="10"/>
        <color rgb="FF000000"/>
        <rFont val="Times New Roman"/>
        <family val="1"/>
      </rPr>
      <t>Subsystem BIT Workflow and Orchestration</t>
    </r>
  </si>
  <si>
    <r>
      <t xml:space="preserve">3.2.4.6       </t>
    </r>
    <r>
      <rPr>
        <b/>
        <sz val="10"/>
        <color rgb="FF000000"/>
        <rFont val="Times New Roman"/>
        <family val="1"/>
      </rPr>
      <t>Subsystem BIT Post Conditions</t>
    </r>
  </si>
  <si>
    <r>
      <t xml:space="preserve">3.2.4.7       </t>
    </r>
    <r>
      <rPr>
        <b/>
        <sz val="10"/>
        <color rgb="FF000000"/>
        <rFont val="Times New Roman"/>
        <family val="1"/>
      </rPr>
      <t>Subsystem BIT Error Handling</t>
    </r>
  </si>
  <si>
    <r>
      <t xml:space="preserve">3.2.5        </t>
    </r>
    <r>
      <rPr>
        <b/>
        <sz val="10"/>
        <color rgb="FF000000"/>
        <rFont val="Times New Roman"/>
        <family val="1"/>
      </rPr>
      <t>Subsystem Calibration</t>
    </r>
  </si>
  <si>
    <r>
      <t xml:space="preserve">3.2.5.1       </t>
    </r>
    <r>
      <rPr>
        <b/>
        <sz val="10"/>
        <color rgb="FF000000"/>
        <rFont val="Times New Roman"/>
        <family val="1"/>
      </rPr>
      <t>Subsystem Calibration Description</t>
    </r>
  </si>
  <si>
    <r>
      <t xml:space="preserve">3.2.5.2       </t>
    </r>
    <r>
      <rPr>
        <b/>
        <sz val="10"/>
        <color rgb="FF000000"/>
        <rFont val="Times New Roman"/>
        <family val="1"/>
      </rPr>
      <t>Subsystem Calibration Preconditions</t>
    </r>
  </si>
  <si>
    <r>
      <t xml:space="preserve">3.2.5.3       </t>
    </r>
    <r>
      <rPr>
        <b/>
        <sz val="10"/>
        <color rgb="FF000000"/>
        <rFont val="Times New Roman"/>
        <family val="1"/>
      </rPr>
      <t>Subsystem Calibration Reporting Interval</t>
    </r>
  </si>
  <si>
    <r>
      <t xml:space="preserve">3.2.5.4       </t>
    </r>
    <r>
      <rPr>
        <b/>
        <sz val="10"/>
        <color rgb="FF000000"/>
        <rFont val="Times New Roman"/>
        <family val="1"/>
      </rPr>
      <t>Subsystem Calibration Inputs and Outputs</t>
    </r>
  </si>
  <si>
    <r>
      <t xml:space="preserve">3.2.5.5       </t>
    </r>
    <r>
      <rPr>
        <b/>
        <sz val="10"/>
        <color rgb="FF000000"/>
        <rFont val="Times New Roman"/>
        <family val="1"/>
      </rPr>
      <t>Subsystem Calibration Workflow and Orchestration</t>
    </r>
  </si>
  <si>
    <r>
      <t xml:space="preserve">3.2.5.6       </t>
    </r>
    <r>
      <rPr>
        <b/>
        <sz val="10"/>
        <color rgb="FF000000"/>
        <rFont val="Times New Roman"/>
        <family val="1"/>
      </rPr>
      <t>Subsystem Calibration Post Conditions</t>
    </r>
  </si>
  <si>
    <r>
      <t xml:space="preserve">3.2.5.7       </t>
    </r>
    <r>
      <rPr>
        <b/>
        <sz val="10"/>
        <color rgb="FF000000"/>
        <rFont val="Times New Roman"/>
        <family val="1"/>
      </rPr>
      <t>Subsystem Calibration Error Handling</t>
    </r>
  </si>
  <si>
    <r>
      <t xml:space="preserve">3.2.6        </t>
    </r>
    <r>
      <rPr>
        <b/>
        <sz val="10"/>
        <color rgb="FF000000"/>
        <rFont val="Times New Roman"/>
        <family val="1"/>
      </rPr>
      <t>Subsystem Shutdown</t>
    </r>
  </si>
  <si>
    <r>
      <t xml:space="preserve">3.2.6.1       </t>
    </r>
    <r>
      <rPr>
        <b/>
        <sz val="10"/>
        <color rgb="FF000000"/>
        <rFont val="Times New Roman"/>
        <family val="1"/>
      </rPr>
      <t>Subsystem Shutdown Description</t>
    </r>
  </si>
  <si>
    <r>
      <t xml:space="preserve">3.2.6.2       </t>
    </r>
    <r>
      <rPr>
        <b/>
        <sz val="10"/>
        <color rgb="FF000000"/>
        <rFont val="Times New Roman"/>
        <family val="1"/>
      </rPr>
      <t>Subsystem Shutdown Preconditions</t>
    </r>
  </si>
  <si>
    <r>
      <t xml:space="preserve">3.2.6.3       </t>
    </r>
    <r>
      <rPr>
        <b/>
        <sz val="10"/>
        <color rgb="FF000000"/>
        <rFont val="Times New Roman"/>
        <family val="1"/>
      </rPr>
      <t>Subsystem Shutdown Reporting Interval</t>
    </r>
  </si>
  <si>
    <r>
      <t xml:space="preserve">3.2.6.4       </t>
    </r>
    <r>
      <rPr>
        <b/>
        <sz val="10"/>
        <color rgb="FF000000"/>
        <rFont val="Times New Roman"/>
        <family val="1"/>
      </rPr>
      <t>Subsystem Shutdown Inputs and Outputs</t>
    </r>
  </si>
  <si>
    <r>
      <t xml:space="preserve">3.2.6.5       </t>
    </r>
    <r>
      <rPr>
        <b/>
        <sz val="10"/>
        <color rgb="FF000000"/>
        <rFont val="Times New Roman"/>
        <family val="1"/>
      </rPr>
      <t>Subsystem Shutdown Workflow and Orchestration</t>
    </r>
  </si>
  <si>
    <r>
      <t xml:space="preserve">3.2.6.6       </t>
    </r>
    <r>
      <rPr>
        <b/>
        <sz val="10"/>
        <color rgb="FF000000"/>
        <rFont val="Times New Roman"/>
        <family val="1"/>
      </rPr>
      <t xml:space="preserve">Subsystem Shutdown Post Conditions </t>
    </r>
  </si>
  <si>
    <r>
      <t xml:space="preserve">3.2.6.7       </t>
    </r>
    <r>
      <rPr>
        <b/>
        <sz val="10"/>
        <color rgb="FF000000"/>
        <rFont val="Times New Roman"/>
        <family val="1"/>
      </rPr>
      <t>Subsystem Shutdown Error Handling</t>
    </r>
  </si>
  <si>
    <r>
      <t xml:space="preserve">3.3         </t>
    </r>
    <r>
      <rPr>
        <b/>
        <sz val="10"/>
        <color rgb="FF000000"/>
        <rFont val="Times New Roman"/>
        <family val="1"/>
      </rPr>
      <t>Required Capability-related Functions</t>
    </r>
  </si>
  <si>
    <r>
      <t xml:space="preserve">3.3.1        </t>
    </r>
    <r>
      <rPr>
        <b/>
        <sz val="10"/>
        <color rgb="FF000000"/>
        <rFont val="Times New Roman"/>
        <family val="1"/>
      </rPr>
      <t>Position Information Processing</t>
    </r>
  </si>
  <si>
    <r>
      <t xml:space="preserve">3.3.1.1       </t>
    </r>
    <r>
      <rPr>
        <b/>
        <sz val="10"/>
        <color rgb="FF000000"/>
        <rFont val="Times New Roman"/>
        <family val="1"/>
      </rPr>
      <t>Position Information Processing Description</t>
    </r>
  </si>
  <si>
    <r>
      <t xml:space="preserve">3.3.1.2       </t>
    </r>
    <r>
      <rPr>
        <b/>
        <sz val="10"/>
        <color rgb="FF000000"/>
        <rFont val="Times New Roman"/>
        <family val="1"/>
      </rPr>
      <t>Position Information Processing Preconditions</t>
    </r>
  </si>
  <si>
    <r>
      <t xml:space="preserve">3.3.1.3       </t>
    </r>
    <r>
      <rPr>
        <b/>
        <sz val="10"/>
        <color rgb="FF000000"/>
        <rFont val="Times New Roman"/>
        <family val="1"/>
      </rPr>
      <t>Position Information Processing Reporting Interval</t>
    </r>
  </si>
  <si>
    <r>
      <t xml:space="preserve">3.3.1.4       </t>
    </r>
    <r>
      <rPr>
        <b/>
        <sz val="10"/>
        <color rgb="FF000000"/>
        <rFont val="Times New Roman"/>
        <family val="1"/>
      </rPr>
      <t>Position Information Processing Inputs and Outputs</t>
    </r>
  </si>
  <si>
    <r>
      <t xml:space="preserve">3.3.1.5       </t>
    </r>
    <r>
      <rPr>
        <b/>
        <sz val="10"/>
        <color rgb="FF000000"/>
        <rFont val="Times New Roman"/>
        <family val="1"/>
      </rPr>
      <t>Position Information Processing Workflow and Orchestration</t>
    </r>
  </si>
  <si>
    <r>
      <t xml:space="preserve">3.3.1.6       </t>
    </r>
    <r>
      <rPr>
        <b/>
        <sz val="10"/>
        <color rgb="FF000000"/>
        <rFont val="Times New Roman"/>
        <family val="1"/>
      </rPr>
      <t>Position Information Processing Post Conditions</t>
    </r>
  </si>
  <si>
    <r>
      <t xml:space="preserve">3.3.1.7       </t>
    </r>
    <r>
      <rPr>
        <b/>
        <sz val="10"/>
        <color rgb="FF000000"/>
        <rFont val="Times New Roman"/>
        <family val="1"/>
      </rPr>
      <t>Position Information Processing Error Handling</t>
    </r>
  </si>
  <si>
    <r>
      <t xml:space="preserve">3.3.2        </t>
    </r>
    <r>
      <rPr>
        <b/>
        <sz val="10"/>
        <color rgb="FF000000"/>
        <rFont val="Times New Roman"/>
        <family val="1"/>
      </rPr>
      <t xml:space="preserve">[CapabilityName] Capability-related Functions </t>
    </r>
  </si>
  <si>
    <r>
      <t xml:space="preserve">3.3.2.1       </t>
    </r>
    <r>
      <rPr>
        <b/>
        <sz val="10"/>
        <color rgb="FF000000"/>
        <rFont val="Times New Roman"/>
        <family val="1"/>
      </rPr>
      <t xml:space="preserve">[CapabilityName] Capability and Capability Status </t>
    </r>
  </si>
  <si>
    <r>
      <t xml:space="preserve">3.3.2.1.1      </t>
    </r>
    <r>
      <rPr>
        <b/>
        <i/>
        <sz val="10"/>
        <color rgb="FF000000"/>
        <rFont val="Times New Roman"/>
        <family val="1"/>
      </rPr>
      <t>[CapabilityName] Capability and Capability Status Description</t>
    </r>
  </si>
  <si>
    <r>
      <t xml:space="preserve">3.3.2.1.2      </t>
    </r>
    <r>
      <rPr>
        <b/>
        <i/>
        <sz val="10"/>
        <color rgb="FF000000"/>
        <rFont val="Times New Roman"/>
        <family val="1"/>
      </rPr>
      <t>[CapabilityName] Capability and Capability Status Preconditions</t>
    </r>
  </si>
  <si>
    <r>
      <t xml:space="preserve">3.3.2.1.3      </t>
    </r>
    <r>
      <rPr>
        <b/>
        <i/>
        <sz val="10"/>
        <color rgb="FF000000"/>
        <rFont val="Times New Roman"/>
        <family val="1"/>
      </rPr>
      <t>[CapabilityName] Capability and Capability Status Reporting Interval</t>
    </r>
  </si>
  <si>
    <r>
      <t xml:space="preserve">3.3.2.1.4      </t>
    </r>
    <r>
      <rPr>
        <b/>
        <i/>
        <sz val="10"/>
        <color rgb="FF000000"/>
        <rFont val="Times New Roman"/>
        <family val="1"/>
      </rPr>
      <t>[CapabilityName] Capability and Capability Status Inputs and Outputs</t>
    </r>
  </si>
  <si>
    <r>
      <t xml:space="preserve">3.3.2.1.5      </t>
    </r>
    <r>
      <rPr>
        <b/>
        <i/>
        <sz val="10"/>
        <color rgb="FF000000"/>
        <rFont val="Times New Roman"/>
        <family val="1"/>
      </rPr>
      <t>[CapabilityName] Capability and Capability Status Workflow and Orchestration</t>
    </r>
  </si>
  <si>
    <r>
      <t xml:space="preserve">3.3.2.1.6      </t>
    </r>
    <r>
      <rPr>
        <b/>
        <i/>
        <sz val="10"/>
        <color rgb="FF000000"/>
        <rFont val="Times New Roman"/>
        <family val="1"/>
      </rPr>
      <t>[CapabilityName] Capability and Capability Status Post Conditions</t>
    </r>
  </si>
  <si>
    <r>
      <t xml:space="preserve">3.3.2.1.7      </t>
    </r>
    <r>
      <rPr>
        <b/>
        <i/>
        <sz val="10"/>
        <color rgb="FF000000"/>
        <rFont val="Times New Roman"/>
        <family val="1"/>
      </rPr>
      <t>[CapabilityName] Capability and Capability Status Error Handling</t>
    </r>
  </si>
  <si>
    <r>
      <t xml:space="preserve">3.3.2.2       </t>
    </r>
    <r>
      <rPr>
        <b/>
        <sz val="10"/>
        <color rgb="FF000000"/>
        <rFont val="Times New Roman"/>
        <family val="1"/>
      </rPr>
      <t xml:space="preserve">[CapabilityName] Capability Enable/Disable </t>
    </r>
  </si>
  <si>
    <r>
      <t xml:space="preserve">3.3.2.2.1      </t>
    </r>
    <r>
      <rPr>
        <b/>
        <i/>
        <sz val="10"/>
        <color rgb="FF000000"/>
        <rFont val="Times New Roman"/>
        <family val="1"/>
      </rPr>
      <t>[CapabilityName] Capability Enable/Disable Description</t>
    </r>
  </si>
  <si>
    <r>
      <t xml:space="preserve">3.3.2.2.2      </t>
    </r>
    <r>
      <rPr>
        <b/>
        <i/>
        <sz val="10"/>
        <color rgb="FF000000"/>
        <rFont val="Times New Roman"/>
        <family val="1"/>
      </rPr>
      <t>[CapabilityName] Capability Enable/Disable Preconditions</t>
    </r>
  </si>
  <si>
    <r>
      <t xml:space="preserve">3.3.2.2.3      </t>
    </r>
    <r>
      <rPr>
        <b/>
        <i/>
        <sz val="10"/>
        <color rgb="FF000000"/>
        <rFont val="Times New Roman"/>
        <family val="1"/>
      </rPr>
      <t>[CapabilityName] Capability Enable/Disable Reporting Interval</t>
    </r>
  </si>
  <si>
    <r>
      <t xml:space="preserve">3.3.2.2.4      </t>
    </r>
    <r>
      <rPr>
        <b/>
        <i/>
        <sz val="10"/>
        <color rgb="FF000000"/>
        <rFont val="Times New Roman"/>
        <family val="1"/>
      </rPr>
      <t>[CapabilityName] Capability Enable/Disable Inputs and Outputs</t>
    </r>
  </si>
  <si>
    <r>
      <t xml:space="preserve">3.3.2.2.5      </t>
    </r>
    <r>
      <rPr>
        <b/>
        <i/>
        <sz val="10"/>
        <color rgb="FF000000"/>
        <rFont val="Times New Roman"/>
        <family val="1"/>
      </rPr>
      <t>[CapabilityName] Capability Enable/Disable Workflow and Orchestration</t>
    </r>
  </si>
  <si>
    <r>
      <t xml:space="preserve">3.3.2.2.6      </t>
    </r>
    <r>
      <rPr>
        <b/>
        <i/>
        <sz val="10"/>
        <color rgb="FF000000"/>
        <rFont val="Times New Roman"/>
        <family val="1"/>
      </rPr>
      <t>[CapabilityName] Capability Enable/Disable Post Conditions</t>
    </r>
  </si>
  <si>
    <r>
      <t xml:space="preserve">3.3.2.2.7      </t>
    </r>
    <r>
      <rPr>
        <b/>
        <i/>
        <sz val="10"/>
        <color rgb="FF000000"/>
        <rFont val="Times New Roman"/>
        <family val="1"/>
      </rPr>
      <t>[CapabilityName] Capability Enable/Disable Error Handling</t>
    </r>
  </si>
  <si>
    <r>
      <t xml:space="preserve">3.3.2.3       </t>
    </r>
    <r>
      <rPr>
        <b/>
        <sz val="10"/>
        <color rgb="FF000000"/>
        <rFont val="Times New Roman"/>
        <family val="1"/>
      </rPr>
      <t>[CapabilityName] Capability Operations</t>
    </r>
  </si>
  <si>
    <r>
      <t xml:space="preserve">3.3.2.3.1      </t>
    </r>
    <r>
      <rPr>
        <b/>
        <i/>
        <sz val="10"/>
        <color rgb="FF000000"/>
        <rFont val="Times New Roman"/>
        <family val="1"/>
      </rPr>
      <t>[CapabilityName] Capability Operations Description</t>
    </r>
  </si>
  <si>
    <r>
      <t xml:space="preserve">3.3.2.3.2      </t>
    </r>
    <r>
      <rPr>
        <b/>
        <i/>
        <sz val="10"/>
        <color rgb="FF000000"/>
        <rFont val="Times New Roman"/>
        <family val="1"/>
      </rPr>
      <t>[CapabilityName] Capability Operations Preconditions</t>
    </r>
  </si>
  <si>
    <r>
      <t xml:space="preserve">3.3.2.3.3      </t>
    </r>
    <r>
      <rPr>
        <b/>
        <i/>
        <sz val="10"/>
        <color rgb="FF000000"/>
        <rFont val="Times New Roman"/>
        <family val="1"/>
      </rPr>
      <t>[CapabilityName] Capability Operations Reporting Interval</t>
    </r>
  </si>
  <si>
    <r>
      <t xml:space="preserve">3.3.2.3.4      </t>
    </r>
    <r>
      <rPr>
        <b/>
        <i/>
        <sz val="10"/>
        <color rgb="FF000000"/>
        <rFont val="Times New Roman"/>
        <family val="1"/>
      </rPr>
      <t>[CapabilityName] Capability Operations Inputs and Outputs</t>
    </r>
  </si>
  <si>
    <r>
      <t xml:space="preserve">3.3.2.3.5      </t>
    </r>
    <r>
      <rPr>
        <b/>
        <i/>
        <sz val="10"/>
        <color rgb="FF000000"/>
        <rFont val="Times New Roman"/>
        <family val="1"/>
      </rPr>
      <t>[CapabilityName] Capability Operations Workflow and Orchestration</t>
    </r>
  </si>
  <si>
    <r>
      <t xml:space="preserve">3.3.2.3.6      </t>
    </r>
    <r>
      <rPr>
        <b/>
        <i/>
        <sz val="10"/>
        <color rgb="FF000000"/>
        <rFont val="Times New Roman"/>
        <family val="1"/>
      </rPr>
      <t>[CapabilityName] Capability Operations Post Conditions</t>
    </r>
  </si>
  <si>
    <r>
      <t xml:space="preserve">3.3.2.3.7      </t>
    </r>
    <r>
      <rPr>
        <b/>
        <i/>
        <sz val="10"/>
        <color rgb="FF000000"/>
        <rFont val="Times New Roman"/>
        <family val="1"/>
      </rPr>
      <t>[CapabilityName] Capability Operations Error Handling</t>
    </r>
  </si>
  <si>
    <r>
      <t xml:space="preserve">3.4         </t>
    </r>
    <r>
      <rPr>
        <b/>
        <sz val="10"/>
        <color rgb="FF000000"/>
        <rFont val="Times New Roman"/>
        <family val="1"/>
      </rPr>
      <t>Specific Functions</t>
    </r>
  </si>
  <si>
    <r>
      <t xml:space="preserve">3.4.1        </t>
    </r>
    <r>
      <rPr>
        <b/>
        <sz val="10"/>
        <color rgb="FF000000"/>
        <rFont val="Times New Roman"/>
        <family val="1"/>
      </rPr>
      <t>[FunctionName]</t>
    </r>
  </si>
  <si>
    <r>
      <t xml:space="preserve">3.4.1.1       </t>
    </r>
    <r>
      <rPr>
        <b/>
        <sz val="10"/>
        <color rgb="FF000000"/>
        <rFont val="Times New Roman"/>
        <family val="1"/>
      </rPr>
      <t>[FunctionName] Description</t>
    </r>
  </si>
  <si>
    <r>
      <t xml:space="preserve">3.4.1.2       </t>
    </r>
    <r>
      <rPr>
        <b/>
        <sz val="10"/>
        <color rgb="FF000000"/>
        <rFont val="Times New Roman"/>
        <family val="1"/>
      </rPr>
      <t>[FunctionName] Preconditions</t>
    </r>
  </si>
  <si>
    <r>
      <t xml:space="preserve">3.4.1.3       </t>
    </r>
    <r>
      <rPr>
        <b/>
        <sz val="10"/>
        <color rgb="FF000000"/>
        <rFont val="Times New Roman"/>
        <family val="1"/>
      </rPr>
      <t>[FunctionName] Reporting Interval</t>
    </r>
  </si>
  <si>
    <r>
      <t xml:space="preserve">3.4.1.4       </t>
    </r>
    <r>
      <rPr>
        <b/>
        <sz val="10"/>
        <color rgb="FF000000"/>
        <rFont val="Times New Roman"/>
        <family val="1"/>
      </rPr>
      <t>[FunctionName] Inputs and Outputs</t>
    </r>
  </si>
  <si>
    <r>
      <t xml:space="preserve">3.4.1.5       </t>
    </r>
    <r>
      <rPr>
        <b/>
        <sz val="10"/>
        <color rgb="FF000000"/>
        <rFont val="Times New Roman"/>
        <family val="1"/>
      </rPr>
      <t>[FunctionName] Workflow and Orchestration</t>
    </r>
  </si>
  <si>
    <r>
      <t xml:space="preserve">3.4.1.6       </t>
    </r>
    <r>
      <rPr>
        <b/>
        <sz val="10"/>
        <color rgb="FF000000"/>
        <rFont val="Times New Roman"/>
        <family val="1"/>
      </rPr>
      <t>[FunctionName] Post Conditions</t>
    </r>
  </si>
  <si>
    <r>
      <t xml:space="preserve">3.4.1.7       </t>
    </r>
    <r>
      <rPr>
        <b/>
        <sz val="10"/>
        <color rgb="FF000000"/>
        <rFont val="Times New Roman"/>
        <family val="1"/>
      </rPr>
      <t>[FunctionName] Error Handling</t>
    </r>
  </si>
  <si>
    <r>
      <t xml:space="preserve">4           </t>
    </r>
    <r>
      <rPr>
        <b/>
        <sz val="10"/>
        <color rgb="FF000000"/>
        <rFont val="Times New Roman"/>
        <family val="1"/>
      </rPr>
      <t>Non-OMS Messages</t>
    </r>
  </si>
  <si>
    <r>
      <t xml:space="preserve">5           </t>
    </r>
    <r>
      <rPr>
        <b/>
        <sz val="10"/>
        <color rgb="FF000000"/>
        <rFont val="Times New Roman"/>
        <family val="1"/>
      </rPr>
      <t>Change Request Identification</t>
    </r>
  </si>
  <si>
    <r>
      <t xml:space="preserve">6           </t>
    </r>
    <r>
      <rPr>
        <b/>
        <sz val="10"/>
        <color rgb="FF000000"/>
        <rFont val="Times New Roman"/>
        <family val="1"/>
      </rPr>
      <t>Cybersecurity Posture</t>
    </r>
  </si>
  <si>
    <r>
      <t xml:space="preserve">6.1         </t>
    </r>
    <r>
      <rPr>
        <b/>
        <sz val="10"/>
        <color rgb="FF000000"/>
        <rFont val="Times New Roman"/>
        <family val="1"/>
      </rPr>
      <t>Cyber Survivability Attributes (CSAs)</t>
    </r>
  </si>
  <si>
    <r>
      <t xml:space="preserve">6.1.1        </t>
    </r>
    <r>
      <rPr>
        <b/>
        <sz val="10"/>
        <color rgb="FF000000"/>
        <rFont val="Times New Roman"/>
        <family val="1"/>
      </rPr>
      <t>Prevent CSAs</t>
    </r>
  </si>
  <si>
    <r>
      <t xml:space="preserve">6.1.2        </t>
    </r>
    <r>
      <rPr>
        <b/>
        <sz val="10"/>
        <color rgb="FF000000"/>
        <rFont val="Times New Roman"/>
        <family val="1"/>
      </rPr>
      <t>Mitigate CSAs</t>
    </r>
  </si>
  <si>
    <r>
      <t xml:space="preserve">6.1.3        </t>
    </r>
    <r>
      <rPr>
        <b/>
        <sz val="10"/>
        <color rgb="FF000000"/>
        <rFont val="Times New Roman"/>
        <family val="1"/>
      </rPr>
      <t>Recover CSA</t>
    </r>
  </si>
  <si>
    <r>
      <t xml:space="preserve">6.1.4        </t>
    </r>
    <r>
      <rPr>
        <b/>
        <sz val="10"/>
        <color rgb="FF000000"/>
        <rFont val="Times New Roman"/>
        <family val="1"/>
      </rPr>
      <t>Adapt CSA</t>
    </r>
  </si>
  <si>
    <r>
      <t xml:space="preserve">7           </t>
    </r>
    <r>
      <rPr>
        <b/>
        <sz val="10"/>
        <color rgb="FF000000"/>
        <rFont val="Times New Roman"/>
        <family val="1"/>
      </rPr>
      <t>Security Addendum</t>
    </r>
  </si>
  <si>
    <r>
      <t xml:space="preserve">8           </t>
    </r>
    <r>
      <rPr>
        <b/>
        <sz val="10"/>
        <color rgb="FF000000"/>
        <rFont val="Times New Roman"/>
        <family val="1"/>
      </rPr>
      <t>Appendix A Acronyms and Abbreviations</t>
    </r>
  </si>
  <si>
    <r>
      <t xml:space="preserve">9           </t>
    </r>
    <r>
      <rPr>
        <b/>
        <sz val="10"/>
        <color rgb="FF000000"/>
        <rFont val="Times New Roman"/>
        <family val="1"/>
      </rPr>
      <t>Appendix B Glossary</t>
    </r>
  </si>
  <si>
    <r>
      <t xml:space="preserve">10       </t>
    </r>
    <r>
      <rPr>
        <b/>
        <sz val="10"/>
        <color rgb="FF000000"/>
        <rFont val="Times New Roman"/>
        <family val="1"/>
      </rPr>
      <t>Appendix C Message Details</t>
    </r>
  </si>
  <si>
    <t xml:space="preserve">Revision Record
</t>
  </si>
  <si>
    <t>STD-000427 Tier 1, 2, 3</t>
  </si>
  <si>
    <t>RQMT STD-000427 [An OMS Isolator shall be documented in a non-proprietary Service Contract, in accordance with the OMS Service Contract Template, for its interfaces that cross the OMS-facing Isolator boundary.]</t>
  </si>
  <si>
    <t>STD-000427 (-1): This requirement is verified by inspection of the delivered Service Contract for the Isolator showing that the Service Contract is complete and complies with the current version of the Service Contract Template, OMSC-TMP-003; inspection results are recorded in the [[Service Contract]] tab of the Isolator Checklist, OMSC-CHK-006.</t>
  </si>
  <si>
    <t>STD-000427 (-1)_1: The [[Service Contract]] tab of the Isolator Checklist shows that the delivered Service Contract is complete and complies with the current version of the Service Contract Template.</t>
  </si>
  <si>
    <t>Isolator Checklist</t>
  </si>
  <si>
    <t>STD-000427 (-2): This requirement is verified by inspection of the delivered Service Contract for the Isolator for proprietary labels.</t>
  </si>
  <si>
    <t>STD-000427 (-2)_1: The delivered Service Contract for the Isolator has no proprietary labels applied to any of its pages.</t>
  </si>
  <si>
    <t>STD-000427 (-3): This requirement is verified by inspection of the Service Contract for the Isolator showing that each “messaging” data exchange that crosses the OMS-facing Isolator boundary and is implemented by the Isolator, is documented in the delivered Service Contract; the inspection results are recorded in the appropriate tabs in the Isolator Checklist, OMSC-CHK-006.</t>
  </si>
  <si>
    <t>STD-000427 (-3)_1: The [[OMS Msgs]] tab of the Isolator Checklist has been completed for each OMS Message crossing the OMS-facing Isolator boundary and documented in the delivered Service Contract.</t>
  </si>
  <si>
    <t>STD-000427 (-3)_2: The [[Non-OMS Msgs]] tab of the Isolator Checklist has been completed for each Non-OMS Message crossing the OMS-facing Isolator boundary and documented in the delivered Service Contract.</t>
  </si>
  <si>
    <t>STD-000427 (-4): This requirement is verified by inspection of the [[Non-OMS Msgs]] tab of the Isolator Checklist showing that there are no Non-OMS Messages crossing the OMS-facing Isolator boundary.</t>
  </si>
  <si>
    <t>STD-000427 (-4)_1: If the [[Non-OMS Msgs]] tab of the Isolator Checklist shows there are no Non-OMS Messages crossing the OMS-facing Isolator boundary; then this VR is satisfied.</t>
  </si>
  <si>
    <t>STD-000427 (-4)_2: If the [[Non-OMS Msgs]] tab of the Isolator Checklist documents any Non-OMS Messages crossing the OMS-facing Isolator boundary, the entry for each message includes the name of the Non-OMS Message, and supporting information/rationale as to why the Non-OMS Message could not be implemented as an OMS Message as defined in the OMS Standard.</t>
  </si>
  <si>
    <t>STD-000427 (-5): This requirement is verified by inspection of the Service Contract for the Isolator showing that each “data transfer” data exchange, that crosses the OMS-facing boundary and is implemented by the Isolator, is documented in the delivered Service Contract; the inspection results are recorded in the appropriate tabs in the Isolator Checklist, OMSC-CHK-006.</t>
  </si>
  <si>
    <t>This VR verifies that the “data transfer” data exchanges are documented in the Service Contract. Inspection results are documented in the Isolator Checklist; OMS Data Transfers in the [[OMS Data Transfer]] tab and Non-OMS Data Transfers in the [[Non-OMS Data Transfer]] tab.</t>
  </si>
  <si>
    <t>STD-000427 (-5)_1: The [[OMS Data Transfer]] tab of the Isolator Checklist has been completed for each OMS Data Transfer crossing the OMS-facing Isolator boundary and documented in the delivered Service Contract.</t>
  </si>
  <si>
    <t>STD-000427 (-5)_2: The [[Non-OMS Data Transfer]] tab of the Isolator Checklist has been completed for each Non-OMS Data Transfer crossing the OMS-facing Isolator boundary and documented in the delivered Service Contract.</t>
  </si>
  <si>
    <t>STD-000427 (-6): This requirement is verified by inspection of the Service Contract for the Isolator showing that each “special signal” data exchange, that crosses the OMS-facing Isolator boundary and is implemented by the Isolator, is documented in the delivered Service Contract; the inspection results are recorded in the appropriate tabs in the Isolator Checklist, OMSC-CHK-006.</t>
  </si>
  <si>
    <t>This VR verifies that the “special signals” data exchanges are documented in the Service Contract. Inspection results are documented in the Isolator Checklist; OMS Special Signals are documented in the [[OMS Special Signals]] tab and non-OMS special signals are documented in the [[Non-OMS Special Signals]] tab of the Isolator Checklist.</t>
  </si>
  <si>
    <t>STD-000427 (-6)_1: The [[OMS Special Signals]] tab of the Isolator Checklist has been completed for each OMS Special Signal crossing the OMS-facing Isolator boundary and documented in the delivered Service Contract.</t>
  </si>
  <si>
    <t>STD-000427 (-6)_2: The [[Non-OMS Special Signals]] tab of the Isolator Checklist has been completed for each non-OMS special signal crossing the OMS-facing Isolator boundary and documented in the delivered Service Contract.</t>
  </si>
  <si>
    <t>STD-000427 (-7): This requirement is verified by inspection of the Service Contract for the Isolator showing that the ports and protocols the Isolator can use for data transfer are documented.</t>
  </si>
  <si>
    <t>STD-000427 (-7)_1: If no ports or protocols are used for data transfer, then this VR is satisfied.</t>
  </si>
  <si>
    <t>STD-000427 (-7)_2: The ports and protocols for data transfer are documented in the Service Contract.</t>
  </si>
  <si>
    <t>STD-000427 (-8): This requirement is verified by inspection of the Service Contract for the Isolator showing that the confidentiality mechanism(s) the Isolator can use for data transfer are documented.</t>
  </si>
  <si>
    <t>STD-000427 (-8)_1: If confidentiality for data transfer is not required, then this VR is satisfied.</t>
  </si>
  <si>
    <t>STD-000427 (-8)_2: The confidentiality mechanism(s) for data transfer are documented in the Service Contract.</t>
  </si>
  <si>
    <t>STD-000427 (-9): This requirement is verified by inspection of the Service Contract for the Isolator showing that the integrity mechanism(s) the Isolator can use for data transfer are documented.</t>
  </si>
  <si>
    <t>STD-000427 (-9)_1: If integrity for data transfer is not required, then this VR is satisfied.</t>
  </si>
  <si>
    <t>STD-000427 (-9)_2: The integrity mechanism(s) for data transfer are documented in the Service Contract.</t>
  </si>
  <si>
    <t>STD-000427 (-10): This requirement is verified by inspection of the Service Contract for the Isolator showing that the failure behavior(s) the Isolator can use for data transfer are documented.</t>
  </si>
  <si>
    <t>STD-000427 (-10)_1: If failure behavior for data transfer is not required, then this VR is satisfied.</t>
  </si>
  <si>
    <t>AC 10-1 Met?</t>
  </si>
  <si>
    <t>STD-000427 (-10)_2: The failure behavior(s) for data transfer are documented in the Service Contract.</t>
  </si>
  <si>
    <t>AC 10-2 Met?</t>
  </si>
  <si>
    <t>STD-000431 Tier 1, 2, 3</t>
  </si>
  <si>
    <t>RQMT STD-000431 [An OMS Isolator shall use the OMS CAL, for its interfaces that cross the OMS-facing Isolator boundary, to send and/or receive OMS Messages over the OMS ASB.]</t>
  </si>
  <si>
    <t>STD-000431 (-1): This requirement is verified by inspection of the Service Contract for the Isolator and the associated functional test results showing that each OMS Message used by the Isolator as an input/output message has successfully passed through a CAL between the Isolator and a test harness. The [[OMS Msgs]] tab of the Isolator Checklist, OMSC-CHK-006 is completed by listing each OMS Message used by the Isolator and documenting the location of the functional test results.</t>
  </si>
  <si>
    <t>STD-000431 (-1)_1: The [[OMS Msgs]] tab of the Isolator Checklist has been completed and identifies each OMS Message used by the Isolator and the location of the associated functional test results for each OMS Message.</t>
  </si>
  <si>
    <t>STD-000431 (-1)_2: The functional test results for the Isolator show that each OMS Message used by the Isolator and identified as an input/output message in the Service Contract, has been tested and has successfully passed through a CAL between the Isolator and a test harness.</t>
  </si>
  <si>
    <t>STD-006939 Tier 1, 2, 3</t>
  </si>
  <si>
    <t>RQMT STD-006939 [For each data type identified in column A of the “Data Transfer Formats, APIs, and Protocols” table, an OMS Isolator shall select from the corresponding data formats in column B of the “Data Transfer Formats, APIs, and Protocols” table for data transfers that cross the OMS-facing Isolator boundary.]</t>
  </si>
  <si>
    <t>STD-006939 (-1): This requirement is verified by inspection of the Service Contract for the Isolator for each data transfer that crosses the OMS-facing Isolator boundary; the data type per column A and the data format per column B is identified for each data transfer and compared to the permitted combinations listed in the “Data Transfer Formats, APIs, and Protocols” table; the inspection results are recorded in the appropriate tabs of the Isolator Checklist, OMSC-CHK-006.</t>
  </si>
  <si>
    <t>STD-006939 (-1)_1: If, for each data transfer crossing the OMS-facing Isolator boundary, the [[OMS Data Transfer]] tab of the Isolator Checklist shows that the data format in column B corresponds to the data type per column A as listed in the “Data Transfer Formats, APIs, and Protocols” table, including conforming to specified restrictions, then this VR is satisfied.</t>
  </si>
  <si>
    <t>STD-006939 (-1)_2: Each data transfer using a data type/data format combination that is not listed in the “Data Transfer Formats, APIs, and Protocols” table, but is covered by the “Non-OMS Data Transfers” table, is identified in the [[Non-OMS Data Transfer]] tab.</t>
  </si>
  <si>
    <t>STD-006939 (-1)_3: A description of the data format is provided for each Non-OMS Data Transfer listed in the [[Non-OMS Data Transfer]] tab.</t>
  </si>
  <si>
    <t>STD-006939 (-1)_4: A rationale is provided for each Non-OMS Data Transfer listed in the [[Non-OMS Data Transfer]] tab explaining why the data transfer could not be implemented using a permitted combination per the “Data Transfer Formats, APIs, and Protocols” table.</t>
  </si>
  <si>
    <t>STD-006939 Tier 3</t>
  </si>
  <si>
    <t>STD-006939 (-2): This requirement is verified by inspection of the Service Contract documentation for each data transfer that crosses the OMS-facing Isolator boundary; the data type per column A and the data format per column B are identified for each data transfer and compared to the permitted combinations listed in the “Data Transfer Formats, APIs, and Protocols” table where the Max Assessed Tier value in column F is 3; the inspection results are recorded in the appropriate tabs of the Isolator Checklist, OMSC-CHK-006.</t>
  </si>
  <si>
    <t>STD-006939 (-2)_1: If, for each data transfer crossing the OMS-facing Isolator boundary, the [[OMS Data Transfer]] tab of the Isolator Checklist shows that the data format in column B corresponds to the data type per column A as listed in the “Data Transfer Formats, APIs, and Protocols” table where the Max Assessed Tier value in column F is 3, then this VR is satisfied.</t>
  </si>
  <si>
    <t>STD-006939 (-3): This requirement is verified by inspection of the Change Request documentation which adds each data type/data format combination listed in the [[Non-OMS Data Transfer]] tab of the Isolator Checklist, OMSC-CHK-006.</t>
  </si>
  <si>
    <t>STD-006939 (-3)_1: If there are no Non-OMS Data Transfers listed in the [[Non-OMS Data Transfer]] tab, then this VR is satisfied.</t>
  </si>
  <si>
    <t>STD-006939 (-3)_3: The Change Request ID of the Change Request has been documented in the [[Non-OMS Data Transfer]] tab.</t>
  </si>
  <si>
    <t>STD-006940 Tier 1, 2, 3</t>
  </si>
  <si>
    <t>RQMT STD-006940 [For each data type identified in column A of the “Data Transfer Formats, APIs, and Protocols” table, an OMS Isolator shall select from the corresponding protocols/APIs in column C of the “Data Transfer Formats, APIs, and Protocols” table for exclusive use data transfers that cross the OMS-facing Isolator boundary.]</t>
  </si>
  <si>
    <t>STD-006940 (-1): This requirement is verified by inspection of the Service Contract for the Isolator for each data transfer that crosses the OMS-facing Isolator boundary; the data type per column A and the protocol/API per column C is identified for each data transfer and compared to the permitted combinations listed in the “Data Transfer Formats, APIs, and Protocols” table; the inspection results are recorded in the appropriate tabs of the Isolator Checklist, OMSC-CHK-006.</t>
  </si>
  <si>
    <t>STD-006940 (-1)_1: If, for each data transfer crossing the OMS-facing Isolator boundary, the [[OMS Data Transfer]] tab of the Isolator Checklist shows that the protocol/API in column C corresponds to the data type per column A as listed in the “Data Transfer Formats, APIs, and Protocols” table, including conforming to specified restrictions, then this VR is satisfied.</t>
  </si>
  <si>
    <t>STD-006940 (-1)_2: Each data transfer using a data type/protocol or API combination that is not listed in the “Data Transfer Formats, APIs, and Protocols” table, but is covered by the “Non-OMS Data Transfers” table, is identified in the [[Non-OMS Data Transfer]] tab.</t>
  </si>
  <si>
    <t>STD-006940 (-1)_3: A description of the data format is provided for each Non-OMS Data Transfer listed in the [[Non-OMS Data Transfer]] tab.</t>
  </si>
  <si>
    <t>STD-006940 (-1)_4: A rationale is provided for each Non-OMS Data Transfer listed in the [[Non-OMS Data Transfer]] tab explaining why the data transfer could not be implemented using a permitted combination per the “Data Transfer Formats, APIs, and Protocols” table.</t>
  </si>
  <si>
    <t>STD-006940 Tier 3</t>
  </si>
  <si>
    <t>STD-006940 (-2): This requirement is verified by inspection of the Service Contract documentation for each data transfer that crosses the OMS-facing Isolator boundary; the data type per column A and the protocols/APIs per column C are identified for each data transfer and compared to the permitted combinations listed in the “Data Transfer Formats, APIs, and Protocols” table where the Max Assessed Tier value in column F is 3; the inspection results are recorded in the appropriate tabs of the Isolator Checklist, OMSC-CHK-006.</t>
  </si>
  <si>
    <t>STD-006940 (-2)_1: If, for each data transfer crossing the OMS-facing Isolator boundary, the [[OMS Data Transfer]] tab of the Isolator Checklist shows that the protocol/API in column C corresponds to the data type per column A as listed in the “Data Transfer Formats, APIs, and Protocols” table where the Max Assessed Tier value in column F is 3, then this VR is satisfied.</t>
  </si>
  <si>
    <t>STD-006940 (-3): This requirement is verified by inspection of the Change Request documentation which adds each data type and protocol/API combination listed in the [[Non-OMS Data Transfer]] tab of the Isolator Checklist, OMSC-CHK-006.</t>
  </si>
  <si>
    <t>STD-006940 (-3)_1: If there are no Non-OMS Data Transfers listed in the [[Non-OMS Data Transfer]] tab, then this VR is satisfied.</t>
  </si>
  <si>
    <t>STD-006940 (-3)_3: The Change Request ID of the Change Request has been documented in the [[Non-OMS Data Transfer]] tab.</t>
  </si>
  <si>
    <t>STD-010121 Tier 1, 2, 3</t>
  </si>
  <si>
    <t>RQMT STD-010121 [For each data type identified in column A of the “Data Transfer Formats, APIs, and Protocols” table, an OMS Isolator shall select from the corresponding protocols/APIs in column D of the “Data Transfer Formats, APIs, and Protocols” table for shared read-only data transfers that cross the OMS-facing Isolator boundary.]</t>
  </si>
  <si>
    <t>STD-010121 (-1): This requirement is verified by inspection of the Service Contract for the Isolator for each data transfer that crosses the OMS-facing Isolator boundary; the data type per column A and the protocol/API per column D is identified for each data transfer and compared to the permitted combinations listed in the “Data Transfer Formats, APIs, and Protocols” table; the inspection results are recorded in the appropriate tabs of the Isolator Checklist, OMSC-CHK-006.</t>
  </si>
  <si>
    <t>STD-010121 (-1)_1: If, for each data transfer crossing the OMS-facing Isolator boundary, the [[OMS Data Transfer]] tab of the Isolator Checklist shows that the protocol/API in column D corresponds to the data type per column A as listed in the “Data Transfer Formats, APIs, and Protocols” table, including conforming to specified restrictions, then this VR is satisfied.</t>
  </si>
  <si>
    <t>STD-010121 (-1)_2: Each data transfer using a data type/protocol or API combination that is not listed in the “Data Transfer Formats, APIs, and Protocols” table, but is covered by the “Non-OMS Data Transfers” table, is identified in the [[Non-OMS Data Transfer]] tab.</t>
  </si>
  <si>
    <t>STD-010121 (-1)_3: A description of the data format is provided for each Non-OMS Data Transfer listed in the [[Non-OMS Data Transfer]] tab.</t>
  </si>
  <si>
    <t>STD-010121 (-1)_4: A rationale is provided for each Non-OMS Data Transfer listed in the [[Non-OMS Data Transfer]] tab explaining why the data transfer could not be implemented using a permitted combination per the “Data Transfer Formats, APIs, and Protocols” table.</t>
  </si>
  <si>
    <t>STD-010121 Tier 3</t>
  </si>
  <si>
    <t>STD-010121 (-2): This requirement is verified by inspection of the Service Contract documentation for each data transfer that crosses the OMS-facing Isolator boundary; the data type per column A and the protocols/APIs per column D are identified for each data transfer and compared to the permitted combinations listed in the “Data Transfer Formats, APIs, and Protocols” table where the Max Assessed Tier value in column F is 3; the inspection results are recorded in the appropriate tabs of the Isolator Checklist, OMSC-CHK-006.</t>
  </si>
  <si>
    <t>STD-010121 (-2)_1: If, for each data transfer crossing the OMS-facing Isolator boundary, the [[OMS Data Transfer]] tab of the Isolator Checklist shows that the protocol/API in column D corresponds to the data type per column A as listed in the “Data Transfer Formats, APIs, and Protocols” table where the Max Assessed Tier value in column F is 3, then this VR is satisfied.</t>
  </si>
  <si>
    <t>STD-010121 (-3): This requirement is verified by inspection of the Change Request documentation which adds each data type and protocol/API combination listed in the [[Non-OMS Data Transfer]] tab of the Isolator Checklist, OMSC-CHK-006.</t>
  </si>
  <si>
    <t>STD-010121 (-3)_1: If there are no Non-OMS Data Transfers listed in the [[Non-OMS Data Transfer]] tab, then this VR is satisfied.</t>
  </si>
  <si>
    <t>STD-010121 (-3)_3: The Change Request ID of the Change Request has been documented in the [[Non-OMS Data Transfer]] tab.</t>
  </si>
  <si>
    <t>STD-006941 Tier 1, 2, 3</t>
  </si>
  <si>
    <t>RQMT STD-006941 [For each data type identified in column A of the “Data Transfer Formats, APIs, and Protocols” table, an OMS Isolator shall select from the corresponding protocols/APIs in column E of the “Data Transfer Formats, APIs, and Protocols” table for shared read/modify data transfers that cross the OMS-facing Isolator boundary.]</t>
  </si>
  <si>
    <t>STD-006941 (-1): This requirement is verified by inspection of the Service Contract for the Isolator for each data transfer that crosses the OMS-facing Isolator boundary; the data type per column A and the protocol/API for per column E is identified for each data transfer and compared to the permitted combinations listed in the “Data Transfer Formats, APIs, and Protocols” table; the inspection results are recorded in the appropriate tabs of the Isolator Checklist, OMSC-CHK-006.</t>
  </si>
  <si>
    <t>STD-006941 (-1)_1: If, for each data transfer crossing the OMS-facing Isolator boundary, the [[OMS Data Transfer]] tab of the Isolator Checklist shows that the protocol/API in column E corresponds to the data type per column A as listed in the “Data Transfer Formats, APIs, and Protocols” table, including conforming to specified restrictions, then this VR is satisfied.</t>
  </si>
  <si>
    <t>STD-006941 (-1)_2: Each data transfer using a data type/protocol or API combination that is not listed in the “Data Transfer Formats, APIs, and Protocols” table, but is covered by the “Non-OMS Data Transfers” table, is identified in the [[Non-OMS Data Transfer]] tab.</t>
  </si>
  <si>
    <t>STD-006941 (-1)_3: A description of the data format is provided for each Non-OMS Data Transfer listed in the [[Non-OMS Data Transfer]] tab.</t>
  </si>
  <si>
    <t>STD-006941 (-1)_4: A rationale is provided for each Non-OMS Data Transfer listed in the [[Non-OMS Data Transfer]] tab explaining why the data transfer could not be implemented using a permitted combination per the “Data Transfer Formats, APIs, and Protocols” table.</t>
  </si>
  <si>
    <t>STD-006941 Tier 3</t>
  </si>
  <si>
    <t>STD-006941 (-2): This requirement is verified by inspection of the Service Contract documentation for each data transfer that crosses the OMS-facing Isolator boundary; the data type per column A and the protocol/API per column E are identified for each data transfer and compared to the permitted combinations listed in the “Data Transfer Formats, APIs, and Protocols” table where the Max Assessed Tier value in column F is 3; the inspection results are recorded in the appropriate tabs of the Isolator Checklist, OMSC-CHK-006.</t>
  </si>
  <si>
    <t>STD-006941 (-2)_1: If, for each data transfer crossing the OMS-facing Isolator boundary, the [[OMS Data Transfer]] tab of the Isolator Checklist shows that the protocol/API per column E corresponds to the data type per column A as listed in the “Data Transfer Formats, APIs, and Protocols” table where the Max Assessed Tier value in column F is 3, then this VR is satisfied.</t>
  </si>
  <si>
    <t>STD-006941 (-3): This requirement is verified by inspection of the Change Request documentation which adds each data type and protocol/API combination listed in the [[Non-OMS Data Transfer]] tab of the Isolator Checklist, OMSC-CHK-006.</t>
  </si>
  <si>
    <t>STD-006941 (-3)_1: If there are no Non-OMS Data Transfers listed in the [[Non-OMS Data Transfer]] tab, then this VR is satisfied.</t>
  </si>
  <si>
    <t>STD-006941 (-3)_3: The Change Request ID of the Change Request has been documented in the [[Non-OMS Data Transfer]] tab.</t>
  </si>
  <si>
    <t>STD-006942 Tier 1, 2, 3</t>
  </si>
  <si>
    <t>RQMT STD-006942 [An OMS Isolator shall use the URI formats, as specified in the “OMS URI formats” table, for data transfers that cross the OMS-facing Isolator boundary.]</t>
  </si>
  <si>
    <t>STD-006942 (-1): This requirement is verified by inspection of the Service Contract for the Isolator for each data transfer that crosses the OMS-facing Isolator boundary; the URI format is identified for each data transfer and compared to the permitted formats listed in the “OMS URI Formats” table; the inspection results are recorded in the appropriate tabs of the Isolator Checklist, OMSC-CHK-006.</t>
  </si>
  <si>
    <t>STD-006942 (-1)_1: If, for each Data Transfer crossing the OMS-facing Isolator boundary, the [[OMS Data Transfer]] tab of the Isolator Checklist shows that the Isolator uses the URI formats specified in the “OMS URI Formats” table, then this VR is satisfied.</t>
  </si>
  <si>
    <t>STD-006942 (-1)_2: Each data transfer using a URI format that is not specified in the “OMS URI Formats” table is identified in the [[Non-OMS Data Transfer]] tab.</t>
  </si>
  <si>
    <t>STD-006942 (-1)_3: A description of the URI format is provided for each Non-OMS Data Transfer listed in the [[Non-OMS Data Transfer]] tab.</t>
  </si>
  <si>
    <t>STD-006942 (-1)_4: A rationale is provided for each Non-OMS Data Transfer listed in the [[Non-OMS Data Transfer]] tab explaining why the data transfer could not be implemented using a URI format specified in the “OMS URI Formats” table.</t>
  </si>
  <si>
    <t>STD-006942 (-2): This requirement is verified by inspection of the Change Request documentation which adds each URI format listed in the [[Non-OMS Data Transfer]] tab of the Isolator Checklist, OMSC-CHK-006.</t>
  </si>
  <si>
    <t>STD-006942 (-2)_1: If there are no Non-OMS Data Transfers listed in the [[Non-OMS Data Transfer]] tab, then this VR is satisfied.</t>
  </si>
  <si>
    <t>STD-006942 (-2)_3: The Change Request ID of the Change Request has been documented in the [[Non-OMS Data Transfer]] tab.</t>
  </si>
  <si>
    <t>STD-008664 Tier 1, 2, 3</t>
  </si>
  <si>
    <t>RQMT STD-008664 [An OMS Isolator shall report status in accordance with the “Required Functions” section of the OMS Service Contract Template.]</t>
  </si>
  <si>
    <t>STD-008664 (-1): This requirement is verified by inspection of the delivered Service Contract for the Isolator that shows the status reporting is documented in accordance with the “Required Functions” section of the Service Contract Template, OMSC-TMP-003.</t>
  </si>
  <si>
    <t>STD-008664 (-1)_1: The Service Contract for the Isolator documents the status reporting behavior in accordance with the “Required Functions” section of the service Contract template. A comparison of the delivered Service Contract to the template shows no significant differences.</t>
  </si>
  <si>
    <t>STD-008664 (-2): This requirement is verified by inspection of functional test results for the Isolator showing that the status messages are published in accordance with the required behavior as documented in the Service Contract.</t>
  </si>
  <si>
    <r>
      <t xml:space="preserve">STD-008664 (-2)_1: The functional test results for the Isolator show that that the </t>
    </r>
    <r>
      <rPr>
        <b/>
        <sz val="10"/>
        <color theme="1"/>
        <rFont val="Times New Roman"/>
        <family val="1"/>
      </rPr>
      <t>ServiceStatus</t>
    </r>
    <r>
      <rPr>
        <sz val="10"/>
        <color theme="1"/>
        <rFont val="Times New Roman"/>
        <family val="1"/>
      </rPr>
      <t xml:space="preserve"> message is published by the Isolator.</t>
    </r>
  </si>
  <si>
    <r>
      <t xml:space="preserve">STD-008664 (-2)_2: The functional test results for the Isolator show that the Isolator sends the </t>
    </r>
    <r>
      <rPr>
        <b/>
        <sz val="10"/>
        <color theme="1"/>
        <rFont val="Times New Roman"/>
        <family val="1"/>
      </rPr>
      <t>ServiceStatusDataRequestStatus</t>
    </r>
    <r>
      <rPr>
        <sz val="10"/>
        <color theme="1"/>
        <rFont val="Times New Roman"/>
        <family val="1"/>
      </rPr>
      <t xml:space="preserve"> message in response to the </t>
    </r>
    <r>
      <rPr>
        <b/>
        <sz val="10"/>
        <color theme="1"/>
        <rFont val="Times New Roman"/>
        <family val="1"/>
      </rPr>
      <t>ServiceStatusDataRequest</t>
    </r>
    <r>
      <rPr>
        <sz val="10"/>
        <color theme="1"/>
        <rFont val="Times New Roman"/>
        <family val="1"/>
      </rPr>
      <t xml:space="preserve"> message.</t>
    </r>
  </si>
  <si>
    <t>STD-008665 Tier 1, 2, 3</t>
  </si>
  <si>
    <t>RQMT STD-008665 [An OMS Isolator shall implement configurable periodicity for reporting status.]</t>
  </si>
  <si>
    <t>STD-008665 (-1): This requirement is verified by inspection of the Service Contract for the Isolator showing that the status reporting is configurable.</t>
  </si>
  <si>
    <t>This information is typically provided in the “Required Functions” section of the Service Contract.</t>
  </si>
  <si>
    <t>STD-008665 (-1)_1: The Service Contract documents that the parameters for reporting status are configurable.</t>
  </si>
  <si>
    <t>STD-008665 (-2): This requirement is verified by inspection of the Service Contract for the Isolator showing that the mechanism used to configure status reporting is documented.</t>
  </si>
  <si>
    <t>STD-008665 (-2)_1: The Service Contract documents the mechanism used to configure status reporting.</t>
  </si>
  <si>
    <t>STD-008665 (-3): This requirement is verified by inspection of the functional test results for the Isolator that show the status reporting can be configured for the Isolator and that the Isolator reports status in accordance with the configuration setting.</t>
  </si>
  <si>
    <t>STD-008665 (-3)_1: The functional test results for the Isolator show that the periodicity of status reporting can be configured.</t>
  </si>
  <si>
    <t>STD-008665 (-3)_2: The functional test results for the Isolator show that the Isolator reports status in accordance with the configuration setting.</t>
  </si>
  <si>
    <t>STD-008666 Tier 1, 2, 3</t>
  </si>
  <si>
    <t>RQMT STD-008666 [An OMS Isolator shall implement a configurable range for periodic update rate from 1 to 600 seconds in 1 second increments.]</t>
  </si>
  <si>
    <t>STD-008666 (-1): This requirement is verified by inspection of the Service Contract for the Isolator showing that the parameters for status reporting are configurable with an acceptable range of 1 to 600 seconds in 1 second increments.</t>
  </si>
  <si>
    <t>STD-008666 (-1)_1: The Service Contract documents that the configuration parameters for status reporting support the range of 1 to 600 seconds in 1 second increments.</t>
  </si>
  <si>
    <t>STD-009707 Tier 1, 2, 3</t>
  </si>
  <si>
    <t>RQMT STD-009707 [An OMS Isolator shall document its cybersecurity posture in accordance with the “Cybersecurity Posture” Section of the OMS Service Contract Template.]</t>
  </si>
  <si>
    <t>STD-009707 (-1): This requirement is verified by inspection of the Service Contract “Cybersecurity Posture” Section showing that the Isolator cybersecurity posture is documented.</t>
  </si>
  <si>
    <t>STD-009707 (-1)_1: If there is no program-assigned Cybersecurity requirement, this VR is satisfied.</t>
  </si>
  <si>
    <t>STD-009707 (-1)_2: The Isolator cybersecurity posture is documented in the Service Contract “Cybersecurity Posture” section.</t>
  </si>
  <si>
    <t>(-1)
(-2)
(-3)
(-4)
(-5)
(-6)
(-7)
(-8)
(-9)
(-10)</t>
  </si>
  <si>
    <t>OMS defines four types of data exchanges: (1) messaging, (2) data transfer, (3) special signals, and (4) security information exchanges. The intent is that each OMS Data Exchange and non-OMS data exchange that crosses the OMS-facing Isolator boundary is documented in the Service Contract. Security information exchanges are not applicable to an OMS Isolator.
This VR verifies that the “messaging” data exchanges are documented in the Service Contract. Inspection results are documented in the Isolator Checklist; OMS Messages in the [[OMS Msgs]] tab and Non-OMS Messages in the [[Non-OMS Msgs]] tab.</t>
  </si>
  <si>
    <t>(-10)_1
(-10)_2</t>
  </si>
  <si>
    <t>Data exchanges over the OMS ASB that are not made using the OMS Message Schema are fully identified and documented in the Service Contract. Proprietary data exchanges over the OMS ASB are not OMS compliant.
Isolators connected to the OMS ASB may have some non-OMS interactions, but these non-OMS interactions will impact the OMS Tier level for the Mission Package.
Isolators do not need to be hosted in an OCE to be compliant. It is entirely possible for an Isolator to be hosted inside an OMS-compliant Subsystem.
Additionally, Isolators that have special requirements may be hosted outside of the OCE. Regardless of where Isolators are hosted, all OMS-compliant Isolators use the OMS CAL when communicating across the ASB.
The Starter Kit CAL or a CAL from another program is sufficient for testing this requirement.</t>
  </si>
  <si>
    <t>Data transfers that use one of the URI formats per the “OMS URI Formats” table are recorded in the [[OMS Data Transfer]] tab; data transfers not using one of the permitted URI formats are recorded in the [[Non-OMS Data Transfer]] tab of the Isolator Checklist.
If the URI formats listed in the “OMS URI Formats” table are not sufficient, an explanation as to why that is so should be captured in the “Data Transfer” section of the Service Contract.
Details of any non-proprietary URI format that is not represented in the “OMS URI Formats” table should be fully documented (or provide corresponding reference(s)) in the “Data Transfer” section of the Service Contract.</t>
  </si>
  <si>
    <t>The cybersecurity posture as defined by the CSRC and described by the CSAs denotes what an OMS Architecture Element achieves as one element within a cyber-contested environment.
The “Cybersecurity Posture” section describes the implementation of the cybersecurity posture by the Isolator and provides additional, unclassified, and/or non-proprietary details relating to the security of the OMS Isolator.
The provided OMSC-GDE-003, Cybersecurity Guide, defines the concepts, guidance, and information that OMS Adopting Programs and system designers will utilize to document the cybersecurity posture.</t>
  </si>
  <si>
    <t>Auto Calculated</t>
  </si>
  <si>
    <t>RQMT Topic</t>
  </si>
  <si>
    <t>Service Contract Required</t>
  </si>
  <si>
    <t>Use OMS CAL</t>
  </si>
  <si>
    <t>Select Data Formats</t>
  </si>
  <si>
    <t>Select Corresponding Protocols or APIs</t>
  </si>
  <si>
    <t>Use URI formats</t>
  </si>
  <si>
    <t>Report Status</t>
  </si>
  <si>
    <t>Implement Configurable Periodicity</t>
  </si>
  <si>
    <t>Implement Periodic Update Rate</t>
  </si>
  <si>
    <t>Document Cybersecurity posture</t>
  </si>
  <si>
    <t>&lt;REQUIRED: ISOLATOR CHECKLIST TITLE&gt;</t>
  </si>
  <si>
    <t xml:space="preserve">&lt; Before attempting to fill out this checklist, the Isolator compliance assessor should have access to the referenced Service Contract for the Isolator. &gt;  </t>
  </si>
  <si>
    <t>OMS Message - An OMS Message is a unit of information sent or received using an OMS CAL. 
OMS Messages are primarily command-and-control-oriented exchanges used inside of a Mission Package to coordinate key mission functionality, technical capabilities, and operational behaviors of the interaction between the Architecture Elements (Platforms, Subsystems, Services, and Isolators).</t>
  </si>
  <si>
    <t>Agile Mission Suite Government Reference Architecture (AMS GRA)</t>
  </si>
  <si>
    <t>OACWG-approved OMS Change Request Identifier 
(if applicable)</t>
  </si>
  <si>
    <t>Max Tier Allowed Per OACWG Approved Change Request</t>
  </si>
  <si>
    <t>Data transfers that use one of the permitted combinations per the “Data Transfer Formats, APIs, and Protocols” table are recorded in the [[OMS Data Transfer]] tab; data transfers not using one of the permitted combinations are recorded in the [[Non-OMS Data Transfer]] tab of the Isolator Checklist.
If the protocols, APIs, and/or formats listed in the “Data Transfer Formats, APIs, and Protocols” table are not sufficient, an explanation as to why that is so should be captured in the “Data Transfer” section of the Service Contract.
Details of any non-proprietary protocol, data format, or API that is not represented in the “Data Transfer Formats, APIs, and Protocols” table should be fully documented (or provide corresponding reference(s)) in the “Data Transfer” section of the Service Contract.
The following restrictions apply for all OMS Data Transfer combinations: 1) does not overlap with OMS Messages, 2) does not overlap with any other OMS Data Exchanges, and 3) does not transfer external standards second hand.
Non-OMS Data Transfers are typically restricted to OMS compliance Tier 1. However, when an OACWG-approved Change Request is identified, then the Non-OMS Data Transfer will be assessed at the maximum allowed Tier specified by the OACWG.</t>
  </si>
  <si>
    <t>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Isolator is using the Change Request update as approved by the OACWG.</t>
  </si>
  <si>
    <t>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Isolator is using the Change Request update as approved by the OACWG.</t>
  </si>
  <si>
    <t>Submission of a Change Request is required to:
1. Add a format, protocol, or API, or
2. Use an existing OMS format, protocol, or API to transfer a type of data not covered by the “Data Transfer Formats, APIs, and Protocols” table.
This Change Request will be considered part of compliance verification and validation.
The following artifacts should be reviewed as part of the Change Request during the OACWG change process:
1. Full definition of any Data Transfer formats, protocols, and APIs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Isolator is using the Change Request update as approved by the OACWG.</t>
  </si>
  <si>
    <t>Submission of a Change Request is required to add a URI format not listed in the “OMS URI Formats” table.
This Change Request will be considered part of compliance verification and validation.
The following artifacts should be reviewed as part of the Change Request during the OACWG change process:
1. Full definition of any URI formats proposed to be changed/added/deleted 
2. Red-lined versions of all Standard documentation affected by the change
3. Test plan that shows testing or use of these Data Transfer formats and any progress should be included
4. Response to any issues where this material is presented.
It is the expectation that the Isolator is using the Change Request update as approved by the OACWG.</t>
  </si>
  <si>
    <t>STD-006939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</si>
  <si>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STD-006940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</si>
  <si>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STD-010121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</si>
  <si>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STD-006941 (-3)_2: A Change Request documenting each Non-OMS Data Transfer identified in the [[Non-OMS Data Transfer]] tab and adding the required changes to the “Data Transfer Formats, APIs, and Protocols” table where the Max Assessed Tier value in column F is 3 has been submitted to and approved by the OACWG for the Change Request.</t>
  </si>
  <si>
    <t>STD-006942 (-2)_2: A Change Request documenting each Non-OMS Data Transfer identified in the [[Non-OMS Data Transfer]] tab and the required changes to the “OMS URI Formats” table to add the URI formats to the OMS Standard has been submitted to and approved by the OACWG for the Change Request.</t>
  </si>
  <si>
    <t>Does A-G have &lt;Select&gt; or Empty?</t>
  </si>
  <si>
    <t>DISCLAIMER: The discussion of non-federal entities, methods, products, or services does not imply any endorsement by the United States Government, the Department of Defense, or the Department of the Air Force.</t>
  </si>
  <si>
    <t>Non-OMS Msg with CR identified</t>
  </si>
  <si>
    <t>[Example] OAM-XXXX</t>
  </si>
  <si>
    <t>Distribution Statement A. Approved for public release: distribution is unlimited.</t>
  </si>
  <si>
    <t>This Isolator Checklist complies with the OMS Standard Version 2.5, OMSC-STD-001, Revision M, 22 January 2026.</t>
  </si>
  <si>
    <t>Required statements (may be more restrictive):
DISCLAIMER: The discussion of non-federal entities, methods, products, or services does not imply any endorsement by the United States Government, the Department of Defense, or the Department of the Air Force.
Distribution Statement A. Approved for public release: distribution is unlimited.</t>
  </si>
  <si>
    <t>Service Contract Compliant to OMSC-TMP-003, Revision M, dated 22 January 2026?</t>
  </si>
  <si>
    <t xml:space="preserve">This Service Contract complies with the Service Contract Template, OMSC-TMP-003, Revision M, dated 22 January 2026. </t>
  </si>
  <si>
    <t>The template is prescribed by the OMS Standard Version 2.5, OMSC-STD-001, Revision M, dated 22 January 2026.</t>
  </si>
  <si>
    <t>Valid OMS Messages
UCI Schema v002.5, 22 January 2026</t>
  </si>
  <si>
    <t>AirRecord</t>
  </si>
  <si>
    <t>DE_Activity</t>
  </si>
  <si>
    <t>DE_Capability</t>
  </si>
  <si>
    <t>DE_CapabilityStatus</t>
  </si>
  <si>
    <t>DE_Command</t>
  </si>
  <si>
    <t>DE_CommandStatus</t>
  </si>
  <si>
    <t>DE_ConsentRequest</t>
  </si>
  <si>
    <t>DE_ConsentRequestStatus</t>
  </si>
  <si>
    <t>DE_SettingsCommand</t>
  </si>
  <si>
    <t>DE_SettingsCommandStatus</t>
  </si>
  <si>
    <t>EmitterRecord</t>
  </si>
  <si>
    <t>FacilityRecord</t>
  </si>
  <si>
    <t>LandRecord</t>
  </si>
  <si>
    <t>MissileRecord</t>
  </si>
  <si>
    <t>OB_CorrelationRecord</t>
  </si>
  <si>
    <t>OrderOfBattleRequest</t>
  </si>
  <si>
    <t>OrderOfBattleRequestStatus</t>
  </si>
  <si>
    <t>SeaSubsurfaceRecord</t>
  </si>
  <si>
    <t>SeaSurfaceRecord</t>
  </si>
  <si>
    <t>SpaceCharacteristics</t>
  </si>
  <si>
    <t>SpaceRecord</t>
  </si>
  <si>
    <t>UnitRecord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</si>
</sst>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color theme="1"/>
      <name val="Times New Roman"/>
      <family val="1"/>
    </font>
    <font>
      <sz val="12"/>
      <color theme="1"/>
      <name val="Times New Roman"/>
      <family val="1"/>
    </font>
    <font>
      <sz val="12"/>
      <color rgb="FFFF0000"/>
      <name val="Times New Roman"/>
      <family val="1"/>
    </font>
    <font>
      <b/>
      <sz val="12"/>
      <color theme="1"/>
      <name val="Times New Roman"/>
      <family val="1"/>
    </font>
    <font>
      <b/>
      <sz val="12"/>
      <color rgb="FF00B050"/>
      <name val="Times New Roman"/>
      <family val="1"/>
    </font>
    <font>
      <sz val="12"/>
      <color rgb="FF00B050"/>
      <name val="Times New Roman"/>
      <family val="1"/>
    </font>
    <font>
      <b/>
      <sz val="10"/>
      <color theme="1"/>
      <name val="Times New Roman"/>
      <family val="1"/>
    </font>
    <font>
      <sz val="10"/>
      <color theme="1"/>
      <name val="Calibri"/>
      <family val="2"/>
      <scheme val="minor"/>
    </font>
    <font>
      <sz val="10"/>
      <color rgb="FF000000"/>
      <name val="Times New Roman"/>
      <family val="1"/>
    </font>
    <font>
      <sz val="10"/>
      <color rgb="FF00B050"/>
      <name val="Times New Roman"/>
      <family val="1"/>
    </font>
    <font>
      <sz val="10"/>
      <name val="Times New Roman"/>
      <family val="1"/>
    </font>
    <font>
      <b/>
      <sz val="11"/>
      <color theme="1"/>
      <name val="Calibri"/>
      <family val="2"/>
      <scheme val="minor"/>
    </font>
    <font>
      <i/>
      <sz val="10"/>
      <name val="Times New Roman"/>
      <family val="1"/>
    </font>
    <font>
      <b/>
      <sz val="10"/>
      <color rgb="FF00B050"/>
      <name val="Times New Roman"/>
      <family val="1"/>
    </font>
    <font>
      <b/>
      <sz val="10"/>
      <name val="Times New Roman"/>
      <family val="1"/>
    </font>
    <font>
      <i/>
      <sz val="10"/>
      <color theme="1"/>
      <name val="Times New Roman"/>
      <family val="1"/>
    </font>
    <font>
      <i/>
      <sz val="10"/>
      <color rgb="FF00B050"/>
      <name val="Times New Roman"/>
      <family val="1"/>
    </font>
    <font>
      <sz val="10"/>
      <color theme="1"/>
      <name val="Times New Roman"/>
      <family val="2"/>
    </font>
    <font>
      <b/>
      <sz val="11"/>
      <color theme="1"/>
      <name val="Times New Roman"/>
      <family val="1"/>
    </font>
    <font>
      <sz val="10"/>
      <color rgb="FFFF0000"/>
      <name val="Times New Roman"/>
      <family val="1"/>
    </font>
    <font>
      <b/>
      <sz val="10"/>
      <color rgb="FF000000"/>
      <name val="Times New Roman"/>
      <family val="1"/>
    </font>
    <font>
      <b/>
      <sz val="11"/>
      <color rgb="FFFF0000"/>
      <name val="Times New Roman"/>
      <family val="1"/>
    </font>
    <font>
      <b/>
      <sz val="14"/>
      <color theme="1"/>
      <name val="Times New Roman"/>
      <family val="1"/>
    </font>
    <font>
      <sz val="10"/>
      <color rgb="FFBFBFBF"/>
      <name val="Times New Roman"/>
      <family val="1"/>
    </font>
    <font>
      <b/>
      <i/>
      <sz val="10"/>
      <color theme="1"/>
      <name val="Times New Roman"/>
      <family val="1"/>
    </font>
    <font>
      <b/>
      <i/>
      <sz val="10"/>
      <color rgb="FF000000"/>
      <name val="Times New Roman"/>
      <family val="1"/>
    </font>
  </fonts>
  <fills count="12">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rgb="FF9BC2E6"/>
        <bgColor indexed="64"/>
      </patternFill>
    </fill>
    <fill>
      <patternFill patternType="solid">
        <fgColor theme="4" tint="0.79998168889431442"/>
        <bgColor indexed="64"/>
      </patternFill>
    </fill>
    <fill>
      <patternFill patternType="solid">
        <fgColor rgb="FFFF0000"/>
        <bgColor indexed="64"/>
      </patternFill>
    </fill>
    <fill>
      <patternFill patternType="solid">
        <fgColor theme="7" tint="0.39997558519241921"/>
        <bgColor indexed="64"/>
      </patternFill>
    </fill>
  </fills>
  <borders count="47">
    <border>
      <left/>
      <right/>
      <top/>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n">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style="medium">
        <color rgb="FF000000"/>
      </top>
      <bottom/>
      <diagonal/>
    </border>
    <border>
      <left/>
      <right/>
      <top/>
      <bottom style="medium">
        <color rgb="FF000000"/>
      </bottom>
      <diagonal/>
    </border>
    <border>
      <left style="medium">
        <color rgb="FF400040"/>
      </left>
      <right style="medium">
        <color rgb="FF400040"/>
      </right>
      <top style="medium">
        <color rgb="FF400040"/>
      </top>
      <bottom style="medium">
        <color rgb="FF40004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8" fillId="0" borderId="0"/>
  </cellStyleXfs>
  <cellXfs count="295">
    <xf numFmtId="0" fontId="0" fillId="0" borderId="0" xfId="0"/>
    <xf numFmtId="0" fontId="2" fillId="0" borderId="0" xfId="0" applyFont="1" applyAlignment="1">
      <alignment vertical="center" wrapText="1"/>
    </xf>
    <xf numFmtId="0" fontId="2" fillId="0" borderId="2" xfId="0" applyFont="1" applyBorder="1" applyAlignment="1">
      <alignment vertical="center" wrapText="1"/>
    </xf>
    <xf numFmtId="0" fontId="3" fillId="0" borderId="3" xfId="0" applyFont="1" applyBorder="1" applyAlignment="1">
      <alignment vertical="center" wrapText="1"/>
    </xf>
    <xf numFmtId="0" fontId="4" fillId="0" borderId="0" xfId="0" applyFont="1" applyAlignment="1">
      <alignment vertical="center" wrapText="1"/>
    </xf>
    <xf numFmtId="0" fontId="10" fillId="0" borderId="0" xfId="0" applyFont="1" applyAlignment="1" applyProtection="1">
      <alignment vertical="center" wrapText="1"/>
      <protection locked="0"/>
    </xf>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2" fillId="0" borderId="0" xfId="0" applyFont="1" applyAlignment="1" applyProtection="1">
      <alignment vertical="center" wrapText="1"/>
      <protection locked="0"/>
    </xf>
    <xf numFmtId="0" fontId="8" fillId="0" borderId="0" xfId="0" applyFont="1" applyProtection="1">
      <protection locked="0"/>
    </xf>
    <xf numFmtId="0" fontId="1" fillId="0" borderId="0" xfId="0" applyFont="1" applyAlignment="1" applyProtection="1">
      <alignment vertical="center" wrapText="1"/>
      <protection locked="0"/>
    </xf>
    <xf numFmtId="0" fontId="7" fillId="0" borderId="0" xfId="0" applyFont="1" applyAlignment="1">
      <alignment horizontal="center" vertical="center" wrapText="1"/>
    </xf>
    <xf numFmtId="0" fontId="1" fillId="0" borderId="0" xfId="0" applyFont="1" applyAlignment="1">
      <alignment vertical="center" wrapText="1"/>
    </xf>
    <xf numFmtId="0" fontId="1" fillId="0" borderId="6" xfId="0" applyFont="1" applyBorder="1" applyAlignment="1" applyProtection="1">
      <alignment horizontal="center" vertical="center" wrapText="1"/>
      <protection locked="0"/>
    </xf>
    <xf numFmtId="0" fontId="10" fillId="0" borderId="7" xfId="0" applyFont="1" applyBorder="1" applyAlignment="1" applyProtection="1">
      <alignment vertical="center" wrapText="1"/>
      <protection locked="0"/>
    </xf>
    <xf numFmtId="0" fontId="1" fillId="0" borderId="7" xfId="0" applyFont="1" applyBorder="1" applyAlignment="1" applyProtection="1">
      <alignment vertical="center" wrapText="1"/>
      <protection locked="0"/>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vertical="center" wrapText="1"/>
    </xf>
    <xf numFmtId="0" fontId="0" fillId="0" borderId="0" xfId="0" applyAlignment="1">
      <alignment horizontal="left" vertical="top"/>
    </xf>
    <xf numFmtId="0" fontId="0" fillId="0" borderId="0" xfId="0" applyAlignment="1">
      <alignment horizontal="center" vertical="top"/>
    </xf>
    <xf numFmtId="15" fontId="10" fillId="0" borderId="7" xfId="0" applyNumberFormat="1" applyFont="1" applyBorder="1" applyAlignment="1" applyProtection="1">
      <alignment horizontal="center" vertical="center" wrapText="1"/>
      <protection locked="0"/>
    </xf>
    <xf numFmtId="15" fontId="1" fillId="0" borderId="7" xfId="0" applyNumberFormat="1" applyFont="1" applyBorder="1" applyAlignment="1" applyProtection="1">
      <alignment horizontal="center" vertical="center" wrapText="1"/>
      <protection locked="0"/>
    </xf>
    <xf numFmtId="0" fontId="1" fillId="0" borderId="7" xfId="0" applyFont="1" applyBorder="1" applyAlignment="1" applyProtection="1">
      <alignment horizontal="center" vertical="center" wrapText="1"/>
      <protection locked="0"/>
    </xf>
    <xf numFmtId="0" fontId="1" fillId="0" borderId="0" xfId="0" applyFont="1" applyAlignment="1">
      <alignment horizontal="left" vertical="top" wrapText="1"/>
    </xf>
    <xf numFmtId="0" fontId="1" fillId="0" borderId="0" xfId="0" applyFont="1" applyAlignment="1">
      <alignment horizontal="center" vertical="center" wrapText="1"/>
    </xf>
    <xf numFmtId="0" fontId="0" fillId="0" borderId="0" xfId="0" applyAlignment="1">
      <alignment wrapText="1"/>
    </xf>
    <xf numFmtId="0" fontId="1" fillId="0" borderId="0" xfId="0" applyFont="1" applyAlignment="1">
      <alignment horizontal="center" vertical="top" wrapText="1"/>
    </xf>
    <xf numFmtId="49" fontId="0" fillId="0" borderId="0" xfId="0" applyNumberFormat="1" applyAlignment="1">
      <alignment horizontal="center" vertical="top"/>
    </xf>
    <xf numFmtId="0" fontId="1" fillId="0" borderId="0" xfId="0" applyFont="1" applyAlignment="1" applyProtection="1">
      <alignment horizontal="center" vertical="center"/>
      <protection locked="0"/>
    </xf>
    <xf numFmtId="0" fontId="1" fillId="0" borderId="0" xfId="0" applyFont="1" applyAlignment="1" applyProtection="1">
      <alignment horizontal="center" vertical="center" wrapText="1"/>
      <protection locked="0"/>
    </xf>
    <xf numFmtId="0" fontId="11" fillId="0" borderId="0" xfId="0" applyFont="1" applyAlignment="1" applyProtection="1">
      <alignment horizontal="left" vertical="top"/>
      <protection locked="0"/>
    </xf>
    <xf numFmtId="0" fontId="7" fillId="0" borderId="21" xfId="0" applyFont="1" applyBorder="1" applyAlignment="1" applyProtection="1">
      <alignment horizontal="center" vertical="center" wrapText="1"/>
      <protection locked="0"/>
    </xf>
    <xf numFmtId="0" fontId="13" fillId="2" borderId="21" xfId="0" applyFont="1" applyFill="1" applyBorder="1" applyAlignment="1" applyProtection="1">
      <alignment wrapText="1"/>
      <protection locked="0"/>
    </xf>
    <xf numFmtId="0" fontId="13" fillId="2" borderId="21" xfId="0" applyFont="1" applyFill="1" applyBorder="1" applyAlignment="1" applyProtection="1">
      <alignment horizontal="center" wrapText="1"/>
      <protection locked="0"/>
    </xf>
    <xf numFmtId="0" fontId="7" fillId="0" borderId="0" xfId="0" applyFont="1" applyProtection="1">
      <protection locked="0"/>
    </xf>
    <xf numFmtId="0" fontId="15" fillId="0" borderId="21" xfId="0" applyFont="1" applyBorder="1" applyAlignment="1" applyProtection="1">
      <alignment horizontal="center" wrapText="1"/>
      <protection locked="0"/>
    </xf>
    <xf numFmtId="0" fontId="1" fillId="0" borderId="0" xfId="0" applyFont="1" applyProtection="1">
      <protection locked="0"/>
    </xf>
    <xf numFmtId="0" fontId="1" fillId="0" borderId="21" xfId="0" applyFont="1" applyBorder="1" applyProtection="1">
      <protection locked="0"/>
    </xf>
    <xf numFmtId="0" fontId="11" fillId="0" borderId="0" xfId="0" applyFont="1" applyAlignment="1" applyProtection="1">
      <alignment wrapText="1"/>
      <protection locked="0"/>
    </xf>
    <xf numFmtId="0" fontId="4" fillId="0" borderId="0" xfId="0" applyFont="1" applyProtection="1">
      <protection locked="0"/>
    </xf>
    <xf numFmtId="0" fontId="15" fillId="0" borderId="0" xfId="0" applyFont="1" applyAlignment="1" applyProtection="1">
      <alignment wrapText="1"/>
      <protection locked="0"/>
    </xf>
    <xf numFmtId="49" fontId="11" fillId="2" borderId="21" xfId="0" quotePrefix="1" applyNumberFormat="1" applyFont="1" applyFill="1" applyBorder="1" applyAlignment="1" applyProtection="1">
      <alignment horizontal="center" vertical="top" wrapText="1"/>
      <protection locked="0"/>
    </xf>
    <xf numFmtId="0" fontId="1" fillId="0" borderId="0" xfId="0" applyFont="1" applyAlignment="1" applyProtection="1">
      <alignment wrapText="1"/>
      <protection locked="0"/>
    </xf>
    <xf numFmtId="0" fontId="13" fillId="2" borderId="21" xfId="0" applyFont="1" applyFill="1" applyBorder="1" applyAlignment="1" applyProtection="1">
      <alignment horizontal="center" vertical="center" wrapText="1"/>
      <protection locked="0"/>
    </xf>
    <xf numFmtId="0" fontId="11" fillId="0" borderId="0" xfId="0" applyFont="1" applyAlignment="1">
      <alignment horizontal="left" vertical="top" wrapText="1"/>
    </xf>
    <xf numFmtId="0" fontId="8" fillId="0" borderId="0" xfId="0" applyFont="1" applyAlignment="1" applyProtection="1">
      <alignment wrapText="1"/>
      <protection locked="0"/>
    </xf>
    <xf numFmtId="0" fontId="1" fillId="0" borderId="0" xfId="0" applyFont="1" applyAlignment="1">
      <alignment horizontal="left" vertical="top"/>
    </xf>
    <xf numFmtId="0" fontId="1" fillId="0" borderId="0" xfId="0" applyFont="1" applyAlignment="1">
      <alignment horizontal="center" vertical="center"/>
    </xf>
    <xf numFmtId="0" fontId="1" fillId="0" borderId="0" xfId="0" applyFont="1"/>
    <xf numFmtId="0" fontId="21" fillId="0" borderId="4" xfId="0" applyFont="1" applyBorder="1" applyAlignment="1">
      <alignment horizontal="center" vertical="center" wrapText="1"/>
    </xf>
    <xf numFmtId="0" fontId="7" fillId="0" borderId="0" xfId="0" applyFont="1" applyAlignment="1" applyProtection="1">
      <alignment horizontal="center" vertical="center" wrapText="1"/>
      <protection locked="0"/>
    </xf>
    <xf numFmtId="0" fontId="1" fillId="0" borderId="21"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protection locked="0"/>
    </xf>
    <xf numFmtId="0" fontId="1" fillId="0" borderId="21" xfId="0" applyFont="1" applyBorder="1" applyAlignment="1">
      <alignment horizontal="center" vertical="center"/>
    </xf>
    <xf numFmtId="0" fontId="19" fillId="0" borderId="0" xfId="0" applyFont="1" applyAlignment="1">
      <alignment horizontal="left" vertical="top"/>
    </xf>
    <xf numFmtId="0" fontId="15" fillId="0" borderId="21" xfId="0" applyFont="1" applyBorder="1" applyAlignment="1">
      <alignment horizontal="center" vertical="center" wrapText="1"/>
    </xf>
    <xf numFmtId="0" fontId="7" fillId="0" borderId="21" xfId="0" applyFont="1" applyBorder="1" applyAlignment="1">
      <alignment horizontal="center" vertical="center" wrapText="1"/>
    </xf>
    <xf numFmtId="0" fontId="11" fillId="0" borderId="0" xfId="0" applyFont="1"/>
    <xf numFmtId="0" fontId="1" fillId="0" borderId="21" xfId="0" applyFont="1" applyBorder="1" applyAlignment="1">
      <alignment horizontal="center" vertical="center" wrapText="1"/>
    </xf>
    <xf numFmtId="0" fontId="16" fillId="0" borderId="21" xfId="0" applyFont="1" applyBorder="1" applyAlignment="1" applyProtection="1">
      <alignment horizontal="center" vertical="center" wrapText="1"/>
      <protection locked="0"/>
    </xf>
    <xf numFmtId="0" fontId="9" fillId="8" borderId="7" xfId="0" applyFont="1" applyFill="1" applyBorder="1" applyAlignment="1" applyProtection="1">
      <alignment horizontal="center" vertical="center" wrapText="1"/>
      <protection locked="0"/>
    </xf>
    <xf numFmtId="0" fontId="1" fillId="0" borderId="0" xfId="0" applyFont="1" applyAlignment="1" applyProtection="1">
      <alignment horizontal="left" vertical="top"/>
      <protection locked="0"/>
    </xf>
    <xf numFmtId="0" fontId="7" fillId="4" borderId="29" xfId="0" applyFont="1" applyFill="1" applyBorder="1" applyAlignment="1" applyProtection="1">
      <alignment horizontal="center" vertical="center"/>
      <protection locked="0"/>
    </xf>
    <xf numFmtId="0" fontId="13" fillId="0" borderId="0" xfId="0" applyFont="1" applyAlignment="1" applyProtection="1">
      <alignment horizontal="center" wrapText="1"/>
      <protection locked="0"/>
    </xf>
    <xf numFmtId="0" fontId="1" fillId="0" borderId="0" xfId="0" applyFont="1" applyAlignment="1">
      <alignment horizontal="left" vertical="center"/>
    </xf>
    <xf numFmtId="0" fontId="15" fillId="0" borderId="21" xfId="0" applyFont="1" applyBorder="1" applyAlignment="1">
      <alignment horizontal="center" vertical="top" wrapText="1"/>
    </xf>
    <xf numFmtId="0" fontId="7" fillId="0" borderId="21" xfId="0" applyFont="1" applyBorder="1" applyAlignment="1">
      <alignment horizontal="center" vertical="top" wrapText="1"/>
    </xf>
    <xf numFmtId="0" fontId="11" fillId="0" borderId="0" xfId="0" applyFont="1" applyAlignment="1" applyProtection="1">
      <alignment horizontal="left" vertical="top" wrapText="1"/>
      <protection locked="0"/>
    </xf>
    <xf numFmtId="0" fontId="7" fillId="0" borderId="0" xfId="0" applyFont="1" applyAlignment="1" applyProtection="1">
      <alignment horizontal="left" vertical="center"/>
      <protection locked="0"/>
    </xf>
    <xf numFmtId="0" fontId="7" fillId="0" borderId="21" xfId="0" applyFont="1" applyBorder="1" applyAlignment="1">
      <alignment horizontal="center" vertical="center"/>
    </xf>
    <xf numFmtId="0" fontId="7" fillId="0" borderId="0" xfId="0" applyFont="1" applyAlignment="1">
      <alignment horizontal="center" vertical="center"/>
    </xf>
    <xf numFmtId="0" fontId="11" fillId="0" borderId="0" xfId="0" applyFont="1" applyAlignment="1">
      <alignment horizontal="left" vertical="top"/>
    </xf>
    <xf numFmtId="0" fontId="15" fillId="0" borderId="0" xfId="0" applyFont="1" applyAlignment="1">
      <alignment horizontal="left" vertical="top"/>
    </xf>
    <xf numFmtId="0" fontId="19" fillId="0" borderId="0" xfId="0" applyFont="1" applyAlignment="1">
      <alignment wrapText="1"/>
    </xf>
    <xf numFmtId="0" fontId="1" fillId="0" borderId="0" xfId="0" applyFont="1" applyAlignment="1">
      <alignment wrapText="1"/>
    </xf>
    <xf numFmtId="0" fontId="7" fillId="0" borderId="0" xfId="0" applyFont="1" applyAlignment="1">
      <alignment wrapText="1"/>
    </xf>
    <xf numFmtId="0" fontId="7" fillId="0" borderId="0" xfId="0" applyFont="1" applyAlignment="1">
      <alignment horizontal="right" vertical="center" wrapText="1"/>
    </xf>
    <xf numFmtId="49" fontId="10" fillId="2" borderId="21" xfId="0" quotePrefix="1" applyNumberFormat="1" applyFont="1" applyFill="1" applyBorder="1" applyAlignment="1">
      <alignment horizontal="center" vertical="top" wrapText="1"/>
    </xf>
    <xf numFmtId="0" fontId="14" fillId="0" borderId="21" xfId="0" applyFont="1" applyBorder="1" applyAlignment="1">
      <alignment horizontal="left" vertical="top" wrapText="1"/>
    </xf>
    <xf numFmtId="0" fontId="14" fillId="0" borderId="21" xfId="0" applyFont="1" applyBorder="1" applyAlignment="1">
      <alignment horizontal="center" vertical="top" wrapText="1"/>
    </xf>
    <xf numFmtId="0" fontId="10" fillId="0" borderId="0" xfId="0" applyFont="1" applyAlignment="1">
      <alignment wrapText="1"/>
    </xf>
    <xf numFmtId="0" fontId="7" fillId="0" borderId="21" xfId="0" applyFont="1" applyBorder="1" applyAlignment="1">
      <alignment horizontal="left" vertical="top" wrapText="1"/>
    </xf>
    <xf numFmtId="0" fontId="14" fillId="0" borderId="21" xfId="0" applyFont="1" applyBorder="1" applyAlignment="1">
      <alignment vertical="top" wrapText="1"/>
    </xf>
    <xf numFmtId="0" fontId="7" fillId="0" borderId="21" xfId="0" applyFont="1" applyBorder="1" applyAlignment="1">
      <alignment vertical="top" wrapText="1"/>
    </xf>
    <xf numFmtId="0" fontId="7" fillId="0" borderId="0" xfId="0" applyFont="1" applyAlignment="1">
      <alignment horizontal="left" vertical="top"/>
    </xf>
    <xf numFmtId="0" fontId="9" fillId="8" borderId="21" xfId="0" applyFont="1" applyFill="1" applyBorder="1" applyAlignment="1">
      <alignment horizontal="center" vertical="center" wrapText="1"/>
    </xf>
    <xf numFmtId="0" fontId="15" fillId="0" borderId="0" xfId="0" applyFont="1" applyAlignment="1">
      <alignment horizontal="center" vertical="center" wrapText="1"/>
    </xf>
    <xf numFmtId="0" fontId="17" fillId="2" borderId="21" xfId="0" applyFont="1" applyFill="1" applyBorder="1" applyAlignment="1">
      <alignment horizontal="center" vertical="center" wrapText="1"/>
    </xf>
    <xf numFmtId="0" fontId="10" fillId="0" borderId="21" xfId="0" applyFont="1" applyBorder="1" applyAlignment="1">
      <alignment horizontal="center" vertical="center"/>
    </xf>
    <xf numFmtId="0" fontId="14" fillId="0" borderId="0" xfId="0" applyFont="1" applyAlignment="1">
      <alignment horizontal="center" vertical="center"/>
    </xf>
    <xf numFmtId="0" fontId="11" fillId="0" borderId="0" xfId="0" applyFont="1" applyAlignment="1">
      <alignment horizontal="center" vertical="center"/>
    </xf>
    <xf numFmtId="0" fontId="17"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left" vertical="center" wrapText="1"/>
    </xf>
    <xf numFmtId="0" fontId="19" fillId="0" borderId="0" xfId="0" applyFont="1" applyAlignment="1">
      <alignment horizontal="left" vertical="top" wrapText="1"/>
    </xf>
    <xf numFmtId="0" fontId="1" fillId="2" borderId="21" xfId="0" applyFont="1" applyFill="1" applyBorder="1" applyAlignment="1" applyProtection="1">
      <alignment horizontal="center" vertical="center" wrapText="1"/>
      <protection locked="0"/>
    </xf>
    <xf numFmtId="0" fontId="7" fillId="4" borderId="31" xfId="0" applyFont="1" applyFill="1" applyBorder="1" applyAlignment="1" applyProtection="1">
      <alignment horizontal="center" vertical="center"/>
      <protection locked="0"/>
    </xf>
    <xf numFmtId="0" fontId="15" fillId="0" borderId="0" xfId="0" applyFont="1" applyAlignment="1" applyProtection="1">
      <alignment horizontal="left" vertical="top"/>
      <protection locked="0"/>
    </xf>
    <xf numFmtId="0" fontId="7" fillId="4" borderId="35" xfId="0" applyFont="1" applyFill="1" applyBorder="1" applyAlignment="1" applyProtection="1">
      <alignment horizontal="center" vertical="center"/>
      <protection locked="0"/>
    </xf>
    <xf numFmtId="0" fontId="7" fillId="4" borderId="33" xfId="0" applyFont="1" applyFill="1" applyBorder="1" applyAlignment="1" applyProtection="1">
      <alignment horizontal="center" vertical="center"/>
      <protection locked="0"/>
    </xf>
    <xf numFmtId="0" fontId="1" fillId="0" borderId="0" xfId="0" applyFont="1" applyFill="1" applyAlignment="1">
      <alignment horizontal="center" vertical="center" wrapText="1"/>
    </xf>
    <xf numFmtId="0" fontId="1" fillId="0" borderId="0" xfId="0" applyFont="1" applyFill="1" applyAlignment="1">
      <alignment horizontal="left" vertical="top"/>
    </xf>
    <xf numFmtId="0" fontId="1" fillId="0" borderId="0" xfId="0" applyFont="1" applyFill="1" applyAlignment="1">
      <alignment horizontal="center" vertical="center"/>
    </xf>
    <xf numFmtId="0" fontId="16"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center"/>
    </xf>
    <xf numFmtId="0" fontId="1" fillId="0" borderId="0" xfId="0" applyFont="1" applyFill="1"/>
    <xf numFmtId="0" fontId="1" fillId="0" borderId="0" xfId="0" applyFont="1" applyFill="1" applyAlignment="1">
      <alignment horizontal="left" vertical="center"/>
    </xf>
    <xf numFmtId="0" fontId="1" fillId="0" borderId="0" xfId="0" applyFont="1" applyFill="1" applyAlignment="1">
      <alignment horizontal="left" vertical="top" wrapText="1"/>
    </xf>
    <xf numFmtId="0" fontId="7" fillId="0" borderId="0" xfId="0" applyFont="1" applyFill="1"/>
    <xf numFmtId="0" fontId="1" fillId="0" borderId="8" xfId="0" applyFont="1" applyFill="1" applyBorder="1" applyAlignment="1">
      <alignment horizontal="left" vertical="top" wrapText="1"/>
    </xf>
    <xf numFmtId="0" fontId="1" fillId="0" borderId="0" xfId="0" quotePrefix="1" applyFont="1" applyFill="1" applyAlignment="1">
      <alignment horizontal="left" vertical="top" wrapText="1"/>
    </xf>
    <xf numFmtId="0" fontId="1" fillId="0" borderId="8" xfId="0" applyFont="1" applyFill="1" applyBorder="1" applyAlignment="1">
      <alignment horizontal="left" vertical="center" wrapText="1"/>
    </xf>
    <xf numFmtId="0" fontId="1" fillId="0" borderId="8" xfId="0" applyFont="1" applyFill="1" applyBorder="1" applyAlignment="1">
      <alignment horizontal="left" vertical="top"/>
    </xf>
    <xf numFmtId="0" fontId="12" fillId="0" borderId="10" xfId="0" applyFont="1" applyFill="1" applyBorder="1" applyAlignment="1">
      <alignment horizontal="center" vertical="center" wrapText="1"/>
    </xf>
    <xf numFmtId="0" fontId="12" fillId="0" borderId="11" xfId="0" applyFont="1" applyFill="1" applyBorder="1" applyAlignment="1">
      <alignment horizontal="center" vertical="center" wrapText="1"/>
    </xf>
    <xf numFmtId="0" fontId="12" fillId="0" borderId="12" xfId="0" applyFont="1" applyFill="1" applyBorder="1" applyAlignment="1">
      <alignment horizontal="center" vertical="center" wrapText="1"/>
    </xf>
    <xf numFmtId="0" fontId="0" fillId="0" borderId="0" xfId="0" applyFill="1" applyAlignment="1">
      <alignment wrapText="1"/>
    </xf>
    <xf numFmtId="0" fontId="1" fillId="0" borderId="13" xfId="0" applyFont="1" applyFill="1" applyBorder="1" applyAlignment="1">
      <alignment horizontal="center" vertical="top" wrapText="1"/>
    </xf>
    <xf numFmtId="0" fontId="1" fillId="0" borderId="9" xfId="0" applyFont="1" applyFill="1" applyBorder="1" applyAlignment="1">
      <alignment horizontal="center" vertical="top" wrapText="1"/>
    </xf>
    <xf numFmtId="0" fontId="1" fillId="0" borderId="9" xfId="0" applyFont="1" applyFill="1" applyBorder="1" applyAlignment="1">
      <alignment horizontal="left" vertical="top" wrapText="1"/>
    </xf>
    <xf numFmtId="0" fontId="1" fillId="0" borderId="14" xfId="0" applyFont="1" applyFill="1" applyBorder="1" applyAlignment="1">
      <alignment horizontal="left" vertical="top" wrapText="1"/>
    </xf>
    <xf numFmtId="0" fontId="1" fillId="0" borderId="15" xfId="0" applyFont="1" applyFill="1" applyBorder="1" applyAlignment="1">
      <alignment horizontal="center" vertical="top" wrapText="1"/>
    </xf>
    <xf numFmtId="0" fontId="1" fillId="0" borderId="8" xfId="0" applyFont="1" applyFill="1" applyBorder="1" applyAlignment="1">
      <alignment horizontal="center" vertical="top" wrapText="1"/>
    </xf>
    <xf numFmtId="0" fontId="1" fillId="0" borderId="16" xfId="0" applyFont="1" applyFill="1" applyBorder="1" applyAlignment="1">
      <alignment horizontal="left" vertical="top" wrapText="1"/>
    </xf>
    <xf numFmtId="0" fontId="1" fillId="0" borderId="17" xfId="0" applyFont="1" applyFill="1" applyBorder="1" applyAlignment="1">
      <alignment horizontal="center" vertical="top" wrapText="1"/>
    </xf>
    <xf numFmtId="0" fontId="1" fillId="0" borderId="18" xfId="0" applyFont="1" applyFill="1" applyBorder="1" applyAlignment="1">
      <alignment horizontal="center" vertical="top" wrapText="1"/>
    </xf>
    <xf numFmtId="0" fontId="1" fillId="0" borderId="18" xfId="0" applyFont="1" applyFill="1" applyBorder="1" applyAlignment="1">
      <alignment horizontal="left" vertical="top" wrapText="1"/>
    </xf>
    <xf numFmtId="0" fontId="1" fillId="0" borderId="19" xfId="0" applyFont="1" applyFill="1" applyBorder="1" applyAlignment="1">
      <alignment horizontal="left" vertical="top" wrapText="1"/>
    </xf>
    <xf numFmtId="0" fontId="1" fillId="0" borderId="0" xfId="0" applyFont="1" applyFill="1" applyAlignment="1">
      <alignment horizontal="center" vertical="top" wrapText="1"/>
    </xf>
    <xf numFmtId="0" fontId="1" fillId="0" borderId="20" xfId="0" applyFont="1" applyFill="1" applyBorder="1" applyAlignment="1">
      <alignment horizontal="center" vertical="top" wrapText="1"/>
    </xf>
    <xf numFmtId="0" fontId="1" fillId="0" borderId="20" xfId="0" applyFont="1" applyFill="1" applyBorder="1" applyAlignment="1">
      <alignment horizontal="left" vertical="top" wrapText="1"/>
    </xf>
    <xf numFmtId="0" fontId="11" fillId="0" borderId="0" xfId="0" applyFont="1" applyAlignment="1" applyProtection="1">
      <alignment horizontal="left" vertical="top" wrapText="1"/>
      <protection locked="0"/>
    </xf>
    <xf numFmtId="0" fontId="11" fillId="2" borderId="21" xfId="0" applyFont="1" applyFill="1" applyBorder="1" applyAlignment="1" applyProtection="1">
      <alignment horizontal="center" vertical="center" wrapText="1"/>
      <protection locked="0"/>
    </xf>
    <xf numFmtId="0" fontId="11" fillId="0" borderId="21" xfId="0" applyFont="1" applyBorder="1" applyAlignment="1">
      <alignment horizontal="center" vertical="center" wrapText="1"/>
    </xf>
    <xf numFmtId="0" fontId="11" fillId="0" borderId="21" xfId="0" applyFont="1" applyBorder="1" applyAlignment="1" applyProtection="1">
      <alignment horizontal="center" vertical="center" wrapText="1"/>
      <protection locked="0"/>
    </xf>
    <xf numFmtId="0" fontId="11" fillId="0" borderId="0" xfId="0" applyFont="1" applyAlignment="1" applyProtection="1">
      <alignment horizontal="center" vertical="center"/>
      <protection locked="0"/>
    </xf>
    <xf numFmtId="0" fontId="11" fillId="0" borderId="0" xfId="0" applyFont="1" applyAlignment="1" applyProtection="1">
      <alignment horizontal="center" vertical="center" wrapText="1"/>
      <protection locked="0"/>
    </xf>
    <xf numFmtId="0" fontId="13" fillId="0" borderId="21" xfId="0" applyFont="1" applyBorder="1" applyAlignment="1" applyProtection="1">
      <alignment horizontal="center" vertical="center" wrapText="1"/>
      <protection locked="0"/>
    </xf>
    <xf numFmtId="0" fontId="11" fillId="8" borderId="7" xfId="0" applyFont="1" applyFill="1" applyBorder="1" applyAlignment="1" applyProtection="1">
      <alignment horizontal="center" vertical="center" wrapText="1"/>
      <protection locked="0"/>
    </xf>
    <xf numFmtId="0" fontId="1" fillId="0" borderId="0" xfId="0" applyFont="1" applyBorder="1" applyAlignment="1">
      <alignment horizontal="center" vertical="center"/>
    </xf>
    <xf numFmtId="0" fontId="7" fillId="6" borderId="0" xfId="0" applyFont="1" applyFill="1" applyAlignment="1">
      <alignment horizontal="center" vertical="center"/>
    </xf>
    <xf numFmtId="0" fontId="7" fillId="5" borderId="0" xfId="0" applyFont="1" applyFill="1" applyAlignment="1">
      <alignment horizontal="center" vertical="center"/>
    </xf>
    <xf numFmtId="0" fontId="7" fillId="3" borderId="0" xfId="0" applyFont="1" applyFill="1" applyAlignment="1">
      <alignment horizontal="center" vertical="center"/>
    </xf>
    <xf numFmtId="0" fontId="1" fillId="0" borderId="0" xfId="0" applyFont="1" applyAlignment="1"/>
    <xf numFmtId="0" fontId="11" fillId="0" borderId="0" xfId="0" applyFont="1" applyAlignment="1"/>
    <xf numFmtId="0" fontId="1" fillId="4" borderId="9" xfId="0" applyFont="1" applyFill="1" applyBorder="1" applyAlignment="1">
      <alignment horizontal="center" vertical="center"/>
    </xf>
    <xf numFmtId="0" fontId="7" fillId="4" borderId="8" xfId="0" applyFont="1" applyFill="1" applyBorder="1" applyAlignment="1">
      <alignment horizontal="center" vertical="center"/>
    </xf>
    <xf numFmtId="0" fontId="1" fillId="4" borderId="8" xfId="0" applyFont="1" applyFill="1" applyBorder="1" applyAlignment="1">
      <alignment horizontal="center" vertical="center"/>
    </xf>
    <xf numFmtId="0" fontId="1" fillId="0" borderId="8" xfId="0" applyFont="1" applyBorder="1" applyAlignment="1">
      <alignment horizontal="center" vertical="center"/>
    </xf>
    <xf numFmtId="0" fontId="1" fillId="11" borderId="8" xfId="0" applyFont="1" applyFill="1" applyBorder="1" applyAlignment="1">
      <alignment horizontal="center" vertical="center"/>
    </xf>
    <xf numFmtId="0" fontId="1" fillId="0" borderId="8" xfId="0" applyFont="1" applyBorder="1" applyAlignment="1" applyProtection="1">
      <alignment horizontal="left"/>
      <protection locked="0"/>
    </xf>
    <xf numFmtId="0" fontId="1" fillId="0" borderId="8" xfId="0" applyFont="1" applyBorder="1" applyAlignment="1" applyProtection="1">
      <protection locked="0"/>
    </xf>
    <xf numFmtId="0" fontId="11" fillId="0" borderId="8" xfId="0" applyFont="1" applyBorder="1" applyAlignment="1" applyProtection="1">
      <protection locked="0"/>
    </xf>
    <xf numFmtId="0" fontId="11" fillId="0" borderId="0" xfId="0" applyFont="1" applyFill="1" applyAlignment="1">
      <alignment horizontal="center" vertical="center"/>
    </xf>
    <xf numFmtId="0" fontId="7" fillId="7" borderId="8" xfId="0" applyFont="1" applyFill="1" applyBorder="1" applyAlignment="1">
      <alignment horizontal="center" vertical="center"/>
    </xf>
    <xf numFmtId="0" fontId="1" fillId="8" borderId="7" xfId="0" applyFont="1" applyFill="1" applyBorder="1" applyAlignment="1" applyProtection="1">
      <alignment horizontal="center" vertical="center" wrapText="1"/>
      <protection locked="0"/>
    </xf>
    <xf numFmtId="0" fontId="1" fillId="8" borderId="7" xfId="0" applyFont="1" applyFill="1" applyBorder="1" applyAlignment="1" applyProtection="1">
      <alignment wrapText="1"/>
      <protection locked="0"/>
    </xf>
    <xf numFmtId="0" fontId="1" fillId="0" borderId="22" xfId="0" applyFont="1" applyBorder="1" applyAlignment="1" applyProtection="1">
      <alignment horizontal="center" vertical="center" wrapText="1"/>
      <protection locked="0"/>
    </xf>
    <xf numFmtId="0" fontId="7" fillId="0" borderId="6" xfId="0" applyFont="1" applyBorder="1" applyAlignment="1">
      <alignment horizontal="center" vertical="center" wrapText="1"/>
    </xf>
    <xf numFmtId="0" fontId="1" fillId="0" borderId="7" xfId="0" applyFont="1" applyBorder="1" applyAlignment="1">
      <alignment vertical="center" wrapText="1"/>
    </xf>
    <xf numFmtId="0" fontId="7" fillId="0" borderId="7" xfId="0" applyFont="1" applyBorder="1" applyAlignment="1">
      <alignment horizontal="center" vertical="center" wrapText="1"/>
    </xf>
    <xf numFmtId="0" fontId="7" fillId="0" borderId="39" xfId="0" applyFont="1" applyBorder="1" applyAlignment="1">
      <alignment horizontal="center" vertical="center" wrapText="1"/>
    </xf>
    <xf numFmtId="0" fontId="21" fillId="0" borderId="4" xfId="0" applyFont="1" applyBorder="1" applyAlignment="1">
      <alignment vertical="center" wrapText="1"/>
    </xf>
    <xf numFmtId="0" fontId="9" fillId="0" borderId="41" xfId="0" applyFont="1" applyBorder="1" applyAlignment="1">
      <alignment vertical="center" wrapText="1"/>
    </xf>
    <xf numFmtId="0" fontId="9" fillId="0" borderId="21" xfId="0" applyFont="1" applyBorder="1" applyAlignment="1">
      <alignment horizontal="center" vertical="center" wrapText="1"/>
    </xf>
    <xf numFmtId="0" fontId="9" fillId="0" borderId="21" xfId="0" applyFont="1" applyBorder="1" applyAlignment="1">
      <alignment horizontal="left" vertical="top" wrapText="1"/>
    </xf>
    <xf numFmtId="0" fontId="25" fillId="0" borderId="21" xfId="0" applyFont="1" applyBorder="1" applyAlignment="1">
      <alignment horizontal="left" vertical="top" wrapText="1"/>
    </xf>
    <xf numFmtId="0" fontId="1" fillId="8" borderId="7" xfId="0" applyFont="1" applyFill="1" applyBorder="1" applyAlignment="1" applyProtection="1">
      <alignment vertical="center" wrapText="1"/>
      <protection locked="0"/>
    </xf>
    <xf numFmtId="0" fontId="1" fillId="0" borderId="21" xfId="0" applyFont="1" applyBorder="1" applyAlignment="1">
      <alignment horizontal="left" vertical="top" wrapText="1"/>
    </xf>
    <xf numFmtId="0" fontId="1" fillId="0" borderId="21" xfId="0" applyFont="1" applyBorder="1" applyAlignment="1">
      <alignment horizontal="center" vertical="center" wrapText="1"/>
    </xf>
    <xf numFmtId="0" fontId="1" fillId="0" borderId="6" xfId="0" applyFont="1" applyBorder="1" applyAlignment="1">
      <alignment horizontal="left" vertical="top" wrapText="1"/>
    </xf>
    <xf numFmtId="0" fontId="1" fillId="0" borderId="7" xfId="0" applyFont="1" applyBorder="1" applyAlignment="1">
      <alignment horizontal="left" vertical="top" wrapText="1"/>
    </xf>
    <xf numFmtId="0" fontId="7" fillId="0" borderId="7" xfId="0" applyFont="1" applyBorder="1" applyAlignment="1">
      <alignment horizontal="center" vertical="top" wrapText="1"/>
    </xf>
    <xf numFmtId="0" fontId="1" fillId="0" borderId="7" xfId="0" applyFont="1" applyBorder="1" applyAlignment="1">
      <alignment horizontal="center" vertical="top" wrapText="1"/>
    </xf>
    <xf numFmtId="0" fontId="9" fillId="8" borderId="7" xfId="0" applyFont="1" applyFill="1" applyBorder="1" applyAlignment="1" applyProtection="1">
      <alignment horizontal="center" vertical="top" wrapText="1"/>
      <protection locked="0"/>
    </xf>
    <xf numFmtId="0" fontId="1" fillId="8" borderId="7" xfId="0" applyFont="1" applyFill="1" applyBorder="1" applyAlignment="1" applyProtection="1">
      <alignment horizontal="left" vertical="top" wrapText="1"/>
      <protection locked="0"/>
    </xf>
    <xf numFmtId="0" fontId="7" fillId="0" borderId="40" xfId="0" applyFont="1" applyBorder="1" applyAlignment="1">
      <alignment horizontal="center" vertical="top" wrapText="1"/>
    </xf>
    <xf numFmtId="0" fontId="1" fillId="0" borderId="21" xfId="0" applyFont="1" applyBorder="1" applyAlignment="1">
      <alignment horizontal="center" vertical="top" wrapText="1"/>
    </xf>
    <xf numFmtId="0" fontId="9" fillId="8" borderId="21" xfId="0" applyFont="1" applyFill="1" applyBorder="1" applyAlignment="1" applyProtection="1">
      <alignment horizontal="center" vertical="top" wrapText="1"/>
      <protection locked="0"/>
    </xf>
    <xf numFmtId="0" fontId="1" fillId="8" borderId="21" xfId="0" applyFont="1" applyFill="1" applyBorder="1" applyAlignment="1" applyProtection="1">
      <alignment horizontal="center" vertical="top" wrapText="1"/>
      <protection locked="0"/>
    </xf>
    <xf numFmtId="0" fontId="1" fillId="0" borderId="6" xfId="0" applyFont="1" applyBorder="1" applyAlignment="1">
      <alignment vertical="center" wrapText="1"/>
    </xf>
    <xf numFmtId="0" fontId="1" fillId="0" borderId="7" xfId="0" applyFont="1" applyBorder="1" applyAlignment="1">
      <alignment horizontal="center" vertical="center" wrapText="1"/>
    </xf>
    <xf numFmtId="0" fontId="11" fillId="0" borderId="0" xfId="0" applyFont="1" applyAlignment="1">
      <alignment vertical="center" wrapText="1"/>
    </xf>
    <xf numFmtId="0" fontId="7" fillId="0" borderId="0" xfId="0" applyFont="1" applyAlignment="1">
      <alignment horizontal="center" vertical="center" wrapText="1"/>
    </xf>
    <xf numFmtId="0" fontId="7" fillId="0" borderId="21" xfId="0" applyFont="1" applyBorder="1" applyAlignment="1">
      <alignment vertical="center" wrapText="1"/>
    </xf>
    <xf numFmtId="0" fontId="1" fillId="0" borderId="5" xfId="0" applyFont="1" applyBorder="1" applyAlignment="1">
      <alignment vertical="center" wrapText="1"/>
    </xf>
    <xf numFmtId="0" fontId="7" fillId="0" borderId="37" xfId="0" applyFont="1" applyBorder="1" applyAlignment="1">
      <alignment horizontal="center" vertical="center" wrapText="1"/>
    </xf>
    <xf numFmtId="0" fontId="1" fillId="0" borderId="0" xfId="0" applyFont="1" applyAlignment="1">
      <alignment vertical="center"/>
    </xf>
    <xf numFmtId="0" fontId="7" fillId="0" borderId="7" xfId="0" applyFont="1" applyBorder="1" applyAlignment="1">
      <alignment vertical="center" wrapText="1"/>
    </xf>
    <xf numFmtId="0" fontId="24" fillId="0" borderId="7" xfId="0" applyFont="1" applyBorder="1" applyAlignment="1">
      <alignment vertical="center" wrapText="1"/>
    </xf>
    <xf numFmtId="0" fontId="1" fillId="0" borderId="0" xfId="0" applyFont="1" applyAlignment="1">
      <alignment horizontal="center" vertical="top"/>
    </xf>
    <xf numFmtId="0" fontId="15" fillId="0" borderId="0" xfId="0" applyFont="1" applyAlignment="1">
      <alignment horizontal="center" vertical="center"/>
    </xf>
    <xf numFmtId="0" fontId="15" fillId="0" borderId="21" xfId="0" applyFont="1" applyBorder="1" applyAlignment="1">
      <alignment horizontal="center" vertical="center"/>
    </xf>
    <xf numFmtId="0" fontId="1" fillId="0" borderId="21" xfId="0" applyFont="1" applyBorder="1" applyAlignment="1"/>
    <xf numFmtId="0" fontId="7" fillId="0" borderId="0" xfId="0" applyFont="1" applyAlignment="1">
      <alignment horizontal="right" vertical="center"/>
    </xf>
    <xf numFmtId="0" fontId="11" fillId="0" borderId="0" xfId="0" applyFont="1" applyAlignment="1">
      <alignment horizontal="left" vertical="center"/>
    </xf>
    <xf numFmtId="0" fontId="20" fillId="0" borderId="0" xfId="0" applyFont="1" applyBorder="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3" borderId="0" xfId="0" applyFont="1" applyFill="1" applyAlignment="1">
      <alignment horizontal="center" vertical="center"/>
    </xf>
    <xf numFmtId="0" fontId="1" fillId="9" borderId="0" xfId="0" applyFont="1" applyFill="1" applyAlignment="1">
      <alignment horizontal="center" vertical="center"/>
    </xf>
    <xf numFmtId="0" fontId="20" fillId="0" borderId="0" xfId="0" applyFont="1" applyAlignment="1"/>
    <xf numFmtId="0" fontId="1" fillId="0" borderId="0" xfId="0" quotePrefix="1" applyFont="1" applyAlignment="1">
      <alignment horizontal="center" vertical="center"/>
    </xf>
    <xf numFmtId="0" fontId="7" fillId="0" borderId="0" xfId="0" applyFont="1" applyFill="1" applyAlignment="1">
      <alignment horizontal="center" vertical="center"/>
    </xf>
    <xf numFmtId="0" fontId="7" fillId="4" borderId="0" xfId="0" applyFont="1" applyFill="1" applyAlignment="1">
      <alignment horizontal="center" vertical="center"/>
    </xf>
    <xf numFmtId="0" fontId="11" fillId="9" borderId="0" xfId="0" applyFont="1" applyFill="1" applyAlignment="1">
      <alignment horizontal="center" vertical="center"/>
    </xf>
    <xf numFmtId="0" fontId="15" fillId="4" borderId="0" xfId="0" applyFont="1" applyFill="1" applyAlignment="1">
      <alignment horizontal="center" vertical="center"/>
    </xf>
    <xf numFmtId="0" fontId="15" fillId="5" borderId="0" xfId="0" applyFont="1" applyFill="1" applyAlignment="1">
      <alignment horizontal="center" vertical="center"/>
    </xf>
    <xf numFmtId="0" fontId="15" fillId="6" borderId="0" xfId="0" applyFont="1" applyFill="1" applyAlignment="1">
      <alignment horizontal="center" vertical="center"/>
    </xf>
    <xf numFmtId="0" fontId="1" fillId="0" borderId="9" xfId="0" applyFont="1" applyBorder="1" applyAlignment="1">
      <alignment horizontal="center" vertical="center"/>
    </xf>
    <xf numFmtId="0" fontId="1" fillId="0" borderId="8" xfId="0" applyFont="1" applyFill="1" applyBorder="1" applyAlignment="1">
      <alignment horizontal="center" vertical="center"/>
    </xf>
    <xf numFmtId="0" fontId="1" fillId="0" borderId="0" xfId="0" applyFont="1" applyAlignment="1" applyProtection="1">
      <protection locked="0"/>
    </xf>
    <xf numFmtId="0" fontId="1" fillId="0" borderId="0" xfId="0" applyFont="1" applyFill="1" applyAlignment="1" applyProtection="1">
      <alignment horizontal="center" vertical="center"/>
      <protection locked="0"/>
    </xf>
    <xf numFmtId="0" fontId="1" fillId="7" borderId="0" xfId="0" applyFont="1" applyFill="1" applyAlignment="1">
      <alignment horizontal="center" vertical="center"/>
    </xf>
    <xf numFmtId="0" fontId="11" fillId="7" borderId="0" xfId="0" applyFont="1" applyFill="1" applyAlignment="1">
      <alignment horizontal="center" vertical="center"/>
    </xf>
    <xf numFmtId="0" fontId="1" fillId="0" borderId="0" xfId="0" quotePrefix="1" applyFont="1" applyAlignment="1" applyProtection="1">
      <alignment horizontal="center" vertical="center"/>
      <protection locked="0"/>
    </xf>
    <xf numFmtId="0" fontId="7" fillId="7" borderId="0" xfId="0" applyFont="1" applyFill="1" applyAlignment="1">
      <alignment horizontal="center" vertical="center"/>
    </xf>
    <xf numFmtId="0" fontId="1" fillId="7" borderId="0" xfId="0" applyFont="1" applyFill="1" applyAlignment="1" applyProtection="1">
      <alignment horizontal="center" vertical="center"/>
      <protection locked="0"/>
    </xf>
    <xf numFmtId="0" fontId="1" fillId="7" borderId="0" xfId="0" applyFont="1" applyFill="1" applyAlignment="1" applyProtection="1">
      <protection locked="0"/>
    </xf>
    <xf numFmtId="0" fontId="15" fillId="7" borderId="0" xfId="0" applyFont="1" applyFill="1" applyAlignment="1">
      <alignment horizontal="center" vertical="center"/>
    </xf>
    <xf numFmtId="0" fontId="1" fillId="0" borderId="0" xfId="0" applyFont="1" applyAlignment="1" applyProtection="1">
      <alignment horizontal="center"/>
      <protection locked="0"/>
    </xf>
    <xf numFmtId="0" fontId="11" fillId="7" borderId="0" xfId="0" applyFont="1" applyFill="1" applyAlignment="1" applyProtection="1">
      <alignment horizontal="center" vertical="center"/>
      <protection locked="0"/>
    </xf>
    <xf numFmtId="0" fontId="15" fillId="3" borderId="0" xfId="0" applyFont="1" applyFill="1" applyAlignment="1">
      <alignment horizontal="center" vertical="center"/>
    </xf>
    <xf numFmtId="0" fontId="11" fillId="7" borderId="0" xfId="0" applyFont="1" applyFill="1" applyAlignment="1" applyProtection="1">
      <protection locked="0"/>
    </xf>
    <xf numFmtId="0" fontId="11" fillId="0" borderId="0" xfId="0" applyFont="1" applyAlignment="1" applyProtection="1">
      <alignment horizontal="center"/>
      <protection locked="0"/>
    </xf>
    <xf numFmtId="0" fontId="15" fillId="0" borderId="21" xfId="0" applyFont="1" applyBorder="1" applyAlignment="1" applyProtection="1">
      <alignment horizontal="center" vertical="center"/>
      <protection locked="0"/>
    </xf>
    <xf numFmtId="0" fontId="1" fillId="0" borderId="28" xfId="0" applyFont="1" applyBorder="1" applyAlignment="1" applyProtection="1">
      <protection locked="0"/>
    </xf>
    <xf numFmtId="0" fontId="1" fillId="0" borderId="8"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1" fillId="0" borderId="30" xfId="0" applyFont="1" applyBorder="1" applyAlignment="1" applyProtection="1">
      <alignment horizontal="left"/>
      <protection locked="0"/>
    </xf>
    <xf numFmtId="0" fontId="1" fillId="0" borderId="30" xfId="0" applyFont="1" applyBorder="1" applyAlignment="1" applyProtection="1">
      <protection locked="0"/>
    </xf>
    <xf numFmtId="0" fontId="11" fillId="0" borderId="8" xfId="0" applyFont="1" applyBorder="1" applyAlignment="1" applyProtection="1">
      <alignment horizontal="center" vertical="center"/>
      <protection locked="0"/>
    </xf>
    <xf numFmtId="0" fontId="11" fillId="0" borderId="21" xfId="0" applyFont="1" applyBorder="1" applyAlignment="1" applyProtection="1">
      <alignment horizontal="center" vertical="center"/>
      <protection locked="0"/>
    </xf>
    <xf numFmtId="0" fontId="1" fillId="0" borderId="34" xfId="0" applyFont="1" applyBorder="1" applyAlignment="1" applyProtection="1">
      <protection locked="0"/>
    </xf>
    <xf numFmtId="0" fontId="1" fillId="0" borderId="32" xfId="0" applyFont="1" applyBorder="1" applyAlignment="1" applyProtection="1">
      <protection locked="0"/>
    </xf>
    <xf numFmtId="0" fontId="7" fillId="0" borderId="0" xfId="0" applyFont="1" applyAlignment="1" applyProtection="1">
      <alignment horizontal="center"/>
      <protection locked="0"/>
    </xf>
    <xf numFmtId="0" fontId="7" fillId="0" borderId="0" xfId="0" applyFont="1" applyAlignment="1" applyProtection="1">
      <protection locked="0"/>
    </xf>
    <xf numFmtId="0" fontId="15" fillId="0" borderId="0" xfId="0" applyFont="1" applyAlignment="1" applyProtection="1">
      <alignment horizontal="center" vertical="center"/>
      <protection locked="0"/>
    </xf>
    <xf numFmtId="0" fontId="15" fillId="0" borderId="8" xfId="0" applyFont="1" applyBorder="1" applyAlignment="1">
      <alignment horizontal="center"/>
    </xf>
    <xf numFmtId="0" fontId="15" fillId="0" borderId="0" xfId="0" applyFont="1" applyAlignment="1">
      <alignment horizontal="center"/>
    </xf>
    <xf numFmtId="0" fontId="11" fillId="4" borderId="28" xfId="0" applyFont="1" applyFill="1" applyBorder="1" applyAlignment="1" applyProtection="1">
      <alignment horizontal="left"/>
      <protection locked="0"/>
    </xf>
    <xf numFmtId="0" fontId="15" fillId="4" borderId="29" xfId="0" applyFont="1" applyFill="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11" fillId="0" borderId="8" xfId="0" applyFont="1" applyBorder="1" applyAlignment="1"/>
    <xf numFmtId="0" fontId="1" fillId="0" borderId="8" xfId="0" applyFont="1" applyBorder="1" applyAlignment="1"/>
    <xf numFmtId="0" fontId="11" fillId="4" borderId="8" xfId="0" applyFont="1" applyFill="1" applyBorder="1" applyAlignment="1" applyProtection="1">
      <alignment horizontal="left"/>
      <protection locked="0"/>
    </xf>
    <xf numFmtId="0" fontId="15" fillId="4" borderId="8" xfId="0" applyFont="1" applyFill="1" applyBorder="1" applyAlignment="1" applyProtection="1">
      <alignment horizontal="center" vertical="center"/>
      <protection locked="0"/>
    </xf>
    <xf numFmtId="0" fontId="1" fillId="4" borderId="0" xfId="0" applyFont="1" applyFill="1" applyAlignment="1">
      <alignment vertical="top"/>
    </xf>
    <xf numFmtId="0" fontId="1" fillId="4" borderId="8" xfId="0" applyFont="1" applyFill="1" applyBorder="1" applyAlignment="1">
      <alignment vertical="top"/>
    </xf>
    <xf numFmtId="0" fontId="13" fillId="0" borderId="0" xfId="0" applyFont="1" applyAlignment="1" applyProtection="1">
      <alignment horizontal="center"/>
      <protection locked="0"/>
    </xf>
    <xf numFmtId="0" fontId="11" fillId="0" borderId="0" xfId="0" applyFont="1" applyAlignment="1" applyProtection="1">
      <protection locked="0"/>
    </xf>
    <xf numFmtId="0" fontId="7" fillId="0" borderId="0" xfId="0" applyFont="1" applyAlignment="1">
      <alignment horizontal="center" vertical="center" wrapText="1"/>
    </xf>
    <xf numFmtId="0" fontId="1" fillId="0" borderId="45"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21" xfId="0" applyFont="1" applyBorder="1" applyAlignment="1">
      <alignment horizontal="center" vertical="top" wrapText="1"/>
    </xf>
    <xf numFmtId="0" fontId="1" fillId="0" borderId="21" xfId="0" applyFont="1" applyBorder="1" applyAlignment="1">
      <alignment horizontal="left" vertical="top" wrapText="1"/>
    </xf>
    <xf numFmtId="0" fontId="7" fillId="0" borderId="21" xfId="0" applyFont="1" applyBorder="1" applyAlignment="1">
      <alignment horizontal="center" vertical="top" wrapText="1"/>
    </xf>
    <xf numFmtId="0" fontId="1" fillId="0" borderId="37" xfId="0" applyFont="1" applyBorder="1" applyAlignment="1">
      <alignment horizontal="left" vertical="top" wrapText="1"/>
    </xf>
    <xf numFmtId="0" fontId="1" fillId="0" borderId="6" xfId="0" applyFont="1" applyBorder="1" applyAlignment="1">
      <alignment horizontal="left" vertical="top" wrapText="1"/>
    </xf>
    <xf numFmtId="0" fontId="7" fillId="0" borderId="37" xfId="0" applyFont="1" applyBorder="1" applyAlignment="1">
      <alignment horizontal="center" vertical="top" wrapText="1"/>
    </xf>
    <xf numFmtId="0" fontId="7" fillId="0" borderId="6" xfId="0" applyFont="1" applyBorder="1" applyAlignment="1">
      <alignment horizontal="center" vertical="top" wrapText="1"/>
    </xf>
    <xf numFmtId="0" fontId="1" fillId="0" borderId="37" xfId="0" applyFont="1" applyBorder="1" applyAlignment="1">
      <alignment horizontal="center" vertical="top" wrapText="1"/>
    </xf>
    <xf numFmtId="0" fontId="1" fillId="0" borderId="6" xfId="0" applyFont="1" applyBorder="1" applyAlignment="1">
      <alignment horizontal="center" vertical="top" wrapText="1"/>
    </xf>
    <xf numFmtId="0" fontId="7" fillId="0" borderId="42" xfId="0" applyFont="1" applyBorder="1" applyAlignment="1">
      <alignment horizontal="center" vertical="top" wrapText="1"/>
    </xf>
    <xf numFmtId="0" fontId="7" fillId="0" borderId="44" xfId="0" applyFont="1" applyBorder="1" applyAlignment="1">
      <alignment horizontal="center" vertical="top" wrapText="1"/>
    </xf>
    <xf numFmtId="0" fontId="1" fillId="0" borderId="38" xfId="0" applyFont="1" applyBorder="1" applyAlignment="1">
      <alignment horizontal="left" vertical="top" wrapText="1"/>
    </xf>
    <xf numFmtId="0" fontId="7" fillId="0" borderId="38" xfId="0" applyFont="1" applyBorder="1" applyAlignment="1">
      <alignment horizontal="center" vertical="top" wrapText="1"/>
    </xf>
    <xf numFmtId="0" fontId="1" fillId="0" borderId="38" xfId="0" applyFont="1" applyBorder="1" applyAlignment="1">
      <alignment horizontal="center" vertical="top" wrapText="1"/>
    </xf>
    <xf numFmtId="0" fontId="7" fillId="0" borderId="43" xfId="0" applyFont="1" applyBorder="1" applyAlignment="1">
      <alignment horizontal="center" vertical="top" wrapText="1"/>
    </xf>
    <xf numFmtId="0" fontId="7" fillId="0" borderId="0" xfId="0" applyFont="1" applyAlignment="1">
      <alignment horizontal="left" vertical="top" wrapText="1"/>
    </xf>
    <xf numFmtId="0" fontId="11" fillId="0" borderId="0" xfId="0" applyFont="1" applyAlignment="1" applyProtection="1">
      <alignment horizontal="left" vertical="top" wrapText="1"/>
      <protection locked="0"/>
    </xf>
    <xf numFmtId="0" fontId="7" fillId="0" borderId="36" xfId="0" applyFont="1" applyBorder="1" applyAlignment="1" applyProtection="1">
      <alignment horizontal="center" wrapText="1"/>
      <protection locked="0"/>
    </xf>
    <xf numFmtId="0" fontId="7" fillId="0" borderId="0" xfId="0" applyFont="1" applyAlignment="1" applyProtection="1">
      <alignment horizontal="center" wrapText="1"/>
      <protection locked="0"/>
    </xf>
    <xf numFmtId="0" fontId="19" fillId="0" borderId="0" xfId="0" applyFont="1" applyAlignment="1">
      <alignment horizontal="center" vertical="top" wrapText="1"/>
    </xf>
    <xf numFmtId="0" fontId="19" fillId="0" borderId="25" xfId="0" applyFont="1" applyBorder="1" applyAlignment="1">
      <alignment horizontal="center" vertical="top" wrapText="1"/>
    </xf>
    <xf numFmtId="0" fontId="7" fillId="0" borderId="22" xfId="0" applyFont="1" applyBorder="1" applyAlignment="1" applyProtection="1">
      <alignment horizontal="center" vertical="center" wrapText="1"/>
      <protection locked="0"/>
    </xf>
    <xf numFmtId="0" fontId="7" fillId="0" borderId="23" xfId="0" applyFont="1" applyBorder="1" applyAlignment="1" applyProtection="1">
      <alignment horizontal="center" vertical="center" wrapText="1"/>
      <protection locked="0"/>
    </xf>
    <xf numFmtId="0" fontId="7" fillId="0" borderId="24" xfId="0" applyFont="1" applyBorder="1" applyAlignment="1" applyProtection="1">
      <alignment horizontal="center" vertical="center" wrapText="1"/>
      <protection locked="0"/>
    </xf>
    <xf numFmtId="0" fontId="23" fillId="10" borderId="26" xfId="0" applyFont="1" applyFill="1" applyBorder="1" applyAlignment="1" applyProtection="1">
      <alignment horizontal="center" vertical="center"/>
      <protection locked="0"/>
    </xf>
    <xf numFmtId="0" fontId="23" fillId="10" borderId="27" xfId="0" applyFont="1" applyFill="1" applyBorder="1" applyAlignment="1" applyProtection="1">
      <alignment horizontal="center" vertical="center"/>
      <protection locked="0"/>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0" xfId="0" applyFont="1" applyAlignment="1">
      <alignment horizontal="right" vertical="center" wrapText="1"/>
    </xf>
    <xf numFmtId="0" fontId="7" fillId="0" borderId="0" xfId="0" applyFont="1" applyAlignment="1">
      <alignment horizontal="left" vertical="center"/>
    </xf>
    <xf numFmtId="0" fontId="7" fillId="0" borderId="0" xfId="0" applyFont="1" applyFill="1" applyAlignment="1">
      <alignment horizontal="center"/>
    </xf>
    <xf numFmtId="0" fontId="9" fillId="8" borderId="21" xfId="0" applyFont="1" applyFill="1" applyBorder="1" applyAlignment="1" applyProtection="1">
      <alignment horizontal="center" vertical="top" wrapText="1"/>
    </xf>
    <xf numFmtId="0" fontId="1" fillId="8" borderId="7" xfId="0" applyFont="1" applyFill="1" applyBorder="1" applyAlignment="1" applyProtection="1">
      <alignment horizontal="left" vertical="top" wrapText="1"/>
    </xf>
    <xf numFmtId="0" fontId="9" fillId="8" borderId="7" xfId="0" applyFont="1" applyFill="1" applyBorder="1" applyAlignment="1" applyProtection="1">
      <alignment horizontal="center" vertical="top" wrapText="1"/>
    </xf>
  </cellXfs>
  <cellStyles count="2">
    <cellStyle name="Normal" xfId="0" builtinId="0"/>
    <cellStyle name="Normal 2" xfId="1" xr:uid="{00000000-0005-0000-0000-000001000000}"/>
  </cellStyles>
  <dxfs count="110">
    <dxf>
      <font>
        <b/>
        <i val="0"/>
        <color rgb="FF00B050"/>
      </font>
    </dxf>
    <dxf>
      <font>
        <b/>
        <i val="0"/>
        <color rgb="FFFF0000"/>
      </font>
    </dxf>
    <dxf>
      <font>
        <b/>
        <i val="0"/>
        <color rgb="FF00B050"/>
      </font>
    </dxf>
    <dxf>
      <font>
        <b/>
        <i val="0"/>
        <color rgb="FFFF0000"/>
      </font>
    </dxf>
    <dxf>
      <fill>
        <patternFill patternType="none">
          <bgColor auto="1"/>
        </patternFill>
      </fill>
    </dxf>
    <dxf>
      <fill>
        <patternFill>
          <bgColor rgb="FF9BC2E6"/>
        </patternFill>
      </fill>
    </dxf>
    <dxf>
      <font>
        <b/>
        <i val="0"/>
        <color rgb="FF00B050"/>
      </font>
    </dxf>
    <dxf>
      <font>
        <b/>
        <i val="0"/>
        <color rgb="FFFF0000"/>
      </font>
    </dxf>
    <dxf>
      <font>
        <b/>
        <i val="0"/>
        <color rgb="FFFF0000"/>
      </font>
      <fill>
        <patternFill patternType="none">
          <bgColor auto="1"/>
        </patternFill>
      </fill>
    </dxf>
    <dxf>
      <font>
        <b/>
        <i val="0"/>
        <color rgb="FF00B050"/>
      </font>
      <fill>
        <patternFill>
          <bgColor theme="0"/>
        </patternFill>
      </fill>
    </dxf>
    <dxf>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ont>
        <color rgb="FF00B050"/>
      </font>
    </dxf>
    <dxf>
      <font>
        <color rgb="FFFF0000"/>
      </font>
    </dxf>
    <dxf>
      <font>
        <color rgb="FF00B050"/>
      </font>
    </dxf>
    <dxf>
      <font>
        <color rgb="FFFF0000"/>
      </font>
    </dxf>
    <dxf>
      <fill>
        <patternFill patternType="none">
          <bgColor auto="1"/>
        </patternFill>
      </fill>
    </dxf>
    <dxf>
      <fill>
        <patternFill>
          <bgColor rgb="FF9BC2E6"/>
        </patternFill>
      </fill>
    </dxf>
    <dxf>
      <fill>
        <patternFill>
          <bgColor rgb="FF9BC2E6"/>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font>
      <fill>
        <patternFill>
          <bgColor rgb="FFFFFF00"/>
        </patternFill>
      </fill>
    </dxf>
    <dxf>
      <font>
        <b val="0"/>
        <i val="0"/>
      </font>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4" tint="0.39994506668294322"/>
        </patternFill>
      </fill>
    </dxf>
    <dxf>
      <font>
        <b val="0"/>
        <i val="0"/>
      </font>
      <fill>
        <patternFill patternType="none">
          <bgColor auto="1"/>
        </patternFill>
      </fill>
    </dxf>
    <dxf>
      <font>
        <b val="0"/>
        <i val="0"/>
      </font>
      <fill>
        <patternFill patternType="none">
          <bgColor auto="1"/>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ill>
        <patternFill>
          <bgColor theme="4" tint="0.39994506668294322"/>
        </patternFill>
      </fill>
    </dxf>
    <dxf>
      <font>
        <b val="0"/>
        <i val="0"/>
      </font>
      <fill>
        <patternFill patternType="none">
          <bgColor auto="1"/>
        </patternFill>
      </fill>
    </dxf>
    <dxf>
      <fill>
        <patternFill>
          <bgColor rgb="FF9BC2E6"/>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ont>
        <b/>
        <i val="0"/>
        <color rgb="FF00B050"/>
      </font>
      <fill>
        <patternFill>
          <bgColor theme="0" tint="-4.9989318521683403E-2"/>
        </patternFill>
      </fill>
    </dxf>
    <dxf>
      <font>
        <b/>
        <i val="0"/>
        <color rgb="FFFF0000"/>
      </font>
      <fill>
        <patternFill>
          <bgColor theme="0" tint="-4.9989318521683403E-2"/>
        </patternFill>
      </fill>
    </dxf>
    <dxf>
      <fill>
        <patternFill patternType="none">
          <bgColor auto="1"/>
        </patternFill>
      </fill>
    </dxf>
    <dxf>
      <fill>
        <patternFill>
          <bgColor rgb="FF9BC2E6"/>
        </patternFill>
      </fill>
    </dxf>
    <dxf>
      <font>
        <b val="0"/>
        <i val="0"/>
      </font>
      <fill>
        <patternFill patternType="none">
          <bgColor auto="1"/>
        </patternFill>
      </fill>
    </dxf>
    <dxf>
      <fill>
        <patternFill>
          <bgColor rgb="FF9BC2E6"/>
        </patternFill>
      </fill>
    </dxf>
    <dxf>
      <font>
        <b val="0"/>
        <i val="0"/>
      </font>
      <fill>
        <patternFill patternType="none">
          <bgColor auto="1"/>
        </patternFill>
      </fill>
    </dxf>
    <dxf>
      <font>
        <b/>
        <i val="0"/>
        <color rgb="FF00B050"/>
      </font>
    </dxf>
    <dxf>
      <font>
        <b/>
        <i val="0"/>
        <color rgb="FFFF0000"/>
      </font>
    </dxf>
    <dxf>
      <font>
        <b val="0"/>
        <i val="0"/>
      </font>
      <fill>
        <patternFill patternType="none">
          <bgColor auto="1"/>
        </patternFill>
      </fill>
    </dxf>
    <dxf>
      <font>
        <b/>
        <i val="0"/>
        <color rgb="FF00B050"/>
      </font>
    </dxf>
    <dxf>
      <font>
        <b/>
        <i val="0"/>
        <color rgb="FFFF0000"/>
      </font>
    </dxf>
    <dxf>
      <font>
        <b val="0"/>
        <i val="0"/>
      </font>
      <fill>
        <patternFill patternType="none">
          <bgColor auto="1"/>
        </patternFill>
      </fill>
    </dxf>
    <dxf>
      <font>
        <b val="0"/>
        <i val="0"/>
      </font>
      <fill>
        <patternFill patternType="none">
          <bgColor auto="1"/>
        </patternFill>
      </fill>
    </dxf>
    <dxf>
      <font>
        <b val="0"/>
        <i val="0"/>
      </font>
      <fill>
        <patternFill patternType="none">
          <bgColor auto="1"/>
        </patternFill>
      </fill>
    </dxf>
    <dxf>
      <fill>
        <patternFill>
          <bgColor theme="4" tint="0.39994506668294322"/>
        </patternFill>
      </fill>
    </dxf>
    <dxf>
      <font>
        <b/>
        <i val="0"/>
        <color rgb="FF00B050"/>
      </font>
      <fill>
        <patternFill patternType="none">
          <bgColor auto="1"/>
        </patternFill>
      </fill>
    </dxf>
    <dxf>
      <font>
        <b/>
        <i val="0"/>
        <color rgb="FFFF0000"/>
      </font>
    </dxf>
    <dxf>
      <fill>
        <patternFill>
          <bgColor theme="4" tint="0.39994506668294322"/>
        </patternFill>
      </fill>
    </dxf>
    <dxf>
      <fill>
        <patternFill>
          <bgColor rgb="FF9BC2E6"/>
        </patternFill>
      </fill>
    </dxf>
    <dxf>
      <font>
        <b/>
        <i val="0"/>
      </font>
      <fill>
        <patternFill patternType="none">
          <bgColor auto="1"/>
        </patternFill>
      </fill>
    </dxf>
    <dxf>
      <fill>
        <patternFill>
          <bgColor rgb="FF9BC2E6"/>
        </patternFill>
      </fill>
    </dxf>
    <dxf>
      <font>
        <b/>
        <i val="0"/>
        <color rgb="FF00B050"/>
      </font>
      <fill>
        <patternFill patternType="none">
          <bgColor auto="1"/>
        </patternFill>
      </fill>
    </dxf>
    <dxf>
      <font>
        <b/>
        <i val="0"/>
        <color rgb="FFFF0000"/>
      </font>
    </dxf>
    <dxf>
      <fill>
        <patternFill patternType="none">
          <bgColor auto="1"/>
        </patternFill>
      </fill>
    </dxf>
    <dxf>
      <fill>
        <patternFill>
          <bgColor rgb="FF9BC2E6"/>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val="0"/>
        <i val="0"/>
      </font>
      <fill>
        <patternFill patternType="none">
          <bgColor auto="1"/>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ont>
        <b/>
        <i val="0"/>
        <color rgb="FF00B050"/>
      </font>
      <fill>
        <patternFill>
          <bgColor theme="0"/>
        </patternFill>
      </fill>
    </dxf>
    <dxf>
      <font>
        <b/>
        <i val="0"/>
        <color rgb="FFFF0000"/>
      </font>
      <fill>
        <patternFill>
          <bgColor theme="0"/>
        </patternFill>
      </fill>
    </dxf>
    <dxf>
      <font>
        <b/>
        <i val="0"/>
        <color auto="1"/>
      </font>
      <fill>
        <patternFill>
          <bgColor theme="0"/>
        </patternFill>
      </fill>
    </dxf>
    <dxf>
      <fill>
        <patternFill patternType="none">
          <bgColor auto="1"/>
        </patternFill>
      </fill>
    </dxf>
    <dxf>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00B050"/>
      </font>
      <fill>
        <patternFill patternType="none">
          <bgColor auto="1"/>
        </patternFill>
      </fill>
    </dxf>
    <dxf>
      <font>
        <b/>
        <i val="0"/>
        <color rgb="FFFF0000"/>
      </font>
      <fill>
        <patternFill patternType="none">
          <bgColor auto="1"/>
        </patternFill>
      </fill>
    </dxf>
    <dxf>
      <font>
        <b/>
        <i val="0"/>
        <color rgb="FFFF0000"/>
      </font>
    </dxf>
    <dxf>
      <font>
        <b/>
        <i val="0"/>
        <color rgb="FF00B050"/>
      </font>
    </dxf>
    <dxf>
      <font>
        <b/>
        <i val="0"/>
      </font>
    </dxf>
    <dxf>
      <font>
        <b/>
        <i val="0"/>
        <color rgb="FF00B050"/>
      </font>
    </dxf>
    <dxf>
      <font>
        <b/>
        <i val="0"/>
        <color rgb="FFFF0000"/>
      </font>
    </dxf>
    <dxf>
      <font>
        <b/>
        <i val="0"/>
        <color rgb="FFFF0000"/>
      </font>
    </dxf>
    <dxf>
      <font>
        <b/>
        <i val="0"/>
        <color rgb="FF00B050"/>
      </font>
    </dxf>
    <dxf>
      <font>
        <b/>
        <i val="0"/>
        <color rgb="FF00B050"/>
      </font>
    </dxf>
    <dxf>
      <font>
        <b/>
        <i val="0"/>
        <color rgb="FF00B050"/>
      </font>
    </dxf>
  </dxfs>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sheetPr>
  <dimension ref="A4:A14"/>
  <sheetViews>
    <sheetView workbookViewId="0"/>
  </sheetViews>
  <sheetFormatPr defaultRowHeight="15" x14ac:dyDescent="0.25"/>
  <cols>
    <col min="1" max="1" width="82.7109375" customWidth="1"/>
  </cols>
  <sheetData>
    <row r="4" spans="1:1" ht="15.75" x14ac:dyDescent="0.25">
      <c r="A4" s="1"/>
    </row>
    <row r="5" spans="1:1" ht="16.5" thickBot="1" x14ac:dyDescent="0.3">
      <c r="A5" s="1"/>
    </row>
    <row r="6" spans="1:1" ht="15.75" x14ac:dyDescent="0.25">
      <c r="A6" s="6" t="s">
        <v>0</v>
      </c>
    </row>
    <row r="7" spans="1:1" ht="15.75" x14ac:dyDescent="0.25">
      <c r="A7" s="2"/>
    </row>
    <row r="8" spans="1:1" ht="126.75" thickBot="1" x14ac:dyDescent="0.3">
      <c r="A8" s="3" t="s">
        <v>1</v>
      </c>
    </row>
    <row r="9" spans="1:1" ht="15.75" x14ac:dyDescent="0.25">
      <c r="A9" s="1"/>
    </row>
    <row r="10" spans="1:1" ht="15.75" x14ac:dyDescent="0.25">
      <c r="A10" s="4" t="s">
        <v>2</v>
      </c>
    </row>
    <row r="11" spans="1:1" ht="15.75" x14ac:dyDescent="0.25">
      <c r="A11" s="1"/>
    </row>
    <row r="12" spans="1:1" ht="15.75" x14ac:dyDescent="0.25">
      <c r="A12" s="1" t="s">
        <v>3</v>
      </c>
    </row>
    <row r="13" spans="1:1" ht="15.75" x14ac:dyDescent="0.25">
      <c r="A13" s="1"/>
    </row>
    <row r="14" spans="1:1" ht="31.5" x14ac:dyDescent="0.25">
      <c r="A14" s="1" t="s">
        <v>4</v>
      </c>
    </row>
  </sheetData>
  <sheetProtection algorithmName="SHA-512" hashValue="g/MFLlF504OA0qxzA07ROXNsISz8o9T01ecWqW4xl8HnYd72di14pQCH6MgYvNwNlFZjw7BnmDa2ZWWVj5MP+Q==" saltValue="+bjUypAmvpc6+I7bAX5xMQ==" spinCount="100000" sheet="1" objects="1" scenarios="1"/>
  <pageMargins left="0.45" right="0.45" top="0.75" bottom="0.75" header="0.3" footer="0.3"/>
  <pageSetup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A14"/>
  <sheetViews>
    <sheetView tabSelected="1" view="pageLayout" zoomScale="85" zoomScaleNormal="100" zoomScalePageLayoutView="85" workbookViewId="0"/>
  </sheetViews>
  <sheetFormatPr defaultColWidth="9.140625" defaultRowHeight="15" x14ac:dyDescent="0.25"/>
  <cols>
    <col min="1" max="1" width="104" customWidth="1"/>
  </cols>
  <sheetData>
    <row r="1" spans="1:1" ht="15.75" x14ac:dyDescent="0.25">
      <c r="A1" s="1"/>
    </row>
    <row r="2" spans="1:1" ht="15.75" x14ac:dyDescent="0.25">
      <c r="A2" s="1"/>
    </row>
    <row r="3" spans="1:1" ht="46.15" customHeight="1" x14ac:dyDescent="0.25">
      <c r="A3" s="9" t="s">
        <v>1864</v>
      </c>
    </row>
    <row r="4" spans="1:1" ht="13.9" customHeight="1" x14ac:dyDescent="0.25">
      <c r="A4" s="9" t="s">
        <v>5</v>
      </c>
    </row>
    <row r="5" spans="1:1" ht="81" customHeight="1" x14ac:dyDescent="0.25">
      <c r="A5" s="9" t="s">
        <v>6</v>
      </c>
    </row>
    <row r="6" spans="1:1" ht="81" customHeight="1" x14ac:dyDescent="0.25">
      <c r="A6" s="7" t="s">
        <v>7</v>
      </c>
    </row>
    <row r="7" spans="1:1" ht="15.75" x14ac:dyDescent="0.25">
      <c r="A7" s="10" t="s">
        <v>8</v>
      </c>
    </row>
    <row r="8" spans="1:1" ht="15.75" x14ac:dyDescent="0.25">
      <c r="A8" s="10" t="s">
        <v>9</v>
      </c>
    </row>
    <row r="9" spans="1:1" ht="60" customHeight="1" x14ac:dyDescent="0.25">
      <c r="A9" s="11"/>
    </row>
    <row r="10" spans="1:1" ht="58.5" customHeight="1" x14ac:dyDescent="0.25">
      <c r="A10" s="11" t="s">
        <v>1881</v>
      </c>
    </row>
    <row r="11" spans="1:1" ht="34.5" customHeight="1" x14ac:dyDescent="0.25">
      <c r="A11" s="11" t="s">
        <v>1884</v>
      </c>
    </row>
    <row r="12" spans="1:1" ht="15.75" x14ac:dyDescent="0.25">
      <c r="A12" s="8"/>
    </row>
    <row r="13" spans="1:1" ht="15.75" x14ac:dyDescent="0.25">
      <c r="A13" s="8"/>
    </row>
    <row r="14" spans="1:1" ht="15.75" x14ac:dyDescent="0.25">
      <c r="A14" s="8"/>
    </row>
  </sheetData>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sheetPr>
  <dimension ref="A1:A14"/>
  <sheetViews>
    <sheetView view="pageLayout" zoomScaleNormal="100" workbookViewId="0"/>
  </sheetViews>
  <sheetFormatPr defaultColWidth="8.85546875" defaultRowHeight="12.75" x14ac:dyDescent="0.2"/>
  <cols>
    <col min="1" max="1" width="90.85546875" style="12" customWidth="1"/>
    <col min="2" max="16384" width="8.85546875" style="12"/>
  </cols>
  <sheetData>
    <row r="1" spans="1:1" x14ac:dyDescent="0.2">
      <c r="A1" s="14" t="s">
        <v>16</v>
      </c>
    </row>
    <row r="2" spans="1:1" ht="25.5" x14ac:dyDescent="0.2">
      <c r="A2" s="5" t="s">
        <v>10</v>
      </c>
    </row>
    <row r="3" spans="1:1" ht="25.5" x14ac:dyDescent="0.2">
      <c r="A3" s="5" t="s">
        <v>1865</v>
      </c>
    </row>
    <row r="4" spans="1:1" ht="25.5" x14ac:dyDescent="0.2">
      <c r="A4" s="187" t="s">
        <v>1885</v>
      </c>
    </row>
    <row r="14" spans="1:1" x14ac:dyDescent="0.2">
      <c r="A14" s="49"/>
    </row>
  </sheetData>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sheetPr>
  <dimension ref="A1:C15"/>
  <sheetViews>
    <sheetView view="pageLayout" zoomScaleNormal="100" workbookViewId="0"/>
  </sheetViews>
  <sheetFormatPr defaultColWidth="8.85546875" defaultRowHeight="12.75" x14ac:dyDescent="0.2"/>
  <cols>
    <col min="1" max="1" width="9.5703125" style="12" bestFit="1" customWidth="1"/>
    <col min="2" max="2" width="17.7109375" style="12" bestFit="1" customWidth="1"/>
    <col min="3" max="3" width="57.140625" style="12" customWidth="1"/>
    <col min="4" max="16384" width="8.85546875" style="12"/>
  </cols>
  <sheetData>
    <row r="1" spans="1:3" x14ac:dyDescent="0.2">
      <c r="A1" s="13"/>
      <c r="B1" s="13"/>
      <c r="C1" s="13"/>
    </row>
    <row r="2" spans="1:3" x14ac:dyDescent="0.2">
      <c r="A2" s="257" t="s">
        <v>11</v>
      </c>
      <c r="B2" s="257"/>
      <c r="C2" s="257"/>
    </row>
    <row r="3" spans="1:3" ht="13.5" thickBot="1" x14ac:dyDescent="0.25">
      <c r="A3" s="15"/>
      <c r="B3" s="15"/>
      <c r="C3" s="15"/>
    </row>
    <row r="4" spans="1:3" ht="13.5" thickBot="1" x14ac:dyDescent="0.25">
      <c r="A4" s="19" t="s">
        <v>17</v>
      </c>
      <c r="B4" s="20" t="s">
        <v>12</v>
      </c>
      <c r="C4" s="21" t="s">
        <v>13</v>
      </c>
    </row>
    <row r="5" spans="1:3" ht="13.5" thickBot="1" x14ac:dyDescent="0.25">
      <c r="A5" s="16" t="s">
        <v>14</v>
      </c>
      <c r="B5" s="24" t="s">
        <v>18</v>
      </c>
      <c r="C5" s="17" t="s">
        <v>15</v>
      </c>
    </row>
    <row r="6" spans="1:3" ht="13.5" thickBot="1" x14ac:dyDescent="0.25">
      <c r="A6" s="16"/>
      <c r="B6" s="25"/>
      <c r="C6" s="18"/>
    </row>
    <row r="7" spans="1:3" ht="13.5" thickBot="1" x14ac:dyDescent="0.25">
      <c r="A7" s="16"/>
      <c r="B7" s="26"/>
      <c r="C7" s="18"/>
    </row>
    <row r="8" spans="1:3" ht="13.5" thickBot="1" x14ac:dyDescent="0.25">
      <c r="A8" s="16"/>
      <c r="B8" s="26"/>
      <c r="C8" s="18"/>
    </row>
    <row r="9" spans="1:3" ht="13.5" thickBot="1" x14ac:dyDescent="0.25">
      <c r="A9" s="16"/>
      <c r="B9" s="26"/>
      <c r="C9" s="18"/>
    </row>
    <row r="10" spans="1:3" ht="13.5" thickBot="1" x14ac:dyDescent="0.25">
      <c r="A10" s="16"/>
      <c r="B10" s="26"/>
      <c r="C10" s="18"/>
    </row>
    <row r="11" spans="1:3" ht="13.5" thickBot="1" x14ac:dyDescent="0.25">
      <c r="A11" s="16"/>
      <c r="B11" s="26"/>
      <c r="C11" s="18"/>
    </row>
    <row r="12" spans="1:3" ht="13.5" thickBot="1" x14ac:dyDescent="0.25">
      <c r="A12" s="16"/>
      <c r="B12" s="26"/>
      <c r="C12" s="18"/>
    </row>
    <row r="13" spans="1:3" ht="13.5" thickBot="1" x14ac:dyDescent="0.25">
      <c r="A13" s="16"/>
      <c r="B13" s="26"/>
      <c r="C13" s="18"/>
    </row>
    <row r="14" spans="1:3" ht="13.5" thickBot="1" x14ac:dyDescent="0.25">
      <c r="A14" s="16"/>
      <c r="B14" s="26"/>
      <c r="C14" s="18"/>
    </row>
    <row r="15" spans="1:3" ht="13.5" thickBot="1" x14ac:dyDescent="0.25">
      <c r="A15" s="16"/>
      <c r="B15" s="26"/>
      <c r="C15" s="18"/>
    </row>
  </sheetData>
  <mergeCells count="1">
    <mergeCell ref="A2:C2"/>
  </mergeCells>
  <pageMargins left="0.45" right="0.45" top="0.75" bottom="0.75" header="0.3" footer="0.3"/>
  <pageSetup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C000"/>
  </sheetPr>
  <dimension ref="A1:C18"/>
  <sheetViews>
    <sheetView workbookViewId="0">
      <selection sqref="A1:C1"/>
    </sheetView>
  </sheetViews>
  <sheetFormatPr defaultColWidth="9.140625" defaultRowHeight="15" x14ac:dyDescent="0.25"/>
  <cols>
    <col min="1" max="1" width="30.7109375" style="29" customWidth="1"/>
    <col min="2" max="2" width="47" style="29" customWidth="1"/>
    <col min="3" max="3" width="24" style="29" customWidth="1"/>
    <col min="4" max="4" width="36.85546875" style="29" customWidth="1"/>
    <col min="5" max="5" width="16.85546875" style="29" customWidth="1"/>
    <col min="6" max="16384" width="9.140625" style="29"/>
  </cols>
  <sheetData>
    <row r="1" spans="1:3" ht="51" customHeight="1" thickBot="1" x14ac:dyDescent="0.3">
      <c r="A1" s="258" t="str">
        <f>IF((AND(C4:C18))=TRUE,"Meets Isolator RQMTs for a Tier 1, Tier 2, or Tier 3 OMS Mission Package", IF((AND(C4:C14))=TRUE,"Meets Isolator RQMTs for a Tier 1 or Tier 2 OMS Mission Package",IF((AND(C4:C14))=TRUE,"Meets Isolator RQMTs for a Tier 1 OMS Mission Package", "Does Not Meet Isolator RQMTs for an OMS Mission Package")))</f>
        <v>Does Not Meet Isolator RQMTs for an OMS Mission Package</v>
      </c>
      <c r="B1" s="258"/>
      <c r="C1" s="259"/>
    </row>
    <row r="2" spans="1:3" ht="15.75" thickBot="1" x14ac:dyDescent="0.3">
      <c r="A2" s="15"/>
      <c r="B2" s="15"/>
      <c r="C2" s="15"/>
    </row>
    <row r="3" spans="1:3" ht="15.75" thickBot="1" x14ac:dyDescent="0.3">
      <c r="A3" s="19" t="s">
        <v>580</v>
      </c>
      <c r="B3" s="20" t="s">
        <v>1854</v>
      </c>
      <c r="C3" s="20" t="s">
        <v>582</v>
      </c>
    </row>
    <row r="4" spans="1:3" ht="15.75" thickBot="1" x14ac:dyDescent="0.3">
      <c r="A4" s="185" t="s">
        <v>1719</v>
      </c>
      <c r="B4" s="164" t="s">
        <v>1855</v>
      </c>
      <c r="C4" s="186" t="b">
        <f>'Isolator RQMT Checklist'!C2</f>
        <v>0</v>
      </c>
    </row>
    <row r="5" spans="1:3" ht="15.75" thickBot="1" x14ac:dyDescent="0.3">
      <c r="A5" s="185" t="s">
        <v>1754</v>
      </c>
      <c r="B5" s="164" t="s">
        <v>1856</v>
      </c>
      <c r="C5" s="186" t="b">
        <f>'Isolator RQMT Checklist'!C20</f>
        <v>0</v>
      </c>
    </row>
    <row r="6" spans="1:3" ht="15.75" thickBot="1" x14ac:dyDescent="0.3">
      <c r="A6" s="185" t="s">
        <v>1759</v>
      </c>
      <c r="B6" s="164" t="s">
        <v>1857</v>
      </c>
      <c r="C6" s="186" t="b">
        <f>'Isolator RQMT Checklist'!C22</f>
        <v>1</v>
      </c>
    </row>
    <row r="7" spans="1:3" ht="15.75" thickBot="1" x14ac:dyDescent="0.3">
      <c r="A7" s="185" t="s">
        <v>1772</v>
      </c>
      <c r="B7" s="164" t="s">
        <v>1858</v>
      </c>
      <c r="C7" s="186" t="b">
        <f>'Isolator RQMT Checklist'!C30</f>
        <v>1</v>
      </c>
    </row>
    <row r="8" spans="1:3" ht="15.75" thickBot="1" x14ac:dyDescent="0.3">
      <c r="A8" s="185" t="s">
        <v>1785</v>
      </c>
      <c r="B8" s="164" t="s">
        <v>1858</v>
      </c>
      <c r="C8" s="186" t="b">
        <f>'Isolator RQMT Checklist'!C38</f>
        <v>1</v>
      </c>
    </row>
    <row r="9" spans="1:3" ht="15.75" thickBot="1" x14ac:dyDescent="0.3">
      <c r="A9" s="185" t="s">
        <v>1798</v>
      </c>
      <c r="B9" s="164" t="s">
        <v>1858</v>
      </c>
      <c r="C9" s="186" t="b">
        <f>'Isolator RQMT Checklist'!C46</f>
        <v>1</v>
      </c>
    </row>
    <row r="10" spans="1:3" ht="15.75" thickBot="1" x14ac:dyDescent="0.3">
      <c r="A10" s="185" t="s">
        <v>1811</v>
      </c>
      <c r="B10" s="164" t="s">
        <v>1859</v>
      </c>
      <c r="C10" s="186" t="b">
        <f>'Isolator RQMT Checklist'!C54</f>
        <v>1</v>
      </c>
    </row>
    <row r="11" spans="1:3" ht="15.75" thickBot="1" x14ac:dyDescent="0.3">
      <c r="A11" s="185" t="s">
        <v>1821</v>
      </c>
      <c r="B11" s="164" t="s">
        <v>1860</v>
      </c>
      <c r="C11" s="186" t="b">
        <f>'Isolator RQMT Checklist'!C61</f>
        <v>0</v>
      </c>
    </row>
    <row r="12" spans="1:3" ht="15.75" thickBot="1" x14ac:dyDescent="0.3">
      <c r="A12" s="185" t="s">
        <v>1828</v>
      </c>
      <c r="B12" s="164" t="s">
        <v>1861</v>
      </c>
      <c r="C12" s="186" t="b">
        <f>'Isolator RQMT Checklist'!C64</f>
        <v>0</v>
      </c>
    </row>
    <row r="13" spans="1:3" ht="15.75" thickBot="1" x14ac:dyDescent="0.3">
      <c r="A13" s="185" t="s">
        <v>1838</v>
      </c>
      <c r="B13" s="164" t="s">
        <v>1862</v>
      </c>
      <c r="C13" s="186" t="b">
        <f>'Isolator RQMT Checklist'!C68</f>
        <v>0</v>
      </c>
    </row>
    <row r="14" spans="1:3" ht="15.75" thickBot="1" x14ac:dyDescent="0.3">
      <c r="A14" s="185" t="s">
        <v>1842</v>
      </c>
      <c r="B14" s="164" t="s">
        <v>1863</v>
      </c>
      <c r="C14" s="186" t="b">
        <f>'Isolator RQMT Checklist'!C69</f>
        <v>0</v>
      </c>
    </row>
    <row r="15" spans="1:3" ht="15.75" thickBot="1" x14ac:dyDescent="0.3">
      <c r="A15" s="185" t="s">
        <v>1766</v>
      </c>
      <c r="B15" s="164" t="s">
        <v>1857</v>
      </c>
      <c r="C15" s="186" t="b">
        <f>'Isolator RQMT Checklist'!C26</f>
        <v>1</v>
      </c>
    </row>
    <row r="16" spans="1:3" ht="15.75" thickBot="1" x14ac:dyDescent="0.3">
      <c r="A16" s="185" t="s">
        <v>1779</v>
      </c>
      <c r="B16" s="164" t="s">
        <v>1858</v>
      </c>
      <c r="C16" s="186" t="b">
        <f>'Isolator RQMT Checklist'!C34</f>
        <v>1</v>
      </c>
    </row>
    <row r="17" spans="1:3" ht="15.75" thickBot="1" x14ac:dyDescent="0.3">
      <c r="A17" s="185" t="s">
        <v>1792</v>
      </c>
      <c r="B17" s="164" t="s">
        <v>1858</v>
      </c>
      <c r="C17" s="186" t="b">
        <f>'Isolator RQMT Checklist'!C42</f>
        <v>1</v>
      </c>
    </row>
    <row r="18" spans="1:3" ht="15.75" thickBot="1" x14ac:dyDescent="0.3">
      <c r="A18" s="185" t="s">
        <v>1805</v>
      </c>
      <c r="B18" s="164" t="s">
        <v>1858</v>
      </c>
      <c r="C18" s="186" t="b">
        <f>'Isolator RQMT Checklist'!C50</f>
        <v>1</v>
      </c>
    </row>
  </sheetData>
  <sheetProtection algorithmName="SHA-512" hashValue="mPVfbVTKK+X9QALa3sKORFW/U+4gc1FDIwCT7ZArrUDEuzz18kcDLb1KkGg7DN95wBDoIbGjSIOsGvSzpaHAMw==" saltValue="5sD3pLqq6oAKKlAvQUppGQ==" spinCount="100000" sheet="1" objects="1" scenarios="1"/>
  <mergeCells count="1">
    <mergeCell ref="A1:C1"/>
  </mergeCells>
  <conditionalFormatting sqref="A1:C1">
    <cfRule type="containsText" dxfId="109" priority="3" operator="containsText" text="Meet Isolator RQMTs for a Tier 1 OMS Mission Package">
      <formula>NOT(ISERROR(SEARCH("Meet Isolator RQMTs for a Tier 1 OMS Mission Package",A1)))</formula>
    </cfRule>
    <cfRule type="containsText" dxfId="108" priority="4" operator="containsText" text="Meets Isolator RMQMTs for a Tier 1, Tier 2, or Tier 3 OMS Mission Package">
      <formula>NOT(ISERROR(SEARCH("Meets Isolator RMQMTs for a Tier 1, Tier 2, or Tier 3 OMS Mission Package",A1)))</formula>
    </cfRule>
    <cfRule type="containsText" dxfId="107" priority="5" operator="containsText" text="Meets Isolator RQMTs for a Tier 1, Tier 2 OMS Mission Package">
      <formula>NOT(ISERROR(SEARCH("Meets Isolator RQMTs for a Tier 1, Tier 2 OMS Mission Package",A1)))</formula>
    </cfRule>
    <cfRule type="containsText" dxfId="106" priority="6" operator="containsText" text="Does Not Meet Isolator RQMTs for an OMS Mission Package">
      <formula>NOT(ISERROR(SEARCH("Does Not Meet Isolator RQMTs for an OMS Mission Package",A1)))</formula>
    </cfRule>
  </conditionalFormatting>
  <conditionalFormatting sqref="C4:C18">
    <cfRule type="containsText" dxfId="105" priority="1" operator="containsText" text="FALSE">
      <formula>NOT(ISERROR(SEARCH("FALSE",C4)))</formula>
    </cfRule>
    <cfRule type="containsText" dxfId="104" priority="2" operator="containsText" text="TRUE">
      <formula>NOT(ISERROR(SEARCH("TRUE",C4)))</formula>
    </cfRule>
  </conditionalFormatting>
  <pageMargins left="0.45" right="0.45" top="0.75" bottom="0.75" header="0.3" footer="0.3"/>
  <pageSetup fitToWidth="0"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1A30-80A5-4706-9135-FFEDDE72D46F}">
  <sheetPr codeName="Sheet7">
    <tabColor theme="4"/>
  </sheetPr>
  <dimension ref="A1:Q70"/>
  <sheetViews>
    <sheetView zoomScale="85" zoomScaleNormal="85" workbookViewId="0">
      <pane ySplit="1" topLeftCell="A2" activePane="bottomLeft" state="frozen"/>
      <selection pane="bottomLeft" activeCell="A2" sqref="A2:A19"/>
    </sheetView>
  </sheetViews>
  <sheetFormatPr defaultColWidth="9.140625" defaultRowHeight="79.900000000000006" customHeight="1" x14ac:dyDescent="0.25"/>
  <cols>
    <col min="1" max="1" width="14.7109375" style="22" bestFit="1" customWidth="1"/>
    <col min="2" max="2" width="20.7109375" style="22" customWidth="1"/>
    <col min="3" max="3" width="17.140625" style="23" bestFit="1" customWidth="1"/>
    <col min="4" max="4" width="20.7109375" style="22" customWidth="1"/>
    <col min="5" max="5" width="15.5703125" style="22" bestFit="1" customWidth="1"/>
    <col min="6" max="6" width="13.42578125" style="23" bestFit="1" customWidth="1"/>
    <col min="7" max="7" width="13.140625" style="23" bestFit="1" customWidth="1"/>
    <col min="8" max="8" width="18.140625" style="23" bestFit="1" customWidth="1"/>
    <col min="9" max="9" width="25.42578125" style="22" customWidth="1"/>
    <col min="10" max="10" width="13.28515625" style="31" bestFit="1" customWidth="1"/>
    <col min="11" max="11" width="30.7109375" style="22" customWidth="1"/>
    <col min="12" max="12" width="13.28515625" style="23" bestFit="1" customWidth="1"/>
    <col min="13" max="13" width="14.140625" style="23" bestFit="1" customWidth="1"/>
    <col min="14" max="14" width="30.7109375" style="22" customWidth="1"/>
    <col min="15" max="15" width="12.7109375" style="22" customWidth="1"/>
    <col min="16" max="16" width="14.28515625" style="23" bestFit="1" customWidth="1"/>
    <col min="17" max="17" width="20.7109375" style="22" customWidth="1"/>
    <col min="18" max="16384" width="9.140625" style="22"/>
  </cols>
  <sheetData>
    <row r="1" spans="1:17" ht="35.25" customHeight="1" thickBot="1" x14ac:dyDescent="0.3">
      <c r="A1" s="19" t="s">
        <v>580</v>
      </c>
      <c r="B1" s="20" t="s">
        <v>581</v>
      </c>
      <c r="C1" s="20" t="s">
        <v>582</v>
      </c>
      <c r="D1" s="20" t="s">
        <v>583</v>
      </c>
      <c r="E1" s="20" t="s">
        <v>584</v>
      </c>
      <c r="F1" s="20" t="s">
        <v>585</v>
      </c>
      <c r="G1" s="20" t="s">
        <v>586</v>
      </c>
      <c r="H1" s="20" t="s">
        <v>587</v>
      </c>
      <c r="I1" s="166" t="s">
        <v>588</v>
      </c>
      <c r="J1" s="166" t="s">
        <v>589</v>
      </c>
      <c r="K1" s="166" t="s">
        <v>590</v>
      </c>
      <c r="L1" s="166" t="s">
        <v>591</v>
      </c>
      <c r="M1" s="166" t="s">
        <v>592</v>
      </c>
      <c r="N1" s="166" t="s">
        <v>593</v>
      </c>
      <c r="O1" s="166" t="s">
        <v>594</v>
      </c>
      <c r="P1" s="20" t="s">
        <v>348</v>
      </c>
      <c r="Q1" s="20" t="s">
        <v>595</v>
      </c>
    </row>
    <row r="2" spans="1:17" ht="196.5" customHeight="1" thickBot="1" x14ac:dyDescent="0.3">
      <c r="A2" s="263" t="s">
        <v>1719</v>
      </c>
      <c r="B2" s="263" t="s">
        <v>1720</v>
      </c>
      <c r="C2" s="265" t="b">
        <f>AND((OR(IF(F2=TRUE,TRUE,FALSE),IF(F2="N/A",TRUE,FALSE))),H2=TRUE)</f>
        <v>0</v>
      </c>
      <c r="D2" s="263"/>
      <c r="E2" s="267"/>
      <c r="F2" s="265" t="s">
        <v>338</v>
      </c>
      <c r="G2" s="267" t="s">
        <v>1847</v>
      </c>
      <c r="H2" s="269" t="b">
        <f>AND(M2,M3,M4,M6,M8,M10,M12,M14,M16,M18)</f>
        <v>0</v>
      </c>
      <c r="I2" s="173" t="s">
        <v>1721</v>
      </c>
      <c r="J2" s="182" t="s">
        <v>596</v>
      </c>
      <c r="K2" s="173" t="s">
        <v>597</v>
      </c>
      <c r="L2" s="182" t="s">
        <v>598</v>
      </c>
      <c r="M2" s="70" t="b">
        <f>AND(OR(IF(P2=TRUE,TRUE,FALSE),(IF(P2="N/A",NOT(ISBLANK(Q2))))))</f>
        <v>0</v>
      </c>
      <c r="N2" s="173" t="s">
        <v>1722</v>
      </c>
      <c r="O2" s="174" t="s">
        <v>1723</v>
      </c>
      <c r="P2" s="292" t="b">
        <f>'Service Contract'!B2</f>
        <v>0</v>
      </c>
      <c r="Q2" s="293" t="s">
        <v>1853</v>
      </c>
    </row>
    <row r="3" spans="1:17" ht="101.25" customHeight="1" thickBot="1" x14ac:dyDescent="0.3">
      <c r="A3" s="271"/>
      <c r="B3" s="271"/>
      <c r="C3" s="272"/>
      <c r="D3" s="271"/>
      <c r="E3" s="273"/>
      <c r="F3" s="272"/>
      <c r="G3" s="273"/>
      <c r="H3" s="274"/>
      <c r="I3" s="173" t="s">
        <v>1724</v>
      </c>
      <c r="J3" s="182" t="s">
        <v>596</v>
      </c>
      <c r="K3" s="173" t="s">
        <v>599</v>
      </c>
      <c r="L3" s="182" t="s">
        <v>600</v>
      </c>
      <c r="M3" s="70" t="b">
        <f>AND(OR(IF(P3=TRUE,TRUE,FALSE),(IF(P3="N/A",NOT(ISBLANK(Q3))))))</f>
        <v>0</v>
      </c>
      <c r="N3" s="173" t="s">
        <v>1725</v>
      </c>
      <c r="O3" s="174" t="s">
        <v>601</v>
      </c>
      <c r="P3" s="183" t="s">
        <v>602</v>
      </c>
      <c r="Q3" s="184"/>
    </row>
    <row r="4" spans="1:17" ht="150" customHeight="1" thickBot="1" x14ac:dyDescent="0.3">
      <c r="A4" s="271"/>
      <c r="B4" s="271"/>
      <c r="C4" s="272"/>
      <c r="D4" s="271"/>
      <c r="E4" s="273"/>
      <c r="F4" s="272"/>
      <c r="G4" s="273"/>
      <c r="H4" s="274"/>
      <c r="I4" s="261" t="s">
        <v>1726</v>
      </c>
      <c r="J4" s="260" t="s">
        <v>596</v>
      </c>
      <c r="K4" s="261" t="s">
        <v>1848</v>
      </c>
      <c r="L4" s="260" t="s">
        <v>603</v>
      </c>
      <c r="M4" s="262" t="b">
        <f>AND(OR(IF(P4=TRUE,TRUE,FALSE),(IF(P4="N/A",NOT(ISBLANK(Q4))))),(OR(IF(P5=TRUE,TRUE,FALSE),(IF(P5="N/A",NOT(ISBLANK(Q5)))))))</f>
        <v>0</v>
      </c>
      <c r="N4" s="173" t="s">
        <v>1727</v>
      </c>
      <c r="O4" s="174" t="s">
        <v>1723</v>
      </c>
      <c r="P4" s="294" t="b">
        <f>'OMS Msgs'!BN19</f>
        <v>0</v>
      </c>
      <c r="Q4" s="293" t="s">
        <v>1853</v>
      </c>
    </row>
    <row r="5" spans="1:17" ht="108.75" customHeight="1" thickBot="1" x14ac:dyDescent="0.3">
      <c r="A5" s="271"/>
      <c r="B5" s="271"/>
      <c r="C5" s="272"/>
      <c r="D5" s="271"/>
      <c r="E5" s="273"/>
      <c r="F5" s="272"/>
      <c r="G5" s="273"/>
      <c r="H5" s="274"/>
      <c r="I5" s="261"/>
      <c r="J5" s="260"/>
      <c r="K5" s="261"/>
      <c r="L5" s="260"/>
      <c r="M5" s="262"/>
      <c r="N5" s="173" t="s">
        <v>1728</v>
      </c>
      <c r="O5" s="174" t="s">
        <v>1723</v>
      </c>
      <c r="P5" s="294" t="str">
        <f>'Non-OMS Msgs'!I7</f>
        <v>N/A</v>
      </c>
      <c r="Q5" s="293" t="str">
        <f>'Non-OMS Msgs'!J7</f>
        <v>No Non-OMS Msgs</v>
      </c>
    </row>
    <row r="6" spans="1:17" ht="96" customHeight="1" thickBot="1" x14ac:dyDescent="0.3">
      <c r="A6" s="271"/>
      <c r="B6" s="271"/>
      <c r="C6" s="272"/>
      <c r="D6" s="271"/>
      <c r="E6" s="273"/>
      <c r="F6" s="272"/>
      <c r="G6" s="273"/>
      <c r="H6" s="274"/>
      <c r="I6" s="261" t="s">
        <v>1729</v>
      </c>
      <c r="J6" s="260" t="s">
        <v>596</v>
      </c>
      <c r="K6" s="261" t="s">
        <v>604</v>
      </c>
      <c r="L6" s="260" t="s">
        <v>605</v>
      </c>
      <c r="M6" s="262" t="b">
        <f>AND(OR(IF(P6=TRUE,TRUE,FALSE),(IF(P6="N/A",NOT(ISBLANK(Q6))))),(OR(IF(P7=TRUE,TRUE,FALSE),(IF(P7="N/A",NOT(ISBLANK(Q7)))))))</f>
        <v>1</v>
      </c>
      <c r="N6" s="173" t="s">
        <v>1730</v>
      </c>
      <c r="O6" s="174" t="s">
        <v>1723</v>
      </c>
      <c r="P6" s="294" t="b">
        <f>'Non-OMS Msgs'!I5</f>
        <v>1</v>
      </c>
      <c r="Q6" s="293" t="s">
        <v>1853</v>
      </c>
    </row>
    <row r="7" spans="1:17" ht="157.5" customHeight="1" thickBot="1" x14ac:dyDescent="0.3">
      <c r="A7" s="271"/>
      <c r="B7" s="271"/>
      <c r="C7" s="272"/>
      <c r="D7" s="271"/>
      <c r="E7" s="273"/>
      <c r="F7" s="272"/>
      <c r="G7" s="273"/>
      <c r="H7" s="274"/>
      <c r="I7" s="261"/>
      <c r="J7" s="260"/>
      <c r="K7" s="261"/>
      <c r="L7" s="260"/>
      <c r="M7" s="262"/>
      <c r="N7" s="173" t="s">
        <v>1731</v>
      </c>
      <c r="O7" s="174" t="s">
        <v>1723</v>
      </c>
      <c r="P7" s="294" t="str">
        <f>'Non-OMS Msgs'!I6</f>
        <v>N/A</v>
      </c>
      <c r="Q7" s="293" t="str">
        <f>'Non-OMS Msgs'!J6</f>
        <v>No Non-OMS Msgs</v>
      </c>
    </row>
    <row r="8" spans="1:17" ht="105" customHeight="1" thickBot="1" x14ac:dyDescent="0.3">
      <c r="A8" s="271"/>
      <c r="B8" s="271"/>
      <c r="C8" s="272"/>
      <c r="D8" s="271"/>
      <c r="E8" s="273"/>
      <c r="F8" s="272"/>
      <c r="G8" s="273"/>
      <c r="H8" s="274"/>
      <c r="I8" s="261" t="s">
        <v>1732</v>
      </c>
      <c r="J8" s="260" t="s">
        <v>596</v>
      </c>
      <c r="K8" s="261" t="s">
        <v>1733</v>
      </c>
      <c r="L8" s="260" t="s">
        <v>606</v>
      </c>
      <c r="M8" s="262" t="b">
        <f>AND(OR(IF(P8=TRUE,TRUE,FALSE),(IF(P8="N/A",NOT(ISBLANK(Q8))))),(OR(IF(P9=TRUE,TRUE,FALSE),(IF(P9="N/A",NOT(ISBLANK(Q9)))))))</f>
        <v>1</v>
      </c>
      <c r="N8" s="173" t="s">
        <v>1734</v>
      </c>
      <c r="O8" s="174" t="s">
        <v>1723</v>
      </c>
      <c r="P8" s="294" t="str">
        <f>'OMS Data Transfer'!T38</f>
        <v>N/A</v>
      </c>
      <c r="Q8" s="293" t="str">
        <f>'OMS Data Transfer'!U38</f>
        <v>No OMS Data Transfer</v>
      </c>
    </row>
    <row r="9" spans="1:17" ht="114" customHeight="1" thickBot="1" x14ac:dyDescent="0.3">
      <c r="A9" s="271"/>
      <c r="B9" s="271"/>
      <c r="C9" s="272"/>
      <c r="D9" s="271"/>
      <c r="E9" s="273"/>
      <c r="F9" s="272"/>
      <c r="G9" s="273"/>
      <c r="H9" s="274"/>
      <c r="I9" s="261"/>
      <c r="J9" s="260"/>
      <c r="K9" s="261"/>
      <c r="L9" s="260"/>
      <c r="M9" s="262"/>
      <c r="N9" s="173" t="s">
        <v>1735</v>
      </c>
      <c r="O9" s="174" t="s">
        <v>1723</v>
      </c>
      <c r="P9" s="294" t="str">
        <f>'Non-OMS Data Transfer'!V32</f>
        <v>N/A</v>
      </c>
      <c r="Q9" s="293" t="str">
        <f>'Non-OMS Data Transfer'!W32</f>
        <v>Invalid or No Non-OMS Combination for Data Type and Formats</v>
      </c>
    </row>
    <row r="10" spans="1:17" ht="99" customHeight="1" thickBot="1" x14ac:dyDescent="0.3">
      <c r="A10" s="271"/>
      <c r="B10" s="271"/>
      <c r="C10" s="272"/>
      <c r="D10" s="271"/>
      <c r="E10" s="273"/>
      <c r="F10" s="272"/>
      <c r="G10" s="273"/>
      <c r="H10" s="274"/>
      <c r="I10" s="261" t="s">
        <v>1736</v>
      </c>
      <c r="J10" s="260" t="s">
        <v>596</v>
      </c>
      <c r="K10" s="261" t="s">
        <v>1737</v>
      </c>
      <c r="L10" s="260" t="s">
        <v>607</v>
      </c>
      <c r="M10" s="262" t="b">
        <f>AND(OR(IF(P10=TRUE,TRUE,FALSE),(IF(P10="N/A",NOT(ISBLANK(Q10))))),(OR(IF(P11=TRUE,TRUE,FALSE),(IF(P11="N/A",NOT(ISBLANK(Q11)))))))</f>
        <v>1</v>
      </c>
      <c r="N10" s="173" t="s">
        <v>1738</v>
      </c>
      <c r="O10" s="174" t="s">
        <v>1723</v>
      </c>
      <c r="P10" s="294" t="str">
        <f>'OMS Special Signals'!O4</f>
        <v>N/A</v>
      </c>
      <c r="Q10" s="293" t="str">
        <f>'OMS Special Signals'!P4</f>
        <v>No OMS Special Signals</v>
      </c>
    </row>
    <row r="11" spans="1:17" ht="120" customHeight="1" thickBot="1" x14ac:dyDescent="0.3">
      <c r="A11" s="271"/>
      <c r="B11" s="271"/>
      <c r="C11" s="272"/>
      <c r="D11" s="271"/>
      <c r="E11" s="273"/>
      <c r="F11" s="272"/>
      <c r="G11" s="273"/>
      <c r="H11" s="274"/>
      <c r="I11" s="261"/>
      <c r="J11" s="260"/>
      <c r="K11" s="261"/>
      <c r="L11" s="260"/>
      <c r="M11" s="262"/>
      <c r="N11" s="173" t="s">
        <v>1739</v>
      </c>
      <c r="O11" s="174" t="s">
        <v>1723</v>
      </c>
      <c r="P11" s="294" t="b">
        <f>'Non-OMS Special Signals'!T10</f>
        <v>1</v>
      </c>
      <c r="Q11" s="293" t="s">
        <v>1853</v>
      </c>
    </row>
    <row r="12" spans="1:17" ht="79.900000000000006" customHeight="1" thickBot="1" x14ac:dyDescent="0.3">
      <c r="A12" s="271"/>
      <c r="B12" s="271"/>
      <c r="C12" s="272"/>
      <c r="D12" s="271"/>
      <c r="E12" s="273"/>
      <c r="F12" s="272"/>
      <c r="G12" s="273"/>
      <c r="H12" s="274"/>
      <c r="I12" s="261" t="s">
        <v>1740</v>
      </c>
      <c r="J12" s="260" t="s">
        <v>596</v>
      </c>
      <c r="K12" s="261" t="s">
        <v>608</v>
      </c>
      <c r="L12" s="260" t="s">
        <v>609</v>
      </c>
      <c r="M12" s="262" t="b">
        <f>IF(P12=TRUE,TRUE,(AND((OR(IF(P13=TRUE,TRUE,FALSE),(IF(P13="N/A",NOT(ISBLANK(Q13)))))))))</f>
        <v>0</v>
      </c>
      <c r="N12" s="173" t="s">
        <v>1741</v>
      </c>
      <c r="O12" s="174" t="s">
        <v>601</v>
      </c>
      <c r="P12" s="183" t="s">
        <v>610</v>
      </c>
      <c r="Q12" s="180"/>
    </row>
    <row r="13" spans="1:17" ht="79.900000000000006" customHeight="1" thickBot="1" x14ac:dyDescent="0.3">
      <c r="A13" s="271"/>
      <c r="B13" s="271"/>
      <c r="C13" s="272"/>
      <c r="D13" s="271"/>
      <c r="E13" s="273"/>
      <c r="F13" s="272"/>
      <c r="G13" s="273"/>
      <c r="H13" s="274"/>
      <c r="I13" s="261"/>
      <c r="J13" s="260"/>
      <c r="K13" s="261"/>
      <c r="L13" s="260"/>
      <c r="M13" s="262"/>
      <c r="N13" s="173" t="s">
        <v>1742</v>
      </c>
      <c r="O13" s="174" t="s">
        <v>601</v>
      </c>
      <c r="P13" s="183" t="s">
        <v>611</v>
      </c>
      <c r="Q13" s="180"/>
    </row>
    <row r="14" spans="1:17" ht="79.900000000000006" customHeight="1" thickBot="1" x14ac:dyDescent="0.3">
      <c r="A14" s="271"/>
      <c r="B14" s="271"/>
      <c r="C14" s="272"/>
      <c r="D14" s="271"/>
      <c r="E14" s="273"/>
      <c r="F14" s="272"/>
      <c r="G14" s="273"/>
      <c r="H14" s="274"/>
      <c r="I14" s="261" t="s">
        <v>1743</v>
      </c>
      <c r="J14" s="260" t="s">
        <v>596</v>
      </c>
      <c r="K14" s="261" t="s">
        <v>612</v>
      </c>
      <c r="L14" s="260" t="s">
        <v>613</v>
      </c>
      <c r="M14" s="262" t="b">
        <f>IF(P14=TRUE,TRUE,(AND((OR(IF(P15=TRUE,TRUE,FALSE),(IF(P15="N/A",NOT(ISBLANK(Q15)))))))))</f>
        <v>0</v>
      </c>
      <c r="N14" s="173" t="s">
        <v>1744</v>
      </c>
      <c r="O14" s="174" t="s">
        <v>601</v>
      </c>
      <c r="P14" s="183" t="s">
        <v>614</v>
      </c>
      <c r="Q14" s="180"/>
    </row>
    <row r="15" spans="1:17" ht="79.900000000000006" customHeight="1" thickBot="1" x14ac:dyDescent="0.3">
      <c r="A15" s="271"/>
      <c r="B15" s="271"/>
      <c r="C15" s="272"/>
      <c r="D15" s="271"/>
      <c r="E15" s="273"/>
      <c r="F15" s="272"/>
      <c r="G15" s="273"/>
      <c r="H15" s="274"/>
      <c r="I15" s="261"/>
      <c r="J15" s="260"/>
      <c r="K15" s="261"/>
      <c r="L15" s="260"/>
      <c r="M15" s="262"/>
      <c r="N15" s="173" t="s">
        <v>1745</v>
      </c>
      <c r="O15" s="174" t="s">
        <v>601</v>
      </c>
      <c r="P15" s="183" t="s">
        <v>615</v>
      </c>
      <c r="Q15" s="180"/>
    </row>
    <row r="16" spans="1:17" ht="79.900000000000006" customHeight="1" thickBot="1" x14ac:dyDescent="0.3">
      <c r="A16" s="271"/>
      <c r="B16" s="271"/>
      <c r="C16" s="272"/>
      <c r="D16" s="271"/>
      <c r="E16" s="273"/>
      <c r="F16" s="272"/>
      <c r="G16" s="273"/>
      <c r="H16" s="274"/>
      <c r="I16" s="261" t="s">
        <v>1746</v>
      </c>
      <c r="J16" s="260" t="s">
        <v>596</v>
      </c>
      <c r="K16" s="261" t="s">
        <v>616</v>
      </c>
      <c r="L16" s="260" t="s">
        <v>617</v>
      </c>
      <c r="M16" s="262" t="b">
        <f>IF(P16=TRUE,TRUE,(AND((OR(IF(P17=TRUE,TRUE,FALSE),(IF(P17="N/A",NOT(ISBLANK(Q17)))))))))</f>
        <v>0</v>
      </c>
      <c r="N16" s="173" t="s">
        <v>1747</v>
      </c>
      <c r="O16" s="174" t="s">
        <v>601</v>
      </c>
      <c r="P16" s="183" t="s">
        <v>618</v>
      </c>
      <c r="Q16" s="180"/>
    </row>
    <row r="17" spans="1:17" ht="79.900000000000006" customHeight="1" thickBot="1" x14ac:dyDescent="0.3">
      <c r="A17" s="271"/>
      <c r="B17" s="271"/>
      <c r="C17" s="272"/>
      <c r="D17" s="271"/>
      <c r="E17" s="273"/>
      <c r="F17" s="272"/>
      <c r="G17" s="273"/>
      <c r="H17" s="274"/>
      <c r="I17" s="261"/>
      <c r="J17" s="260"/>
      <c r="K17" s="261"/>
      <c r="L17" s="260"/>
      <c r="M17" s="262"/>
      <c r="N17" s="173" t="s">
        <v>1748</v>
      </c>
      <c r="O17" s="174" t="s">
        <v>601</v>
      </c>
      <c r="P17" s="183" t="s">
        <v>619</v>
      </c>
      <c r="Q17" s="180"/>
    </row>
    <row r="18" spans="1:17" ht="79.900000000000006" customHeight="1" thickBot="1" x14ac:dyDescent="0.3">
      <c r="A18" s="271"/>
      <c r="B18" s="271"/>
      <c r="C18" s="272"/>
      <c r="D18" s="271"/>
      <c r="E18" s="273"/>
      <c r="F18" s="272"/>
      <c r="G18" s="273"/>
      <c r="H18" s="274"/>
      <c r="I18" s="261" t="s">
        <v>1749</v>
      </c>
      <c r="J18" s="260" t="s">
        <v>596</v>
      </c>
      <c r="K18" s="261" t="s">
        <v>620</v>
      </c>
      <c r="L18" s="260" t="s">
        <v>1849</v>
      </c>
      <c r="M18" s="262" t="b">
        <f>IF(P18=TRUE,TRUE,(AND((OR(IF(P19=TRUE,TRUE,FALSE),(IF(P19="N/A",NOT(ISBLANK(Q19)))))))))</f>
        <v>0</v>
      </c>
      <c r="N18" s="173" t="s">
        <v>1750</v>
      </c>
      <c r="O18" s="174" t="s">
        <v>601</v>
      </c>
      <c r="P18" s="183" t="s">
        <v>1751</v>
      </c>
      <c r="Q18" s="180"/>
    </row>
    <row r="19" spans="1:17" ht="79.900000000000006" customHeight="1" thickBot="1" x14ac:dyDescent="0.3">
      <c r="A19" s="264"/>
      <c r="B19" s="264"/>
      <c r="C19" s="266"/>
      <c r="D19" s="264"/>
      <c r="E19" s="268"/>
      <c r="F19" s="266"/>
      <c r="G19" s="268"/>
      <c r="H19" s="270"/>
      <c r="I19" s="261"/>
      <c r="J19" s="260"/>
      <c r="K19" s="261"/>
      <c r="L19" s="260"/>
      <c r="M19" s="262"/>
      <c r="N19" s="173" t="s">
        <v>1752</v>
      </c>
      <c r="O19" s="174" t="s">
        <v>601</v>
      </c>
      <c r="P19" s="183" t="s">
        <v>1753</v>
      </c>
      <c r="Q19" s="180"/>
    </row>
    <row r="20" spans="1:17" ht="226.5" customHeight="1" thickBot="1" x14ac:dyDescent="0.3">
      <c r="A20" s="263" t="s">
        <v>1754</v>
      </c>
      <c r="B20" s="263" t="s">
        <v>1755</v>
      </c>
      <c r="C20" s="265" t="b">
        <f>AND((OR(IF(F20=TRUE,TRUE,FALSE),IF(F20="N/A",TRUE,FALSE))),H20=TRUE)</f>
        <v>0</v>
      </c>
      <c r="D20" s="263"/>
      <c r="E20" s="267"/>
      <c r="F20" s="265" t="s">
        <v>338</v>
      </c>
      <c r="G20" s="267" t="s">
        <v>621</v>
      </c>
      <c r="H20" s="269" t="b">
        <f>AND(M20)</f>
        <v>0</v>
      </c>
      <c r="I20" s="261" t="s">
        <v>1756</v>
      </c>
      <c r="J20" s="260" t="s">
        <v>596</v>
      </c>
      <c r="K20" s="261" t="s">
        <v>1850</v>
      </c>
      <c r="L20" s="260" t="s">
        <v>622</v>
      </c>
      <c r="M20" s="262" t="b">
        <f>AND(OR(IF(P20=TRUE,TRUE,FALSE),(IF(P20="N/A",NOT(ISBLANK(Q20))))),(OR(IF(P21=TRUE,TRUE,FALSE),(IF(P21="N/A",NOT(ISBLANK(Q21)))))))</f>
        <v>0</v>
      </c>
      <c r="N20" s="173" t="s">
        <v>1757</v>
      </c>
      <c r="O20" s="174" t="s">
        <v>1723</v>
      </c>
      <c r="P20" s="294" t="b">
        <f>'OMS Msgs'!BN20</f>
        <v>0</v>
      </c>
      <c r="Q20" s="293" t="s">
        <v>1853</v>
      </c>
    </row>
    <row r="21" spans="1:17" ht="146.25" customHeight="1" thickBot="1" x14ac:dyDescent="0.3">
      <c r="A21" s="264"/>
      <c r="B21" s="264"/>
      <c r="C21" s="266"/>
      <c r="D21" s="264"/>
      <c r="E21" s="268"/>
      <c r="F21" s="266"/>
      <c r="G21" s="268"/>
      <c r="H21" s="270"/>
      <c r="I21" s="261"/>
      <c r="J21" s="260"/>
      <c r="K21" s="261"/>
      <c r="L21" s="260"/>
      <c r="M21" s="262"/>
      <c r="N21" s="173" t="s">
        <v>1758</v>
      </c>
      <c r="O21" s="174" t="s">
        <v>623</v>
      </c>
      <c r="P21" s="179" t="s">
        <v>624</v>
      </c>
      <c r="Q21" s="180"/>
    </row>
    <row r="22" spans="1:17" ht="207.75" customHeight="1" thickBot="1" x14ac:dyDescent="0.3">
      <c r="A22" s="263" t="s">
        <v>1759</v>
      </c>
      <c r="B22" s="263" t="s">
        <v>1760</v>
      </c>
      <c r="C22" s="265" t="b">
        <f>AND((OR(IF(F22=TRUE,TRUE,FALSE),IF(F22="N/A",TRUE,FALSE))),H22=TRUE)</f>
        <v>1</v>
      </c>
      <c r="D22" s="263"/>
      <c r="E22" s="267"/>
      <c r="F22" s="265" t="s">
        <v>338</v>
      </c>
      <c r="G22" s="267" t="s">
        <v>621</v>
      </c>
      <c r="H22" s="269" t="b">
        <f>AND(M22)</f>
        <v>1</v>
      </c>
      <c r="I22" s="261" t="s">
        <v>1761</v>
      </c>
      <c r="J22" s="260" t="s">
        <v>596</v>
      </c>
      <c r="K22" s="261" t="s">
        <v>1870</v>
      </c>
      <c r="L22" s="260" t="s">
        <v>625</v>
      </c>
      <c r="M22" s="262" t="b">
        <f>AND(OR(IF(P22=TRUE,TRUE,FALSE),(IF(P22="N/A",NOT(ISBLANK(Q22))))),(OR(IF(P23=TRUE,TRUE,FALSE),(IF(P23="N/A",NOT(ISBLANK(Q23)))))),(OR(IF(P24=TRUE,TRUE,FALSE),(IF(P24="N/A",NOT(ISBLANK(Q24)))))),(OR(IF(P25=TRUE,TRUE,FALSE),(IF(P25="N/A",NOT(ISBLANK(Q25)))))))</f>
        <v>1</v>
      </c>
      <c r="N22" s="173" t="s">
        <v>1762</v>
      </c>
      <c r="O22" s="174" t="s">
        <v>1723</v>
      </c>
      <c r="P22" s="294" t="str">
        <f>'OMS Data Transfer'!T33</f>
        <v>N/A</v>
      </c>
      <c r="Q22" s="293" t="str">
        <f>'OMS Data Transfer'!U33</f>
        <v>No OMS Data Transfer</v>
      </c>
    </row>
    <row r="23" spans="1:17" ht="126" customHeight="1" thickBot="1" x14ac:dyDescent="0.3">
      <c r="A23" s="271"/>
      <c r="B23" s="271"/>
      <c r="C23" s="272"/>
      <c r="D23" s="271"/>
      <c r="E23" s="273"/>
      <c r="F23" s="272"/>
      <c r="G23" s="273"/>
      <c r="H23" s="274"/>
      <c r="I23" s="261"/>
      <c r="J23" s="260"/>
      <c r="K23" s="261"/>
      <c r="L23" s="260"/>
      <c r="M23" s="262"/>
      <c r="N23" s="173" t="s">
        <v>1763</v>
      </c>
      <c r="O23" s="174" t="s">
        <v>1723</v>
      </c>
      <c r="P23" s="294" t="str">
        <f>'Non-OMS Data Transfer'!V25</f>
        <v>N/A</v>
      </c>
      <c r="Q23" s="293" t="str">
        <f>'Non-OMS Data Transfer'!W25</f>
        <v>Invalid or No Non-OMS Combination for Data Type and Formats</v>
      </c>
    </row>
    <row r="24" spans="1:17" ht="79.900000000000006" customHeight="1" thickBot="1" x14ac:dyDescent="0.3">
      <c r="A24" s="271"/>
      <c r="B24" s="271"/>
      <c r="C24" s="272"/>
      <c r="D24" s="271"/>
      <c r="E24" s="273"/>
      <c r="F24" s="272"/>
      <c r="G24" s="273"/>
      <c r="H24" s="274"/>
      <c r="I24" s="261"/>
      <c r="J24" s="260"/>
      <c r="K24" s="261"/>
      <c r="L24" s="260"/>
      <c r="M24" s="262"/>
      <c r="N24" s="173" t="s">
        <v>1764</v>
      </c>
      <c r="O24" s="174" t="s">
        <v>1723</v>
      </c>
      <c r="P24" s="294" t="str">
        <f>'Non-OMS Data Transfer'!V30</f>
        <v>N/A</v>
      </c>
      <c r="Q24" s="293" t="str">
        <f>'Non-OMS Data Transfer'!W30</f>
        <v>Invalid or No Non-OMS Combination for Data Type and Formats</v>
      </c>
    </row>
    <row r="25" spans="1:17" ht="120" customHeight="1" thickBot="1" x14ac:dyDescent="0.3">
      <c r="A25" s="264"/>
      <c r="B25" s="264"/>
      <c r="C25" s="266"/>
      <c r="D25" s="264"/>
      <c r="E25" s="268"/>
      <c r="F25" s="266"/>
      <c r="G25" s="268"/>
      <c r="H25" s="270"/>
      <c r="I25" s="261"/>
      <c r="J25" s="260"/>
      <c r="K25" s="261"/>
      <c r="L25" s="260"/>
      <c r="M25" s="262"/>
      <c r="N25" s="173" t="s">
        <v>1765</v>
      </c>
      <c r="O25" s="174" t="s">
        <v>1723</v>
      </c>
      <c r="P25" s="294" t="str">
        <f>'Non-OMS Data Transfer'!V31</f>
        <v>N/A</v>
      </c>
      <c r="Q25" s="293" t="str">
        <f>'Non-OMS Data Transfer'!W31</f>
        <v>Invalid or No Non-OMS Combination for Data Type and Formats</v>
      </c>
    </row>
    <row r="26" spans="1:17" ht="258.75" customHeight="1" thickBot="1" x14ac:dyDescent="0.3">
      <c r="A26" s="263" t="s">
        <v>1766</v>
      </c>
      <c r="B26" s="263" t="s">
        <v>1760</v>
      </c>
      <c r="C26" s="265" t="b">
        <f>AND((OR(IF(F26=TRUE,TRUE,FALSE),IF(F26="N/A",TRUE,FALSE))),H26=TRUE)</f>
        <v>1</v>
      </c>
      <c r="D26" s="263"/>
      <c r="E26" s="267"/>
      <c r="F26" s="265" t="s">
        <v>338</v>
      </c>
      <c r="G26" s="267" t="s">
        <v>626</v>
      </c>
      <c r="H26" s="269" t="b">
        <f>AND(M22,M26,M27)</f>
        <v>1</v>
      </c>
      <c r="I26" s="173" t="s">
        <v>1767</v>
      </c>
      <c r="J26" s="182">
        <v>3</v>
      </c>
      <c r="K26" s="173" t="s">
        <v>627</v>
      </c>
      <c r="L26" s="182" t="s">
        <v>600</v>
      </c>
      <c r="M26" s="70" t="b">
        <f>AND(OR(IF(P26=TRUE,TRUE,FALSE),(IF(P26="N/A",NOT(ISBLANK(Q26))))))</f>
        <v>1</v>
      </c>
      <c r="N26" s="173" t="s">
        <v>1768</v>
      </c>
      <c r="O26" s="174" t="s">
        <v>1723</v>
      </c>
      <c r="P26" s="294" t="b">
        <f>'OMS Data Transfer'!T32</f>
        <v>1</v>
      </c>
      <c r="Q26" s="293" t="s">
        <v>1853</v>
      </c>
    </row>
    <row r="27" spans="1:17" ht="101.25" customHeight="1" thickBot="1" x14ac:dyDescent="0.3">
      <c r="A27" s="271"/>
      <c r="B27" s="271"/>
      <c r="C27" s="272"/>
      <c r="D27" s="271"/>
      <c r="E27" s="273"/>
      <c r="F27" s="272"/>
      <c r="G27" s="273"/>
      <c r="H27" s="274"/>
      <c r="I27" s="261" t="s">
        <v>1769</v>
      </c>
      <c r="J27" s="260">
        <v>3</v>
      </c>
      <c r="K27" s="261" t="s">
        <v>1871</v>
      </c>
      <c r="L27" s="260" t="s">
        <v>628</v>
      </c>
      <c r="M27" s="262" t="b">
        <f>AND(OR(IF(P27=TRUE,TRUE,FALSE),(IF(P27="N/A",NOT(ISBLANK(Q27))))),(OR(IF(P28=TRUE,TRUE,FALSE),(IF(P28="N/A",NOT(ISBLANK(Q28)))))),(OR(IF(P29=TRUE,TRUE,FALSE),(IF(P29="N/A",NOT(ISBLANK(Q29)))))))</f>
        <v>1</v>
      </c>
      <c r="N27" s="173" t="s">
        <v>1770</v>
      </c>
      <c r="O27" s="174" t="s">
        <v>1723</v>
      </c>
      <c r="P27" s="294" t="b">
        <f>'Non-OMS Data Transfer'!V33</f>
        <v>1</v>
      </c>
      <c r="Q27" s="293" t="s">
        <v>1853</v>
      </c>
    </row>
    <row r="28" spans="1:17" ht="195.75" customHeight="1" thickBot="1" x14ac:dyDescent="0.3">
      <c r="A28" s="271"/>
      <c r="B28" s="271"/>
      <c r="C28" s="272"/>
      <c r="D28" s="271"/>
      <c r="E28" s="273"/>
      <c r="F28" s="272"/>
      <c r="G28" s="273"/>
      <c r="H28" s="274"/>
      <c r="I28" s="261"/>
      <c r="J28" s="260"/>
      <c r="K28" s="261"/>
      <c r="L28" s="260"/>
      <c r="M28" s="262"/>
      <c r="N28" s="173" t="s">
        <v>1875</v>
      </c>
      <c r="O28" s="174" t="s">
        <v>669</v>
      </c>
      <c r="P28" s="294" t="str">
        <f>'Non-OMS Data Transfer'!V34</f>
        <v>N/A</v>
      </c>
      <c r="Q28" s="293" t="str">
        <f>'Non-OMS Data Transfer'!W34</f>
        <v>Invalid or No Non-OMS Combination for Data Type and Formats</v>
      </c>
    </row>
    <row r="29" spans="1:17" ht="108" customHeight="1" thickBot="1" x14ac:dyDescent="0.3">
      <c r="A29" s="264"/>
      <c r="B29" s="264"/>
      <c r="C29" s="266"/>
      <c r="D29" s="264"/>
      <c r="E29" s="268"/>
      <c r="F29" s="266"/>
      <c r="G29" s="268"/>
      <c r="H29" s="270"/>
      <c r="I29" s="261"/>
      <c r="J29" s="260"/>
      <c r="K29" s="261"/>
      <c r="L29" s="260"/>
      <c r="M29" s="262"/>
      <c r="N29" s="173" t="s">
        <v>1771</v>
      </c>
      <c r="O29" s="174" t="s">
        <v>1723</v>
      </c>
      <c r="P29" s="294" t="str">
        <f>'Non-OMS Data Transfer'!V36</f>
        <v>N/A</v>
      </c>
      <c r="Q29" s="293" t="str">
        <f>'Non-OMS Data Transfer'!W36</f>
        <v>Invalid or No Non-OMS Combination for Data Type and Formats</v>
      </c>
    </row>
    <row r="30" spans="1:17" ht="207.75" customHeight="1" thickBot="1" x14ac:dyDescent="0.3">
      <c r="A30" s="263" t="s">
        <v>1772</v>
      </c>
      <c r="B30" s="263" t="s">
        <v>1773</v>
      </c>
      <c r="C30" s="265" t="b">
        <f>AND((OR(IF(F30=TRUE,TRUE,FALSE),IF(F30="N/A",TRUE,FALSE))),H30=TRUE)</f>
        <v>1</v>
      </c>
      <c r="D30" s="263"/>
      <c r="E30" s="267"/>
      <c r="F30" s="265" t="s">
        <v>338</v>
      </c>
      <c r="G30" s="267" t="s">
        <v>621</v>
      </c>
      <c r="H30" s="269" t="b">
        <f>AND(M30)</f>
        <v>1</v>
      </c>
      <c r="I30" s="261" t="s">
        <v>1774</v>
      </c>
      <c r="J30" s="260" t="s">
        <v>596</v>
      </c>
      <c r="K30" s="261" t="s">
        <v>1870</v>
      </c>
      <c r="L30" s="260" t="s">
        <v>625</v>
      </c>
      <c r="M30" s="262" t="b">
        <f>AND(OR(IF(P30=TRUE,TRUE,FALSE),(IF(P30="N/A",NOT(ISBLANK(Q30))))),(OR(IF(P31=TRUE,TRUE,FALSE),(IF(P31="N/A",NOT(ISBLANK(Q31)))))),(OR(IF(P32=TRUE,TRUE,FALSE),(IF(P32="N/A",NOT(ISBLANK(Q32)))))),(OR(IF(P33=TRUE,TRUE,FALSE),(IF(P33="N/A",NOT(ISBLANK(Q33)))))))</f>
        <v>1</v>
      </c>
      <c r="N30" s="173" t="s">
        <v>1775</v>
      </c>
      <c r="O30" s="174" t="s">
        <v>1723</v>
      </c>
      <c r="P30" s="294" t="str">
        <f>'OMS Data Transfer'!T34</f>
        <v>N/A</v>
      </c>
      <c r="Q30" s="293" t="str">
        <f>'OMS Data Transfer'!U34</f>
        <v>No OMS Data Transfer</v>
      </c>
    </row>
    <row r="31" spans="1:17" ht="121.5" customHeight="1" thickBot="1" x14ac:dyDescent="0.3">
      <c r="A31" s="271"/>
      <c r="B31" s="271"/>
      <c r="C31" s="272"/>
      <c r="D31" s="271"/>
      <c r="E31" s="273"/>
      <c r="F31" s="272"/>
      <c r="G31" s="273"/>
      <c r="H31" s="274"/>
      <c r="I31" s="261"/>
      <c r="J31" s="260"/>
      <c r="K31" s="261"/>
      <c r="L31" s="260"/>
      <c r="M31" s="262"/>
      <c r="N31" s="173" t="s">
        <v>1776</v>
      </c>
      <c r="O31" s="174" t="s">
        <v>1723</v>
      </c>
      <c r="P31" s="294" t="str">
        <f>'Non-OMS Data Transfer'!V26</f>
        <v>N/A</v>
      </c>
      <c r="Q31" s="293" t="str">
        <f>'Non-OMS Data Transfer'!W26</f>
        <v>Invalid or No Non-OMS Combination for Data Type and Formats</v>
      </c>
    </row>
    <row r="32" spans="1:17" ht="79.900000000000006" customHeight="1" thickBot="1" x14ac:dyDescent="0.3">
      <c r="A32" s="271"/>
      <c r="B32" s="271"/>
      <c r="C32" s="272"/>
      <c r="D32" s="271"/>
      <c r="E32" s="273"/>
      <c r="F32" s="272"/>
      <c r="G32" s="273"/>
      <c r="H32" s="274"/>
      <c r="I32" s="261"/>
      <c r="J32" s="260"/>
      <c r="K32" s="261"/>
      <c r="L32" s="260"/>
      <c r="M32" s="262"/>
      <c r="N32" s="173" t="s">
        <v>1777</v>
      </c>
      <c r="O32" s="174" t="s">
        <v>1723</v>
      </c>
      <c r="P32" s="294" t="str">
        <f>'Non-OMS Data Transfer'!V30</f>
        <v>N/A</v>
      </c>
      <c r="Q32" s="293" t="str">
        <f>'Non-OMS Data Transfer'!W30</f>
        <v>Invalid or No Non-OMS Combination for Data Type and Formats</v>
      </c>
    </row>
    <row r="33" spans="1:17" ht="123" customHeight="1" thickBot="1" x14ac:dyDescent="0.3">
      <c r="A33" s="264"/>
      <c r="B33" s="264"/>
      <c r="C33" s="266"/>
      <c r="D33" s="264"/>
      <c r="E33" s="268"/>
      <c r="F33" s="266"/>
      <c r="G33" s="268"/>
      <c r="H33" s="270"/>
      <c r="I33" s="261"/>
      <c r="J33" s="260"/>
      <c r="K33" s="261"/>
      <c r="L33" s="260"/>
      <c r="M33" s="262"/>
      <c r="N33" s="173" t="s">
        <v>1778</v>
      </c>
      <c r="O33" s="174" t="s">
        <v>1723</v>
      </c>
      <c r="P33" s="294" t="str">
        <f>'Non-OMS Data Transfer'!V31</f>
        <v>N/A</v>
      </c>
      <c r="Q33" s="293" t="str">
        <f>'Non-OMS Data Transfer'!W31</f>
        <v>Invalid or No Non-OMS Combination for Data Type and Formats</v>
      </c>
    </row>
    <row r="34" spans="1:17" ht="282.75" customHeight="1" thickBot="1" x14ac:dyDescent="0.3">
      <c r="A34" s="263" t="s">
        <v>1779</v>
      </c>
      <c r="B34" s="263" t="s">
        <v>1773</v>
      </c>
      <c r="C34" s="265" t="b">
        <f>AND((OR(IF(F34=TRUE,TRUE,FALSE),IF(F34="N/A",TRUE,FALSE))),H34=TRUE)</f>
        <v>1</v>
      </c>
      <c r="D34" s="263"/>
      <c r="E34" s="267"/>
      <c r="F34" s="265" t="s">
        <v>338</v>
      </c>
      <c r="G34" s="267" t="s">
        <v>626</v>
      </c>
      <c r="H34" s="269" t="b">
        <f>AND(M30,M34,M35)</f>
        <v>1</v>
      </c>
      <c r="I34" s="173" t="s">
        <v>1780</v>
      </c>
      <c r="J34" s="182">
        <v>3</v>
      </c>
      <c r="K34" s="173" t="s">
        <v>627</v>
      </c>
      <c r="L34" s="182" t="s">
        <v>600</v>
      </c>
      <c r="M34" s="70" t="b">
        <f>AND(OR(IF(P34=TRUE,TRUE,FALSE),(IF(P34="N/A",NOT(ISBLANK(Q34))))))</f>
        <v>1</v>
      </c>
      <c r="N34" s="173" t="s">
        <v>1781</v>
      </c>
      <c r="O34" s="174" t="s">
        <v>1723</v>
      </c>
      <c r="P34" s="294" t="b">
        <f>'OMS Data Transfer'!T32</f>
        <v>1</v>
      </c>
      <c r="Q34" s="293" t="s">
        <v>1853</v>
      </c>
    </row>
    <row r="35" spans="1:17" ht="147" customHeight="1" thickBot="1" x14ac:dyDescent="0.3">
      <c r="A35" s="271"/>
      <c r="B35" s="271"/>
      <c r="C35" s="272"/>
      <c r="D35" s="271"/>
      <c r="E35" s="273"/>
      <c r="F35" s="272"/>
      <c r="G35" s="273"/>
      <c r="H35" s="274"/>
      <c r="I35" s="261" t="s">
        <v>1782</v>
      </c>
      <c r="J35" s="260">
        <v>3</v>
      </c>
      <c r="K35" s="261" t="s">
        <v>1872</v>
      </c>
      <c r="L35" s="260" t="s">
        <v>628</v>
      </c>
      <c r="M35" s="262" t="b">
        <f>AND(OR(IF(P35=TRUE,TRUE,FALSE),(IF(P35="N/A",NOT(ISBLANK(Q35))))),(OR(IF(P36=TRUE,TRUE,FALSE),(IF(P36="N/A",NOT(ISBLANK(Q36)))))),(OR(IF(P37=TRUE,TRUE,FALSE),(IF(P37="N/A",NOT(ISBLANK(Q37)))))))</f>
        <v>1</v>
      </c>
      <c r="N35" s="173" t="s">
        <v>1783</v>
      </c>
      <c r="O35" s="174" t="s">
        <v>1723</v>
      </c>
      <c r="P35" s="294" t="b">
        <f>'Non-OMS Data Transfer'!V33</f>
        <v>1</v>
      </c>
      <c r="Q35" s="293" t="s">
        <v>1853</v>
      </c>
    </row>
    <row r="36" spans="1:17" ht="165.75" customHeight="1" thickBot="1" x14ac:dyDescent="0.3">
      <c r="A36" s="271"/>
      <c r="B36" s="271"/>
      <c r="C36" s="272"/>
      <c r="D36" s="271"/>
      <c r="E36" s="273"/>
      <c r="F36" s="272"/>
      <c r="G36" s="273"/>
      <c r="H36" s="274"/>
      <c r="I36" s="261"/>
      <c r="J36" s="260"/>
      <c r="K36" s="261"/>
      <c r="L36" s="260"/>
      <c r="M36" s="262"/>
      <c r="N36" s="173" t="s">
        <v>1876</v>
      </c>
      <c r="O36" s="174" t="s">
        <v>669</v>
      </c>
      <c r="P36" s="294" t="str">
        <f>'Non-OMS Data Transfer'!V34</f>
        <v>N/A</v>
      </c>
      <c r="Q36" s="293" t="str">
        <f>'Non-OMS Data Transfer'!W34</f>
        <v>Invalid or No Non-OMS Combination for Data Type and Formats</v>
      </c>
    </row>
    <row r="37" spans="1:17" ht="79.900000000000006" customHeight="1" thickBot="1" x14ac:dyDescent="0.3">
      <c r="A37" s="264"/>
      <c r="B37" s="264"/>
      <c r="C37" s="266"/>
      <c r="D37" s="264"/>
      <c r="E37" s="268"/>
      <c r="F37" s="266"/>
      <c r="G37" s="268"/>
      <c r="H37" s="270"/>
      <c r="I37" s="261"/>
      <c r="J37" s="260"/>
      <c r="K37" s="261"/>
      <c r="L37" s="260"/>
      <c r="M37" s="262"/>
      <c r="N37" s="173" t="s">
        <v>1784</v>
      </c>
      <c r="O37" s="174" t="s">
        <v>1723</v>
      </c>
      <c r="P37" s="294" t="str">
        <f>'Non-OMS Data Transfer'!V36</f>
        <v>N/A</v>
      </c>
      <c r="Q37" s="293" t="str">
        <f>'Non-OMS Data Transfer'!W36</f>
        <v>Invalid or No Non-OMS Combination for Data Type and Formats</v>
      </c>
    </row>
    <row r="38" spans="1:17" ht="207.75" customHeight="1" thickBot="1" x14ac:dyDescent="0.3">
      <c r="A38" s="263" t="s">
        <v>1785</v>
      </c>
      <c r="B38" s="263" t="s">
        <v>1786</v>
      </c>
      <c r="C38" s="265" t="b">
        <f>AND((OR(IF(F38=TRUE,TRUE,FALSE),IF(F38="N/A",TRUE,FALSE))),H38=TRUE)</f>
        <v>1</v>
      </c>
      <c r="D38" s="263"/>
      <c r="E38" s="267"/>
      <c r="F38" s="265" t="s">
        <v>338</v>
      </c>
      <c r="G38" s="267" t="s">
        <v>621</v>
      </c>
      <c r="H38" s="269" t="b">
        <f>AND(M38)</f>
        <v>1</v>
      </c>
      <c r="I38" s="261" t="s">
        <v>1787</v>
      </c>
      <c r="J38" s="260" t="s">
        <v>596</v>
      </c>
      <c r="K38" s="261" t="s">
        <v>1870</v>
      </c>
      <c r="L38" s="260" t="s">
        <v>625</v>
      </c>
      <c r="M38" s="262" t="b">
        <f>AND(OR(IF(P38=TRUE,TRUE,FALSE),(IF(P38="N/A",NOT(ISBLANK(Q38))))),(OR(IF(P39=TRUE,TRUE,FALSE),(IF(P39="N/A",NOT(ISBLANK(Q39)))))),(OR(IF(P40=TRUE,TRUE,FALSE),(IF(P40="N/A",NOT(ISBLANK(Q40)))))),(OR(IF(P41=TRUE,TRUE,FALSE),(IF(P41="N/A",NOT(ISBLANK(Q41)))))))</f>
        <v>1</v>
      </c>
      <c r="N38" s="173" t="s">
        <v>1788</v>
      </c>
      <c r="O38" s="174" t="s">
        <v>1723</v>
      </c>
      <c r="P38" s="294" t="str">
        <f>'OMS Data Transfer'!T35</f>
        <v>N/A</v>
      </c>
      <c r="Q38" s="293" t="str">
        <f>'OMS Data Transfer'!U35</f>
        <v>No OMS Data Transfer</v>
      </c>
    </row>
    <row r="39" spans="1:17" ht="145.5" customHeight="1" thickBot="1" x14ac:dyDescent="0.3">
      <c r="A39" s="271"/>
      <c r="B39" s="271"/>
      <c r="C39" s="272"/>
      <c r="D39" s="271"/>
      <c r="E39" s="273"/>
      <c r="F39" s="272"/>
      <c r="G39" s="273"/>
      <c r="H39" s="274"/>
      <c r="I39" s="261"/>
      <c r="J39" s="260"/>
      <c r="K39" s="261"/>
      <c r="L39" s="260"/>
      <c r="M39" s="262"/>
      <c r="N39" s="173" t="s">
        <v>1789</v>
      </c>
      <c r="O39" s="174" t="s">
        <v>1723</v>
      </c>
      <c r="P39" s="294" t="str">
        <f>'Non-OMS Data Transfer'!V27</f>
        <v>N/A</v>
      </c>
      <c r="Q39" s="293" t="str">
        <f>'Non-OMS Data Transfer'!W27</f>
        <v>Invalid or No Non-OMS Combination for Data Type and Formats</v>
      </c>
    </row>
    <row r="40" spans="1:17" ht="79.900000000000006" customHeight="1" thickBot="1" x14ac:dyDescent="0.3">
      <c r="A40" s="271"/>
      <c r="B40" s="271"/>
      <c r="C40" s="272"/>
      <c r="D40" s="271"/>
      <c r="E40" s="273"/>
      <c r="F40" s="272"/>
      <c r="G40" s="273"/>
      <c r="H40" s="274"/>
      <c r="I40" s="261"/>
      <c r="J40" s="260"/>
      <c r="K40" s="261"/>
      <c r="L40" s="260"/>
      <c r="M40" s="262"/>
      <c r="N40" s="173" t="s">
        <v>1790</v>
      </c>
      <c r="O40" s="174" t="s">
        <v>1723</v>
      </c>
      <c r="P40" s="294" t="str">
        <f>'Non-OMS Data Transfer'!V30</f>
        <v>N/A</v>
      </c>
      <c r="Q40" s="293" t="str">
        <f>'Non-OMS Data Transfer'!W30</f>
        <v>Invalid or No Non-OMS Combination for Data Type and Formats</v>
      </c>
    </row>
    <row r="41" spans="1:17" ht="123" customHeight="1" thickBot="1" x14ac:dyDescent="0.3">
      <c r="A41" s="264"/>
      <c r="B41" s="264"/>
      <c r="C41" s="266"/>
      <c r="D41" s="264"/>
      <c r="E41" s="268"/>
      <c r="F41" s="266"/>
      <c r="G41" s="268"/>
      <c r="H41" s="270"/>
      <c r="I41" s="261"/>
      <c r="J41" s="260"/>
      <c r="K41" s="261"/>
      <c r="L41" s="260"/>
      <c r="M41" s="262"/>
      <c r="N41" s="173" t="s">
        <v>1791</v>
      </c>
      <c r="O41" s="174" t="s">
        <v>1723</v>
      </c>
      <c r="P41" s="294" t="str">
        <f>'Non-OMS Data Transfer'!V31</f>
        <v>N/A</v>
      </c>
      <c r="Q41" s="293" t="str">
        <f>'Non-OMS Data Transfer'!W31</f>
        <v>Invalid or No Non-OMS Combination for Data Type and Formats</v>
      </c>
    </row>
    <row r="42" spans="1:17" ht="283.5" customHeight="1" thickBot="1" x14ac:dyDescent="0.3">
      <c r="A42" s="263" t="s">
        <v>1792</v>
      </c>
      <c r="B42" s="263" t="s">
        <v>1786</v>
      </c>
      <c r="C42" s="265" t="b">
        <f>AND((OR(IF(F42=TRUE,TRUE,FALSE),IF(F42="N/A",TRUE,FALSE))),H42=TRUE)</f>
        <v>1</v>
      </c>
      <c r="D42" s="263"/>
      <c r="E42" s="267"/>
      <c r="F42" s="265" t="s">
        <v>338</v>
      </c>
      <c r="G42" s="267" t="s">
        <v>626</v>
      </c>
      <c r="H42" s="269" t="b">
        <f>AND(M38,M42,M43)</f>
        <v>1</v>
      </c>
      <c r="I42" s="173" t="s">
        <v>1793</v>
      </c>
      <c r="J42" s="182">
        <v>3</v>
      </c>
      <c r="K42" s="173" t="s">
        <v>627</v>
      </c>
      <c r="L42" s="182" t="s">
        <v>600</v>
      </c>
      <c r="M42" s="70" t="b">
        <f>AND(OR(IF(P42=TRUE,TRUE,FALSE),(IF(P42="N/A",NOT(ISBLANK(Q42))))))</f>
        <v>1</v>
      </c>
      <c r="N42" s="173" t="s">
        <v>1794</v>
      </c>
      <c r="O42" s="174" t="s">
        <v>1723</v>
      </c>
      <c r="P42" s="294" t="b">
        <f>'OMS Data Transfer'!T32</f>
        <v>1</v>
      </c>
      <c r="Q42" s="293" t="s">
        <v>1853</v>
      </c>
    </row>
    <row r="43" spans="1:17" ht="147" customHeight="1" thickBot="1" x14ac:dyDescent="0.3">
      <c r="A43" s="271"/>
      <c r="B43" s="271"/>
      <c r="C43" s="272"/>
      <c r="D43" s="271"/>
      <c r="E43" s="273"/>
      <c r="F43" s="272"/>
      <c r="G43" s="273"/>
      <c r="H43" s="274"/>
      <c r="I43" s="261" t="s">
        <v>1795</v>
      </c>
      <c r="J43" s="260">
        <v>3</v>
      </c>
      <c r="K43" s="261" t="s">
        <v>1872</v>
      </c>
      <c r="L43" s="260" t="s">
        <v>628</v>
      </c>
      <c r="M43" s="262" t="b">
        <f>AND(OR(IF(P43=TRUE,TRUE,FALSE),(IF(P43="N/A",NOT(ISBLANK(Q43))))),(OR(IF(P44=TRUE,TRUE,FALSE),(IF(P44="N/A",NOT(ISBLANK(Q44)))))),(OR(IF(P45=TRUE,TRUE,FALSE),(IF(P45="N/A",NOT(ISBLANK(Q45)))))))</f>
        <v>1</v>
      </c>
      <c r="N43" s="173" t="s">
        <v>1796</v>
      </c>
      <c r="O43" s="174" t="s">
        <v>1723</v>
      </c>
      <c r="P43" s="294" t="b">
        <f>'Non-OMS Data Transfer'!V33</f>
        <v>1</v>
      </c>
      <c r="Q43" s="293" t="s">
        <v>1853</v>
      </c>
    </row>
    <row r="44" spans="1:17" ht="171.75" customHeight="1" thickBot="1" x14ac:dyDescent="0.3">
      <c r="A44" s="271"/>
      <c r="B44" s="271"/>
      <c r="C44" s="272"/>
      <c r="D44" s="271"/>
      <c r="E44" s="273"/>
      <c r="F44" s="272"/>
      <c r="G44" s="273"/>
      <c r="H44" s="274"/>
      <c r="I44" s="261"/>
      <c r="J44" s="260"/>
      <c r="K44" s="261"/>
      <c r="L44" s="260"/>
      <c r="M44" s="262"/>
      <c r="N44" s="173" t="s">
        <v>1877</v>
      </c>
      <c r="O44" s="174" t="s">
        <v>1723</v>
      </c>
      <c r="P44" s="294" t="str">
        <f>'Non-OMS Data Transfer'!V34</f>
        <v>N/A</v>
      </c>
      <c r="Q44" s="293" t="str">
        <f>'Non-OMS Data Transfer'!W34</f>
        <v>Invalid or No Non-OMS Combination for Data Type and Formats</v>
      </c>
    </row>
    <row r="45" spans="1:17" ht="103.5" customHeight="1" thickBot="1" x14ac:dyDescent="0.3">
      <c r="A45" s="264"/>
      <c r="B45" s="264"/>
      <c r="C45" s="266"/>
      <c r="D45" s="264"/>
      <c r="E45" s="268"/>
      <c r="F45" s="266"/>
      <c r="G45" s="268"/>
      <c r="H45" s="270"/>
      <c r="I45" s="261"/>
      <c r="J45" s="260"/>
      <c r="K45" s="261"/>
      <c r="L45" s="260"/>
      <c r="M45" s="262"/>
      <c r="N45" s="173" t="s">
        <v>1797</v>
      </c>
      <c r="O45" s="174" t="s">
        <v>1723</v>
      </c>
      <c r="P45" s="294" t="str">
        <f>'Non-OMS Data Transfer'!V36</f>
        <v>N/A</v>
      </c>
      <c r="Q45" s="293" t="str">
        <f>'Non-OMS Data Transfer'!W36</f>
        <v>Invalid or No Non-OMS Combination for Data Type and Formats</v>
      </c>
    </row>
    <row r="46" spans="1:17" ht="207.75" customHeight="1" thickBot="1" x14ac:dyDescent="0.3">
      <c r="A46" s="263" t="s">
        <v>1798</v>
      </c>
      <c r="B46" s="263" t="s">
        <v>1799</v>
      </c>
      <c r="C46" s="265" t="b">
        <f>AND((OR(IF(F46=TRUE,TRUE,FALSE),IF(F46="N/A",TRUE,FALSE))),H46=TRUE)</f>
        <v>1</v>
      </c>
      <c r="D46" s="263"/>
      <c r="E46" s="267"/>
      <c r="F46" s="265" t="s">
        <v>338</v>
      </c>
      <c r="G46" s="267" t="s">
        <v>621</v>
      </c>
      <c r="H46" s="269" t="b">
        <f>AND(M46)</f>
        <v>1</v>
      </c>
      <c r="I46" s="261" t="s">
        <v>1800</v>
      </c>
      <c r="J46" s="260" t="s">
        <v>596</v>
      </c>
      <c r="K46" s="261" t="s">
        <v>1870</v>
      </c>
      <c r="L46" s="260" t="s">
        <v>625</v>
      </c>
      <c r="M46" s="262" t="b">
        <f>AND(OR(IF(P46=TRUE,TRUE,FALSE),(IF(P46="N/A",NOT(ISBLANK(Q46))))),(OR(IF(P47=TRUE,TRUE,FALSE),(IF(P47="N/A",NOT(ISBLANK(Q47)))))),(OR(IF(P48=TRUE,TRUE,FALSE),(IF(P48="N/A",NOT(ISBLANK(Q48)))))),(OR(IF(P49=TRUE,TRUE,FALSE),(IF(P49="N/A",NOT(ISBLANK(Q49)))))))</f>
        <v>1</v>
      </c>
      <c r="N46" s="173" t="s">
        <v>1801</v>
      </c>
      <c r="O46" s="174" t="s">
        <v>1723</v>
      </c>
      <c r="P46" s="294" t="str">
        <f>'OMS Data Transfer'!T36</f>
        <v>N/A</v>
      </c>
      <c r="Q46" s="293" t="str">
        <f>'OMS Data Transfer'!U36</f>
        <v>No OMS Data Transfer</v>
      </c>
    </row>
    <row r="47" spans="1:17" ht="145.5" customHeight="1" thickBot="1" x14ac:dyDescent="0.3">
      <c r="A47" s="271"/>
      <c r="B47" s="271"/>
      <c r="C47" s="272"/>
      <c r="D47" s="271"/>
      <c r="E47" s="273"/>
      <c r="F47" s="272"/>
      <c r="G47" s="273"/>
      <c r="H47" s="274"/>
      <c r="I47" s="261"/>
      <c r="J47" s="260"/>
      <c r="K47" s="261"/>
      <c r="L47" s="260"/>
      <c r="M47" s="262"/>
      <c r="N47" s="173" t="s">
        <v>1802</v>
      </c>
      <c r="O47" s="174" t="s">
        <v>1723</v>
      </c>
      <c r="P47" s="294" t="str">
        <f>'Non-OMS Data Transfer'!V28</f>
        <v>N/A</v>
      </c>
      <c r="Q47" s="293" t="str">
        <f>'Non-OMS Data Transfer'!W28</f>
        <v>Invalid or No Non-OMS Combination for Data Type and Formats</v>
      </c>
    </row>
    <row r="48" spans="1:17" ht="79.900000000000006" customHeight="1" thickBot="1" x14ac:dyDescent="0.3">
      <c r="A48" s="271"/>
      <c r="B48" s="271"/>
      <c r="C48" s="272"/>
      <c r="D48" s="271"/>
      <c r="E48" s="273"/>
      <c r="F48" s="272"/>
      <c r="G48" s="273"/>
      <c r="H48" s="274"/>
      <c r="I48" s="261"/>
      <c r="J48" s="260"/>
      <c r="K48" s="261"/>
      <c r="L48" s="260"/>
      <c r="M48" s="262"/>
      <c r="N48" s="173" t="s">
        <v>1803</v>
      </c>
      <c r="O48" s="174" t="s">
        <v>1723</v>
      </c>
      <c r="P48" s="294" t="str">
        <f>'Non-OMS Data Transfer'!V30</f>
        <v>N/A</v>
      </c>
      <c r="Q48" s="293" t="str">
        <f>'Non-OMS Data Transfer'!W30</f>
        <v>Invalid or No Non-OMS Combination for Data Type and Formats</v>
      </c>
    </row>
    <row r="49" spans="1:17" ht="127.5" customHeight="1" thickBot="1" x14ac:dyDescent="0.3">
      <c r="A49" s="264"/>
      <c r="B49" s="264"/>
      <c r="C49" s="266"/>
      <c r="D49" s="264"/>
      <c r="E49" s="268"/>
      <c r="F49" s="266"/>
      <c r="G49" s="268"/>
      <c r="H49" s="270"/>
      <c r="I49" s="261"/>
      <c r="J49" s="260"/>
      <c r="K49" s="261"/>
      <c r="L49" s="260"/>
      <c r="M49" s="262"/>
      <c r="N49" s="173" t="s">
        <v>1804</v>
      </c>
      <c r="O49" s="174" t="s">
        <v>1723</v>
      </c>
      <c r="P49" s="294" t="str">
        <f>'Non-OMS Data Transfer'!V31</f>
        <v>N/A</v>
      </c>
      <c r="Q49" s="293" t="str">
        <f>'Non-OMS Data Transfer'!W31</f>
        <v>Invalid or No Non-OMS Combination for Data Type and Formats</v>
      </c>
    </row>
    <row r="50" spans="1:17" ht="285" customHeight="1" thickBot="1" x14ac:dyDescent="0.3">
      <c r="A50" s="263" t="s">
        <v>1805</v>
      </c>
      <c r="B50" s="263" t="s">
        <v>1799</v>
      </c>
      <c r="C50" s="265" t="b">
        <f>AND((OR(IF(F50=TRUE,TRUE,FALSE),IF(F50="N/A",TRUE,FALSE))),H50=TRUE)</f>
        <v>1</v>
      </c>
      <c r="D50" s="263"/>
      <c r="E50" s="267"/>
      <c r="F50" s="265" t="s">
        <v>338</v>
      </c>
      <c r="G50" s="267" t="s">
        <v>626</v>
      </c>
      <c r="H50" s="269" t="b">
        <f>AND(M46,M50,M51)</f>
        <v>1</v>
      </c>
      <c r="I50" s="173" t="s">
        <v>1806</v>
      </c>
      <c r="J50" s="182">
        <v>3</v>
      </c>
      <c r="K50" s="173" t="s">
        <v>627</v>
      </c>
      <c r="L50" s="182" t="s">
        <v>600</v>
      </c>
      <c r="M50" s="70" t="b">
        <f>AND(OR(IF(P50=TRUE,TRUE,FALSE),(IF(P50="N/A",NOT(ISBLANK(Q50))))))</f>
        <v>1</v>
      </c>
      <c r="N50" s="173" t="s">
        <v>1807</v>
      </c>
      <c r="O50" s="174" t="s">
        <v>1723</v>
      </c>
      <c r="P50" s="294" t="b">
        <f>'OMS Data Transfer'!T32</f>
        <v>1</v>
      </c>
      <c r="Q50" s="293" t="s">
        <v>1853</v>
      </c>
    </row>
    <row r="51" spans="1:17" ht="147" customHeight="1" thickBot="1" x14ac:dyDescent="0.3">
      <c r="A51" s="271"/>
      <c r="B51" s="271"/>
      <c r="C51" s="272"/>
      <c r="D51" s="271"/>
      <c r="E51" s="273"/>
      <c r="F51" s="272"/>
      <c r="G51" s="273"/>
      <c r="H51" s="274"/>
      <c r="I51" s="261" t="s">
        <v>1808</v>
      </c>
      <c r="J51" s="260">
        <v>3</v>
      </c>
      <c r="K51" s="261" t="s">
        <v>1873</v>
      </c>
      <c r="L51" s="260" t="s">
        <v>628</v>
      </c>
      <c r="M51" s="262" t="b">
        <f>AND(OR(IF(P51=TRUE,TRUE,FALSE),(IF(P51="N/A",NOT(ISBLANK(Q51))))),(OR(IF(P52=TRUE,TRUE,FALSE),(IF(P52="N/A",NOT(ISBLANK(Q52)))))),(OR(IF(P53=TRUE,TRUE,FALSE),(IF(P53="N/A",NOT(ISBLANK(Q53)))))))</f>
        <v>1</v>
      </c>
      <c r="N51" s="173" t="s">
        <v>1809</v>
      </c>
      <c r="O51" s="174" t="s">
        <v>1723</v>
      </c>
      <c r="P51" s="294" t="b">
        <f>'Non-OMS Data Transfer'!V33</f>
        <v>1</v>
      </c>
      <c r="Q51" s="293" t="s">
        <v>1853</v>
      </c>
    </row>
    <row r="52" spans="1:17" ht="182.25" customHeight="1" thickBot="1" x14ac:dyDescent="0.3">
      <c r="A52" s="271"/>
      <c r="B52" s="271"/>
      <c r="C52" s="272"/>
      <c r="D52" s="271"/>
      <c r="E52" s="273"/>
      <c r="F52" s="272"/>
      <c r="G52" s="273"/>
      <c r="H52" s="274"/>
      <c r="I52" s="261"/>
      <c r="J52" s="260"/>
      <c r="K52" s="261"/>
      <c r="L52" s="260"/>
      <c r="M52" s="262"/>
      <c r="N52" s="173" t="s">
        <v>1878</v>
      </c>
      <c r="O52" s="174" t="s">
        <v>669</v>
      </c>
      <c r="P52" s="294" t="str">
        <f>'Non-OMS Data Transfer'!V34</f>
        <v>N/A</v>
      </c>
      <c r="Q52" s="293" t="str">
        <f>'Non-OMS Data Transfer'!W34</f>
        <v>Invalid or No Non-OMS Combination for Data Type and Formats</v>
      </c>
    </row>
    <row r="53" spans="1:17" ht="79.900000000000006" customHeight="1" thickBot="1" x14ac:dyDescent="0.3">
      <c r="A53" s="264"/>
      <c r="B53" s="264"/>
      <c r="C53" s="266"/>
      <c r="D53" s="264"/>
      <c r="E53" s="268"/>
      <c r="F53" s="266"/>
      <c r="G53" s="268"/>
      <c r="H53" s="270"/>
      <c r="I53" s="261"/>
      <c r="J53" s="260"/>
      <c r="K53" s="261"/>
      <c r="L53" s="260"/>
      <c r="M53" s="262"/>
      <c r="N53" s="173" t="s">
        <v>1810</v>
      </c>
      <c r="O53" s="174" t="s">
        <v>1723</v>
      </c>
      <c r="P53" s="294" t="str">
        <f>'Non-OMS Data Transfer'!V36</f>
        <v>N/A</v>
      </c>
      <c r="Q53" s="293" t="str">
        <f>'Non-OMS Data Transfer'!W36</f>
        <v>Invalid or No Non-OMS Combination for Data Type and Formats</v>
      </c>
    </row>
    <row r="54" spans="1:17" ht="141" customHeight="1" thickBot="1" x14ac:dyDescent="0.3">
      <c r="A54" s="263" t="s">
        <v>1811</v>
      </c>
      <c r="B54" s="263" t="s">
        <v>1812</v>
      </c>
      <c r="C54" s="265" t="b">
        <f>AND((OR(IF(F54=TRUE,TRUE,FALSE),IF(F54="N/A",TRUE,FALSE))),H54=TRUE)</f>
        <v>1</v>
      </c>
      <c r="D54" s="263"/>
      <c r="E54" s="267"/>
      <c r="F54" s="265" t="s">
        <v>338</v>
      </c>
      <c r="G54" s="267" t="s">
        <v>629</v>
      </c>
      <c r="H54" s="269" t="b">
        <f>AND(M54,M58)</f>
        <v>1</v>
      </c>
      <c r="I54" s="261" t="s">
        <v>1813</v>
      </c>
      <c r="J54" s="260" t="s">
        <v>596</v>
      </c>
      <c r="K54" s="261" t="s">
        <v>1851</v>
      </c>
      <c r="L54" s="260" t="s">
        <v>625</v>
      </c>
      <c r="M54" s="262" t="b">
        <f>AND(OR(IF(P54=TRUE,TRUE,FALSE),(IF(P54="N/A",NOT(ISBLANK(Q54))))),(OR(IF(P55=TRUE,TRUE,FALSE),(IF(P55="N/A",NOT(ISBLANK(Q55)))))),(OR(IF(P56=TRUE,TRUE,FALSE),(IF(P56="N/A",NOT(ISBLANK(Q56)))))),(OR(IF(P57=TRUE,TRUE,FALSE),(IF(P57="N/A",NOT(ISBLANK(Q57)))))))</f>
        <v>1</v>
      </c>
      <c r="N54" s="173" t="s">
        <v>1814</v>
      </c>
      <c r="O54" s="174" t="s">
        <v>1723</v>
      </c>
      <c r="P54" s="294" t="str">
        <f>'OMS Data Transfer'!T37</f>
        <v>N/A</v>
      </c>
      <c r="Q54" s="293" t="str">
        <f>'OMS Data Transfer'!U37</f>
        <v>No OMS Data Transfer</v>
      </c>
    </row>
    <row r="55" spans="1:17" ht="79.900000000000006" customHeight="1" thickBot="1" x14ac:dyDescent="0.3">
      <c r="A55" s="271"/>
      <c r="B55" s="271"/>
      <c r="C55" s="272"/>
      <c r="D55" s="271"/>
      <c r="E55" s="273"/>
      <c r="F55" s="272"/>
      <c r="G55" s="273"/>
      <c r="H55" s="274"/>
      <c r="I55" s="261"/>
      <c r="J55" s="260"/>
      <c r="K55" s="261"/>
      <c r="L55" s="260"/>
      <c r="M55" s="262"/>
      <c r="N55" s="173" t="s">
        <v>1815</v>
      </c>
      <c r="O55" s="174" t="s">
        <v>1723</v>
      </c>
      <c r="P55" s="294" t="str">
        <f>'Non-OMS Data Transfer'!V29</f>
        <v>N/A</v>
      </c>
      <c r="Q55" s="293" t="str">
        <f>'Non-OMS Data Transfer'!W29</f>
        <v>Invalid or No Non-OMS Combination for Data Type and Formats</v>
      </c>
    </row>
    <row r="56" spans="1:17" ht="79.900000000000006" customHeight="1" thickBot="1" x14ac:dyDescent="0.3">
      <c r="A56" s="271"/>
      <c r="B56" s="271"/>
      <c r="C56" s="272"/>
      <c r="D56" s="271"/>
      <c r="E56" s="273"/>
      <c r="F56" s="272"/>
      <c r="G56" s="273"/>
      <c r="H56" s="274"/>
      <c r="I56" s="261"/>
      <c r="J56" s="260"/>
      <c r="K56" s="261"/>
      <c r="L56" s="260"/>
      <c r="M56" s="262"/>
      <c r="N56" s="173" t="s">
        <v>1816</v>
      </c>
      <c r="O56" s="174" t="s">
        <v>1723</v>
      </c>
      <c r="P56" s="294" t="str">
        <f>'Non-OMS Data Transfer'!V30</f>
        <v>N/A</v>
      </c>
      <c r="Q56" s="293" t="str">
        <f>'Non-OMS Data Transfer'!W30</f>
        <v>Invalid or No Non-OMS Combination for Data Type and Formats</v>
      </c>
    </row>
    <row r="57" spans="1:17" ht="129" customHeight="1" thickBot="1" x14ac:dyDescent="0.3">
      <c r="A57" s="271"/>
      <c r="B57" s="271"/>
      <c r="C57" s="272"/>
      <c r="D57" s="271"/>
      <c r="E57" s="273"/>
      <c r="F57" s="272"/>
      <c r="G57" s="273"/>
      <c r="H57" s="274"/>
      <c r="I57" s="261"/>
      <c r="J57" s="260"/>
      <c r="K57" s="261"/>
      <c r="L57" s="260"/>
      <c r="M57" s="262"/>
      <c r="N57" s="173" t="s">
        <v>1817</v>
      </c>
      <c r="O57" s="174" t="s">
        <v>1723</v>
      </c>
      <c r="P57" s="294" t="str">
        <f>'Non-OMS Data Transfer'!V31</f>
        <v>N/A</v>
      </c>
      <c r="Q57" s="293" t="str">
        <f>'Non-OMS Data Transfer'!W31</f>
        <v>Invalid or No Non-OMS Combination for Data Type and Formats</v>
      </c>
    </row>
    <row r="58" spans="1:17" ht="96" customHeight="1" thickBot="1" x14ac:dyDescent="0.3">
      <c r="A58" s="271"/>
      <c r="B58" s="271"/>
      <c r="C58" s="272"/>
      <c r="D58" s="271"/>
      <c r="E58" s="273"/>
      <c r="F58" s="272"/>
      <c r="G58" s="273"/>
      <c r="H58" s="274"/>
      <c r="I58" s="261" t="s">
        <v>1818</v>
      </c>
      <c r="J58" s="260" t="s">
        <v>596</v>
      </c>
      <c r="K58" s="261" t="s">
        <v>1874</v>
      </c>
      <c r="L58" s="260" t="s">
        <v>630</v>
      </c>
      <c r="M58" s="262" t="b">
        <f>AND(OR(IF(P58=TRUE,TRUE,FALSE),(IF(P58="N/A",NOT(ISBLANK(Q58))))),(OR(IF(P59=TRUE,TRUE,FALSE),(IF(P59="N/A",NOT(ISBLANK(Q59)))))),(OR(IF(P60=TRUE,TRUE,FALSE),(IF(P60="N/A",NOT(ISBLANK(Q60)))))))</f>
        <v>1</v>
      </c>
      <c r="N58" s="173" t="s">
        <v>1819</v>
      </c>
      <c r="O58" s="174" t="s">
        <v>1723</v>
      </c>
      <c r="P58" s="294" t="b">
        <f>'Non-OMS Data Transfer'!V33</f>
        <v>1</v>
      </c>
      <c r="Q58" s="293" t="s">
        <v>1853</v>
      </c>
    </row>
    <row r="59" spans="1:17" ht="165" customHeight="1" thickBot="1" x14ac:dyDescent="0.3">
      <c r="A59" s="271"/>
      <c r="B59" s="271"/>
      <c r="C59" s="272"/>
      <c r="D59" s="271"/>
      <c r="E59" s="273"/>
      <c r="F59" s="272"/>
      <c r="G59" s="273"/>
      <c r="H59" s="274"/>
      <c r="I59" s="261"/>
      <c r="J59" s="260"/>
      <c r="K59" s="261"/>
      <c r="L59" s="260"/>
      <c r="M59" s="262"/>
      <c r="N59" s="173" t="s">
        <v>1879</v>
      </c>
      <c r="O59" s="174" t="s">
        <v>669</v>
      </c>
      <c r="P59" s="294" t="str">
        <f>'Non-OMS Data Transfer'!V35</f>
        <v>N/A</v>
      </c>
      <c r="Q59" s="293" t="str">
        <f>'Non-OMS Data Transfer'!W35</f>
        <v>Invalid or No Non-OMS Combination for Data Type and Formats</v>
      </c>
    </row>
    <row r="60" spans="1:17" ht="79.900000000000006" customHeight="1" thickBot="1" x14ac:dyDescent="0.3">
      <c r="A60" s="264"/>
      <c r="B60" s="264"/>
      <c r="C60" s="266"/>
      <c r="D60" s="264"/>
      <c r="E60" s="268"/>
      <c r="F60" s="266"/>
      <c r="G60" s="268"/>
      <c r="H60" s="270"/>
      <c r="I60" s="261"/>
      <c r="J60" s="260"/>
      <c r="K60" s="261"/>
      <c r="L60" s="260"/>
      <c r="M60" s="262"/>
      <c r="N60" s="173" t="s">
        <v>1820</v>
      </c>
      <c r="O60" s="174" t="s">
        <v>1723</v>
      </c>
      <c r="P60" s="294" t="str">
        <f>'Non-OMS Data Transfer'!V36</f>
        <v>N/A</v>
      </c>
      <c r="Q60" s="293" t="str">
        <f>'Non-OMS Data Transfer'!W36</f>
        <v>Invalid or No Non-OMS Combination for Data Type and Formats</v>
      </c>
    </row>
    <row r="61" spans="1:17" ht="170.25" customHeight="1" thickBot="1" x14ac:dyDescent="0.3">
      <c r="A61" s="263" t="s">
        <v>1821</v>
      </c>
      <c r="B61" s="263" t="s">
        <v>1822</v>
      </c>
      <c r="C61" s="265" t="b">
        <f>AND((OR(IF(F61=TRUE,TRUE,FALSE),IF(F61="N/A",TRUE,FALSE))),H61=TRUE)</f>
        <v>0</v>
      </c>
      <c r="D61" s="263"/>
      <c r="E61" s="267"/>
      <c r="F61" s="265" t="s">
        <v>338</v>
      </c>
      <c r="G61" s="267" t="s">
        <v>629</v>
      </c>
      <c r="H61" s="269" t="b">
        <f>AND(M61,M62)</f>
        <v>0</v>
      </c>
      <c r="I61" s="173" t="s">
        <v>1823</v>
      </c>
      <c r="J61" s="182" t="s">
        <v>596</v>
      </c>
      <c r="K61" s="173"/>
      <c r="L61" s="182" t="s">
        <v>598</v>
      </c>
      <c r="M61" s="70" t="b">
        <f>AND(OR(IF(P61=TRUE,TRUE,FALSE),(IF(P61="N/A",NOT(ISBLANK(Q61))))))</f>
        <v>0</v>
      </c>
      <c r="N61" s="173" t="s">
        <v>1824</v>
      </c>
      <c r="O61" s="174" t="s">
        <v>601</v>
      </c>
      <c r="P61" s="183" t="s">
        <v>631</v>
      </c>
      <c r="Q61" s="180"/>
    </row>
    <row r="62" spans="1:17" ht="79.900000000000006" customHeight="1" thickBot="1" x14ac:dyDescent="0.3">
      <c r="A62" s="271"/>
      <c r="B62" s="271"/>
      <c r="C62" s="272"/>
      <c r="D62" s="271"/>
      <c r="E62" s="273"/>
      <c r="F62" s="272"/>
      <c r="G62" s="273"/>
      <c r="H62" s="274"/>
      <c r="I62" s="261" t="s">
        <v>1825</v>
      </c>
      <c r="J62" s="260" t="s">
        <v>596</v>
      </c>
      <c r="K62" s="261" t="s">
        <v>632</v>
      </c>
      <c r="L62" s="260" t="s">
        <v>633</v>
      </c>
      <c r="M62" s="262" t="b">
        <f>AND(OR(IF(P62=TRUE,TRUE,FALSE),(IF(P62="N/A",NOT(ISBLANK(Q62))))),(OR(IF(P63=TRUE,TRUE,FALSE),(IF(P63="N/A",NOT(ISBLANK(Q63)))))))</f>
        <v>0</v>
      </c>
      <c r="N62" s="173" t="s">
        <v>1826</v>
      </c>
      <c r="O62" s="174" t="s">
        <v>623</v>
      </c>
      <c r="P62" s="183" t="s">
        <v>602</v>
      </c>
      <c r="Q62" s="180"/>
    </row>
    <row r="63" spans="1:17" ht="108.75" customHeight="1" thickBot="1" x14ac:dyDescent="0.3">
      <c r="A63" s="264"/>
      <c r="B63" s="264"/>
      <c r="C63" s="266"/>
      <c r="D63" s="264"/>
      <c r="E63" s="268"/>
      <c r="F63" s="266"/>
      <c r="G63" s="268"/>
      <c r="H63" s="270"/>
      <c r="I63" s="261"/>
      <c r="J63" s="260"/>
      <c r="K63" s="261"/>
      <c r="L63" s="260"/>
      <c r="M63" s="262"/>
      <c r="N63" s="173" t="s">
        <v>1827</v>
      </c>
      <c r="O63" s="174" t="s">
        <v>623</v>
      </c>
      <c r="P63" s="183" t="s">
        <v>634</v>
      </c>
      <c r="Q63" s="180"/>
    </row>
    <row r="64" spans="1:17" ht="127.5" customHeight="1" thickBot="1" x14ac:dyDescent="0.3">
      <c r="A64" s="263" t="s">
        <v>1828</v>
      </c>
      <c r="B64" s="263" t="s">
        <v>1829</v>
      </c>
      <c r="C64" s="265" t="b">
        <f>AND((OR(IF(F64=TRUE,TRUE,FALSE),IF(F64="N/A",TRUE,FALSE))),H64=TRUE)</f>
        <v>0</v>
      </c>
      <c r="D64" s="263"/>
      <c r="E64" s="267"/>
      <c r="F64" s="265" t="s">
        <v>338</v>
      </c>
      <c r="G64" s="267" t="s">
        <v>626</v>
      </c>
      <c r="H64" s="269" t="b">
        <f>AND(M64,M65,M66)</f>
        <v>0</v>
      </c>
      <c r="I64" s="173" t="s">
        <v>1830</v>
      </c>
      <c r="J64" s="182" t="s">
        <v>596</v>
      </c>
      <c r="K64" s="173" t="s">
        <v>1831</v>
      </c>
      <c r="L64" s="182" t="s">
        <v>598</v>
      </c>
      <c r="M64" s="70" t="b">
        <f>AND(OR(IF(P64=TRUE,TRUE,FALSE),(IF(P64="N/A",NOT(ISBLANK(Q64))))))</f>
        <v>0</v>
      </c>
      <c r="N64" s="173" t="s">
        <v>1832</v>
      </c>
      <c r="O64" s="174" t="s">
        <v>601</v>
      </c>
      <c r="P64" s="183" t="s">
        <v>631</v>
      </c>
      <c r="Q64" s="180"/>
    </row>
    <row r="65" spans="1:17" ht="121.5" customHeight="1" thickBot="1" x14ac:dyDescent="0.3">
      <c r="A65" s="271"/>
      <c r="B65" s="271"/>
      <c r="C65" s="272"/>
      <c r="D65" s="271"/>
      <c r="E65" s="273"/>
      <c r="F65" s="272"/>
      <c r="G65" s="273"/>
      <c r="H65" s="274"/>
      <c r="I65" s="173" t="s">
        <v>1833</v>
      </c>
      <c r="J65" s="182" t="s">
        <v>596</v>
      </c>
      <c r="K65" s="173" t="s">
        <v>1831</v>
      </c>
      <c r="L65" s="182" t="s">
        <v>600</v>
      </c>
      <c r="M65" s="70" t="b">
        <f>AND(OR(IF(P65=TRUE,TRUE,FALSE),(IF(P65="N/A",NOT(ISBLANK(Q65))))))</f>
        <v>0</v>
      </c>
      <c r="N65" s="173" t="s">
        <v>1834</v>
      </c>
      <c r="O65" s="174" t="s">
        <v>601</v>
      </c>
      <c r="P65" s="183" t="s">
        <v>602</v>
      </c>
      <c r="Q65" s="180"/>
    </row>
    <row r="66" spans="1:17" ht="79.900000000000006" customHeight="1" thickBot="1" x14ac:dyDescent="0.3">
      <c r="A66" s="271"/>
      <c r="B66" s="271"/>
      <c r="C66" s="272"/>
      <c r="D66" s="271"/>
      <c r="E66" s="273"/>
      <c r="F66" s="272"/>
      <c r="G66" s="273"/>
      <c r="H66" s="274"/>
      <c r="I66" s="261" t="s">
        <v>1835</v>
      </c>
      <c r="J66" s="260" t="s">
        <v>596</v>
      </c>
      <c r="K66" s="261"/>
      <c r="L66" s="260" t="s">
        <v>603</v>
      </c>
      <c r="M66" s="262" t="b">
        <f>AND(OR(IF(P66=TRUE,TRUE,FALSE),(IF(P66="N/A",NOT(ISBLANK(Q66))))),(OR(IF(P67=TRUE,TRUE,FALSE),(IF(P67="N/A",NOT(ISBLANK(Q67)))))))</f>
        <v>0</v>
      </c>
      <c r="N66" s="173" t="s">
        <v>1836</v>
      </c>
      <c r="O66" s="174" t="s">
        <v>623</v>
      </c>
      <c r="P66" s="183" t="s">
        <v>635</v>
      </c>
      <c r="Q66" s="180"/>
    </row>
    <row r="67" spans="1:17" ht="79.900000000000006" customHeight="1" thickBot="1" x14ac:dyDescent="0.3">
      <c r="A67" s="264"/>
      <c r="B67" s="264"/>
      <c r="C67" s="266"/>
      <c r="D67" s="264"/>
      <c r="E67" s="268"/>
      <c r="F67" s="266"/>
      <c r="G67" s="268"/>
      <c r="H67" s="270"/>
      <c r="I67" s="261"/>
      <c r="J67" s="260"/>
      <c r="K67" s="261"/>
      <c r="L67" s="260"/>
      <c r="M67" s="262"/>
      <c r="N67" s="173" t="s">
        <v>1837</v>
      </c>
      <c r="O67" s="174" t="s">
        <v>623</v>
      </c>
      <c r="P67" s="183" t="s">
        <v>636</v>
      </c>
      <c r="Q67" s="180"/>
    </row>
    <row r="68" spans="1:17" ht="148.5" customHeight="1" thickBot="1" x14ac:dyDescent="0.3">
      <c r="A68" s="175" t="s">
        <v>1838</v>
      </c>
      <c r="B68" s="176" t="s">
        <v>1839</v>
      </c>
      <c r="C68" s="177" t="b">
        <f>AND((OR(IF(F68=TRUE,TRUE,FALSE),IF(F68="N/A",TRUE,FALSE))),H68=TRUE)</f>
        <v>0</v>
      </c>
      <c r="D68" s="176"/>
      <c r="E68" s="178"/>
      <c r="F68" s="177" t="s">
        <v>338</v>
      </c>
      <c r="G68" s="178" t="s">
        <v>621</v>
      </c>
      <c r="H68" s="181" t="b">
        <f>AND(M68)</f>
        <v>0</v>
      </c>
      <c r="I68" s="173" t="s">
        <v>1840</v>
      </c>
      <c r="J68" s="182" t="s">
        <v>596</v>
      </c>
      <c r="K68" s="173" t="s">
        <v>1831</v>
      </c>
      <c r="L68" s="182" t="s">
        <v>598</v>
      </c>
      <c r="M68" s="70" t="b">
        <f>AND(OR(IF(P68=TRUE,TRUE,FALSE),(IF(P68="N/A",NOT(ISBLANK(Q68))))))</f>
        <v>0</v>
      </c>
      <c r="N68" s="173" t="s">
        <v>1841</v>
      </c>
      <c r="O68" s="174" t="s">
        <v>601</v>
      </c>
      <c r="P68" s="183" t="s">
        <v>631</v>
      </c>
      <c r="Q68" s="180"/>
    </row>
    <row r="69" spans="1:17" ht="150" customHeight="1" thickBot="1" x14ac:dyDescent="0.3">
      <c r="A69" s="263" t="s">
        <v>1842</v>
      </c>
      <c r="B69" s="263" t="s">
        <v>1843</v>
      </c>
      <c r="C69" s="265" t="b">
        <f>AND((OR(IF(F69=TRUE,TRUE,FALSE),IF(F69="N/A",TRUE,FALSE))),H69=TRUE)</f>
        <v>0</v>
      </c>
      <c r="D69" s="263"/>
      <c r="E69" s="267"/>
      <c r="F69" s="265" t="s">
        <v>338</v>
      </c>
      <c r="G69" s="267" t="s">
        <v>621</v>
      </c>
      <c r="H69" s="269" t="b">
        <f>AND(M69)</f>
        <v>0</v>
      </c>
      <c r="I69" s="261" t="s">
        <v>1844</v>
      </c>
      <c r="J69" s="260" t="s">
        <v>596</v>
      </c>
      <c r="K69" s="261" t="s">
        <v>1852</v>
      </c>
      <c r="L69" s="260" t="s">
        <v>622</v>
      </c>
      <c r="M69" s="262" t="b">
        <f>IF(P69=TRUE,TRUE,(AND((OR(IF(P70=TRUE,TRUE,FALSE),(IF(P70="N/A",NOT(ISBLANK(Q70)))))))))</f>
        <v>0</v>
      </c>
      <c r="N69" s="173" t="s">
        <v>1845</v>
      </c>
      <c r="O69" s="174" t="s">
        <v>601</v>
      </c>
      <c r="P69" s="183" t="s">
        <v>631</v>
      </c>
      <c r="Q69" s="180"/>
    </row>
    <row r="70" spans="1:17" ht="104.25" customHeight="1" thickBot="1" x14ac:dyDescent="0.3">
      <c r="A70" s="264"/>
      <c r="B70" s="264"/>
      <c r="C70" s="266"/>
      <c r="D70" s="264"/>
      <c r="E70" s="268"/>
      <c r="F70" s="266"/>
      <c r="G70" s="268"/>
      <c r="H70" s="270"/>
      <c r="I70" s="261"/>
      <c r="J70" s="260"/>
      <c r="K70" s="261"/>
      <c r="L70" s="260"/>
      <c r="M70" s="262"/>
      <c r="N70" s="173" t="s">
        <v>1846</v>
      </c>
      <c r="O70" s="174" t="s">
        <v>601</v>
      </c>
      <c r="P70" s="183" t="s">
        <v>624</v>
      </c>
      <c r="Q70" s="180"/>
    </row>
  </sheetData>
  <sheetProtection algorithmName="SHA-512" hashValue="xALNXcWkdDGBkID5qBFvUwwUwJAEW5lEs8vsX3jXKo35MJnjBz/r2XwLlFYnXu/10fxvMu8/X5nEEt2n2P+GrQ==" saltValue="vgMav5hYjQl9TnH1Fn+WQg==" spinCount="100000" sheet="1" objects="1" scenarios="1" sort="0" autoFilter="0"/>
  <autoFilter ref="A1:Q70" xr:uid="{9BC21A30-80A5-4706-9135-FFEDDE72D46F}"/>
  <mergeCells count="222">
    <mergeCell ref="M8:M9"/>
    <mergeCell ref="I10:I11"/>
    <mergeCell ref="J10:J11"/>
    <mergeCell ref="K10:K11"/>
    <mergeCell ref="L10:L11"/>
    <mergeCell ref="M10:M11"/>
    <mergeCell ref="M4:M5"/>
    <mergeCell ref="I6:I7"/>
    <mergeCell ref="J6:J7"/>
    <mergeCell ref="K6:K7"/>
    <mergeCell ref="L6:L7"/>
    <mergeCell ref="M6:M7"/>
    <mergeCell ref="I4:I5"/>
    <mergeCell ref="J4:J5"/>
    <mergeCell ref="K4:K5"/>
    <mergeCell ref="L4:L5"/>
    <mergeCell ref="I8:I9"/>
    <mergeCell ref="J8:J9"/>
    <mergeCell ref="K8:K9"/>
    <mergeCell ref="L8:L9"/>
    <mergeCell ref="I12:I13"/>
    <mergeCell ref="J12:J13"/>
    <mergeCell ref="K12:K13"/>
    <mergeCell ref="L12:L13"/>
    <mergeCell ref="M12:M13"/>
    <mergeCell ref="I14:I15"/>
    <mergeCell ref="J14:J15"/>
    <mergeCell ref="K14:K15"/>
    <mergeCell ref="L14:L15"/>
    <mergeCell ref="M14:M15"/>
    <mergeCell ref="I16:I17"/>
    <mergeCell ref="J16:J17"/>
    <mergeCell ref="K16:K17"/>
    <mergeCell ref="L16:L17"/>
    <mergeCell ref="M16:M17"/>
    <mergeCell ref="L18:L19"/>
    <mergeCell ref="M18:M19"/>
    <mergeCell ref="I18:I19"/>
    <mergeCell ref="J18:J19"/>
    <mergeCell ref="K18:K19"/>
    <mergeCell ref="E22:E25"/>
    <mergeCell ref="F22:F25"/>
    <mergeCell ref="G22:G25"/>
    <mergeCell ref="H22:H25"/>
    <mergeCell ref="J20:J21"/>
    <mergeCell ref="K20:K21"/>
    <mergeCell ref="L20:L21"/>
    <mergeCell ref="M20:M21"/>
    <mergeCell ref="I22:I25"/>
    <mergeCell ref="J22:J25"/>
    <mergeCell ref="K22:K25"/>
    <mergeCell ref="L22:L25"/>
    <mergeCell ref="M22:M25"/>
    <mergeCell ref="I20:I21"/>
    <mergeCell ref="J62:J63"/>
    <mergeCell ref="K62:K63"/>
    <mergeCell ref="L62:L63"/>
    <mergeCell ref="M62:M63"/>
    <mergeCell ref="F64:F67"/>
    <mergeCell ref="G64:G67"/>
    <mergeCell ref="H64:H67"/>
    <mergeCell ref="I66:I67"/>
    <mergeCell ref="A50:A53"/>
    <mergeCell ref="B50:B53"/>
    <mergeCell ref="C50:C53"/>
    <mergeCell ref="D50:D53"/>
    <mergeCell ref="E50:E53"/>
    <mergeCell ref="F50:F53"/>
    <mergeCell ref="G50:G53"/>
    <mergeCell ref="H50:H53"/>
    <mergeCell ref="I51:I53"/>
    <mergeCell ref="A61:A63"/>
    <mergeCell ref="B61:B63"/>
    <mergeCell ref="C61:C63"/>
    <mergeCell ref="D61:D63"/>
    <mergeCell ref="E61:E63"/>
    <mergeCell ref="F61:F63"/>
    <mergeCell ref="G61:G63"/>
    <mergeCell ref="D34:D37"/>
    <mergeCell ref="E34:E37"/>
    <mergeCell ref="A2:A19"/>
    <mergeCell ref="B2:B19"/>
    <mergeCell ref="C2:C19"/>
    <mergeCell ref="D2:D19"/>
    <mergeCell ref="E2:E19"/>
    <mergeCell ref="H61:H63"/>
    <mergeCell ref="I62:I63"/>
    <mergeCell ref="A42:A45"/>
    <mergeCell ref="B42:B45"/>
    <mergeCell ref="C42:C45"/>
    <mergeCell ref="D42:D45"/>
    <mergeCell ref="E42:E45"/>
    <mergeCell ref="F42:F45"/>
    <mergeCell ref="G42:G45"/>
    <mergeCell ref="H42:H45"/>
    <mergeCell ref="I43:I45"/>
    <mergeCell ref="H26:H29"/>
    <mergeCell ref="I27:I29"/>
    <mergeCell ref="A22:A25"/>
    <mergeCell ref="B22:B25"/>
    <mergeCell ref="C22:C25"/>
    <mergeCell ref="D22:D25"/>
    <mergeCell ref="F2:F19"/>
    <mergeCell ref="G2:G19"/>
    <mergeCell ref="H2:H19"/>
    <mergeCell ref="A20:A21"/>
    <mergeCell ref="B20:B21"/>
    <mergeCell ref="C20:C21"/>
    <mergeCell ref="D20:D21"/>
    <mergeCell ref="E20:E21"/>
    <mergeCell ref="F20:F21"/>
    <mergeCell ref="G20:G21"/>
    <mergeCell ref="H20:H21"/>
    <mergeCell ref="J27:J29"/>
    <mergeCell ref="K27:K29"/>
    <mergeCell ref="L27:L29"/>
    <mergeCell ref="M27:M29"/>
    <mergeCell ref="A30:A33"/>
    <mergeCell ref="B30:B33"/>
    <mergeCell ref="C30:C33"/>
    <mergeCell ref="D30:D33"/>
    <mergeCell ref="E30:E33"/>
    <mergeCell ref="F30:F33"/>
    <mergeCell ref="G30:G33"/>
    <mergeCell ref="H30:H33"/>
    <mergeCell ref="I30:I33"/>
    <mergeCell ref="J30:J33"/>
    <mergeCell ref="K30:K33"/>
    <mergeCell ref="L30:L33"/>
    <mergeCell ref="M30:M33"/>
    <mergeCell ref="A26:A29"/>
    <mergeCell ref="B26:B29"/>
    <mergeCell ref="C26:C29"/>
    <mergeCell ref="D26:D29"/>
    <mergeCell ref="E26:E29"/>
    <mergeCell ref="F26:F29"/>
    <mergeCell ref="G26:G29"/>
    <mergeCell ref="J35:J37"/>
    <mergeCell ref="K35:K37"/>
    <mergeCell ref="L35:L37"/>
    <mergeCell ref="M35:M37"/>
    <mergeCell ref="A38:A41"/>
    <mergeCell ref="B38:B41"/>
    <mergeCell ref="C38:C41"/>
    <mergeCell ref="D38:D41"/>
    <mergeCell ref="E38:E41"/>
    <mergeCell ref="F38:F41"/>
    <mergeCell ref="G38:G41"/>
    <mergeCell ref="H38:H41"/>
    <mergeCell ref="I38:I41"/>
    <mergeCell ref="J38:J41"/>
    <mergeCell ref="K38:K41"/>
    <mergeCell ref="L38:L41"/>
    <mergeCell ref="M38:M41"/>
    <mergeCell ref="F34:F37"/>
    <mergeCell ref="G34:G37"/>
    <mergeCell ref="H34:H37"/>
    <mergeCell ref="I35:I37"/>
    <mergeCell ref="A34:A37"/>
    <mergeCell ref="B34:B37"/>
    <mergeCell ref="C34:C37"/>
    <mergeCell ref="J43:J45"/>
    <mergeCell ref="K43:K45"/>
    <mergeCell ref="L43:L45"/>
    <mergeCell ref="M43:M45"/>
    <mergeCell ref="A46:A49"/>
    <mergeCell ref="B46:B49"/>
    <mergeCell ref="C46:C49"/>
    <mergeCell ref="D46:D49"/>
    <mergeCell ref="E46:E49"/>
    <mergeCell ref="F46:F49"/>
    <mergeCell ref="G46:G49"/>
    <mergeCell ref="H46:H49"/>
    <mergeCell ref="I46:I49"/>
    <mergeCell ref="J46:J49"/>
    <mergeCell ref="K46:K49"/>
    <mergeCell ref="L46:L49"/>
    <mergeCell ref="M46:M49"/>
    <mergeCell ref="J51:J53"/>
    <mergeCell ref="K51:K53"/>
    <mergeCell ref="L51:L53"/>
    <mergeCell ref="M51:M53"/>
    <mergeCell ref="A54:A60"/>
    <mergeCell ref="B54:B60"/>
    <mergeCell ref="C54:C60"/>
    <mergeCell ref="D54:D60"/>
    <mergeCell ref="E54:E60"/>
    <mergeCell ref="F54:F60"/>
    <mergeCell ref="G54:G60"/>
    <mergeCell ref="H54:H60"/>
    <mergeCell ref="I54:I57"/>
    <mergeCell ref="J54:J57"/>
    <mergeCell ref="K54:K57"/>
    <mergeCell ref="L54:L57"/>
    <mergeCell ref="M54:M57"/>
    <mergeCell ref="I58:I60"/>
    <mergeCell ref="J58:J60"/>
    <mergeCell ref="K58:K60"/>
    <mergeCell ref="L58:L60"/>
    <mergeCell ref="M58:M60"/>
    <mergeCell ref="J66:J67"/>
    <mergeCell ref="K66:K67"/>
    <mergeCell ref="L66:L67"/>
    <mergeCell ref="M66:M67"/>
    <mergeCell ref="A69:A70"/>
    <mergeCell ref="B69:B70"/>
    <mergeCell ref="C69:C70"/>
    <mergeCell ref="D69:D70"/>
    <mergeCell ref="E69:E70"/>
    <mergeCell ref="F69:F70"/>
    <mergeCell ref="G69:G70"/>
    <mergeCell ref="H69:H70"/>
    <mergeCell ref="I69:I70"/>
    <mergeCell ref="J69:J70"/>
    <mergeCell ref="K69:K70"/>
    <mergeCell ref="L69:L70"/>
    <mergeCell ref="M69:M70"/>
    <mergeCell ref="A64:A67"/>
    <mergeCell ref="B64:B67"/>
    <mergeCell ref="C64:C67"/>
    <mergeCell ref="D64:D67"/>
    <mergeCell ref="E64:E67"/>
  </mergeCells>
  <conditionalFormatting sqref="C71:C1048576 F71:F1048576 H71:H1048576 M71:M1048576">
    <cfRule type="containsText" dxfId="103" priority="69" operator="containsText" text="N/A">
      <formula>NOT(ISERROR(SEARCH("N/A",C71)))</formula>
    </cfRule>
  </conditionalFormatting>
  <conditionalFormatting sqref="M2:M11 C2:C1048576 F2:F1048576 H2:H1048576 M20:M68 M71:M1048576">
    <cfRule type="containsText" dxfId="102" priority="59" operator="containsText" text="TRUE">
      <formula>NOT(ISERROR(SEARCH("TRUE",C2)))</formula>
    </cfRule>
    <cfRule type="containsText" dxfId="101" priority="60" operator="containsText" text="FALSE">
      <formula>NOT(ISERROR(SEARCH("FALSE",C2)))</formula>
    </cfRule>
  </conditionalFormatting>
  <conditionalFormatting sqref="M12:M19">
    <cfRule type="containsText" dxfId="100" priority="3" operator="containsText" text="FALSE">
      <formula>NOT(ISERROR(SEARCH("FALSE",M12)))</formula>
    </cfRule>
    <cfRule type="containsText" dxfId="99" priority="4" operator="containsText" text="TRUE">
      <formula>NOT(ISERROR(SEARCH("TRUE",M12)))</formula>
    </cfRule>
  </conditionalFormatting>
  <conditionalFormatting sqref="M69:M70">
    <cfRule type="containsText" dxfId="98" priority="1" operator="containsText" text="FALSE">
      <formula>NOT(ISERROR(SEARCH("FALSE",M69)))</formula>
    </cfRule>
    <cfRule type="containsText" dxfId="97" priority="2" operator="containsText" text="TRUE">
      <formula>NOT(ISERROR(SEARCH("TRUE",M69)))</formula>
    </cfRule>
  </conditionalFormatting>
  <conditionalFormatting sqref="P2:P70">
    <cfRule type="containsText" dxfId="96" priority="5" operator="containsText" text="N/A">
      <formula>NOT(ISERROR(SEARCH("N/A",P2)))</formula>
    </cfRule>
    <cfRule type="containsText" dxfId="95" priority="6" operator="containsText" text="FALSE">
      <formula>NOT(ISERROR(SEARCH("FALSE",P2)))</formula>
    </cfRule>
    <cfRule type="containsText" dxfId="94" priority="7" operator="containsText" text="TRUE">
      <formula>NOT(ISERROR(SEARCH("TRUE",P2)))</formula>
    </cfRule>
  </conditionalFormatting>
  <conditionalFormatting sqref="P2:Q2">
    <cfRule type="containsBlanks" dxfId="93" priority="54">
      <formula>LEN(TRIM(P2))=0</formula>
    </cfRule>
  </conditionalFormatting>
  <conditionalFormatting sqref="Q2:Q70">
    <cfRule type="notContainsBlanks" dxfId="92" priority="53">
      <formula>LEN(TRIM(Q2))&gt;0</formula>
    </cfRule>
  </conditionalFormatting>
  <dataValidations count="15">
    <dataValidation type="list" allowBlank="1" showInputMessage="1" showErrorMessage="1" sqref="P3 P62 P65" xr:uid="{1F777200-2F17-40B2-AD4B-13F3E04A3B99}">
      <formula1>"AC 2-1 Met?, TRUE, FALSE, N/A"</formula1>
    </dataValidation>
    <dataValidation type="list" allowBlank="1" showInputMessage="1" showErrorMessage="1" sqref="P19" xr:uid="{7280E0FB-823A-4E45-9B3B-213D63E8383A}">
      <formula1>"AC 10-2 Met?, TRUE, FALSE, N/A"</formula1>
    </dataValidation>
    <dataValidation type="list" allowBlank="1" showInputMessage="1" showErrorMessage="1" sqref="P18" xr:uid="{92E06B81-87BD-41ED-BCDE-EBE5696785AE}">
      <formula1>"AC 10-1 Met?, TRUE, N/A"</formula1>
    </dataValidation>
    <dataValidation type="list" allowBlank="1" showInputMessage="1" showErrorMessage="1" sqref="P17" xr:uid="{0F48372C-9620-46C2-8354-74F61F6F2BC9}">
      <formula1>"AC 9-2 Met?, TRUE, FALSE, N/A"</formula1>
    </dataValidation>
    <dataValidation type="list" allowBlank="1" showInputMessage="1" showErrorMessage="1" sqref="P16" xr:uid="{81D213E4-EB81-4B36-8395-D22181EBA1B1}">
      <formula1>"AC 9-1 Met?, TRUE, N/A"</formula1>
    </dataValidation>
    <dataValidation type="list" allowBlank="1" showInputMessage="1" showErrorMessage="1" sqref="P15" xr:uid="{9960ED5F-CE12-4C45-B52A-E1361886F0A5}">
      <formula1>"AC 8-2 Met?, TRUE, FALSE, N/A"</formula1>
    </dataValidation>
    <dataValidation type="list" allowBlank="1" showInputMessage="1" showErrorMessage="1" sqref="P14" xr:uid="{1E0242F2-A460-4354-B8C0-2889BB51EFD5}">
      <formula1>"AC 8-1 Met?, TRUE, N/A"</formula1>
    </dataValidation>
    <dataValidation type="list" allowBlank="1" showInputMessage="1" showErrorMessage="1" sqref="P13" xr:uid="{E55CD94D-1C0B-4B63-B626-82F0497A205A}">
      <formula1>"AC 7-2 Met?, TRUE, FALSE, N/A"</formula1>
    </dataValidation>
    <dataValidation type="list" allowBlank="1" showInputMessage="1" showErrorMessage="1" sqref="P12" xr:uid="{4CDD5182-0BA6-4E63-9DC5-57B6C7D2DEA9}">
      <formula1>"AC 7-1 Met?, TRUE, N/A"</formula1>
    </dataValidation>
    <dataValidation type="list" allowBlank="1" showInputMessage="1" showErrorMessage="1" sqref="P63" xr:uid="{FFCBFE78-1E44-4046-B3BA-918E1975A610}">
      <formula1>"AC 2-2 Met?, TRUE, FALSE, N/A"</formula1>
    </dataValidation>
    <dataValidation type="list" allowBlank="1" showInputMessage="1" showErrorMessage="1" sqref="P69" xr:uid="{A730CB2F-FCFB-4F5C-A0EC-2E83F7AC03D8}">
      <formula1>"AC 1-1 Met?, TRUE, N/A"</formula1>
    </dataValidation>
    <dataValidation type="list" allowBlank="1" showInputMessage="1" showErrorMessage="1" sqref="P70" xr:uid="{0C31F628-6F71-47BF-839E-DB731D8304E8}">
      <formula1>"AC 1-2 Met?, TRUE, FALSE, N/A"</formula1>
    </dataValidation>
    <dataValidation type="list" allowBlank="1" showInputMessage="1" showErrorMessage="1" sqref="P67" xr:uid="{C32C8EC0-D615-4377-866C-570972414120}">
      <formula1>"AC 3-2 Met?, TRUE, FALSE, N/A"</formula1>
    </dataValidation>
    <dataValidation type="list" allowBlank="1" showInputMessage="1" showErrorMessage="1" sqref="P66" xr:uid="{EA5CA86B-B067-4F35-ACF2-21A753900A09}">
      <formula1>"AC 3-1 Met?, TRUE, FALSE, N/A"</formula1>
    </dataValidation>
    <dataValidation type="list" allowBlank="1" showInputMessage="1" showErrorMessage="1" sqref="P68 P64 P61" xr:uid="{85E109DD-BC67-432A-B125-93779047AC54}">
      <formula1>"AC 1-1 Met?, TRUE, FALSE, N/A"</formula1>
    </dataValidation>
  </dataValidations>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sheetPr>
  <dimension ref="A1:H230"/>
  <sheetViews>
    <sheetView zoomScaleNormal="100" workbookViewId="0">
      <pane xSplit="3" ySplit="4" topLeftCell="D5" activePane="bottomRight" state="frozen"/>
      <selection pane="topRight"/>
      <selection pane="bottomLeft"/>
      <selection pane="bottomRight" activeCell="D5" sqref="D5"/>
    </sheetView>
  </sheetViews>
  <sheetFormatPr defaultColWidth="9.140625" defaultRowHeight="12.75" x14ac:dyDescent="0.25"/>
  <cols>
    <col min="1" max="1" width="70.5703125" style="27" customWidth="1"/>
    <col min="2" max="2" width="25.7109375" style="30" customWidth="1"/>
    <col min="3" max="3" width="17" style="30" bestFit="1" customWidth="1"/>
    <col min="4" max="4" width="42" style="27" customWidth="1"/>
    <col min="5" max="5" width="19.7109375" style="30" customWidth="1"/>
    <col min="6" max="6" width="17" style="27" hidden="1" customWidth="1"/>
    <col min="7" max="7" width="13.28515625" style="27" hidden="1" customWidth="1"/>
    <col min="8" max="8" width="0" style="27" hidden="1" customWidth="1"/>
    <col min="9" max="16384" width="9.140625" style="27"/>
  </cols>
  <sheetData>
    <row r="1" spans="1:8" ht="13.5" thickBot="1" x14ac:dyDescent="0.3">
      <c r="A1" s="15"/>
      <c r="B1" s="15"/>
      <c r="C1" s="15"/>
      <c r="D1" s="15"/>
      <c r="E1" s="15"/>
      <c r="F1" s="15"/>
      <c r="G1" s="15"/>
      <c r="H1" s="15"/>
    </row>
    <row r="2" spans="1:8" ht="13.5" thickBot="1" x14ac:dyDescent="0.3">
      <c r="A2" s="167" t="s">
        <v>1887</v>
      </c>
      <c r="B2" s="89" t="b">
        <f>AND(TRUE,F5,F6,F7,F8,F9,F13,F14,F15,F67,F73,F210,F212,F214,F222,F224,F226,F228)</f>
        <v>0</v>
      </c>
      <c r="C2" s="15"/>
      <c r="D2" s="15"/>
      <c r="E2" s="15"/>
      <c r="F2" s="15"/>
    </row>
    <row r="3" spans="1:8" ht="13.5" thickBot="1" x14ac:dyDescent="0.3">
      <c r="A3" s="15"/>
      <c r="B3" s="15"/>
      <c r="C3" s="15"/>
      <c r="D3" s="15"/>
      <c r="E3" s="15"/>
      <c r="F3" s="15"/>
      <c r="G3" s="15"/>
      <c r="H3" s="15"/>
    </row>
    <row r="4" spans="1:8" s="28" customFormat="1" ht="13.5" thickBot="1" x14ac:dyDescent="0.3">
      <c r="A4" s="60" t="s">
        <v>1495</v>
      </c>
      <c r="B4" s="60" t="s">
        <v>1496</v>
      </c>
      <c r="C4" s="60" t="s">
        <v>1497</v>
      </c>
      <c r="D4" s="60" t="s">
        <v>595</v>
      </c>
      <c r="E4" s="60" t="s">
        <v>1498</v>
      </c>
      <c r="F4" s="60" t="s">
        <v>1499</v>
      </c>
      <c r="G4" s="60" t="s">
        <v>220</v>
      </c>
      <c r="H4" s="60" t="s">
        <v>221</v>
      </c>
    </row>
    <row r="5" spans="1:8" ht="13.5" thickBot="1" x14ac:dyDescent="0.3">
      <c r="A5" s="170" t="s">
        <v>1500</v>
      </c>
      <c r="B5" s="169" t="s">
        <v>1501</v>
      </c>
      <c r="C5" s="64" t="s">
        <v>20</v>
      </c>
      <c r="D5" s="172"/>
      <c r="E5" s="89" t="b">
        <f t="shared" ref="E5:E68" si="0">IF($B5="Required",OR($C5=TRUE,AND($C5="N/A",NOT(ISBLANK($D5)))),IF($B5="Optional",TRUE,IF($B5="Required if applicable",OR($C5=TRUE,AND($C5="N/A",NOT(ISBLANK($D5)))),OR($C5=TRUE,AND($C5="N/A",NOT(ISBLANK($D5)))))))</f>
        <v>0</v>
      </c>
      <c r="F5" s="89" t="b">
        <f>AND(E5)</f>
        <v>0</v>
      </c>
      <c r="G5" s="169">
        <v>1</v>
      </c>
      <c r="H5" s="169">
        <v>5</v>
      </c>
    </row>
    <row r="6" spans="1:8" ht="13.5" thickBot="1" x14ac:dyDescent="0.3">
      <c r="A6" s="170" t="s">
        <v>1502</v>
      </c>
      <c r="B6" s="169" t="s">
        <v>1501</v>
      </c>
      <c r="C6" s="64" t="s">
        <v>20</v>
      </c>
      <c r="D6" s="172"/>
      <c r="E6" s="89" t="b">
        <f t="shared" si="0"/>
        <v>0</v>
      </c>
      <c r="F6" s="89" t="b">
        <f>AND(E6)</f>
        <v>0</v>
      </c>
      <c r="G6" s="169">
        <v>1</v>
      </c>
      <c r="H6" s="169">
        <v>6</v>
      </c>
    </row>
    <row r="7" spans="1:8" ht="13.5" thickBot="1" x14ac:dyDescent="0.3">
      <c r="A7" s="170" t="s">
        <v>8</v>
      </c>
      <c r="B7" s="169" t="s">
        <v>1501</v>
      </c>
      <c r="C7" s="64" t="s">
        <v>20</v>
      </c>
      <c r="D7" s="172"/>
      <c r="E7" s="89" t="b">
        <f t="shared" si="0"/>
        <v>0</v>
      </c>
      <c r="F7" s="89" t="b">
        <f>AND(E7)</f>
        <v>0</v>
      </c>
      <c r="G7" s="169">
        <v>1</v>
      </c>
      <c r="H7" s="169">
        <v>7</v>
      </c>
    </row>
    <row r="8" spans="1:8" ht="69.75" customHeight="1" thickBot="1" x14ac:dyDescent="0.3">
      <c r="A8" s="170" t="s">
        <v>1886</v>
      </c>
      <c r="B8" s="169" t="s">
        <v>1501</v>
      </c>
      <c r="C8" s="64" t="s">
        <v>20</v>
      </c>
      <c r="D8" s="172"/>
      <c r="E8" s="89" t="b">
        <f t="shared" si="0"/>
        <v>0</v>
      </c>
      <c r="F8" s="89" t="b">
        <f>AND(E8)</f>
        <v>0</v>
      </c>
      <c r="G8" s="169">
        <v>1</v>
      </c>
      <c r="H8" s="169">
        <v>8</v>
      </c>
    </row>
    <row r="9" spans="1:8" ht="13.5" thickBot="1" x14ac:dyDescent="0.3">
      <c r="A9" s="170" t="s">
        <v>1503</v>
      </c>
      <c r="B9" s="169" t="s">
        <v>1501</v>
      </c>
      <c r="C9" s="64" t="s">
        <v>20</v>
      </c>
      <c r="D9" s="172"/>
      <c r="E9" s="89" t="b">
        <f t="shared" si="0"/>
        <v>0</v>
      </c>
      <c r="F9" s="89" t="b">
        <f>AND(E9,F10,F11,F12)</f>
        <v>0</v>
      </c>
      <c r="G9" s="169">
        <v>1</v>
      </c>
      <c r="H9" s="169">
        <v>9</v>
      </c>
    </row>
    <row r="10" spans="1:8" ht="26.25" thickBot="1" x14ac:dyDescent="0.3">
      <c r="A10" s="170" t="s">
        <v>1504</v>
      </c>
      <c r="B10" s="169" t="s">
        <v>1501</v>
      </c>
      <c r="C10" s="64" t="s">
        <v>20</v>
      </c>
      <c r="D10" s="172"/>
      <c r="E10" s="89" t="b">
        <f t="shared" si="0"/>
        <v>0</v>
      </c>
      <c r="F10" s="89" t="b">
        <f>AND(E10)</f>
        <v>0</v>
      </c>
      <c r="G10" s="169">
        <v>2</v>
      </c>
      <c r="H10" s="169">
        <v>10</v>
      </c>
    </row>
    <row r="11" spans="1:8" ht="26.25" thickBot="1" x14ac:dyDescent="0.3">
      <c r="A11" s="170" t="s">
        <v>1888</v>
      </c>
      <c r="B11" s="169" t="s">
        <v>1501</v>
      </c>
      <c r="C11" s="64" t="s">
        <v>20</v>
      </c>
      <c r="D11" s="172"/>
      <c r="E11" s="89" t="b">
        <f t="shared" si="0"/>
        <v>0</v>
      </c>
      <c r="F11" s="89" t="b">
        <f>AND(E11)</f>
        <v>0</v>
      </c>
      <c r="G11" s="169">
        <v>2</v>
      </c>
      <c r="H11" s="169">
        <v>11</v>
      </c>
    </row>
    <row r="12" spans="1:8" ht="26.25" thickBot="1" x14ac:dyDescent="0.3">
      <c r="A12" s="170" t="s">
        <v>1889</v>
      </c>
      <c r="B12" s="169" t="s">
        <v>1501</v>
      </c>
      <c r="C12" s="64" t="s">
        <v>20</v>
      </c>
      <c r="D12" s="172"/>
      <c r="E12" s="89" t="b">
        <f t="shared" si="0"/>
        <v>0</v>
      </c>
      <c r="F12" s="89" t="b">
        <f>AND(E12)</f>
        <v>0</v>
      </c>
      <c r="G12" s="169">
        <v>2</v>
      </c>
      <c r="H12" s="169">
        <v>12</v>
      </c>
    </row>
    <row r="13" spans="1:8" ht="26.25" thickBot="1" x14ac:dyDescent="0.3">
      <c r="A13" s="170" t="s">
        <v>1718</v>
      </c>
      <c r="B13" s="169" t="s">
        <v>1501</v>
      </c>
      <c r="C13" s="64" t="s">
        <v>20</v>
      </c>
      <c r="D13" s="172"/>
      <c r="E13" s="89" t="b">
        <f t="shared" si="0"/>
        <v>0</v>
      </c>
      <c r="F13" s="89" t="b">
        <f>AND(E13)</f>
        <v>0</v>
      </c>
      <c r="G13" s="169">
        <v>1</v>
      </c>
      <c r="H13" s="169">
        <v>13</v>
      </c>
    </row>
    <row r="14" spans="1:8" ht="39" thickBot="1" x14ac:dyDescent="0.3">
      <c r="A14" s="170" t="s">
        <v>1505</v>
      </c>
      <c r="B14" s="169" t="s">
        <v>1501</v>
      </c>
      <c r="C14" s="64" t="s">
        <v>20</v>
      </c>
      <c r="D14" s="172"/>
      <c r="E14" s="89" t="b">
        <f t="shared" si="0"/>
        <v>0</v>
      </c>
      <c r="F14" s="89" t="b">
        <f>AND(E14)</f>
        <v>0</v>
      </c>
      <c r="G14" s="169">
        <v>1</v>
      </c>
      <c r="H14" s="169">
        <v>14</v>
      </c>
    </row>
    <row r="15" spans="1:8" ht="13.5" thickBot="1" x14ac:dyDescent="0.3">
      <c r="A15" s="85" t="s">
        <v>1557</v>
      </c>
      <c r="B15" s="169" t="s">
        <v>1501</v>
      </c>
      <c r="C15" s="64" t="s">
        <v>20</v>
      </c>
      <c r="D15" s="172"/>
      <c r="E15" s="89" t="b">
        <f t="shared" si="0"/>
        <v>0</v>
      </c>
      <c r="F15" s="89" t="b">
        <f>AND(E15,F16,F17,F20,F27,F28,F29,F35,F50,F52,F54,F60,F64)</f>
        <v>0</v>
      </c>
      <c r="G15" s="169">
        <v>1</v>
      </c>
      <c r="H15" s="169">
        <v>15</v>
      </c>
    </row>
    <row r="16" spans="1:8" ht="39" thickBot="1" x14ac:dyDescent="0.3">
      <c r="A16" s="170" t="s">
        <v>1506</v>
      </c>
      <c r="B16" s="169" t="s">
        <v>1501</v>
      </c>
      <c r="C16" s="64" t="s">
        <v>20</v>
      </c>
      <c r="D16" s="172"/>
      <c r="E16" s="89" t="b">
        <f t="shared" si="0"/>
        <v>0</v>
      </c>
      <c r="F16" s="89" t="b">
        <f>AND(E16)</f>
        <v>0</v>
      </c>
      <c r="G16" s="169">
        <v>2</v>
      </c>
      <c r="H16" s="169">
        <v>16</v>
      </c>
    </row>
    <row r="17" spans="1:8" ht="13.5" thickBot="1" x14ac:dyDescent="0.3">
      <c r="A17" s="85" t="s">
        <v>1558</v>
      </c>
      <c r="B17" s="169" t="s">
        <v>1501</v>
      </c>
      <c r="C17" s="64" t="s">
        <v>20</v>
      </c>
      <c r="D17" s="172"/>
      <c r="E17" s="89" t="b">
        <f t="shared" si="0"/>
        <v>0</v>
      </c>
      <c r="F17" s="89" t="b">
        <f>AND(E17,F18,F19)</f>
        <v>0</v>
      </c>
      <c r="G17" s="169">
        <v>2</v>
      </c>
      <c r="H17" s="169">
        <v>17</v>
      </c>
    </row>
    <row r="18" spans="1:8" ht="26.25" thickBot="1" x14ac:dyDescent="0.3">
      <c r="A18" s="170" t="s">
        <v>1507</v>
      </c>
      <c r="B18" s="169" t="s">
        <v>1501</v>
      </c>
      <c r="C18" s="64" t="s">
        <v>20</v>
      </c>
      <c r="D18" s="172"/>
      <c r="E18" s="89" t="b">
        <f t="shared" si="0"/>
        <v>0</v>
      </c>
      <c r="F18" s="89" t="b">
        <f>AND(E18)</f>
        <v>0</v>
      </c>
      <c r="G18" s="169">
        <v>3</v>
      </c>
      <c r="H18" s="169">
        <v>18</v>
      </c>
    </row>
    <row r="19" spans="1:8" ht="13.5" thickBot="1" x14ac:dyDescent="0.3">
      <c r="A19" s="170" t="s">
        <v>1508</v>
      </c>
      <c r="B19" s="169" t="s">
        <v>1501</v>
      </c>
      <c r="C19" s="64" t="s">
        <v>20</v>
      </c>
      <c r="D19" s="172"/>
      <c r="E19" s="89" t="b">
        <f t="shared" si="0"/>
        <v>0</v>
      </c>
      <c r="F19" s="89" t="b">
        <f>AND(E19)</f>
        <v>0</v>
      </c>
      <c r="G19" s="169">
        <v>3</v>
      </c>
      <c r="H19" s="169">
        <v>19</v>
      </c>
    </row>
    <row r="20" spans="1:8" ht="13.5" thickBot="1" x14ac:dyDescent="0.3">
      <c r="A20" s="85" t="s">
        <v>1559</v>
      </c>
      <c r="B20" s="169" t="s">
        <v>1501</v>
      </c>
      <c r="C20" s="64" t="s">
        <v>20</v>
      </c>
      <c r="D20" s="172"/>
      <c r="E20" s="89" t="b">
        <f t="shared" si="0"/>
        <v>0</v>
      </c>
      <c r="F20" s="89" t="b">
        <f>AND(E20,F21,F22,F23,F25)</f>
        <v>0</v>
      </c>
      <c r="G20" s="169">
        <v>2</v>
      </c>
      <c r="H20" s="169">
        <v>20</v>
      </c>
    </row>
    <row r="21" spans="1:8" ht="13.5" thickBot="1" x14ac:dyDescent="0.3">
      <c r="A21" s="170" t="s">
        <v>1509</v>
      </c>
      <c r="B21" s="169" t="s">
        <v>1501</v>
      </c>
      <c r="C21" s="64" t="s">
        <v>20</v>
      </c>
      <c r="D21" s="172"/>
      <c r="E21" s="89" t="b">
        <f t="shared" si="0"/>
        <v>0</v>
      </c>
      <c r="F21" s="89" t="b">
        <f>AND(E21)</f>
        <v>0</v>
      </c>
      <c r="G21" s="169">
        <v>3</v>
      </c>
      <c r="H21" s="169">
        <v>21</v>
      </c>
    </row>
    <row r="22" spans="1:8" ht="13.5" thickBot="1" x14ac:dyDescent="0.3">
      <c r="A22" s="170" t="s">
        <v>1510</v>
      </c>
      <c r="B22" s="169" t="s">
        <v>1501</v>
      </c>
      <c r="C22" s="64" t="s">
        <v>20</v>
      </c>
      <c r="D22" s="172"/>
      <c r="E22" s="89" t="b">
        <f t="shared" si="0"/>
        <v>0</v>
      </c>
      <c r="F22" s="89" t="b">
        <f>AND(E22)</f>
        <v>0</v>
      </c>
      <c r="G22" s="169">
        <v>3</v>
      </c>
      <c r="H22" s="169">
        <v>22</v>
      </c>
    </row>
    <row r="23" spans="1:8" ht="13.5" thickBot="1" x14ac:dyDescent="0.3">
      <c r="A23" s="85" t="s">
        <v>1560</v>
      </c>
      <c r="B23" s="169" t="s">
        <v>1501</v>
      </c>
      <c r="C23" s="64" t="s">
        <v>20</v>
      </c>
      <c r="D23" s="172"/>
      <c r="E23" s="89" t="b">
        <f t="shared" si="0"/>
        <v>0</v>
      </c>
      <c r="F23" s="89" t="b">
        <f>AND(E23,F24)</f>
        <v>0</v>
      </c>
      <c r="G23" s="169">
        <v>3</v>
      </c>
      <c r="H23" s="169">
        <v>23</v>
      </c>
    </row>
    <row r="24" spans="1:8" ht="13.5" thickBot="1" x14ac:dyDescent="0.3">
      <c r="A24" s="170" t="s">
        <v>1511</v>
      </c>
      <c r="B24" s="169" t="s">
        <v>1501</v>
      </c>
      <c r="C24" s="64" t="s">
        <v>20</v>
      </c>
      <c r="D24" s="172"/>
      <c r="E24" s="89" t="b">
        <f t="shared" si="0"/>
        <v>0</v>
      </c>
      <c r="F24" s="89" t="b">
        <f>AND(E24)</f>
        <v>0</v>
      </c>
      <c r="G24" s="169">
        <v>4</v>
      </c>
      <c r="H24" s="169">
        <v>24</v>
      </c>
    </row>
    <row r="25" spans="1:8" ht="13.5" thickBot="1" x14ac:dyDescent="0.3">
      <c r="A25" s="85" t="s">
        <v>1561</v>
      </c>
      <c r="B25" s="169" t="s">
        <v>1501</v>
      </c>
      <c r="C25" s="64" t="s">
        <v>20</v>
      </c>
      <c r="D25" s="172"/>
      <c r="E25" s="89" t="b">
        <f t="shared" si="0"/>
        <v>0</v>
      </c>
      <c r="F25" s="89" t="b">
        <f>AND(E25,F26)</f>
        <v>0</v>
      </c>
      <c r="G25" s="169">
        <v>3</v>
      </c>
      <c r="H25" s="169">
        <v>25</v>
      </c>
    </row>
    <row r="26" spans="1:8" ht="13.5" thickBot="1" x14ac:dyDescent="0.3">
      <c r="A26" s="170" t="s">
        <v>1512</v>
      </c>
      <c r="B26" s="169" t="s">
        <v>1501</v>
      </c>
      <c r="C26" s="64" t="s">
        <v>20</v>
      </c>
      <c r="D26" s="172"/>
      <c r="E26" s="89" t="b">
        <f t="shared" si="0"/>
        <v>0</v>
      </c>
      <c r="F26" s="89" t="b">
        <f>AND(E26)</f>
        <v>0</v>
      </c>
      <c r="G26" s="169">
        <v>4</v>
      </c>
      <c r="H26" s="169">
        <v>26</v>
      </c>
    </row>
    <row r="27" spans="1:8" ht="13.5" thickBot="1" x14ac:dyDescent="0.3">
      <c r="A27" s="85" t="s">
        <v>1562</v>
      </c>
      <c r="B27" s="169" t="s">
        <v>1501</v>
      </c>
      <c r="C27" s="64" t="s">
        <v>20</v>
      </c>
      <c r="D27" s="172"/>
      <c r="E27" s="89" t="b">
        <f t="shared" si="0"/>
        <v>0</v>
      </c>
      <c r="F27" s="89" t="b">
        <f>AND(E27)</f>
        <v>0</v>
      </c>
      <c r="G27" s="169">
        <v>2</v>
      </c>
      <c r="H27" s="169">
        <v>27</v>
      </c>
    </row>
    <row r="28" spans="1:8" ht="13.5" thickBot="1" x14ac:dyDescent="0.3">
      <c r="A28" s="85" t="s">
        <v>1563</v>
      </c>
      <c r="B28" s="169" t="s">
        <v>1501</v>
      </c>
      <c r="C28" s="64" t="s">
        <v>20</v>
      </c>
      <c r="D28" s="172"/>
      <c r="E28" s="89" t="b">
        <f t="shared" si="0"/>
        <v>0</v>
      </c>
      <c r="F28" s="89" t="b">
        <f>AND(E28)</f>
        <v>0</v>
      </c>
      <c r="G28" s="169">
        <v>2</v>
      </c>
      <c r="H28" s="169">
        <v>28</v>
      </c>
    </row>
    <row r="29" spans="1:8" ht="13.5" thickBot="1" x14ac:dyDescent="0.3">
      <c r="A29" s="85" t="s">
        <v>1564</v>
      </c>
      <c r="B29" s="169" t="s">
        <v>1501</v>
      </c>
      <c r="C29" s="64" t="s">
        <v>20</v>
      </c>
      <c r="D29" s="172"/>
      <c r="E29" s="89" t="b">
        <f t="shared" si="0"/>
        <v>0</v>
      </c>
      <c r="F29" s="89" t="b">
        <f>AND(E29,F30,F31,F33)</f>
        <v>0</v>
      </c>
      <c r="G29" s="169">
        <v>2</v>
      </c>
      <c r="H29" s="169">
        <v>29</v>
      </c>
    </row>
    <row r="30" spans="1:8" ht="26.25" thickBot="1" x14ac:dyDescent="0.3">
      <c r="A30" s="170" t="s">
        <v>1513</v>
      </c>
      <c r="B30" s="169" t="s">
        <v>1501</v>
      </c>
      <c r="C30" s="64" t="s">
        <v>20</v>
      </c>
      <c r="D30" s="172"/>
      <c r="E30" s="89" t="b">
        <f t="shared" si="0"/>
        <v>0</v>
      </c>
      <c r="F30" s="89" t="b">
        <f>AND(E30)</f>
        <v>0</v>
      </c>
      <c r="G30" s="169">
        <v>3</v>
      </c>
      <c r="H30" s="169">
        <v>30</v>
      </c>
    </row>
    <row r="31" spans="1:8" ht="13.5" thickBot="1" x14ac:dyDescent="0.3">
      <c r="A31" s="85" t="s">
        <v>1565</v>
      </c>
      <c r="B31" s="169" t="s">
        <v>1501</v>
      </c>
      <c r="C31" s="64" t="s">
        <v>20</v>
      </c>
      <c r="D31" s="172"/>
      <c r="E31" s="89" t="b">
        <f t="shared" si="0"/>
        <v>0</v>
      </c>
      <c r="F31" s="89" t="b">
        <f>AND(E31,F32)</f>
        <v>0</v>
      </c>
      <c r="G31" s="169">
        <v>3</v>
      </c>
      <c r="H31" s="169">
        <v>31</v>
      </c>
    </row>
    <row r="32" spans="1:8" ht="13.5" thickBot="1" x14ac:dyDescent="0.3">
      <c r="A32" s="170" t="s">
        <v>1514</v>
      </c>
      <c r="B32" s="169" t="s">
        <v>1501</v>
      </c>
      <c r="C32" s="64" t="s">
        <v>20</v>
      </c>
      <c r="D32" s="172"/>
      <c r="E32" s="89" t="b">
        <f t="shared" si="0"/>
        <v>0</v>
      </c>
      <c r="F32" s="89" t="b">
        <f>AND(E32)</f>
        <v>0</v>
      </c>
      <c r="G32" s="169">
        <v>4</v>
      </c>
      <c r="H32" s="169">
        <v>32</v>
      </c>
    </row>
    <row r="33" spans="1:8" ht="13.5" thickBot="1" x14ac:dyDescent="0.3">
      <c r="A33" s="85" t="s">
        <v>1566</v>
      </c>
      <c r="B33" s="169" t="s">
        <v>1501</v>
      </c>
      <c r="C33" s="64" t="s">
        <v>20</v>
      </c>
      <c r="D33" s="172"/>
      <c r="E33" s="89" t="b">
        <f t="shared" si="0"/>
        <v>0</v>
      </c>
      <c r="F33" s="89" t="b">
        <f>AND(E33,F34)</f>
        <v>0</v>
      </c>
      <c r="G33" s="169">
        <v>3</v>
      </c>
      <c r="H33" s="169">
        <v>33</v>
      </c>
    </row>
    <row r="34" spans="1:8" ht="13.5" thickBot="1" x14ac:dyDescent="0.3">
      <c r="A34" s="170" t="s">
        <v>1515</v>
      </c>
      <c r="B34" s="169" t="s">
        <v>1501</v>
      </c>
      <c r="C34" s="64" t="s">
        <v>20</v>
      </c>
      <c r="D34" s="172"/>
      <c r="E34" s="89" t="b">
        <f t="shared" si="0"/>
        <v>0</v>
      </c>
      <c r="F34" s="89" t="b">
        <f>AND(E34)</f>
        <v>0</v>
      </c>
      <c r="G34" s="169">
        <v>4</v>
      </c>
      <c r="H34" s="169">
        <v>34</v>
      </c>
    </row>
    <row r="35" spans="1:8" ht="13.5" thickBot="1" x14ac:dyDescent="0.3">
      <c r="A35" s="85" t="s">
        <v>1567</v>
      </c>
      <c r="B35" s="169" t="s">
        <v>1501</v>
      </c>
      <c r="C35" s="64" t="s">
        <v>20</v>
      </c>
      <c r="D35" s="172"/>
      <c r="E35" s="89" t="b">
        <f t="shared" si="0"/>
        <v>0</v>
      </c>
      <c r="F35" s="89" t="b">
        <f>AND(E35,F36,F38,F40,F42,F44,F46,F48,F49)</f>
        <v>0</v>
      </c>
      <c r="G35" s="169">
        <v>2</v>
      </c>
      <c r="H35" s="169">
        <v>35</v>
      </c>
    </row>
    <row r="36" spans="1:8" ht="13.5" thickBot="1" x14ac:dyDescent="0.3">
      <c r="A36" s="85" t="s">
        <v>1568</v>
      </c>
      <c r="B36" s="169" t="s">
        <v>1501</v>
      </c>
      <c r="C36" s="64" t="s">
        <v>20</v>
      </c>
      <c r="D36" s="172"/>
      <c r="E36" s="89" t="b">
        <f t="shared" si="0"/>
        <v>0</v>
      </c>
      <c r="F36" s="89" t="b">
        <f>AND(E36,F37)</f>
        <v>0</v>
      </c>
      <c r="G36" s="169">
        <v>3</v>
      </c>
      <c r="H36" s="169">
        <v>36</v>
      </c>
    </row>
    <row r="37" spans="1:8" ht="13.5" thickBot="1" x14ac:dyDescent="0.3">
      <c r="A37" s="170" t="s">
        <v>1516</v>
      </c>
      <c r="B37" s="169" t="s">
        <v>1501</v>
      </c>
      <c r="C37" s="64" t="s">
        <v>20</v>
      </c>
      <c r="D37" s="172"/>
      <c r="E37" s="89" t="b">
        <f t="shared" si="0"/>
        <v>0</v>
      </c>
      <c r="F37" s="89" t="b">
        <f>AND(E37)</f>
        <v>0</v>
      </c>
      <c r="G37" s="169">
        <v>4</v>
      </c>
      <c r="H37" s="169">
        <v>37</v>
      </c>
    </row>
    <row r="38" spans="1:8" ht="13.5" thickBot="1" x14ac:dyDescent="0.3">
      <c r="A38" s="85" t="s">
        <v>1569</v>
      </c>
      <c r="B38" s="169" t="s">
        <v>1501</v>
      </c>
      <c r="C38" s="64" t="s">
        <v>20</v>
      </c>
      <c r="D38" s="172"/>
      <c r="E38" s="89" t="b">
        <f t="shared" si="0"/>
        <v>0</v>
      </c>
      <c r="F38" s="89" t="b">
        <f>AND(E38,F39)</f>
        <v>0</v>
      </c>
      <c r="G38" s="169">
        <v>3</v>
      </c>
      <c r="H38" s="169">
        <v>38</v>
      </c>
    </row>
    <row r="39" spans="1:8" ht="13.5" thickBot="1" x14ac:dyDescent="0.3">
      <c r="A39" s="170" t="s">
        <v>1517</v>
      </c>
      <c r="B39" s="169" t="s">
        <v>1501</v>
      </c>
      <c r="C39" s="64" t="s">
        <v>20</v>
      </c>
      <c r="D39" s="172"/>
      <c r="E39" s="89" t="b">
        <f t="shared" si="0"/>
        <v>0</v>
      </c>
      <c r="F39" s="89" t="b">
        <f>AND(E39)</f>
        <v>0</v>
      </c>
      <c r="G39" s="169">
        <v>4</v>
      </c>
      <c r="H39" s="169">
        <v>39</v>
      </c>
    </row>
    <row r="40" spans="1:8" ht="13.5" thickBot="1" x14ac:dyDescent="0.3">
      <c r="A40" s="85" t="s">
        <v>1570</v>
      </c>
      <c r="B40" s="169" t="s">
        <v>1501</v>
      </c>
      <c r="C40" s="64" t="s">
        <v>20</v>
      </c>
      <c r="D40" s="172"/>
      <c r="E40" s="89" t="b">
        <f t="shared" si="0"/>
        <v>0</v>
      </c>
      <c r="F40" s="89" t="b">
        <f>AND(E40,F41)</f>
        <v>0</v>
      </c>
      <c r="G40" s="169">
        <v>3</v>
      </c>
      <c r="H40" s="169">
        <v>40</v>
      </c>
    </row>
    <row r="41" spans="1:8" ht="13.5" thickBot="1" x14ac:dyDescent="0.3">
      <c r="A41" s="170" t="s">
        <v>1518</v>
      </c>
      <c r="B41" s="169" t="s">
        <v>1501</v>
      </c>
      <c r="C41" s="64" t="s">
        <v>20</v>
      </c>
      <c r="D41" s="172"/>
      <c r="E41" s="89" t="b">
        <f t="shared" si="0"/>
        <v>0</v>
      </c>
      <c r="F41" s="89" t="b">
        <f>AND(E41)</f>
        <v>0</v>
      </c>
      <c r="G41" s="169">
        <v>4</v>
      </c>
      <c r="H41" s="169">
        <v>41</v>
      </c>
    </row>
    <row r="42" spans="1:8" ht="13.5" thickBot="1" x14ac:dyDescent="0.3">
      <c r="A42" s="85" t="s">
        <v>1571</v>
      </c>
      <c r="B42" s="169" t="s">
        <v>1501</v>
      </c>
      <c r="C42" s="64" t="s">
        <v>20</v>
      </c>
      <c r="D42" s="172"/>
      <c r="E42" s="89" t="b">
        <f t="shared" si="0"/>
        <v>0</v>
      </c>
      <c r="F42" s="89" t="b">
        <f>AND(E42,F43)</f>
        <v>0</v>
      </c>
      <c r="G42" s="169">
        <v>3</v>
      </c>
      <c r="H42" s="169">
        <v>42</v>
      </c>
    </row>
    <row r="43" spans="1:8" ht="13.5" thickBot="1" x14ac:dyDescent="0.3">
      <c r="A43" s="170" t="s">
        <v>1519</v>
      </c>
      <c r="B43" s="169" t="s">
        <v>1501</v>
      </c>
      <c r="C43" s="64" t="s">
        <v>20</v>
      </c>
      <c r="D43" s="172"/>
      <c r="E43" s="89" t="b">
        <f t="shared" si="0"/>
        <v>0</v>
      </c>
      <c r="F43" s="89" t="b">
        <f>AND(E43)</f>
        <v>0</v>
      </c>
      <c r="G43" s="169">
        <v>4</v>
      </c>
      <c r="H43" s="169">
        <v>43</v>
      </c>
    </row>
    <row r="44" spans="1:8" ht="13.5" thickBot="1" x14ac:dyDescent="0.3">
      <c r="A44" s="85" t="s">
        <v>1572</v>
      </c>
      <c r="B44" s="169" t="s">
        <v>1501</v>
      </c>
      <c r="C44" s="64" t="s">
        <v>20</v>
      </c>
      <c r="D44" s="172"/>
      <c r="E44" s="89" t="b">
        <f t="shared" si="0"/>
        <v>0</v>
      </c>
      <c r="F44" s="89" t="b">
        <f>AND(E44,F45)</f>
        <v>0</v>
      </c>
      <c r="G44" s="169">
        <v>3</v>
      </c>
      <c r="H44" s="169">
        <v>44</v>
      </c>
    </row>
    <row r="45" spans="1:8" ht="13.5" thickBot="1" x14ac:dyDescent="0.3">
      <c r="A45" s="170" t="s">
        <v>1520</v>
      </c>
      <c r="B45" s="169" t="s">
        <v>1501</v>
      </c>
      <c r="C45" s="64" t="s">
        <v>20</v>
      </c>
      <c r="D45" s="172"/>
      <c r="E45" s="89" t="b">
        <f t="shared" si="0"/>
        <v>0</v>
      </c>
      <c r="F45" s="89" t="b">
        <f>AND(E45)</f>
        <v>0</v>
      </c>
      <c r="G45" s="169">
        <v>4</v>
      </c>
      <c r="H45" s="169">
        <v>45</v>
      </c>
    </row>
    <row r="46" spans="1:8" ht="13.5" thickBot="1" x14ac:dyDescent="0.3">
      <c r="A46" s="85" t="s">
        <v>1573</v>
      </c>
      <c r="B46" s="169" t="s">
        <v>1501</v>
      </c>
      <c r="C46" s="64" t="s">
        <v>20</v>
      </c>
      <c r="D46" s="172"/>
      <c r="E46" s="89" t="b">
        <f t="shared" si="0"/>
        <v>0</v>
      </c>
      <c r="F46" s="89" t="b">
        <f>AND(E46,F47)</f>
        <v>0</v>
      </c>
      <c r="G46" s="169">
        <v>3</v>
      </c>
      <c r="H46" s="169">
        <v>46</v>
      </c>
    </row>
    <row r="47" spans="1:8" ht="13.5" thickBot="1" x14ac:dyDescent="0.3">
      <c r="A47" s="170" t="s">
        <v>1521</v>
      </c>
      <c r="B47" s="169" t="s">
        <v>1501</v>
      </c>
      <c r="C47" s="64" t="s">
        <v>20</v>
      </c>
      <c r="D47" s="172"/>
      <c r="E47" s="89" t="b">
        <f t="shared" si="0"/>
        <v>0</v>
      </c>
      <c r="F47" s="89" t="b">
        <f>AND(E47)</f>
        <v>0</v>
      </c>
      <c r="G47" s="169">
        <v>4</v>
      </c>
      <c r="H47" s="169">
        <v>47</v>
      </c>
    </row>
    <row r="48" spans="1:8" ht="13.5" thickBot="1" x14ac:dyDescent="0.3">
      <c r="A48" s="85" t="s">
        <v>1574</v>
      </c>
      <c r="B48" s="169" t="s">
        <v>1501</v>
      </c>
      <c r="C48" s="64" t="s">
        <v>20</v>
      </c>
      <c r="D48" s="172"/>
      <c r="E48" s="89" t="b">
        <f t="shared" si="0"/>
        <v>0</v>
      </c>
      <c r="F48" s="89" t="b">
        <f>AND(E48)</f>
        <v>0</v>
      </c>
      <c r="G48" s="169">
        <v>3</v>
      </c>
      <c r="H48" s="169">
        <v>48</v>
      </c>
    </row>
    <row r="49" spans="1:8" ht="13.5" thickBot="1" x14ac:dyDescent="0.3">
      <c r="A49" s="85" t="s">
        <v>1575</v>
      </c>
      <c r="B49" s="169" t="s">
        <v>1501</v>
      </c>
      <c r="C49" s="64" t="s">
        <v>20</v>
      </c>
      <c r="D49" s="172"/>
      <c r="E49" s="89" t="b">
        <f t="shared" si="0"/>
        <v>0</v>
      </c>
      <c r="F49" s="89" t="b">
        <f>AND(E49)</f>
        <v>0</v>
      </c>
      <c r="G49" s="169">
        <v>3</v>
      </c>
      <c r="H49" s="169">
        <v>49</v>
      </c>
    </row>
    <row r="50" spans="1:8" ht="13.5" thickBot="1" x14ac:dyDescent="0.3">
      <c r="A50" s="85" t="s">
        <v>1576</v>
      </c>
      <c r="B50" s="169" t="s">
        <v>1501</v>
      </c>
      <c r="C50" s="64" t="s">
        <v>20</v>
      </c>
      <c r="D50" s="172"/>
      <c r="E50" s="89" t="b">
        <f t="shared" si="0"/>
        <v>0</v>
      </c>
      <c r="F50" s="89" t="b">
        <f>AND(E50,F51)</f>
        <v>0</v>
      </c>
      <c r="G50" s="169">
        <v>2</v>
      </c>
      <c r="H50" s="169">
        <v>50</v>
      </c>
    </row>
    <row r="51" spans="1:8" ht="26.25" thickBot="1" x14ac:dyDescent="0.3">
      <c r="A51" s="170" t="s">
        <v>1507</v>
      </c>
      <c r="B51" s="169" t="s">
        <v>1501</v>
      </c>
      <c r="C51" s="64" t="s">
        <v>20</v>
      </c>
      <c r="D51" s="172"/>
      <c r="E51" s="89" t="b">
        <f t="shared" si="0"/>
        <v>0</v>
      </c>
      <c r="F51" s="89" t="b">
        <f>AND(E51)</f>
        <v>0</v>
      </c>
      <c r="G51" s="169">
        <v>3</v>
      </c>
      <c r="H51" s="169">
        <v>51</v>
      </c>
    </row>
    <row r="52" spans="1:8" ht="13.5" thickBot="1" x14ac:dyDescent="0.3">
      <c r="A52" s="85" t="s">
        <v>1577</v>
      </c>
      <c r="B52" s="169" t="s">
        <v>1501</v>
      </c>
      <c r="C52" s="64" t="s">
        <v>20</v>
      </c>
      <c r="D52" s="172"/>
      <c r="E52" s="89" t="b">
        <f t="shared" si="0"/>
        <v>0</v>
      </c>
      <c r="F52" s="89" t="b">
        <f>AND(E52,F53)</f>
        <v>0</v>
      </c>
      <c r="G52" s="169">
        <v>2</v>
      </c>
      <c r="H52" s="169">
        <v>52</v>
      </c>
    </row>
    <row r="53" spans="1:8" ht="13.5" thickBot="1" x14ac:dyDescent="0.3">
      <c r="A53" s="85" t="s">
        <v>1578</v>
      </c>
      <c r="B53" s="169" t="s">
        <v>1501</v>
      </c>
      <c r="C53" s="64" t="s">
        <v>20</v>
      </c>
      <c r="D53" s="172"/>
      <c r="E53" s="89" t="b">
        <f t="shared" si="0"/>
        <v>0</v>
      </c>
      <c r="F53" s="89" t="b">
        <f>AND(E53)</f>
        <v>0</v>
      </c>
      <c r="G53" s="169">
        <v>3</v>
      </c>
      <c r="H53" s="169">
        <v>53</v>
      </c>
    </row>
    <row r="54" spans="1:8" ht="13.5" thickBot="1" x14ac:dyDescent="0.3">
      <c r="A54" s="85" t="s">
        <v>1579</v>
      </c>
      <c r="B54" s="169" t="s">
        <v>1501</v>
      </c>
      <c r="C54" s="64" t="s">
        <v>20</v>
      </c>
      <c r="D54" s="172"/>
      <c r="E54" s="89" t="b">
        <f t="shared" si="0"/>
        <v>0</v>
      </c>
      <c r="F54" s="89" t="b">
        <f>AND(E54,F55,F58)</f>
        <v>0</v>
      </c>
      <c r="G54" s="169">
        <v>2</v>
      </c>
      <c r="H54" s="169">
        <v>54</v>
      </c>
    </row>
    <row r="55" spans="1:8" ht="13.5" thickBot="1" x14ac:dyDescent="0.3">
      <c r="A55" s="85" t="s">
        <v>1580</v>
      </c>
      <c r="B55" s="169" t="s">
        <v>1501</v>
      </c>
      <c r="C55" s="64" t="s">
        <v>20</v>
      </c>
      <c r="D55" s="172"/>
      <c r="E55" s="89" t="b">
        <f t="shared" si="0"/>
        <v>0</v>
      </c>
      <c r="F55" s="89" t="b">
        <f>AND(E55,F56,F57)</f>
        <v>0</v>
      </c>
      <c r="G55" s="169">
        <v>3</v>
      </c>
      <c r="H55" s="169">
        <v>55</v>
      </c>
    </row>
    <row r="56" spans="1:8" ht="26.25" thickBot="1" x14ac:dyDescent="0.3">
      <c r="A56" s="170" t="s">
        <v>1507</v>
      </c>
      <c r="B56" s="169" t="s">
        <v>1501</v>
      </c>
      <c r="C56" s="64" t="s">
        <v>20</v>
      </c>
      <c r="D56" s="172"/>
      <c r="E56" s="89" t="b">
        <f t="shared" si="0"/>
        <v>0</v>
      </c>
      <c r="F56" s="89" t="b">
        <f>AND(E56)</f>
        <v>0</v>
      </c>
      <c r="G56" s="169">
        <v>4</v>
      </c>
      <c r="H56" s="169">
        <v>56</v>
      </c>
    </row>
    <row r="57" spans="1:8" ht="13.5" thickBot="1" x14ac:dyDescent="0.3">
      <c r="A57" s="170" t="s">
        <v>1522</v>
      </c>
      <c r="B57" s="169" t="s">
        <v>1501</v>
      </c>
      <c r="C57" s="64" t="s">
        <v>20</v>
      </c>
      <c r="D57" s="172"/>
      <c r="E57" s="89" t="b">
        <f t="shared" si="0"/>
        <v>0</v>
      </c>
      <c r="F57" s="89" t="b">
        <f>AND(E57)</f>
        <v>0</v>
      </c>
      <c r="G57" s="169">
        <v>4</v>
      </c>
      <c r="H57" s="169">
        <v>57</v>
      </c>
    </row>
    <row r="58" spans="1:8" ht="13.5" thickBot="1" x14ac:dyDescent="0.3">
      <c r="A58" s="85" t="s">
        <v>1581</v>
      </c>
      <c r="B58" s="169" t="s">
        <v>1501</v>
      </c>
      <c r="C58" s="64" t="s">
        <v>20</v>
      </c>
      <c r="D58" s="172"/>
      <c r="E58" s="89" t="b">
        <f t="shared" si="0"/>
        <v>0</v>
      </c>
      <c r="F58" s="89" t="b">
        <f>AND(E58,F59)</f>
        <v>0</v>
      </c>
      <c r="G58" s="169">
        <v>3</v>
      </c>
      <c r="H58" s="169">
        <v>58</v>
      </c>
    </row>
    <row r="59" spans="1:8" ht="13.5" thickBot="1" x14ac:dyDescent="0.3">
      <c r="A59" s="170" t="s">
        <v>1523</v>
      </c>
      <c r="B59" s="169" t="s">
        <v>1501</v>
      </c>
      <c r="C59" s="64" t="s">
        <v>20</v>
      </c>
      <c r="D59" s="172"/>
      <c r="E59" s="89" t="b">
        <f t="shared" si="0"/>
        <v>0</v>
      </c>
      <c r="F59" s="89" t="b">
        <f>AND(E59)</f>
        <v>0</v>
      </c>
      <c r="G59" s="169">
        <v>4</v>
      </c>
      <c r="H59" s="169">
        <v>59</v>
      </c>
    </row>
    <row r="60" spans="1:8" ht="13.5" thickBot="1" x14ac:dyDescent="0.3">
      <c r="A60" s="85" t="s">
        <v>1582</v>
      </c>
      <c r="B60" s="169" t="s">
        <v>1501</v>
      </c>
      <c r="C60" s="64" t="s">
        <v>20</v>
      </c>
      <c r="D60" s="172"/>
      <c r="E60" s="89" t="b">
        <f t="shared" si="0"/>
        <v>0</v>
      </c>
      <c r="F60" s="89" t="b">
        <f>AND(E60,F61,F62,F63)</f>
        <v>0</v>
      </c>
      <c r="G60" s="169">
        <v>2</v>
      </c>
      <c r="H60" s="169">
        <v>60</v>
      </c>
    </row>
    <row r="61" spans="1:8" ht="13.5" thickBot="1" x14ac:dyDescent="0.3">
      <c r="A61" s="85" t="s">
        <v>1583</v>
      </c>
      <c r="B61" s="169" t="s">
        <v>1501</v>
      </c>
      <c r="C61" s="64" t="s">
        <v>20</v>
      </c>
      <c r="D61" s="172"/>
      <c r="E61" s="89" t="b">
        <f t="shared" si="0"/>
        <v>0</v>
      </c>
      <c r="F61" s="89" t="b">
        <f>AND(E61)</f>
        <v>0</v>
      </c>
      <c r="G61" s="169">
        <v>3</v>
      </c>
      <c r="H61" s="169">
        <v>61</v>
      </c>
    </row>
    <row r="62" spans="1:8" ht="13.5" thickBot="1" x14ac:dyDescent="0.3">
      <c r="A62" s="85" t="s">
        <v>1584</v>
      </c>
      <c r="B62" s="169" t="s">
        <v>1501</v>
      </c>
      <c r="C62" s="64" t="s">
        <v>20</v>
      </c>
      <c r="D62" s="172"/>
      <c r="E62" s="89" t="b">
        <f t="shared" si="0"/>
        <v>0</v>
      </c>
      <c r="F62" s="89" t="b">
        <f>AND(E62)</f>
        <v>0</v>
      </c>
      <c r="G62" s="169">
        <v>3</v>
      </c>
      <c r="H62" s="169">
        <v>62</v>
      </c>
    </row>
    <row r="63" spans="1:8" ht="13.5" thickBot="1" x14ac:dyDescent="0.3">
      <c r="A63" s="85" t="s">
        <v>1585</v>
      </c>
      <c r="B63" s="169" t="s">
        <v>1501</v>
      </c>
      <c r="C63" s="64" t="s">
        <v>20</v>
      </c>
      <c r="D63" s="172"/>
      <c r="E63" s="89" t="b">
        <f t="shared" si="0"/>
        <v>0</v>
      </c>
      <c r="F63" s="89" t="b">
        <f>AND(E63)</f>
        <v>0</v>
      </c>
      <c r="G63" s="169">
        <v>3</v>
      </c>
      <c r="H63" s="169">
        <v>63</v>
      </c>
    </row>
    <row r="64" spans="1:8" ht="13.5" thickBot="1" x14ac:dyDescent="0.3">
      <c r="A64" s="85" t="s">
        <v>1586</v>
      </c>
      <c r="B64" s="169" t="s">
        <v>1501</v>
      </c>
      <c r="C64" s="64" t="s">
        <v>20</v>
      </c>
      <c r="D64" s="172"/>
      <c r="E64" s="89" t="b">
        <f t="shared" si="0"/>
        <v>0</v>
      </c>
      <c r="F64" s="89" t="b">
        <f>AND(E64,F65,F66)</f>
        <v>0</v>
      </c>
      <c r="G64" s="169">
        <v>2</v>
      </c>
      <c r="H64" s="169">
        <v>64</v>
      </c>
    </row>
    <row r="65" spans="1:8" ht="13.5" thickBot="1" x14ac:dyDescent="0.3">
      <c r="A65" s="170" t="s">
        <v>1524</v>
      </c>
      <c r="B65" s="169" t="s">
        <v>1501</v>
      </c>
      <c r="C65" s="64" t="s">
        <v>20</v>
      </c>
      <c r="D65" s="172"/>
      <c r="E65" s="89" t="b">
        <f t="shared" si="0"/>
        <v>0</v>
      </c>
      <c r="F65" s="89" t="b">
        <f>AND(E65)</f>
        <v>0</v>
      </c>
      <c r="G65" s="169">
        <v>3</v>
      </c>
      <c r="H65" s="169">
        <v>65</v>
      </c>
    </row>
    <row r="66" spans="1:8" ht="13.5" thickBot="1" x14ac:dyDescent="0.3">
      <c r="A66" s="170" t="s">
        <v>1525</v>
      </c>
      <c r="B66" s="169" t="s">
        <v>1501</v>
      </c>
      <c r="C66" s="64" t="s">
        <v>20</v>
      </c>
      <c r="D66" s="172"/>
      <c r="E66" s="89" t="b">
        <f t="shared" si="0"/>
        <v>0</v>
      </c>
      <c r="F66" s="89" t="b">
        <f>AND(E66)</f>
        <v>0</v>
      </c>
      <c r="G66" s="169">
        <v>3</v>
      </c>
      <c r="H66" s="169">
        <v>66</v>
      </c>
    </row>
    <row r="67" spans="1:8" ht="13.5" thickBot="1" x14ac:dyDescent="0.3">
      <c r="A67" s="85" t="s">
        <v>1587</v>
      </c>
      <c r="B67" s="169" t="s">
        <v>1501</v>
      </c>
      <c r="C67" s="64" t="s">
        <v>20</v>
      </c>
      <c r="D67" s="172"/>
      <c r="E67" s="89" t="b">
        <f t="shared" si="0"/>
        <v>0</v>
      </c>
      <c r="F67" s="89" t="b">
        <f>AND(E67,F68,F69,F70,F71,F72)</f>
        <v>0</v>
      </c>
      <c r="G67" s="169">
        <v>1</v>
      </c>
      <c r="H67" s="169">
        <v>67</v>
      </c>
    </row>
    <row r="68" spans="1:8" ht="26.25" thickBot="1" x14ac:dyDescent="0.3">
      <c r="A68" s="170" t="s">
        <v>1526</v>
      </c>
      <c r="B68" s="169" t="s">
        <v>1501</v>
      </c>
      <c r="C68" s="64" t="s">
        <v>20</v>
      </c>
      <c r="D68" s="172"/>
      <c r="E68" s="89" t="b">
        <f t="shared" si="0"/>
        <v>0</v>
      </c>
      <c r="F68" s="89" t="b">
        <f>AND(E68)</f>
        <v>0</v>
      </c>
      <c r="G68" s="169">
        <v>2</v>
      </c>
      <c r="H68" s="169">
        <v>68</v>
      </c>
    </row>
    <row r="69" spans="1:8" ht="13.5" thickBot="1" x14ac:dyDescent="0.3">
      <c r="A69" s="85" t="s">
        <v>1588</v>
      </c>
      <c r="B69" s="169" t="s">
        <v>1501</v>
      </c>
      <c r="C69" s="64" t="s">
        <v>20</v>
      </c>
      <c r="D69" s="172"/>
      <c r="E69" s="89" t="b">
        <f t="shared" ref="E69:E132" si="1">IF($B69="Required",OR($C69=TRUE,AND($C69="N/A",NOT(ISBLANK($D69)))),IF($B69="Optional",TRUE,IF($B69="Required if applicable",OR($C69=TRUE,AND($C69="N/A",NOT(ISBLANK($D69)))),OR($C69=TRUE,AND($C69="N/A",NOT(ISBLANK($D69)))))))</f>
        <v>0</v>
      </c>
      <c r="F69" s="89" t="b">
        <f>AND(E69)</f>
        <v>0</v>
      </c>
      <c r="G69" s="169">
        <v>2</v>
      </c>
      <c r="H69" s="169">
        <v>69</v>
      </c>
    </row>
    <row r="70" spans="1:8" ht="13.5" thickBot="1" x14ac:dyDescent="0.3">
      <c r="A70" s="85" t="s">
        <v>1589</v>
      </c>
      <c r="B70" s="169" t="s">
        <v>1501</v>
      </c>
      <c r="C70" s="64" t="s">
        <v>20</v>
      </c>
      <c r="D70" s="172"/>
      <c r="E70" s="89" t="b">
        <f t="shared" si="1"/>
        <v>0</v>
      </c>
      <c r="F70" s="89" t="b">
        <f>AND(E70)</f>
        <v>0</v>
      </c>
      <c r="G70" s="169">
        <v>2</v>
      </c>
      <c r="H70" s="169">
        <v>70</v>
      </c>
    </row>
    <row r="71" spans="1:8" ht="13.5" thickBot="1" x14ac:dyDescent="0.3">
      <c r="A71" s="85" t="s">
        <v>1590</v>
      </c>
      <c r="B71" s="169" t="s">
        <v>1501</v>
      </c>
      <c r="C71" s="64" t="s">
        <v>20</v>
      </c>
      <c r="D71" s="172"/>
      <c r="E71" s="89" t="b">
        <f t="shared" si="1"/>
        <v>0</v>
      </c>
      <c r="F71" s="89" t="b">
        <f>AND(E71)</f>
        <v>0</v>
      </c>
      <c r="G71" s="169">
        <v>2</v>
      </c>
      <c r="H71" s="169">
        <v>71</v>
      </c>
    </row>
    <row r="72" spans="1:8" ht="13.5" thickBot="1" x14ac:dyDescent="0.3">
      <c r="A72" s="85" t="s">
        <v>1591</v>
      </c>
      <c r="B72" s="169" t="s">
        <v>1501</v>
      </c>
      <c r="C72" s="64" t="s">
        <v>20</v>
      </c>
      <c r="D72" s="172"/>
      <c r="E72" s="89" t="b">
        <f t="shared" si="1"/>
        <v>0</v>
      </c>
      <c r="F72" s="89" t="b">
        <f>AND(E72)</f>
        <v>0</v>
      </c>
      <c r="G72" s="169">
        <v>2</v>
      </c>
      <c r="H72" s="169">
        <v>72</v>
      </c>
    </row>
    <row r="73" spans="1:8" ht="13.5" thickBot="1" x14ac:dyDescent="0.3">
      <c r="A73" s="85" t="s">
        <v>1592</v>
      </c>
      <c r="B73" s="169" t="s">
        <v>1501</v>
      </c>
      <c r="C73" s="64" t="s">
        <v>20</v>
      </c>
      <c r="D73" s="172"/>
      <c r="E73" s="89" t="b">
        <f t="shared" si="1"/>
        <v>0</v>
      </c>
      <c r="F73" s="89" t="b">
        <f>AND(E73,F74,F75,F76,F101,F162,F200)</f>
        <v>0</v>
      </c>
      <c r="G73" s="169">
        <v>1</v>
      </c>
      <c r="H73" s="169">
        <v>73</v>
      </c>
    </row>
    <row r="74" spans="1:8" ht="26.25" thickBot="1" x14ac:dyDescent="0.3">
      <c r="A74" s="170" t="s">
        <v>1526</v>
      </c>
      <c r="B74" s="169" t="s">
        <v>1501</v>
      </c>
      <c r="C74" s="64" t="s">
        <v>20</v>
      </c>
      <c r="D74" s="172"/>
      <c r="E74" s="89" t="b">
        <f t="shared" si="1"/>
        <v>0</v>
      </c>
      <c r="F74" s="89" t="b">
        <f>AND(E74)</f>
        <v>0</v>
      </c>
      <c r="G74" s="169">
        <v>2</v>
      </c>
      <c r="H74" s="169">
        <v>74</v>
      </c>
    </row>
    <row r="75" spans="1:8" ht="13.5" thickBot="1" x14ac:dyDescent="0.3">
      <c r="A75" s="170" t="s">
        <v>1527</v>
      </c>
      <c r="B75" s="169" t="s">
        <v>1501</v>
      </c>
      <c r="C75" s="64" t="s">
        <v>20</v>
      </c>
      <c r="D75" s="172"/>
      <c r="E75" s="89" t="b">
        <f t="shared" si="1"/>
        <v>0</v>
      </c>
      <c r="F75" s="89" t="b">
        <f>AND(E75)</f>
        <v>0</v>
      </c>
      <c r="G75" s="169">
        <v>2</v>
      </c>
      <c r="H75" s="169">
        <v>75</v>
      </c>
    </row>
    <row r="76" spans="1:8" ht="13.5" thickBot="1" x14ac:dyDescent="0.3">
      <c r="A76" s="85" t="s">
        <v>1593</v>
      </c>
      <c r="B76" s="169" t="s">
        <v>1501</v>
      </c>
      <c r="C76" s="64" t="s">
        <v>20</v>
      </c>
      <c r="D76" s="172"/>
      <c r="E76" s="89" t="b">
        <f t="shared" si="1"/>
        <v>0</v>
      </c>
      <c r="F76" s="89" t="b">
        <f>AND(E76,F77,F86)</f>
        <v>0</v>
      </c>
      <c r="G76" s="169">
        <v>2</v>
      </c>
      <c r="H76" s="169">
        <v>76</v>
      </c>
    </row>
    <row r="77" spans="1:8" ht="13.5" thickBot="1" x14ac:dyDescent="0.3">
      <c r="A77" s="85" t="s">
        <v>1594</v>
      </c>
      <c r="B77" s="169" t="s">
        <v>1501</v>
      </c>
      <c r="C77" s="64" t="s">
        <v>20</v>
      </c>
      <c r="D77" s="172"/>
      <c r="E77" s="89" t="b">
        <f t="shared" si="1"/>
        <v>0</v>
      </c>
      <c r="F77" s="89" t="b">
        <f>AND(E77,F78,F79,F80,F81,F83,F84,F85)</f>
        <v>0</v>
      </c>
      <c r="G77" s="169">
        <v>3</v>
      </c>
      <c r="H77" s="169">
        <v>77</v>
      </c>
    </row>
    <row r="78" spans="1:8" ht="13.5" thickBot="1" x14ac:dyDescent="0.3">
      <c r="A78" s="85" t="s">
        <v>1595</v>
      </c>
      <c r="B78" s="169" t="s">
        <v>1501</v>
      </c>
      <c r="C78" s="64" t="s">
        <v>20</v>
      </c>
      <c r="D78" s="172"/>
      <c r="E78" s="89" t="b">
        <f t="shared" si="1"/>
        <v>0</v>
      </c>
      <c r="F78" s="89" t="b">
        <f>AND(E78)</f>
        <v>0</v>
      </c>
      <c r="G78" s="169">
        <v>4</v>
      </c>
      <c r="H78" s="169">
        <v>78</v>
      </c>
    </row>
    <row r="79" spans="1:8" ht="13.5" thickBot="1" x14ac:dyDescent="0.3">
      <c r="A79" s="85" t="s">
        <v>1596</v>
      </c>
      <c r="B79" s="169" t="s">
        <v>1501</v>
      </c>
      <c r="C79" s="64" t="s">
        <v>20</v>
      </c>
      <c r="D79" s="172"/>
      <c r="E79" s="89" t="b">
        <f t="shared" si="1"/>
        <v>0</v>
      </c>
      <c r="F79" s="89" t="b">
        <f>AND(E79)</f>
        <v>0</v>
      </c>
      <c r="G79" s="169">
        <v>4</v>
      </c>
      <c r="H79" s="169">
        <v>79</v>
      </c>
    </row>
    <row r="80" spans="1:8" ht="13.5" thickBot="1" x14ac:dyDescent="0.3">
      <c r="A80" s="85" t="s">
        <v>1597</v>
      </c>
      <c r="B80" s="169" t="s">
        <v>1501</v>
      </c>
      <c r="C80" s="64" t="s">
        <v>20</v>
      </c>
      <c r="D80" s="172"/>
      <c r="E80" s="89" t="b">
        <f t="shared" si="1"/>
        <v>0</v>
      </c>
      <c r="F80" s="89" t="b">
        <f>AND(E80)</f>
        <v>0</v>
      </c>
      <c r="G80" s="169">
        <v>4</v>
      </c>
      <c r="H80" s="169">
        <v>80</v>
      </c>
    </row>
    <row r="81" spans="1:8" ht="13.5" thickBot="1" x14ac:dyDescent="0.3">
      <c r="A81" s="85" t="s">
        <v>1598</v>
      </c>
      <c r="B81" s="169" t="s">
        <v>1501</v>
      </c>
      <c r="C81" s="64" t="s">
        <v>20</v>
      </c>
      <c r="D81" s="172"/>
      <c r="E81" s="89" t="b">
        <f t="shared" si="1"/>
        <v>0</v>
      </c>
      <c r="F81" s="89" t="b">
        <f>AND(E81,F82)</f>
        <v>0</v>
      </c>
      <c r="G81" s="169">
        <v>4</v>
      </c>
      <c r="H81" s="169">
        <v>81</v>
      </c>
    </row>
    <row r="82" spans="1:8" ht="13.5" thickBot="1" x14ac:dyDescent="0.3">
      <c r="A82" s="170" t="s">
        <v>1528</v>
      </c>
      <c r="B82" s="169" t="s">
        <v>1501</v>
      </c>
      <c r="C82" s="64" t="s">
        <v>20</v>
      </c>
      <c r="D82" s="172"/>
      <c r="E82" s="89" t="b">
        <f t="shared" si="1"/>
        <v>0</v>
      </c>
      <c r="F82" s="89" t="b">
        <f>AND(E82)</f>
        <v>0</v>
      </c>
      <c r="G82" s="169">
        <v>5</v>
      </c>
      <c r="H82" s="169">
        <v>82</v>
      </c>
    </row>
    <row r="83" spans="1:8" ht="13.5" thickBot="1" x14ac:dyDescent="0.3">
      <c r="A83" s="85" t="s">
        <v>1599</v>
      </c>
      <c r="B83" s="169" t="s">
        <v>1501</v>
      </c>
      <c r="C83" s="64" t="s">
        <v>20</v>
      </c>
      <c r="D83" s="172"/>
      <c r="E83" s="89" t="b">
        <f t="shared" si="1"/>
        <v>0</v>
      </c>
      <c r="F83" s="89" t="b">
        <f>AND(E83)</f>
        <v>0</v>
      </c>
      <c r="G83" s="169">
        <v>4</v>
      </c>
      <c r="H83" s="169">
        <v>83</v>
      </c>
    </row>
    <row r="84" spans="1:8" ht="13.5" thickBot="1" x14ac:dyDescent="0.3">
      <c r="A84" s="85" t="s">
        <v>1600</v>
      </c>
      <c r="B84" s="169" t="s">
        <v>1501</v>
      </c>
      <c r="C84" s="64" t="s">
        <v>20</v>
      </c>
      <c r="D84" s="172"/>
      <c r="E84" s="89" t="b">
        <f t="shared" si="1"/>
        <v>0</v>
      </c>
      <c r="F84" s="89" t="b">
        <f>AND(E84)</f>
        <v>0</v>
      </c>
      <c r="G84" s="169">
        <v>4</v>
      </c>
      <c r="H84" s="169">
        <v>84</v>
      </c>
    </row>
    <row r="85" spans="1:8" ht="13.5" thickBot="1" x14ac:dyDescent="0.3">
      <c r="A85" s="85" t="s">
        <v>1601</v>
      </c>
      <c r="B85" s="169" t="s">
        <v>1501</v>
      </c>
      <c r="C85" s="64" t="s">
        <v>20</v>
      </c>
      <c r="D85" s="172"/>
      <c r="E85" s="89" t="b">
        <f t="shared" si="1"/>
        <v>0</v>
      </c>
      <c r="F85" s="89" t="b">
        <f>AND(E85)</f>
        <v>0</v>
      </c>
      <c r="G85" s="169">
        <v>4</v>
      </c>
      <c r="H85" s="169">
        <v>85</v>
      </c>
    </row>
    <row r="86" spans="1:8" ht="13.5" thickBot="1" x14ac:dyDescent="0.3">
      <c r="A86" s="85" t="s">
        <v>1602</v>
      </c>
      <c r="B86" s="169" t="s">
        <v>1501</v>
      </c>
      <c r="C86" s="64" t="s">
        <v>20</v>
      </c>
      <c r="D86" s="172"/>
      <c r="E86" s="89" t="b">
        <f t="shared" si="1"/>
        <v>0</v>
      </c>
      <c r="F86" s="89" t="b">
        <f>AND(E86,F87,F88,F89,F90,F92,F99,F100)</f>
        <v>0</v>
      </c>
      <c r="G86" s="169">
        <v>3</v>
      </c>
      <c r="H86" s="169">
        <v>86</v>
      </c>
    </row>
    <row r="87" spans="1:8" ht="13.5" thickBot="1" x14ac:dyDescent="0.3">
      <c r="A87" s="85" t="s">
        <v>1603</v>
      </c>
      <c r="B87" s="169" t="s">
        <v>1501</v>
      </c>
      <c r="C87" s="64" t="s">
        <v>20</v>
      </c>
      <c r="D87" s="172"/>
      <c r="E87" s="89" t="b">
        <f t="shared" si="1"/>
        <v>0</v>
      </c>
      <c r="F87" s="89" t="b">
        <f>AND(E87)</f>
        <v>0</v>
      </c>
      <c r="G87" s="169">
        <v>4</v>
      </c>
      <c r="H87" s="169">
        <v>87</v>
      </c>
    </row>
    <row r="88" spans="1:8" ht="13.5" thickBot="1" x14ac:dyDescent="0.3">
      <c r="A88" s="85" t="s">
        <v>1604</v>
      </c>
      <c r="B88" s="169" t="s">
        <v>1501</v>
      </c>
      <c r="C88" s="64" t="s">
        <v>20</v>
      </c>
      <c r="D88" s="172"/>
      <c r="E88" s="89" t="b">
        <f t="shared" si="1"/>
        <v>0</v>
      </c>
      <c r="F88" s="89" t="b">
        <f>AND(E88)</f>
        <v>0</v>
      </c>
      <c r="G88" s="169">
        <v>4</v>
      </c>
      <c r="H88" s="169">
        <v>88</v>
      </c>
    </row>
    <row r="89" spans="1:8" ht="13.5" thickBot="1" x14ac:dyDescent="0.3">
      <c r="A89" s="85" t="s">
        <v>1605</v>
      </c>
      <c r="B89" s="169" t="s">
        <v>1501</v>
      </c>
      <c r="C89" s="64" t="s">
        <v>20</v>
      </c>
      <c r="D89" s="172"/>
      <c r="E89" s="89" t="b">
        <f t="shared" si="1"/>
        <v>0</v>
      </c>
      <c r="F89" s="89" t="b">
        <f>AND(E89)</f>
        <v>0</v>
      </c>
      <c r="G89" s="169">
        <v>4</v>
      </c>
      <c r="H89" s="169">
        <v>89</v>
      </c>
    </row>
    <row r="90" spans="1:8" ht="13.5" thickBot="1" x14ac:dyDescent="0.3">
      <c r="A90" s="85" t="s">
        <v>1606</v>
      </c>
      <c r="B90" s="169" t="s">
        <v>1501</v>
      </c>
      <c r="C90" s="64" t="s">
        <v>20</v>
      </c>
      <c r="D90" s="172"/>
      <c r="E90" s="89" t="b">
        <f t="shared" si="1"/>
        <v>0</v>
      </c>
      <c r="F90" s="89" t="b">
        <f>AND(E90,F91)</f>
        <v>0</v>
      </c>
      <c r="G90" s="169">
        <v>4</v>
      </c>
      <c r="H90" s="169">
        <v>90</v>
      </c>
    </row>
    <row r="91" spans="1:8" ht="13.5" thickBot="1" x14ac:dyDescent="0.3">
      <c r="A91" s="170" t="s">
        <v>1529</v>
      </c>
      <c r="B91" s="169" t="s">
        <v>1501</v>
      </c>
      <c r="C91" s="64" t="s">
        <v>20</v>
      </c>
      <c r="D91" s="172"/>
      <c r="E91" s="89" t="b">
        <f t="shared" si="1"/>
        <v>0</v>
      </c>
      <c r="F91" s="89" t="b">
        <f>AND(E91)</f>
        <v>0</v>
      </c>
      <c r="G91" s="169">
        <v>5</v>
      </c>
      <c r="H91" s="169">
        <v>91</v>
      </c>
    </row>
    <row r="92" spans="1:8" ht="13.5" thickBot="1" x14ac:dyDescent="0.3">
      <c r="A92" s="85" t="s">
        <v>1607</v>
      </c>
      <c r="B92" s="169" t="s">
        <v>1501</v>
      </c>
      <c r="C92" s="64" t="s">
        <v>20</v>
      </c>
      <c r="D92" s="172"/>
      <c r="E92" s="89" t="b">
        <f t="shared" si="1"/>
        <v>0</v>
      </c>
      <c r="F92" s="89" t="b">
        <f>AND(E92,F93,F96)</f>
        <v>0</v>
      </c>
      <c r="G92" s="169">
        <v>4</v>
      </c>
      <c r="H92" s="169">
        <v>92</v>
      </c>
    </row>
    <row r="93" spans="1:8" ht="14.25" thickBot="1" x14ac:dyDescent="0.3">
      <c r="A93" s="171" t="s">
        <v>1608</v>
      </c>
      <c r="B93" s="169" t="s">
        <v>1501</v>
      </c>
      <c r="C93" s="64" t="s">
        <v>20</v>
      </c>
      <c r="D93" s="172"/>
      <c r="E93" s="89" t="b">
        <f t="shared" si="1"/>
        <v>0</v>
      </c>
      <c r="F93" s="89" t="b">
        <f>AND(E93,F94,F95)</f>
        <v>0</v>
      </c>
      <c r="G93" s="169">
        <v>5</v>
      </c>
      <c r="H93" s="169">
        <v>93</v>
      </c>
    </row>
    <row r="94" spans="1:8" ht="13.5" thickBot="1" x14ac:dyDescent="0.3">
      <c r="A94" s="170" t="s">
        <v>1530</v>
      </c>
      <c r="B94" s="169" t="s">
        <v>1501</v>
      </c>
      <c r="C94" s="64" t="s">
        <v>20</v>
      </c>
      <c r="D94" s="172"/>
      <c r="E94" s="89" t="b">
        <f t="shared" si="1"/>
        <v>0</v>
      </c>
      <c r="F94" s="89" t="b">
        <f>AND(E94)</f>
        <v>0</v>
      </c>
      <c r="G94" s="169">
        <v>6</v>
      </c>
      <c r="H94" s="169">
        <v>94</v>
      </c>
    </row>
    <row r="95" spans="1:8" ht="13.5" thickBot="1" x14ac:dyDescent="0.3">
      <c r="A95" s="170" t="s">
        <v>1531</v>
      </c>
      <c r="B95" s="169" t="s">
        <v>1501</v>
      </c>
      <c r="C95" s="64" t="s">
        <v>20</v>
      </c>
      <c r="D95" s="172"/>
      <c r="E95" s="89" t="b">
        <f t="shared" si="1"/>
        <v>0</v>
      </c>
      <c r="F95" s="89" t="b">
        <f>AND(E95)</f>
        <v>0</v>
      </c>
      <c r="G95" s="169">
        <v>6</v>
      </c>
      <c r="H95" s="169">
        <v>95</v>
      </c>
    </row>
    <row r="96" spans="1:8" ht="14.25" thickBot="1" x14ac:dyDescent="0.3">
      <c r="A96" s="171" t="s">
        <v>1609</v>
      </c>
      <c r="B96" s="169" t="s">
        <v>1501</v>
      </c>
      <c r="C96" s="64" t="s">
        <v>20</v>
      </c>
      <c r="D96" s="172"/>
      <c r="E96" s="89" t="b">
        <f t="shared" si="1"/>
        <v>0</v>
      </c>
      <c r="F96" s="89" t="b">
        <f>AND(E96,F97,F98)</f>
        <v>0</v>
      </c>
      <c r="G96" s="169">
        <v>5</v>
      </c>
      <c r="H96" s="169">
        <v>96</v>
      </c>
    </row>
    <row r="97" spans="1:8" ht="13.5" thickBot="1" x14ac:dyDescent="0.3">
      <c r="A97" s="170" t="s">
        <v>1532</v>
      </c>
      <c r="B97" s="169" t="s">
        <v>1501</v>
      </c>
      <c r="C97" s="64" t="s">
        <v>20</v>
      </c>
      <c r="D97" s="172"/>
      <c r="E97" s="89" t="b">
        <f t="shared" si="1"/>
        <v>0</v>
      </c>
      <c r="F97" s="89" t="b">
        <f>AND(E97)</f>
        <v>0</v>
      </c>
      <c r="G97" s="169">
        <v>6</v>
      </c>
      <c r="H97" s="169">
        <v>97</v>
      </c>
    </row>
    <row r="98" spans="1:8" ht="13.5" thickBot="1" x14ac:dyDescent="0.3">
      <c r="A98" s="170" t="s">
        <v>1533</v>
      </c>
      <c r="B98" s="169" t="s">
        <v>1501</v>
      </c>
      <c r="C98" s="64" t="s">
        <v>20</v>
      </c>
      <c r="D98" s="172"/>
      <c r="E98" s="89" t="b">
        <f t="shared" si="1"/>
        <v>0</v>
      </c>
      <c r="F98" s="89" t="b">
        <f>AND(E98)</f>
        <v>0</v>
      </c>
      <c r="G98" s="169">
        <v>6</v>
      </c>
      <c r="H98" s="169">
        <v>98</v>
      </c>
    </row>
    <row r="99" spans="1:8" ht="13.5" thickBot="1" x14ac:dyDescent="0.3">
      <c r="A99" s="85" t="s">
        <v>1610</v>
      </c>
      <c r="B99" s="169" t="s">
        <v>1501</v>
      </c>
      <c r="C99" s="64" t="s">
        <v>20</v>
      </c>
      <c r="D99" s="172"/>
      <c r="E99" s="89" t="b">
        <f t="shared" si="1"/>
        <v>0</v>
      </c>
      <c r="F99" s="89" t="b">
        <f>AND(E99)</f>
        <v>0</v>
      </c>
      <c r="G99" s="169">
        <v>4</v>
      </c>
      <c r="H99" s="169">
        <v>99</v>
      </c>
    </row>
    <row r="100" spans="1:8" ht="13.5" thickBot="1" x14ac:dyDescent="0.3">
      <c r="A100" s="85" t="s">
        <v>1611</v>
      </c>
      <c r="B100" s="169" t="s">
        <v>1501</v>
      </c>
      <c r="C100" s="64" t="s">
        <v>20</v>
      </c>
      <c r="D100" s="172"/>
      <c r="E100" s="89" t="b">
        <f t="shared" si="1"/>
        <v>0</v>
      </c>
      <c r="F100" s="89" t="b">
        <f>AND(E100)</f>
        <v>0</v>
      </c>
      <c r="G100" s="169">
        <v>4</v>
      </c>
      <c r="H100" s="169">
        <v>100</v>
      </c>
    </row>
    <row r="101" spans="1:8" ht="13.5" thickBot="1" x14ac:dyDescent="0.3">
      <c r="A101" s="85" t="s">
        <v>1612</v>
      </c>
      <c r="B101" s="169" t="s">
        <v>1501</v>
      </c>
      <c r="C101" s="64" t="s">
        <v>20</v>
      </c>
      <c r="D101" s="172"/>
      <c r="E101" s="89" t="b">
        <f t="shared" si="1"/>
        <v>0</v>
      </c>
      <c r="F101" s="89" t="b">
        <f>AND(E101,F102,F111,F126,F135,F144,F153)</f>
        <v>0</v>
      </c>
      <c r="G101" s="169">
        <v>2</v>
      </c>
      <c r="H101" s="169">
        <v>101</v>
      </c>
    </row>
    <row r="102" spans="1:8" ht="13.5" thickBot="1" x14ac:dyDescent="0.3">
      <c r="A102" s="85" t="s">
        <v>1613</v>
      </c>
      <c r="B102" s="169" t="s">
        <v>1501</v>
      </c>
      <c r="C102" s="64" t="s">
        <v>20</v>
      </c>
      <c r="D102" s="172"/>
      <c r="E102" s="89" t="b">
        <f t="shared" si="1"/>
        <v>0</v>
      </c>
      <c r="F102" s="89" t="b">
        <f>AND(E102,F103,F104,F105,F106,F108,F109,F110)</f>
        <v>0</v>
      </c>
      <c r="G102" s="169">
        <v>3</v>
      </c>
      <c r="H102" s="169">
        <v>102</v>
      </c>
    </row>
    <row r="103" spans="1:8" ht="13.5" thickBot="1" x14ac:dyDescent="0.3">
      <c r="A103" s="85" t="s">
        <v>1614</v>
      </c>
      <c r="B103" s="169" t="s">
        <v>1501</v>
      </c>
      <c r="C103" s="64" t="s">
        <v>20</v>
      </c>
      <c r="D103" s="172"/>
      <c r="E103" s="89" t="b">
        <f t="shared" si="1"/>
        <v>0</v>
      </c>
      <c r="F103" s="89" t="b">
        <f>AND(E103)</f>
        <v>0</v>
      </c>
      <c r="G103" s="169">
        <v>4</v>
      </c>
      <c r="H103" s="169">
        <v>103</v>
      </c>
    </row>
    <row r="104" spans="1:8" ht="13.5" thickBot="1" x14ac:dyDescent="0.3">
      <c r="A104" s="85" t="s">
        <v>1615</v>
      </c>
      <c r="B104" s="169" t="s">
        <v>1501</v>
      </c>
      <c r="C104" s="64" t="s">
        <v>20</v>
      </c>
      <c r="D104" s="172"/>
      <c r="E104" s="89" t="b">
        <f t="shared" si="1"/>
        <v>0</v>
      </c>
      <c r="F104" s="89" t="b">
        <f>AND(E104)</f>
        <v>0</v>
      </c>
      <c r="G104" s="169">
        <v>4</v>
      </c>
      <c r="H104" s="169">
        <v>104</v>
      </c>
    </row>
    <row r="105" spans="1:8" ht="13.5" thickBot="1" x14ac:dyDescent="0.3">
      <c r="A105" s="85" t="s">
        <v>1616</v>
      </c>
      <c r="B105" s="169" t="s">
        <v>1501</v>
      </c>
      <c r="C105" s="64" t="s">
        <v>20</v>
      </c>
      <c r="D105" s="172"/>
      <c r="E105" s="89" t="b">
        <f t="shared" si="1"/>
        <v>0</v>
      </c>
      <c r="F105" s="89" t="b">
        <f>AND(E105)</f>
        <v>0</v>
      </c>
      <c r="G105" s="169">
        <v>4</v>
      </c>
      <c r="H105" s="169">
        <v>105</v>
      </c>
    </row>
    <row r="106" spans="1:8" ht="13.5" thickBot="1" x14ac:dyDescent="0.3">
      <c r="A106" s="85" t="s">
        <v>1617</v>
      </c>
      <c r="B106" s="169" t="s">
        <v>1501</v>
      </c>
      <c r="C106" s="64" t="s">
        <v>20</v>
      </c>
      <c r="D106" s="172"/>
      <c r="E106" s="89" t="b">
        <f t="shared" si="1"/>
        <v>0</v>
      </c>
      <c r="F106" s="89" t="b">
        <f>AND(E106,F107)</f>
        <v>0</v>
      </c>
      <c r="G106" s="169">
        <v>4</v>
      </c>
      <c r="H106" s="169">
        <v>106</v>
      </c>
    </row>
    <row r="107" spans="1:8" ht="13.5" thickBot="1" x14ac:dyDescent="0.3">
      <c r="A107" s="170" t="s">
        <v>1534</v>
      </c>
      <c r="B107" s="169" t="s">
        <v>1501</v>
      </c>
      <c r="C107" s="64" t="s">
        <v>20</v>
      </c>
      <c r="D107" s="172"/>
      <c r="E107" s="89" t="b">
        <f t="shared" si="1"/>
        <v>0</v>
      </c>
      <c r="F107" s="89" t="b">
        <f>AND(E107)</f>
        <v>0</v>
      </c>
      <c r="G107" s="169">
        <v>5</v>
      </c>
      <c r="H107" s="169">
        <v>107</v>
      </c>
    </row>
    <row r="108" spans="1:8" ht="13.5" thickBot="1" x14ac:dyDescent="0.3">
      <c r="A108" s="85" t="s">
        <v>1618</v>
      </c>
      <c r="B108" s="169" t="s">
        <v>1501</v>
      </c>
      <c r="C108" s="64" t="s">
        <v>20</v>
      </c>
      <c r="D108" s="172"/>
      <c r="E108" s="89" t="b">
        <f t="shared" si="1"/>
        <v>0</v>
      </c>
      <c r="F108" s="89" t="b">
        <f>AND(E108)</f>
        <v>0</v>
      </c>
      <c r="G108" s="169">
        <v>4</v>
      </c>
      <c r="H108" s="169">
        <v>108</v>
      </c>
    </row>
    <row r="109" spans="1:8" ht="13.5" thickBot="1" x14ac:dyDescent="0.3">
      <c r="A109" s="85" t="s">
        <v>1619</v>
      </c>
      <c r="B109" s="169" t="s">
        <v>1501</v>
      </c>
      <c r="C109" s="64" t="s">
        <v>20</v>
      </c>
      <c r="D109" s="172"/>
      <c r="E109" s="89" t="b">
        <f t="shared" si="1"/>
        <v>0</v>
      </c>
      <c r="F109" s="89" t="b">
        <f>AND(E109)</f>
        <v>0</v>
      </c>
      <c r="G109" s="169">
        <v>4</v>
      </c>
      <c r="H109" s="169">
        <v>109</v>
      </c>
    </row>
    <row r="110" spans="1:8" ht="13.5" thickBot="1" x14ac:dyDescent="0.3">
      <c r="A110" s="85" t="s">
        <v>1620</v>
      </c>
      <c r="B110" s="169" t="s">
        <v>1501</v>
      </c>
      <c r="C110" s="64" t="s">
        <v>20</v>
      </c>
      <c r="D110" s="172"/>
      <c r="E110" s="89" t="b">
        <f t="shared" si="1"/>
        <v>0</v>
      </c>
      <c r="F110" s="89" t="b">
        <f>AND(E110)</f>
        <v>0</v>
      </c>
      <c r="G110" s="169">
        <v>4</v>
      </c>
      <c r="H110" s="169">
        <v>110</v>
      </c>
    </row>
    <row r="111" spans="1:8" ht="13.5" thickBot="1" x14ac:dyDescent="0.3">
      <c r="A111" s="85" t="s">
        <v>1621</v>
      </c>
      <c r="B111" s="169" t="s">
        <v>1501</v>
      </c>
      <c r="C111" s="64" t="s">
        <v>20</v>
      </c>
      <c r="D111" s="172"/>
      <c r="E111" s="89" t="b">
        <f t="shared" si="1"/>
        <v>0</v>
      </c>
      <c r="F111" s="89" t="b">
        <f>AND(E111,F112,F113,F114,F115,F117,F124,F125)</f>
        <v>0</v>
      </c>
      <c r="G111" s="169">
        <v>3</v>
      </c>
      <c r="H111" s="169">
        <v>111</v>
      </c>
    </row>
    <row r="112" spans="1:8" ht="13.5" thickBot="1" x14ac:dyDescent="0.3">
      <c r="A112" s="85" t="s">
        <v>1622</v>
      </c>
      <c r="B112" s="169" t="s">
        <v>1501</v>
      </c>
      <c r="C112" s="64" t="s">
        <v>20</v>
      </c>
      <c r="D112" s="172"/>
      <c r="E112" s="89" t="b">
        <f t="shared" si="1"/>
        <v>0</v>
      </c>
      <c r="F112" s="89" t="b">
        <f>AND(E112)</f>
        <v>0</v>
      </c>
      <c r="G112" s="169">
        <v>4</v>
      </c>
      <c r="H112" s="169">
        <v>112</v>
      </c>
    </row>
    <row r="113" spans="1:8" ht="13.5" thickBot="1" x14ac:dyDescent="0.3">
      <c r="A113" s="85" t="s">
        <v>1623</v>
      </c>
      <c r="B113" s="169" t="s">
        <v>1501</v>
      </c>
      <c r="C113" s="64" t="s">
        <v>20</v>
      </c>
      <c r="D113" s="172"/>
      <c r="E113" s="89" t="b">
        <f t="shared" si="1"/>
        <v>0</v>
      </c>
      <c r="F113" s="89" t="b">
        <f>AND(E113)</f>
        <v>0</v>
      </c>
      <c r="G113" s="169">
        <v>4</v>
      </c>
      <c r="H113" s="169">
        <v>113</v>
      </c>
    </row>
    <row r="114" spans="1:8" ht="13.5" thickBot="1" x14ac:dyDescent="0.3">
      <c r="A114" s="85" t="s">
        <v>1624</v>
      </c>
      <c r="B114" s="169" t="s">
        <v>1501</v>
      </c>
      <c r="C114" s="64" t="s">
        <v>20</v>
      </c>
      <c r="D114" s="172"/>
      <c r="E114" s="89" t="b">
        <f t="shared" si="1"/>
        <v>0</v>
      </c>
      <c r="F114" s="89" t="b">
        <f>AND(E114)</f>
        <v>0</v>
      </c>
      <c r="G114" s="169">
        <v>4</v>
      </c>
      <c r="H114" s="169">
        <v>114</v>
      </c>
    </row>
    <row r="115" spans="1:8" ht="13.5" thickBot="1" x14ac:dyDescent="0.3">
      <c r="A115" s="85" t="s">
        <v>1625</v>
      </c>
      <c r="B115" s="169" t="s">
        <v>1501</v>
      </c>
      <c r="C115" s="64" t="s">
        <v>20</v>
      </c>
      <c r="D115" s="172"/>
      <c r="E115" s="89" t="b">
        <f t="shared" si="1"/>
        <v>0</v>
      </c>
      <c r="F115" s="89" t="b">
        <f>AND(E115,F116)</f>
        <v>0</v>
      </c>
      <c r="G115" s="169">
        <v>4</v>
      </c>
      <c r="H115" s="169">
        <v>115</v>
      </c>
    </row>
    <row r="116" spans="1:8" ht="13.5" thickBot="1" x14ac:dyDescent="0.3">
      <c r="A116" s="170" t="s">
        <v>1535</v>
      </c>
      <c r="B116" s="169" t="s">
        <v>1501</v>
      </c>
      <c r="C116" s="64" t="s">
        <v>20</v>
      </c>
      <c r="D116" s="172"/>
      <c r="E116" s="89" t="b">
        <f t="shared" si="1"/>
        <v>0</v>
      </c>
      <c r="F116" s="89" t="b">
        <f>AND(E116)</f>
        <v>0</v>
      </c>
      <c r="G116" s="169">
        <v>5</v>
      </c>
      <c r="H116" s="169">
        <v>116</v>
      </c>
    </row>
    <row r="117" spans="1:8" ht="13.5" thickBot="1" x14ac:dyDescent="0.3">
      <c r="A117" s="85" t="s">
        <v>1626</v>
      </c>
      <c r="B117" s="169" t="s">
        <v>1501</v>
      </c>
      <c r="C117" s="64" t="s">
        <v>20</v>
      </c>
      <c r="D117" s="172"/>
      <c r="E117" s="89" t="b">
        <f t="shared" si="1"/>
        <v>0</v>
      </c>
      <c r="F117" s="89" t="b">
        <f>AND(E117,F118,F121)</f>
        <v>0</v>
      </c>
      <c r="G117" s="169">
        <v>4</v>
      </c>
      <c r="H117" s="169">
        <v>117</v>
      </c>
    </row>
    <row r="118" spans="1:8" ht="14.25" thickBot="1" x14ac:dyDescent="0.3">
      <c r="A118" s="171" t="s">
        <v>1627</v>
      </c>
      <c r="B118" s="169" t="s">
        <v>1501</v>
      </c>
      <c r="C118" s="64" t="s">
        <v>20</v>
      </c>
      <c r="D118" s="172"/>
      <c r="E118" s="89" t="b">
        <f t="shared" si="1"/>
        <v>0</v>
      </c>
      <c r="F118" s="89" t="b">
        <f>AND(E118,F119,F120)</f>
        <v>0</v>
      </c>
      <c r="G118" s="169">
        <v>5</v>
      </c>
      <c r="H118" s="169">
        <v>118</v>
      </c>
    </row>
    <row r="119" spans="1:8" ht="13.5" thickBot="1" x14ac:dyDescent="0.3">
      <c r="A119" s="170" t="s">
        <v>1536</v>
      </c>
      <c r="B119" s="169" t="s">
        <v>1501</v>
      </c>
      <c r="C119" s="64" t="s">
        <v>20</v>
      </c>
      <c r="D119" s="172"/>
      <c r="E119" s="89" t="b">
        <f t="shared" si="1"/>
        <v>0</v>
      </c>
      <c r="F119" s="89" t="b">
        <f>AND(E119)</f>
        <v>0</v>
      </c>
      <c r="G119" s="169">
        <v>6</v>
      </c>
      <c r="H119" s="169">
        <v>119</v>
      </c>
    </row>
    <row r="120" spans="1:8" ht="13.5" thickBot="1" x14ac:dyDescent="0.3">
      <c r="A120" s="170" t="s">
        <v>1537</v>
      </c>
      <c r="B120" s="169" t="s">
        <v>1501</v>
      </c>
      <c r="C120" s="64" t="s">
        <v>20</v>
      </c>
      <c r="D120" s="172"/>
      <c r="E120" s="89" t="b">
        <f t="shared" si="1"/>
        <v>0</v>
      </c>
      <c r="F120" s="89" t="b">
        <f>AND(E120)</f>
        <v>0</v>
      </c>
      <c r="G120" s="169">
        <v>6</v>
      </c>
      <c r="H120" s="169">
        <v>120</v>
      </c>
    </row>
    <row r="121" spans="1:8" ht="14.25" thickBot="1" x14ac:dyDescent="0.3">
      <c r="A121" s="171" t="s">
        <v>1628</v>
      </c>
      <c r="B121" s="169" t="s">
        <v>1501</v>
      </c>
      <c r="C121" s="64" t="s">
        <v>20</v>
      </c>
      <c r="D121" s="172"/>
      <c r="E121" s="89" t="b">
        <f t="shared" si="1"/>
        <v>0</v>
      </c>
      <c r="F121" s="89" t="b">
        <f>AND(E121,F122,F123)</f>
        <v>0</v>
      </c>
      <c r="G121" s="169">
        <v>5</v>
      </c>
      <c r="H121" s="169">
        <v>121</v>
      </c>
    </row>
    <row r="122" spans="1:8" ht="13.5" thickBot="1" x14ac:dyDescent="0.3">
      <c r="A122" s="170" t="s">
        <v>1538</v>
      </c>
      <c r="B122" s="169" t="s">
        <v>1501</v>
      </c>
      <c r="C122" s="64" t="s">
        <v>20</v>
      </c>
      <c r="D122" s="172"/>
      <c r="E122" s="89" t="b">
        <f t="shared" si="1"/>
        <v>0</v>
      </c>
      <c r="F122" s="89" t="b">
        <f>AND(E122)</f>
        <v>0</v>
      </c>
      <c r="G122" s="169">
        <v>6</v>
      </c>
      <c r="H122" s="169">
        <v>122</v>
      </c>
    </row>
    <row r="123" spans="1:8" ht="13.5" thickBot="1" x14ac:dyDescent="0.3">
      <c r="A123" s="170" t="s">
        <v>1539</v>
      </c>
      <c r="B123" s="169" t="s">
        <v>1501</v>
      </c>
      <c r="C123" s="64" t="s">
        <v>20</v>
      </c>
      <c r="D123" s="172"/>
      <c r="E123" s="89" t="b">
        <f t="shared" si="1"/>
        <v>0</v>
      </c>
      <c r="F123" s="89" t="b">
        <f>AND(E123)</f>
        <v>0</v>
      </c>
      <c r="G123" s="169">
        <v>6</v>
      </c>
      <c r="H123" s="169">
        <v>123</v>
      </c>
    </row>
    <row r="124" spans="1:8" ht="13.5" thickBot="1" x14ac:dyDescent="0.3">
      <c r="A124" s="85" t="s">
        <v>1629</v>
      </c>
      <c r="B124" s="169" t="s">
        <v>1501</v>
      </c>
      <c r="C124" s="64" t="s">
        <v>20</v>
      </c>
      <c r="D124" s="172"/>
      <c r="E124" s="89" t="b">
        <f t="shared" si="1"/>
        <v>0</v>
      </c>
      <c r="F124" s="89" t="b">
        <f>AND(E124)</f>
        <v>0</v>
      </c>
      <c r="G124" s="169">
        <v>4</v>
      </c>
      <c r="H124" s="169">
        <v>124</v>
      </c>
    </row>
    <row r="125" spans="1:8" ht="13.5" thickBot="1" x14ac:dyDescent="0.3">
      <c r="A125" s="85" t="s">
        <v>1630</v>
      </c>
      <c r="B125" s="169" t="s">
        <v>1501</v>
      </c>
      <c r="C125" s="64" t="s">
        <v>20</v>
      </c>
      <c r="D125" s="172"/>
      <c r="E125" s="89" t="b">
        <f t="shared" si="1"/>
        <v>0</v>
      </c>
      <c r="F125" s="89" t="b">
        <f>AND(E125)</f>
        <v>0</v>
      </c>
      <c r="G125" s="169">
        <v>4</v>
      </c>
      <c r="H125" s="169">
        <v>125</v>
      </c>
    </row>
    <row r="126" spans="1:8" ht="13.5" thickBot="1" x14ac:dyDescent="0.3">
      <c r="A126" s="85" t="s">
        <v>1631</v>
      </c>
      <c r="B126" s="169" t="s">
        <v>1501</v>
      </c>
      <c r="C126" s="64" t="s">
        <v>20</v>
      </c>
      <c r="D126" s="172"/>
      <c r="E126" s="89" t="b">
        <f t="shared" si="1"/>
        <v>0</v>
      </c>
      <c r="F126" s="89" t="b">
        <f>AND(E126,F127,F128,F129,F130,F132,F133,F134)</f>
        <v>0</v>
      </c>
      <c r="G126" s="169">
        <v>3</v>
      </c>
      <c r="H126" s="169">
        <v>126</v>
      </c>
    </row>
    <row r="127" spans="1:8" ht="13.5" thickBot="1" x14ac:dyDescent="0.3">
      <c r="A127" s="85" t="s">
        <v>1632</v>
      </c>
      <c r="B127" s="169" t="s">
        <v>1501</v>
      </c>
      <c r="C127" s="64" t="s">
        <v>20</v>
      </c>
      <c r="D127" s="172"/>
      <c r="E127" s="89" t="b">
        <f t="shared" si="1"/>
        <v>0</v>
      </c>
      <c r="F127" s="89" t="b">
        <f>AND(E127)</f>
        <v>0</v>
      </c>
      <c r="G127" s="169">
        <v>4</v>
      </c>
      <c r="H127" s="169">
        <v>127</v>
      </c>
    </row>
    <row r="128" spans="1:8" ht="13.5" thickBot="1" x14ac:dyDescent="0.3">
      <c r="A128" s="85" t="s">
        <v>1633</v>
      </c>
      <c r="B128" s="169" t="s">
        <v>1501</v>
      </c>
      <c r="C128" s="64" t="s">
        <v>20</v>
      </c>
      <c r="D128" s="172"/>
      <c r="E128" s="89" t="b">
        <f t="shared" si="1"/>
        <v>0</v>
      </c>
      <c r="F128" s="89" t="b">
        <f>AND(E128)</f>
        <v>0</v>
      </c>
      <c r="G128" s="169">
        <v>4</v>
      </c>
      <c r="H128" s="169">
        <v>128</v>
      </c>
    </row>
    <row r="129" spans="1:8" ht="13.5" thickBot="1" x14ac:dyDescent="0.3">
      <c r="A129" s="85" t="s">
        <v>1634</v>
      </c>
      <c r="B129" s="169" t="s">
        <v>1501</v>
      </c>
      <c r="C129" s="64" t="s">
        <v>20</v>
      </c>
      <c r="D129" s="172"/>
      <c r="E129" s="89" t="b">
        <f t="shared" si="1"/>
        <v>0</v>
      </c>
      <c r="F129" s="89" t="b">
        <f>AND(E129)</f>
        <v>0</v>
      </c>
      <c r="G129" s="169">
        <v>4</v>
      </c>
      <c r="H129" s="169">
        <v>129</v>
      </c>
    </row>
    <row r="130" spans="1:8" ht="13.5" thickBot="1" x14ac:dyDescent="0.3">
      <c r="A130" s="85" t="s">
        <v>1635</v>
      </c>
      <c r="B130" s="169" t="s">
        <v>1501</v>
      </c>
      <c r="C130" s="64" t="s">
        <v>20</v>
      </c>
      <c r="D130" s="172"/>
      <c r="E130" s="89" t="b">
        <f t="shared" si="1"/>
        <v>0</v>
      </c>
      <c r="F130" s="89" t="b">
        <f>AND(E130,F131)</f>
        <v>0</v>
      </c>
      <c r="G130" s="169">
        <v>4</v>
      </c>
      <c r="H130" s="169">
        <v>130</v>
      </c>
    </row>
    <row r="131" spans="1:8" ht="13.5" thickBot="1" x14ac:dyDescent="0.3">
      <c r="A131" s="170" t="s">
        <v>1540</v>
      </c>
      <c r="B131" s="169" t="s">
        <v>1501</v>
      </c>
      <c r="C131" s="64" t="s">
        <v>20</v>
      </c>
      <c r="D131" s="172"/>
      <c r="E131" s="89" t="b">
        <f t="shared" si="1"/>
        <v>0</v>
      </c>
      <c r="F131" s="89" t="b">
        <f>AND(E131)</f>
        <v>0</v>
      </c>
      <c r="G131" s="169">
        <v>5</v>
      </c>
      <c r="H131" s="169">
        <v>131</v>
      </c>
    </row>
    <row r="132" spans="1:8" ht="13.5" thickBot="1" x14ac:dyDescent="0.3">
      <c r="A132" s="85" t="s">
        <v>1636</v>
      </c>
      <c r="B132" s="169" t="s">
        <v>1501</v>
      </c>
      <c r="C132" s="64" t="s">
        <v>20</v>
      </c>
      <c r="D132" s="172"/>
      <c r="E132" s="89" t="b">
        <f t="shared" si="1"/>
        <v>0</v>
      </c>
      <c r="F132" s="89" t="b">
        <f>AND(E132)</f>
        <v>0</v>
      </c>
      <c r="G132" s="169">
        <v>4</v>
      </c>
      <c r="H132" s="169">
        <v>132</v>
      </c>
    </row>
    <row r="133" spans="1:8" ht="13.5" thickBot="1" x14ac:dyDescent="0.3">
      <c r="A133" s="85" t="s">
        <v>1637</v>
      </c>
      <c r="B133" s="169" t="s">
        <v>1501</v>
      </c>
      <c r="C133" s="64" t="s">
        <v>20</v>
      </c>
      <c r="D133" s="172"/>
      <c r="E133" s="89" t="b">
        <f t="shared" ref="E133:E196" si="2">IF($B133="Required",OR($C133=TRUE,AND($C133="N/A",NOT(ISBLANK($D133)))),IF($B133="Optional",TRUE,IF($B133="Required if applicable",OR($C133=TRUE,AND($C133="N/A",NOT(ISBLANK($D133)))),OR($C133=TRUE,AND($C133="N/A",NOT(ISBLANK($D133)))))))</f>
        <v>0</v>
      </c>
      <c r="F133" s="89" t="b">
        <f>AND(E133)</f>
        <v>0</v>
      </c>
      <c r="G133" s="169">
        <v>4</v>
      </c>
      <c r="H133" s="169">
        <v>133</v>
      </c>
    </row>
    <row r="134" spans="1:8" ht="13.5" thickBot="1" x14ac:dyDescent="0.3">
      <c r="A134" s="85" t="s">
        <v>1638</v>
      </c>
      <c r="B134" s="169" t="s">
        <v>1501</v>
      </c>
      <c r="C134" s="64" t="s">
        <v>20</v>
      </c>
      <c r="D134" s="172"/>
      <c r="E134" s="89" t="b">
        <f t="shared" si="2"/>
        <v>0</v>
      </c>
      <c r="F134" s="89" t="b">
        <f>AND(E134)</f>
        <v>0</v>
      </c>
      <c r="G134" s="169">
        <v>4</v>
      </c>
      <c r="H134" s="169">
        <v>134</v>
      </c>
    </row>
    <row r="135" spans="1:8" ht="13.5" thickBot="1" x14ac:dyDescent="0.3">
      <c r="A135" s="85" t="s">
        <v>1639</v>
      </c>
      <c r="B135" s="169" t="s">
        <v>1501</v>
      </c>
      <c r="C135" s="64" t="s">
        <v>20</v>
      </c>
      <c r="D135" s="172"/>
      <c r="E135" s="89" t="b">
        <f t="shared" si="2"/>
        <v>0</v>
      </c>
      <c r="F135" s="89" t="b">
        <f>AND(E135,F136,F137,F138,F139,F141,F142,F143)</f>
        <v>0</v>
      </c>
      <c r="G135" s="169">
        <v>3</v>
      </c>
      <c r="H135" s="169">
        <v>135</v>
      </c>
    </row>
    <row r="136" spans="1:8" ht="13.5" thickBot="1" x14ac:dyDescent="0.3">
      <c r="A136" s="85" t="s">
        <v>1640</v>
      </c>
      <c r="B136" s="169" t="s">
        <v>1501</v>
      </c>
      <c r="C136" s="64" t="s">
        <v>20</v>
      </c>
      <c r="D136" s="172"/>
      <c r="E136" s="89" t="b">
        <f t="shared" si="2"/>
        <v>0</v>
      </c>
      <c r="F136" s="89" t="b">
        <f>AND(E136)</f>
        <v>0</v>
      </c>
      <c r="G136" s="169">
        <v>4</v>
      </c>
      <c r="H136" s="169">
        <v>136</v>
      </c>
    </row>
    <row r="137" spans="1:8" ht="13.5" thickBot="1" x14ac:dyDescent="0.3">
      <c r="A137" s="85" t="s">
        <v>1641</v>
      </c>
      <c r="B137" s="169" t="s">
        <v>1501</v>
      </c>
      <c r="C137" s="64" t="s">
        <v>20</v>
      </c>
      <c r="D137" s="172"/>
      <c r="E137" s="89" t="b">
        <f t="shared" si="2"/>
        <v>0</v>
      </c>
      <c r="F137" s="89" t="b">
        <f>AND(E137)</f>
        <v>0</v>
      </c>
      <c r="G137" s="169">
        <v>4</v>
      </c>
      <c r="H137" s="169">
        <v>137</v>
      </c>
    </row>
    <row r="138" spans="1:8" ht="13.5" thickBot="1" x14ac:dyDescent="0.3">
      <c r="A138" s="85" t="s">
        <v>1642</v>
      </c>
      <c r="B138" s="169" t="s">
        <v>1501</v>
      </c>
      <c r="C138" s="64" t="s">
        <v>20</v>
      </c>
      <c r="D138" s="172"/>
      <c r="E138" s="89" t="b">
        <f t="shared" si="2"/>
        <v>0</v>
      </c>
      <c r="F138" s="89" t="b">
        <f>AND(E138)</f>
        <v>0</v>
      </c>
      <c r="G138" s="169">
        <v>4</v>
      </c>
      <c r="H138" s="169">
        <v>138</v>
      </c>
    </row>
    <row r="139" spans="1:8" ht="13.5" thickBot="1" x14ac:dyDescent="0.3">
      <c r="A139" s="85" t="s">
        <v>1643</v>
      </c>
      <c r="B139" s="169" t="s">
        <v>1501</v>
      </c>
      <c r="C139" s="64" t="s">
        <v>20</v>
      </c>
      <c r="D139" s="172"/>
      <c r="E139" s="89" t="b">
        <f t="shared" si="2"/>
        <v>0</v>
      </c>
      <c r="F139" s="89" t="b">
        <f>AND(E139,F140)</f>
        <v>0</v>
      </c>
      <c r="G139" s="169">
        <v>4</v>
      </c>
      <c r="H139" s="169">
        <v>139</v>
      </c>
    </row>
    <row r="140" spans="1:8" ht="13.5" thickBot="1" x14ac:dyDescent="0.3">
      <c r="A140" s="170" t="s">
        <v>1541</v>
      </c>
      <c r="B140" s="169" t="s">
        <v>1501</v>
      </c>
      <c r="C140" s="64" t="s">
        <v>20</v>
      </c>
      <c r="D140" s="172"/>
      <c r="E140" s="89" t="b">
        <f t="shared" si="2"/>
        <v>0</v>
      </c>
      <c r="F140" s="89" t="b">
        <f>AND(E140)</f>
        <v>0</v>
      </c>
      <c r="G140" s="169">
        <v>5</v>
      </c>
      <c r="H140" s="169">
        <v>140</v>
      </c>
    </row>
    <row r="141" spans="1:8" ht="13.5" thickBot="1" x14ac:dyDescent="0.3">
      <c r="A141" s="85" t="s">
        <v>1644</v>
      </c>
      <c r="B141" s="169" t="s">
        <v>1501</v>
      </c>
      <c r="C141" s="64" t="s">
        <v>20</v>
      </c>
      <c r="D141" s="172"/>
      <c r="E141" s="89" t="b">
        <f t="shared" si="2"/>
        <v>0</v>
      </c>
      <c r="F141" s="89" t="b">
        <f>AND(E141)</f>
        <v>0</v>
      </c>
      <c r="G141" s="169">
        <v>4</v>
      </c>
      <c r="H141" s="169">
        <v>141</v>
      </c>
    </row>
    <row r="142" spans="1:8" ht="13.5" thickBot="1" x14ac:dyDescent="0.3">
      <c r="A142" s="85" t="s">
        <v>1645</v>
      </c>
      <c r="B142" s="169" t="s">
        <v>1501</v>
      </c>
      <c r="C142" s="64" t="s">
        <v>20</v>
      </c>
      <c r="D142" s="172"/>
      <c r="E142" s="89" t="b">
        <f t="shared" si="2"/>
        <v>0</v>
      </c>
      <c r="F142" s="89" t="b">
        <f>AND(E142)</f>
        <v>0</v>
      </c>
      <c r="G142" s="169">
        <v>4</v>
      </c>
      <c r="H142" s="169">
        <v>142</v>
      </c>
    </row>
    <row r="143" spans="1:8" ht="13.5" thickBot="1" x14ac:dyDescent="0.3">
      <c r="A143" s="85" t="s">
        <v>1646</v>
      </c>
      <c r="B143" s="169" t="s">
        <v>1501</v>
      </c>
      <c r="C143" s="64" t="s">
        <v>20</v>
      </c>
      <c r="D143" s="172"/>
      <c r="E143" s="89" t="b">
        <f t="shared" si="2"/>
        <v>0</v>
      </c>
      <c r="F143" s="89" t="b">
        <f>AND(E143)</f>
        <v>0</v>
      </c>
      <c r="G143" s="169">
        <v>4</v>
      </c>
      <c r="H143" s="169">
        <v>143</v>
      </c>
    </row>
    <row r="144" spans="1:8" ht="13.5" thickBot="1" x14ac:dyDescent="0.3">
      <c r="A144" s="85" t="s">
        <v>1647</v>
      </c>
      <c r="B144" s="169" t="s">
        <v>1501</v>
      </c>
      <c r="C144" s="64" t="s">
        <v>20</v>
      </c>
      <c r="D144" s="172"/>
      <c r="E144" s="89" t="b">
        <f t="shared" si="2"/>
        <v>0</v>
      </c>
      <c r="F144" s="89" t="b">
        <f>AND(E144,F145,F146,F147,F148,F150,F151,F152)</f>
        <v>0</v>
      </c>
      <c r="G144" s="169">
        <v>3</v>
      </c>
      <c r="H144" s="169">
        <v>144</v>
      </c>
    </row>
    <row r="145" spans="1:8" ht="13.5" thickBot="1" x14ac:dyDescent="0.3">
      <c r="A145" s="85" t="s">
        <v>1648</v>
      </c>
      <c r="B145" s="169" t="s">
        <v>1501</v>
      </c>
      <c r="C145" s="64" t="s">
        <v>20</v>
      </c>
      <c r="D145" s="172"/>
      <c r="E145" s="89" t="b">
        <f t="shared" si="2"/>
        <v>0</v>
      </c>
      <c r="F145" s="89" t="b">
        <f>AND(E145)</f>
        <v>0</v>
      </c>
      <c r="G145" s="169">
        <v>4</v>
      </c>
      <c r="H145" s="169">
        <v>145</v>
      </c>
    </row>
    <row r="146" spans="1:8" ht="13.5" thickBot="1" x14ac:dyDescent="0.3">
      <c r="A146" s="85" t="s">
        <v>1649</v>
      </c>
      <c r="B146" s="169" t="s">
        <v>1501</v>
      </c>
      <c r="C146" s="64" t="s">
        <v>20</v>
      </c>
      <c r="D146" s="172"/>
      <c r="E146" s="89" t="b">
        <f t="shared" si="2"/>
        <v>0</v>
      </c>
      <c r="F146" s="89" t="b">
        <f>AND(E146)</f>
        <v>0</v>
      </c>
      <c r="G146" s="169">
        <v>4</v>
      </c>
      <c r="H146" s="169">
        <v>146</v>
      </c>
    </row>
    <row r="147" spans="1:8" ht="13.5" thickBot="1" x14ac:dyDescent="0.3">
      <c r="A147" s="85" t="s">
        <v>1650</v>
      </c>
      <c r="B147" s="169" t="s">
        <v>1501</v>
      </c>
      <c r="C147" s="64" t="s">
        <v>20</v>
      </c>
      <c r="D147" s="172"/>
      <c r="E147" s="89" t="b">
        <f t="shared" si="2"/>
        <v>0</v>
      </c>
      <c r="F147" s="89" t="b">
        <f>AND(E147)</f>
        <v>0</v>
      </c>
      <c r="G147" s="169">
        <v>4</v>
      </c>
      <c r="H147" s="169">
        <v>147</v>
      </c>
    </row>
    <row r="148" spans="1:8" ht="13.5" thickBot="1" x14ac:dyDescent="0.3">
      <c r="A148" s="85" t="s">
        <v>1651</v>
      </c>
      <c r="B148" s="169" t="s">
        <v>1501</v>
      </c>
      <c r="C148" s="64" t="s">
        <v>20</v>
      </c>
      <c r="D148" s="172"/>
      <c r="E148" s="89" t="b">
        <f t="shared" si="2"/>
        <v>0</v>
      </c>
      <c r="F148" s="89" t="b">
        <f>AND(E148,F149)</f>
        <v>0</v>
      </c>
      <c r="G148" s="169">
        <v>4</v>
      </c>
      <c r="H148" s="169">
        <v>148</v>
      </c>
    </row>
    <row r="149" spans="1:8" ht="13.5" thickBot="1" x14ac:dyDescent="0.3">
      <c r="A149" s="170" t="s">
        <v>1542</v>
      </c>
      <c r="B149" s="169" t="s">
        <v>1501</v>
      </c>
      <c r="C149" s="64" t="s">
        <v>20</v>
      </c>
      <c r="D149" s="172"/>
      <c r="E149" s="89" t="b">
        <f t="shared" si="2"/>
        <v>0</v>
      </c>
      <c r="F149" s="89" t="b">
        <f>AND(E149)</f>
        <v>0</v>
      </c>
      <c r="G149" s="169">
        <v>5</v>
      </c>
      <c r="H149" s="169">
        <v>149</v>
      </c>
    </row>
    <row r="150" spans="1:8" ht="13.5" thickBot="1" x14ac:dyDescent="0.3">
      <c r="A150" s="85" t="s">
        <v>1652</v>
      </c>
      <c r="B150" s="169" t="s">
        <v>1501</v>
      </c>
      <c r="C150" s="64" t="s">
        <v>20</v>
      </c>
      <c r="D150" s="172"/>
      <c r="E150" s="89" t="b">
        <f t="shared" si="2"/>
        <v>0</v>
      </c>
      <c r="F150" s="89" t="b">
        <f>AND(E150)</f>
        <v>0</v>
      </c>
      <c r="G150" s="169">
        <v>4</v>
      </c>
      <c r="H150" s="169">
        <v>150</v>
      </c>
    </row>
    <row r="151" spans="1:8" ht="13.5" thickBot="1" x14ac:dyDescent="0.3">
      <c r="A151" s="85" t="s">
        <v>1653</v>
      </c>
      <c r="B151" s="169" t="s">
        <v>1501</v>
      </c>
      <c r="C151" s="64" t="s">
        <v>20</v>
      </c>
      <c r="D151" s="172"/>
      <c r="E151" s="89" t="b">
        <f t="shared" si="2"/>
        <v>0</v>
      </c>
      <c r="F151" s="89" t="b">
        <f>AND(E151)</f>
        <v>0</v>
      </c>
      <c r="G151" s="169">
        <v>4</v>
      </c>
      <c r="H151" s="169">
        <v>151</v>
      </c>
    </row>
    <row r="152" spans="1:8" ht="13.5" thickBot="1" x14ac:dyDescent="0.3">
      <c r="A152" s="85" t="s">
        <v>1654</v>
      </c>
      <c r="B152" s="169" t="s">
        <v>1501</v>
      </c>
      <c r="C152" s="64" t="s">
        <v>20</v>
      </c>
      <c r="D152" s="172"/>
      <c r="E152" s="89" t="b">
        <f t="shared" si="2"/>
        <v>0</v>
      </c>
      <c r="F152" s="89" t="b">
        <f>AND(E152)</f>
        <v>0</v>
      </c>
      <c r="G152" s="169">
        <v>4</v>
      </c>
      <c r="H152" s="169">
        <v>152</v>
      </c>
    </row>
    <row r="153" spans="1:8" ht="13.5" thickBot="1" x14ac:dyDescent="0.3">
      <c r="A153" s="85" t="s">
        <v>1655</v>
      </c>
      <c r="B153" s="169" t="s">
        <v>1501</v>
      </c>
      <c r="C153" s="64" t="s">
        <v>20</v>
      </c>
      <c r="D153" s="172"/>
      <c r="E153" s="89" t="b">
        <f t="shared" si="2"/>
        <v>0</v>
      </c>
      <c r="F153" s="89" t="b">
        <f>AND(E153,F154,F155,F156,F157,F159,F160,F161)</f>
        <v>0</v>
      </c>
      <c r="G153" s="169">
        <v>3</v>
      </c>
      <c r="H153" s="169">
        <v>153</v>
      </c>
    </row>
    <row r="154" spans="1:8" ht="13.5" thickBot="1" x14ac:dyDescent="0.3">
      <c r="A154" s="85" t="s">
        <v>1656</v>
      </c>
      <c r="B154" s="169" t="s">
        <v>1501</v>
      </c>
      <c r="C154" s="64" t="s">
        <v>20</v>
      </c>
      <c r="D154" s="172"/>
      <c r="E154" s="89" t="b">
        <f t="shared" si="2"/>
        <v>0</v>
      </c>
      <c r="F154" s="89" t="b">
        <f>AND(E154)</f>
        <v>0</v>
      </c>
      <c r="G154" s="169">
        <v>4</v>
      </c>
      <c r="H154" s="169">
        <v>154</v>
      </c>
    </row>
    <row r="155" spans="1:8" ht="13.5" thickBot="1" x14ac:dyDescent="0.3">
      <c r="A155" s="85" t="s">
        <v>1657</v>
      </c>
      <c r="B155" s="169" t="s">
        <v>1501</v>
      </c>
      <c r="C155" s="64" t="s">
        <v>20</v>
      </c>
      <c r="D155" s="172"/>
      <c r="E155" s="89" t="b">
        <f t="shared" si="2"/>
        <v>0</v>
      </c>
      <c r="F155" s="89" t="b">
        <f>AND(E155)</f>
        <v>0</v>
      </c>
      <c r="G155" s="169">
        <v>4</v>
      </c>
      <c r="H155" s="169">
        <v>155</v>
      </c>
    </row>
    <row r="156" spans="1:8" ht="13.5" thickBot="1" x14ac:dyDescent="0.3">
      <c r="A156" s="85" t="s">
        <v>1658</v>
      </c>
      <c r="B156" s="169" t="s">
        <v>1501</v>
      </c>
      <c r="C156" s="64" t="s">
        <v>20</v>
      </c>
      <c r="D156" s="172"/>
      <c r="E156" s="89" t="b">
        <f t="shared" si="2"/>
        <v>0</v>
      </c>
      <c r="F156" s="89" t="b">
        <f>AND(E156)</f>
        <v>0</v>
      </c>
      <c r="G156" s="169">
        <v>4</v>
      </c>
      <c r="H156" s="169">
        <v>156</v>
      </c>
    </row>
    <row r="157" spans="1:8" ht="13.5" thickBot="1" x14ac:dyDescent="0.3">
      <c r="A157" s="85" t="s">
        <v>1659</v>
      </c>
      <c r="B157" s="169" t="s">
        <v>1501</v>
      </c>
      <c r="C157" s="64" t="s">
        <v>20</v>
      </c>
      <c r="D157" s="172"/>
      <c r="E157" s="89" t="b">
        <f t="shared" si="2"/>
        <v>0</v>
      </c>
      <c r="F157" s="89" t="b">
        <f>AND(E157,F158)</f>
        <v>0</v>
      </c>
      <c r="G157" s="169">
        <v>4</v>
      </c>
      <c r="H157" s="169">
        <v>157</v>
      </c>
    </row>
    <row r="158" spans="1:8" ht="13.5" thickBot="1" x14ac:dyDescent="0.3">
      <c r="A158" s="170" t="s">
        <v>1543</v>
      </c>
      <c r="B158" s="169" t="s">
        <v>1501</v>
      </c>
      <c r="C158" s="64" t="s">
        <v>20</v>
      </c>
      <c r="D158" s="172"/>
      <c r="E158" s="89" t="b">
        <f t="shared" si="2"/>
        <v>0</v>
      </c>
      <c r="F158" s="89" t="b">
        <f>AND(E158)</f>
        <v>0</v>
      </c>
      <c r="G158" s="169">
        <v>5</v>
      </c>
      <c r="H158" s="169">
        <v>158</v>
      </c>
    </row>
    <row r="159" spans="1:8" ht="13.5" thickBot="1" x14ac:dyDescent="0.3">
      <c r="A159" s="85" t="s">
        <v>1660</v>
      </c>
      <c r="B159" s="169" t="s">
        <v>1501</v>
      </c>
      <c r="C159" s="64" t="s">
        <v>20</v>
      </c>
      <c r="D159" s="172"/>
      <c r="E159" s="89" t="b">
        <f t="shared" si="2"/>
        <v>0</v>
      </c>
      <c r="F159" s="89" t="b">
        <f>AND(E159)</f>
        <v>0</v>
      </c>
      <c r="G159" s="169">
        <v>4</v>
      </c>
      <c r="H159" s="169">
        <v>159</v>
      </c>
    </row>
    <row r="160" spans="1:8" ht="13.5" thickBot="1" x14ac:dyDescent="0.3">
      <c r="A160" s="85" t="s">
        <v>1661</v>
      </c>
      <c r="B160" s="169" t="s">
        <v>1501</v>
      </c>
      <c r="C160" s="64" t="s">
        <v>20</v>
      </c>
      <c r="D160" s="172"/>
      <c r="E160" s="89" t="b">
        <f t="shared" si="2"/>
        <v>0</v>
      </c>
      <c r="F160" s="89" t="b">
        <f>AND(E160)</f>
        <v>0</v>
      </c>
      <c r="G160" s="169">
        <v>4</v>
      </c>
      <c r="H160" s="169">
        <v>160</v>
      </c>
    </row>
    <row r="161" spans="1:8" ht="13.5" thickBot="1" x14ac:dyDescent="0.3">
      <c r="A161" s="85" t="s">
        <v>1662</v>
      </c>
      <c r="B161" s="169" t="s">
        <v>1501</v>
      </c>
      <c r="C161" s="64" t="s">
        <v>20</v>
      </c>
      <c r="D161" s="172"/>
      <c r="E161" s="89" t="b">
        <f t="shared" si="2"/>
        <v>0</v>
      </c>
      <c r="F161" s="89" t="b">
        <f>AND(E161)</f>
        <v>0</v>
      </c>
      <c r="G161" s="169">
        <v>4</v>
      </c>
      <c r="H161" s="169">
        <v>161</v>
      </c>
    </row>
    <row r="162" spans="1:8" ht="13.5" thickBot="1" x14ac:dyDescent="0.3">
      <c r="A162" s="85" t="s">
        <v>1663</v>
      </c>
      <c r="B162" s="169" t="s">
        <v>1501</v>
      </c>
      <c r="C162" s="64" t="s">
        <v>20</v>
      </c>
      <c r="D162" s="172"/>
      <c r="E162" s="89" t="b">
        <f t="shared" si="2"/>
        <v>0</v>
      </c>
      <c r="F162" s="89" t="b">
        <f>AND(E162,F163,F172)</f>
        <v>0</v>
      </c>
      <c r="G162" s="169">
        <v>2</v>
      </c>
      <c r="H162" s="169">
        <v>162</v>
      </c>
    </row>
    <row r="163" spans="1:8" ht="13.5" thickBot="1" x14ac:dyDescent="0.3">
      <c r="A163" s="85" t="s">
        <v>1664</v>
      </c>
      <c r="B163" s="169" t="s">
        <v>1501</v>
      </c>
      <c r="C163" s="64" t="s">
        <v>20</v>
      </c>
      <c r="D163" s="172"/>
      <c r="E163" s="89" t="b">
        <f t="shared" si="2"/>
        <v>0</v>
      </c>
      <c r="F163" s="89" t="b">
        <f>AND(E163,F164,F165,F166,F167,F169,F170,F171)</f>
        <v>0</v>
      </c>
      <c r="G163" s="169">
        <v>3</v>
      </c>
      <c r="H163" s="169">
        <v>163</v>
      </c>
    </row>
    <row r="164" spans="1:8" ht="13.5" thickBot="1" x14ac:dyDescent="0.3">
      <c r="A164" s="85" t="s">
        <v>1665</v>
      </c>
      <c r="B164" s="169" t="s">
        <v>1501</v>
      </c>
      <c r="C164" s="64" t="s">
        <v>20</v>
      </c>
      <c r="D164" s="172"/>
      <c r="E164" s="89" t="b">
        <f t="shared" si="2"/>
        <v>0</v>
      </c>
      <c r="F164" s="89" t="b">
        <f>AND(E164)</f>
        <v>0</v>
      </c>
      <c r="G164" s="169">
        <v>4</v>
      </c>
      <c r="H164" s="169">
        <v>164</v>
      </c>
    </row>
    <row r="165" spans="1:8" ht="13.5" thickBot="1" x14ac:dyDescent="0.3">
      <c r="A165" s="85" t="s">
        <v>1666</v>
      </c>
      <c r="B165" s="169" t="s">
        <v>1501</v>
      </c>
      <c r="C165" s="64" t="s">
        <v>20</v>
      </c>
      <c r="D165" s="172"/>
      <c r="E165" s="89" t="b">
        <f t="shared" si="2"/>
        <v>0</v>
      </c>
      <c r="F165" s="89" t="b">
        <f>AND(E165)</f>
        <v>0</v>
      </c>
      <c r="G165" s="169">
        <v>4</v>
      </c>
      <c r="H165" s="169">
        <v>165</v>
      </c>
    </row>
    <row r="166" spans="1:8" ht="13.5" thickBot="1" x14ac:dyDescent="0.3">
      <c r="A166" s="85" t="s">
        <v>1667</v>
      </c>
      <c r="B166" s="169" t="s">
        <v>1501</v>
      </c>
      <c r="C166" s="64" t="s">
        <v>20</v>
      </c>
      <c r="D166" s="172"/>
      <c r="E166" s="89" t="b">
        <f t="shared" si="2"/>
        <v>0</v>
      </c>
      <c r="F166" s="89" t="b">
        <f>AND(E166)</f>
        <v>0</v>
      </c>
      <c r="G166" s="169">
        <v>4</v>
      </c>
      <c r="H166" s="169">
        <v>166</v>
      </c>
    </row>
    <row r="167" spans="1:8" ht="13.5" thickBot="1" x14ac:dyDescent="0.3">
      <c r="A167" s="85" t="s">
        <v>1668</v>
      </c>
      <c r="B167" s="169" t="s">
        <v>1501</v>
      </c>
      <c r="C167" s="64" t="s">
        <v>20</v>
      </c>
      <c r="D167" s="172"/>
      <c r="E167" s="89" t="b">
        <f t="shared" si="2"/>
        <v>0</v>
      </c>
      <c r="F167" s="89" t="b">
        <f>AND(E167,F168)</f>
        <v>0</v>
      </c>
      <c r="G167" s="169">
        <v>4</v>
      </c>
      <c r="H167" s="169">
        <v>167</v>
      </c>
    </row>
    <row r="168" spans="1:8" ht="13.5" thickBot="1" x14ac:dyDescent="0.3">
      <c r="A168" s="170" t="s">
        <v>1544</v>
      </c>
      <c r="B168" s="169" t="s">
        <v>1501</v>
      </c>
      <c r="C168" s="64" t="s">
        <v>20</v>
      </c>
      <c r="D168" s="172"/>
      <c r="E168" s="89" t="b">
        <f t="shared" si="2"/>
        <v>0</v>
      </c>
      <c r="F168" s="89" t="b">
        <f>AND(E168)</f>
        <v>0</v>
      </c>
      <c r="G168" s="169">
        <v>5</v>
      </c>
      <c r="H168" s="169">
        <v>168</v>
      </c>
    </row>
    <row r="169" spans="1:8" ht="13.5" thickBot="1" x14ac:dyDescent="0.3">
      <c r="A169" s="85" t="s">
        <v>1669</v>
      </c>
      <c r="B169" s="169" t="s">
        <v>1501</v>
      </c>
      <c r="C169" s="64" t="s">
        <v>20</v>
      </c>
      <c r="D169" s="172"/>
      <c r="E169" s="89" t="b">
        <f t="shared" si="2"/>
        <v>0</v>
      </c>
      <c r="F169" s="89" t="b">
        <f>AND(E169)</f>
        <v>0</v>
      </c>
      <c r="G169" s="169">
        <v>4</v>
      </c>
      <c r="H169" s="169">
        <v>169</v>
      </c>
    </row>
    <row r="170" spans="1:8" ht="13.5" thickBot="1" x14ac:dyDescent="0.3">
      <c r="A170" s="85" t="s">
        <v>1670</v>
      </c>
      <c r="B170" s="169" t="s">
        <v>1501</v>
      </c>
      <c r="C170" s="64" t="s">
        <v>20</v>
      </c>
      <c r="D170" s="172"/>
      <c r="E170" s="89" t="b">
        <f t="shared" si="2"/>
        <v>0</v>
      </c>
      <c r="F170" s="89" t="b">
        <f>AND(E170)</f>
        <v>0</v>
      </c>
      <c r="G170" s="169">
        <v>4</v>
      </c>
      <c r="H170" s="169">
        <v>170</v>
      </c>
    </row>
    <row r="171" spans="1:8" ht="13.5" thickBot="1" x14ac:dyDescent="0.3">
      <c r="A171" s="85" t="s">
        <v>1671</v>
      </c>
      <c r="B171" s="169" t="s">
        <v>1501</v>
      </c>
      <c r="C171" s="64" t="s">
        <v>20</v>
      </c>
      <c r="D171" s="172"/>
      <c r="E171" s="89" t="b">
        <f t="shared" si="2"/>
        <v>0</v>
      </c>
      <c r="F171" s="89" t="b">
        <f>AND(E171)</f>
        <v>0</v>
      </c>
      <c r="G171" s="169">
        <v>4</v>
      </c>
      <c r="H171" s="169">
        <v>171</v>
      </c>
    </row>
    <row r="172" spans="1:8" ht="13.5" thickBot="1" x14ac:dyDescent="0.3">
      <c r="A172" s="85" t="s">
        <v>1672</v>
      </c>
      <c r="B172" s="169" t="s">
        <v>1501</v>
      </c>
      <c r="C172" s="64" t="s">
        <v>20</v>
      </c>
      <c r="D172" s="172"/>
      <c r="E172" s="89" t="b">
        <f t="shared" si="2"/>
        <v>0</v>
      </c>
      <c r="F172" s="89" t="b">
        <f>AND(E172,F173,F182,F191)</f>
        <v>0</v>
      </c>
      <c r="G172" s="169">
        <v>3</v>
      </c>
      <c r="H172" s="169">
        <v>172</v>
      </c>
    </row>
    <row r="173" spans="1:8" ht="13.5" thickBot="1" x14ac:dyDescent="0.3">
      <c r="A173" s="85" t="s">
        <v>1673</v>
      </c>
      <c r="B173" s="169" t="s">
        <v>1501</v>
      </c>
      <c r="C173" s="64" t="s">
        <v>20</v>
      </c>
      <c r="D173" s="172"/>
      <c r="E173" s="89" t="b">
        <f t="shared" si="2"/>
        <v>0</v>
      </c>
      <c r="F173" s="89" t="b">
        <f>AND(E173,F174,F175,F176,F177,F179,F180,F181)</f>
        <v>0</v>
      </c>
      <c r="G173" s="169">
        <v>4</v>
      </c>
      <c r="H173" s="169">
        <v>173</v>
      </c>
    </row>
    <row r="174" spans="1:8" ht="14.25" thickBot="1" x14ac:dyDescent="0.3">
      <c r="A174" s="171" t="s">
        <v>1674</v>
      </c>
      <c r="B174" s="169" t="s">
        <v>1501</v>
      </c>
      <c r="C174" s="64" t="s">
        <v>20</v>
      </c>
      <c r="D174" s="172"/>
      <c r="E174" s="89" t="b">
        <f t="shared" si="2"/>
        <v>0</v>
      </c>
      <c r="F174" s="89" t="b">
        <f>AND(E174)</f>
        <v>0</v>
      </c>
      <c r="G174" s="169">
        <v>5</v>
      </c>
      <c r="H174" s="169">
        <v>174</v>
      </c>
    </row>
    <row r="175" spans="1:8" ht="14.25" thickBot="1" x14ac:dyDescent="0.3">
      <c r="A175" s="171" t="s">
        <v>1675</v>
      </c>
      <c r="B175" s="169" t="s">
        <v>1501</v>
      </c>
      <c r="C175" s="64" t="s">
        <v>20</v>
      </c>
      <c r="D175" s="172"/>
      <c r="E175" s="89" t="b">
        <f t="shared" si="2"/>
        <v>0</v>
      </c>
      <c r="F175" s="89" t="b">
        <f>AND(E175)</f>
        <v>0</v>
      </c>
      <c r="G175" s="169">
        <v>5</v>
      </c>
      <c r="H175" s="169">
        <v>175</v>
      </c>
    </row>
    <row r="176" spans="1:8" ht="14.25" thickBot="1" x14ac:dyDescent="0.3">
      <c r="A176" s="171" t="s">
        <v>1676</v>
      </c>
      <c r="B176" s="169" t="s">
        <v>1501</v>
      </c>
      <c r="C176" s="64" t="s">
        <v>20</v>
      </c>
      <c r="D176" s="172"/>
      <c r="E176" s="89" t="b">
        <f t="shared" si="2"/>
        <v>0</v>
      </c>
      <c r="F176" s="89" t="b">
        <f>AND(E176)</f>
        <v>0</v>
      </c>
      <c r="G176" s="169">
        <v>5</v>
      </c>
      <c r="H176" s="169">
        <v>176</v>
      </c>
    </row>
    <row r="177" spans="1:8" ht="14.25" thickBot="1" x14ac:dyDescent="0.3">
      <c r="A177" s="171" t="s">
        <v>1677</v>
      </c>
      <c r="B177" s="169" t="s">
        <v>1501</v>
      </c>
      <c r="C177" s="64" t="s">
        <v>20</v>
      </c>
      <c r="D177" s="172"/>
      <c r="E177" s="89" t="b">
        <f t="shared" si="2"/>
        <v>0</v>
      </c>
      <c r="F177" s="89" t="b">
        <f>AND(E177,F178)</f>
        <v>0</v>
      </c>
      <c r="G177" s="169">
        <v>5</v>
      </c>
      <c r="H177" s="169">
        <v>177</v>
      </c>
    </row>
    <row r="178" spans="1:8" ht="13.5" thickBot="1" x14ac:dyDescent="0.3">
      <c r="A178" s="170" t="s">
        <v>1545</v>
      </c>
      <c r="B178" s="169" t="s">
        <v>1501</v>
      </c>
      <c r="C178" s="64" t="s">
        <v>20</v>
      </c>
      <c r="D178" s="172"/>
      <c r="E178" s="89" t="b">
        <f t="shared" si="2"/>
        <v>0</v>
      </c>
      <c r="F178" s="89" t="b">
        <f>AND(E178)</f>
        <v>0</v>
      </c>
      <c r="G178" s="169">
        <v>6</v>
      </c>
      <c r="H178" s="169">
        <v>178</v>
      </c>
    </row>
    <row r="179" spans="1:8" ht="27.75" thickBot="1" x14ac:dyDescent="0.3">
      <c r="A179" s="171" t="s">
        <v>1678</v>
      </c>
      <c r="B179" s="169" t="s">
        <v>1501</v>
      </c>
      <c r="C179" s="64" t="s">
        <v>20</v>
      </c>
      <c r="D179" s="172"/>
      <c r="E179" s="89" t="b">
        <f t="shared" si="2"/>
        <v>0</v>
      </c>
      <c r="F179" s="89" t="b">
        <f>AND(E179)</f>
        <v>0</v>
      </c>
      <c r="G179" s="169">
        <v>5</v>
      </c>
      <c r="H179" s="169">
        <v>179</v>
      </c>
    </row>
    <row r="180" spans="1:8" ht="14.25" thickBot="1" x14ac:dyDescent="0.3">
      <c r="A180" s="171" t="s">
        <v>1679</v>
      </c>
      <c r="B180" s="169" t="s">
        <v>1501</v>
      </c>
      <c r="C180" s="64" t="s">
        <v>20</v>
      </c>
      <c r="D180" s="172"/>
      <c r="E180" s="89" t="b">
        <f t="shared" si="2"/>
        <v>0</v>
      </c>
      <c r="F180" s="89" t="b">
        <f>AND(E180)</f>
        <v>0</v>
      </c>
      <c r="G180" s="169">
        <v>5</v>
      </c>
      <c r="H180" s="169">
        <v>180</v>
      </c>
    </row>
    <row r="181" spans="1:8" ht="14.25" thickBot="1" x14ac:dyDescent="0.3">
      <c r="A181" s="171" t="s">
        <v>1680</v>
      </c>
      <c r="B181" s="169" t="s">
        <v>1501</v>
      </c>
      <c r="C181" s="64" t="s">
        <v>20</v>
      </c>
      <c r="D181" s="172"/>
      <c r="E181" s="89" t="b">
        <f t="shared" si="2"/>
        <v>0</v>
      </c>
      <c r="F181" s="89" t="b">
        <f>AND(E181)</f>
        <v>0</v>
      </c>
      <c r="G181" s="169">
        <v>5</v>
      </c>
      <c r="H181" s="169">
        <v>181</v>
      </c>
    </row>
    <row r="182" spans="1:8" ht="13.5" thickBot="1" x14ac:dyDescent="0.3">
      <c r="A182" s="85" t="s">
        <v>1681</v>
      </c>
      <c r="B182" s="169" t="s">
        <v>1501</v>
      </c>
      <c r="C182" s="64" t="s">
        <v>20</v>
      </c>
      <c r="D182" s="172"/>
      <c r="E182" s="89" t="b">
        <f t="shared" si="2"/>
        <v>0</v>
      </c>
      <c r="F182" s="89" t="b">
        <f>AND(E182,F183,F184,F185,F186,F188,F189,F190)</f>
        <v>0</v>
      </c>
      <c r="G182" s="169">
        <v>4</v>
      </c>
      <c r="H182" s="169">
        <v>182</v>
      </c>
    </row>
    <row r="183" spans="1:8" ht="14.25" thickBot="1" x14ac:dyDescent="0.3">
      <c r="A183" s="171" t="s">
        <v>1682</v>
      </c>
      <c r="B183" s="169" t="s">
        <v>1501</v>
      </c>
      <c r="C183" s="64" t="s">
        <v>20</v>
      </c>
      <c r="D183" s="172"/>
      <c r="E183" s="89" t="b">
        <f t="shared" si="2"/>
        <v>0</v>
      </c>
      <c r="F183" s="89" t="b">
        <f>AND(E183)</f>
        <v>0</v>
      </c>
      <c r="G183" s="169">
        <v>5</v>
      </c>
      <c r="H183" s="169">
        <v>183</v>
      </c>
    </row>
    <row r="184" spans="1:8" ht="14.25" thickBot="1" x14ac:dyDescent="0.3">
      <c r="A184" s="171" t="s">
        <v>1683</v>
      </c>
      <c r="B184" s="169" t="s">
        <v>1501</v>
      </c>
      <c r="C184" s="64" t="s">
        <v>20</v>
      </c>
      <c r="D184" s="172"/>
      <c r="E184" s="89" t="b">
        <f t="shared" si="2"/>
        <v>0</v>
      </c>
      <c r="F184" s="89" t="b">
        <f>AND(E184)</f>
        <v>0</v>
      </c>
      <c r="G184" s="169">
        <v>5</v>
      </c>
      <c r="H184" s="169">
        <v>184</v>
      </c>
    </row>
    <row r="185" spans="1:8" ht="14.25" thickBot="1" x14ac:dyDescent="0.3">
      <c r="A185" s="171" t="s">
        <v>1684</v>
      </c>
      <c r="B185" s="169" t="s">
        <v>1501</v>
      </c>
      <c r="C185" s="64" t="s">
        <v>20</v>
      </c>
      <c r="D185" s="172"/>
      <c r="E185" s="89" t="b">
        <f t="shared" si="2"/>
        <v>0</v>
      </c>
      <c r="F185" s="89" t="b">
        <f>AND(E185)</f>
        <v>0</v>
      </c>
      <c r="G185" s="169">
        <v>5</v>
      </c>
      <c r="H185" s="169">
        <v>185</v>
      </c>
    </row>
    <row r="186" spans="1:8" ht="14.25" thickBot="1" x14ac:dyDescent="0.3">
      <c r="A186" s="171" t="s">
        <v>1685</v>
      </c>
      <c r="B186" s="169" t="s">
        <v>1501</v>
      </c>
      <c r="C186" s="64" t="s">
        <v>20</v>
      </c>
      <c r="D186" s="172"/>
      <c r="E186" s="89" t="b">
        <f t="shared" si="2"/>
        <v>0</v>
      </c>
      <c r="F186" s="89" t="b">
        <f>AND(E186,F187)</f>
        <v>0</v>
      </c>
      <c r="G186" s="169">
        <v>5</v>
      </c>
      <c r="H186" s="169">
        <v>186</v>
      </c>
    </row>
    <row r="187" spans="1:8" ht="13.5" thickBot="1" x14ac:dyDescent="0.3">
      <c r="A187" s="170" t="s">
        <v>1546</v>
      </c>
      <c r="B187" s="169" t="s">
        <v>1501</v>
      </c>
      <c r="C187" s="64" t="s">
        <v>20</v>
      </c>
      <c r="D187" s="172"/>
      <c r="E187" s="89" t="b">
        <f t="shared" si="2"/>
        <v>0</v>
      </c>
      <c r="F187" s="89" t="b">
        <f>AND(E187)</f>
        <v>0</v>
      </c>
      <c r="G187" s="169">
        <v>6</v>
      </c>
      <c r="H187" s="169">
        <v>187</v>
      </c>
    </row>
    <row r="188" spans="1:8" ht="27.75" thickBot="1" x14ac:dyDescent="0.3">
      <c r="A188" s="171" t="s">
        <v>1686</v>
      </c>
      <c r="B188" s="169" t="s">
        <v>1501</v>
      </c>
      <c r="C188" s="64" t="s">
        <v>20</v>
      </c>
      <c r="D188" s="172"/>
      <c r="E188" s="89" t="b">
        <f t="shared" si="2"/>
        <v>0</v>
      </c>
      <c r="F188" s="89" t="b">
        <f>AND(E188)</f>
        <v>0</v>
      </c>
      <c r="G188" s="169">
        <v>5</v>
      </c>
      <c r="H188" s="169">
        <v>188</v>
      </c>
    </row>
    <row r="189" spans="1:8" ht="14.25" thickBot="1" x14ac:dyDescent="0.3">
      <c r="A189" s="171" t="s">
        <v>1687</v>
      </c>
      <c r="B189" s="169" t="s">
        <v>1501</v>
      </c>
      <c r="C189" s="64" t="s">
        <v>20</v>
      </c>
      <c r="D189" s="172"/>
      <c r="E189" s="89" t="b">
        <f t="shared" si="2"/>
        <v>0</v>
      </c>
      <c r="F189" s="89" t="b">
        <f>AND(E189)</f>
        <v>0</v>
      </c>
      <c r="G189" s="169">
        <v>5</v>
      </c>
      <c r="H189" s="169">
        <v>189</v>
      </c>
    </row>
    <row r="190" spans="1:8" ht="14.25" thickBot="1" x14ac:dyDescent="0.3">
      <c r="A190" s="171" t="s">
        <v>1688</v>
      </c>
      <c r="B190" s="169" t="s">
        <v>1501</v>
      </c>
      <c r="C190" s="64" t="s">
        <v>20</v>
      </c>
      <c r="D190" s="172"/>
      <c r="E190" s="89" t="b">
        <f t="shared" si="2"/>
        <v>0</v>
      </c>
      <c r="F190" s="89" t="b">
        <f>AND(E190)</f>
        <v>0</v>
      </c>
      <c r="G190" s="169">
        <v>5</v>
      </c>
      <c r="H190" s="169">
        <v>190</v>
      </c>
    </row>
    <row r="191" spans="1:8" ht="13.5" thickBot="1" x14ac:dyDescent="0.3">
      <c r="A191" s="85" t="s">
        <v>1689</v>
      </c>
      <c r="B191" s="169" t="s">
        <v>1501</v>
      </c>
      <c r="C191" s="64" t="s">
        <v>20</v>
      </c>
      <c r="D191" s="172"/>
      <c r="E191" s="89" t="b">
        <f t="shared" si="2"/>
        <v>0</v>
      </c>
      <c r="F191" s="89" t="b">
        <f>AND(E191,F192,F193,F194,F195,F197,F198,F199)</f>
        <v>0</v>
      </c>
      <c r="G191" s="169">
        <v>4</v>
      </c>
      <c r="H191" s="169">
        <v>191</v>
      </c>
    </row>
    <row r="192" spans="1:8" ht="14.25" thickBot="1" x14ac:dyDescent="0.3">
      <c r="A192" s="171" t="s">
        <v>1690</v>
      </c>
      <c r="B192" s="169" t="s">
        <v>1501</v>
      </c>
      <c r="C192" s="64" t="s">
        <v>20</v>
      </c>
      <c r="D192" s="172"/>
      <c r="E192" s="89" t="b">
        <f t="shared" si="2"/>
        <v>0</v>
      </c>
      <c r="F192" s="89" t="b">
        <f>AND(E192)</f>
        <v>0</v>
      </c>
      <c r="G192" s="169">
        <v>5</v>
      </c>
      <c r="H192" s="169">
        <v>192</v>
      </c>
    </row>
    <row r="193" spans="1:8" ht="14.25" thickBot="1" x14ac:dyDescent="0.3">
      <c r="A193" s="171" t="s">
        <v>1691</v>
      </c>
      <c r="B193" s="169" t="s">
        <v>1501</v>
      </c>
      <c r="C193" s="64" t="s">
        <v>20</v>
      </c>
      <c r="D193" s="172"/>
      <c r="E193" s="89" t="b">
        <f t="shared" si="2"/>
        <v>0</v>
      </c>
      <c r="F193" s="89" t="b">
        <f>AND(E193)</f>
        <v>0</v>
      </c>
      <c r="G193" s="169">
        <v>5</v>
      </c>
      <c r="H193" s="169">
        <v>193</v>
      </c>
    </row>
    <row r="194" spans="1:8" ht="14.25" thickBot="1" x14ac:dyDescent="0.3">
      <c r="A194" s="171" t="s">
        <v>1692</v>
      </c>
      <c r="B194" s="169" t="s">
        <v>1501</v>
      </c>
      <c r="C194" s="64" t="s">
        <v>20</v>
      </c>
      <c r="D194" s="172"/>
      <c r="E194" s="89" t="b">
        <f t="shared" si="2"/>
        <v>0</v>
      </c>
      <c r="F194" s="89" t="b">
        <f>AND(E194)</f>
        <v>0</v>
      </c>
      <c r="G194" s="169">
        <v>5</v>
      </c>
      <c r="H194" s="169">
        <v>194</v>
      </c>
    </row>
    <row r="195" spans="1:8" ht="14.25" thickBot="1" x14ac:dyDescent="0.3">
      <c r="A195" s="171" t="s">
        <v>1693</v>
      </c>
      <c r="B195" s="169" t="s">
        <v>1501</v>
      </c>
      <c r="C195" s="64" t="s">
        <v>20</v>
      </c>
      <c r="D195" s="172"/>
      <c r="E195" s="89" t="b">
        <f t="shared" si="2"/>
        <v>0</v>
      </c>
      <c r="F195" s="89" t="b">
        <f>AND(E195,F196)</f>
        <v>0</v>
      </c>
      <c r="G195" s="169">
        <v>5</v>
      </c>
      <c r="H195" s="169">
        <v>195</v>
      </c>
    </row>
    <row r="196" spans="1:8" ht="13.5" thickBot="1" x14ac:dyDescent="0.3">
      <c r="A196" s="170" t="s">
        <v>1547</v>
      </c>
      <c r="B196" s="169" t="s">
        <v>1501</v>
      </c>
      <c r="C196" s="64" t="s">
        <v>20</v>
      </c>
      <c r="D196" s="172"/>
      <c r="E196" s="89" t="b">
        <f t="shared" si="2"/>
        <v>0</v>
      </c>
      <c r="F196" s="89" t="b">
        <f>AND(E196)</f>
        <v>0</v>
      </c>
      <c r="G196" s="169">
        <v>6</v>
      </c>
      <c r="H196" s="169">
        <v>196</v>
      </c>
    </row>
    <row r="197" spans="1:8" ht="14.25" thickBot="1" x14ac:dyDescent="0.3">
      <c r="A197" s="171" t="s">
        <v>1694</v>
      </c>
      <c r="B197" s="169" t="s">
        <v>1501</v>
      </c>
      <c r="C197" s="64" t="s">
        <v>20</v>
      </c>
      <c r="D197" s="172"/>
      <c r="E197" s="89" t="b">
        <f t="shared" ref="E197:E228" si="3">IF($B197="Required",OR($C197=TRUE,AND($C197="N/A",NOT(ISBLANK($D197)))),IF($B197="Optional",TRUE,IF($B197="Required if applicable",OR($C197=TRUE,AND($C197="N/A",NOT(ISBLANK($D197)))),OR($C197=TRUE,AND($C197="N/A",NOT(ISBLANK($D197)))))))</f>
        <v>0</v>
      </c>
      <c r="F197" s="89" t="b">
        <f>AND(E197)</f>
        <v>0</v>
      </c>
      <c r="G197" s="169">
        <v>5</v>
      </c>
      <c r="H197" s="169">
        <v>197</v>
      </c>
    </row>
    <row r="198" spans="1:8" ht="14.25" thickBot="1" x14ac:dyDescent="0.3">
      <c r="A198" s="171" t="s">
        <v>1695</v>
      </c>
      <c r="B198" s="169" t="s">
        <v>1501</v>
      </c>
      <c r="C198" s="64" t="s">
        <v>20</v>
      </c>
      <c r="D198" s="172"/>
      <c r="E198" s="89" t="b">
        <f t="shared" si="3"/>
        <v>0</v>
      </c>
      <c r="F198" s="89" t="b">
        <f>AND(E198)</f>
        <v>0</v>
      </c>
      <c r="G198" s="169">
        <v>5</v>
      </c>
      <c r="H198" s="169">
        <v>198</v>
      </c>
    </row>
    <row r="199" spans="1:8" ht="14.25" thickBot="1" x14ac:dyDescent="0.3">
      <c r="A199" s="171" t="s">
        <v>1696</v>
      </c>
      <c r="B199" s="169" t="s">
        <v>1501</v>
      </c>
      <c r="C199" s="64" t="s">
        <v>20</v>
      </c>
      <c r="D199" s="172"/>
      <c r="E199" s="89" t="b">
        <f t="shared" si="3"/>
        <v>0</v>
      </c>
      <c r="F199" s="89" t="b">
        <f>AND(E199)</f>
        <v>0</v>
      </c>
      <c r="G199" s="169">
        <v>5</v>
      </c>
      <c r="H199" s="169">
        <v>199</v>
      </c>
    </row>
    <row r="200" spans="1:8" ht="13.5" thickBot="1" x14ac:dyDescent="0.3">
      <c r="A200" s="85" t="s">
        <v>1697</v>
      </c>
      <c r="B200" s="169" t="s">
        <v>1501</v>
      </c>
      <c r="C200" s="64" t="s">
        <v>20</v>
      </c>
      <c r="D200" s="172"/>
      <c r="E200" s="89" t="b">
        <f t="shared" si="3"/>
        <v>0</v>
      </c>
      <c r="F200" s="89" t="b">
        <f>AND(E200,F201)</f>
        <v>0</v>
      </c>
      <c r="G200" s="169">
        <v>2</v>
      </c>
      <c r="H200" s="169">
        <v>200</v>
      </c>
    </row>
    <row r="201" spans="1:8" ht="13.5" thickBot="1" x14ac:dyDescent="0.3">
      <c r="A201" s="85" t="s">
        <v>1698</v>
      </c>
      <c r="B201" s="169" t="s">
        <v>1501</v>
      </c>
      <c r="C201" s="64" t="s">
        <v>20</v>
      </c>
      <c r="D201" s="172"/>
      <c r="E201" s="89" t="b">
        <f t="shared" si="3"/>
        <v>0</v>
      </c>
      <c r="F201" s="89" t="b">
        <f>AND(E201,F202,F203,F204,F205,F207,F208,F209)</f>
        <v>0</v>
      </c>
      <c r="G201" s="169">
        <v>3</v>
      </c>
      <c r="H201" s="169">
        <v>201</v>
      </c>
    </row>
    <row r="202" spans="1:8" ht="13.5" thickBot="1" x14ac:dyDescent="0.3">
      <c r="A202" s="85" t="s">
        <v>1699</v>
      </c>
      <c r="B202" s="169" t="s">
        <v>1501</v>
      </c>
      <c r="C202" s="64" t="s">
        <v>20</v>
      </c>
      <c r="D202" s="172"/>
      <c r="E202" s="89" t="b">
        <f t="shared" si="3"/>
        <v>0</v>
      </c>
      <c r="F202" s="89" t="b">
        <f>AND(E202)</f>
        <v>0</v>
      </c>
      <c r="G202" s="169">
        <v>4</v>
      </c>
      <c r="H202" s="169">
        <v>202</v>
      </c>
    </row>
    <row r="203" spans="1:8" ht="13.5" thickBot="1" x14ac:dyDescent="0.3">
      <c r="A203" s="85" t="s">
        <v>1700</v>
      </c>
      <c r="B203" s="169" t="s">
        <v>1501</v>
      </c>
      <c r="C203" s="64" t="s">
        <v>20</v>
      </c>
      <c r="D203" s="172"/>
      <c r="E203" s="89" t="b">
        <f t="shared" si="3"/>
        <v>0</v>
      </c>
      <c r="F203" s="89" t="b">
        <f>AND(E203)</f>
        <v>0</v>
      </c>
      <c r="G203" s="169">
        <v>4</v>
      </c>
      <c r="H203" s="169">
        <v>203</v>
      </c>
    </row>
    <row r="204" spans="1:8" ht="13.5" thickBot="1" x14ac:dyDescent="0.3">
      <c r="A204" s="85" t="s">
        <v>1701</v>
      </c>
      <c r="B204" s="169" t="s">
        <v>1501</v>
      </c>
      <c r="C204" s="64" t="s">
        <v>20</v>
      </c>
      <c r="D204" s="172"/>
      <c r="E204" s="89" t="b">
        <f t="shared" si="3"/>
        <v>0</v>
      </c>
      <c r="F204" s="89" t="b">
        <f>AND(E204)</f>
        <v>0</v>
      </c>
      <c r="G204" s="169">
        <v>4</v>
      </c>
      <c r="H204" s="169">
        <v>204</v>
      </c>
    </row>
    <row r="205" spans="1:8" ht="13.5" thickBot="1" x14ac:dyDescent="0.3">
      <c r="A205" s="85" t="s">
        <v>1702</v>
      </c>
      <c r="B205" s="169" t="s">
        <v>1501</v>
      </c>
      <c r="C205" s="64" t="s">
        <v>20</v>
      </c>
      <c r="D205" s="172"/>
      <c r="E205" s="89" t="b">
        <f t="shared" si="3"/>
        <v>0</v>
      </c>
      <c r="F205" s="89" t="b">
        <f>AND(E205,F206)</f>
        <v>0</v>
      </c>
      <c r="G205" s="169">
        <v>4</v>
      </c>
      <c r="H205" s="169">
        <v>205</v>
      </c>
    </row>
    <row r="206" spans="1:8" ht="13.5" thickBot="1" x14ac:dyDescent="0.3">
      <c r="A206" s="170" t="s">
        <v>1548</v>
      </c>
      <c r="B206" s="169" t="s">
        <v>1501</v>
      </c>
      <c r="C206" s="64" t="s">
        <v>20</v>
      </c>
      <c r="D206" s="172"/>
      <c r="E206" s="89" t="b">
        <f t="shared" si="3"/>
        <v>0</v>
      </c>
      <c r="F206" s="89" t="b">
        <f>AND(E206)</f>
        <v>0</v>
      </c>
      <c r="G206" s="169">
        <v>5</v>
      </c>
      <c r="H206" s="169">
        <v>206</v>
      </c>
    </row>
    <row r="207" spans="1:8" ht="13.5" thickBot="1" x14ac:dyDescent="0.3">
      <c r="A207" s="85" t="s">
        <v>1703</v>
      </c>
      <c r="B207" s="169" t="s">
        <v>1501</v>
      </c>
      <c r="C207" s="64" t="s">
        <v>20</v>
      </c>
      <c r="D207" s="172"/>
      <c r="E207" s="89" t="b">
        <f t="shared" si="3"/>
        <v>0</v>
      </c>
      <c r="F207" s="89" t="b">
        <f>AND(E207)</f>
        <v>0</v>
      </c>
      <c r="G207" s="169">
        <v>4</v>
      </c>
      <c r="H207" s="169">
        <v>207</v>
      </c>
    </row>
    <row r="208" spans="1:8" ht="13.5" thickBot="1" x14ac:dyDescent="0.3">
      <c r="A208" s="85" t="s">
        <v>1704</v>
      </c>
      <c r="B208" s="169" t="s">
        <v>1501</v>
      </c>
      <c r="C208" s="64" t="s">
        <v>20</v>
      </c>
      <c r="D208" s="172"/>
      <c r="E208" s="89" t="b">
        <f t="shared" si="3"/>
        <v>0</v>
      </c>
      <c r="F208" s="89" t="b">
        <f>AND(E208)</f>
        <v>0</v>
      </c>
      <c r="G208" s="169">
        <v>4</v>
      </c>
      <c r="H208" s="169">
        <v>208</v>
      </c>
    </row>
    <row r="209" spans="1:8" ht="13.5" thickBot="1" x14ac:dyDescent="0.3">
      <c r="A209" s="85" t="s">
        <v>1705</v>
      </c>
      <c r="B209" s="169" t="s">
        <v>1501</v>
      </c>
      <c r="C209" s="64" t="s">
        <v>20</v>
      </c>
      <c r="D209" s="172"/>
      <c r="E209" s="89" t="b">
        <f t="shared" si="3"/>
        <v>0</v>
      </c>
      <c r="F209" s="89" t="b">
        <f>AND(E209)</f>
        <v>0</v>
      </c>
      <c r="G209" s="169">
        <v>4</v>
      </c>
      <c r="H209" s="169">
        <v>209</v>
      </c>
    </row>
    <row r="210" spans="1:8" ht="13.5" thickBot="1" x14ac:dyDescent="0.3">
      <c r="A210" s="85" t="s">
        <v>1706</v>
      </c>
      <c r="B210" s="169" t="s">
        <v>1501</v>
      </c>
      <c r="C210" s="64" t="s">
        <v>20</v>
      </c>
      <c r="D210" s="172"/>
      <c r="E210" s="89" t="b">
        <f t="shared" si="3"/>
        <v>0</v>
      </c>
      <c r="F210" s="89" t="b">
        <f>AND(E210,F211)</f>
        <v>0</v>
      </c>
      <c r="G210" s="169">
        <v>1</v>
      </c>
      <c r="H210" s="169">
        <v>210</v>
      </c>
    </row>
    <row r="211" spans="1:8" ht="13.5" thickBot="1" x14ac:dyDescent="0.3">
      <c r="A211" s="170" t="s">
        <v>1549</v>
      </c>
      <c r="B211" s="169" t="s">
        <v>1501</v>
      </c>
      <c r="C211" s="64" t="s">
        <v>20</v>
      </c>
      <c r="D211" s="172"/>
      <c r="E211" s="89" t="b">
        <f t="shared" si="3"/>
        <v>0</v>
      </c>
      <c r="F211" s="89" t="b">
        <f>AND(E211)</f>
        <v>0</v>
      </c>
      <c r="G211" s="169">
        <v>2</v>
      </c>
      <c r="H211" s="169">
        <v>211</v>
      </c>
    </row>
    <row r="212" spans="1:8" ht="13.5" thickBot="1" x14ac:dyDescent="0.3">
      <c r="A212" s="85" t="s">
        <v>1707</v>
      </c>
      <c r="B212" s="169" t="s">
        <v>1501</v>
      </c>
      <c r="C212" s="64" t="s">
        <v>20</v>
      </c>
      <c r="D212" s="172"/>
      <c r="E212" s="89" t="b">
        <f t="shared" si="3"/>
        <v>0</v>
      </c>
      <c r="F212" s="89" t="b">
        <f>AND(E212,F213)</f>
        <v>0</v>
      </c>
      <c r="G212" s="169">
        <v>1</v>
      </c>
      <c r="H212" s="169">
        <v>212</v>
      </c>
    </row>
    <row r="213" spans="1:8" ht="13.5" thickBot="1" x14ac:dyDescent="0.3">
      <c r="A213" s="170" t="s">
        <v>1550</v>
      </c>
      <c r="B213" s="169" t="s">
        <v>1501</v>
      </c>
      <c r="C213" s="64" t="s">
        <v>20</v>
      </c>
      <c r="D213" s="172"/>
      <c r="E213" s="89" t="b">
        <f t="shared" si="3"/>
        <v>0</v>
      </c>
      <c r="F213" s="89" t="b">
        <f>AND(E213)</f>
        <v>0</v>
      </c>
      <c r="G213" s="169">
        <v>2</v>
      </c>
      <c r="H213" s="169">
        <v>213</v>
      </c>
    </row>
    <row r="214" spans="1:8" ht="13.5" thickBot="1" x14ac:dyDescent="0.3">
      <c r="A214" s="85" t="s">
        <v>1708</v>
      </c>
      <c r="B214" s="169" t="s">
        <v>1501</v>
      </c>
      <c r="C214" s="64" t="s">
        <v>20</v>
      </c>
      <c r="D214" s="172"/>
      <c r="E214" s="89" t="b">
        <f t="shared" si="3"/>
        <v>0</v>
      </c>
      <c r="F214" s="89" t="b">
        <f>AND(E214,F215)</f>
        <v>0</v>
      </c>
      <c r="G214" s="169">
        <v>1</v>
      </c>
      <c r="H214" s="169">
        <v>214</v>
      </c>
    </row>
    <row r="215" spans="1:8" ht="13.5" thickBot="1" x14ac:dyDescent="0.3">
      <c r="A215" s="85" t="s">
        <v>1709</v>
      </c>
      <c r="B215" s="169" t="s">
        <v>1501</v>
      </c>
      <c r="C215" s="64" t="s">
        <v>20</v>
      </c>
      <c r="D215" s="172"/>
      <c r="E215" s="89" t="b">
        <f t="shared" si="3"/>
        <v>0</v>
      </c>
      <c r="F215" s="89" t="b">
        <f>AND(E215,F216,F218,F220,F221)</f>
        <v>0</v>
      </c>
      <c r="G215" s="169">
        <v>2</v>
      </c>
      <c r="H215" s="169">
        <v>215</v>
      </c>
    </row>
    <row r="216" spans="1:8" ht="13.5" thickBot="1" x14ac:dyDescent="0.3">
      <c r="A216" s="85" t="s">
        <v>1710</v>
      </c>
      <c r="B216" s="169" t="s">
        <v>1501</v>
      </c>
      <c r="C216" s="64" t="s">
        <v>20</v>
      </c>
      <c r="D216" s="172"/>
      <c r="E216" s="89" t="b">
        <f t="shared" si="3"/>
        <v>0</v>
      </c>
      <c r="F216" s="89" t="b">
        <f>AND(E216,F217)</f>
        <v>0</v>
      </c>
      <c r="G216" s="169">
        <v>3</v>
      </c>
      <c r="H216" s="169">
        <v>216</v>
      </c>
    </row>
    <row r="217" spans="1:8" ht="13.5" thickBot="1" x14ac:dyDescent="0.3">
      <c r="A217" s="170" t="s">
        <v>1551</v>
      </c>
      <c r="B217" s="169" t="s">
        <v>1501</v>
      </c>
      <c r="C217" s="64" t="s">
        <v>20</v>
      </c>
      <c r="D217" s="172"/>
      <c r="E217" s="89" t="b">
        <f t="shared" si="3"/>
        <v>0</v>
      </c>
      <c r="F217" s="89" t="b">
        <f>AND(E217)</f>
        <v>0</v>
      </c>
      <c r="G217" s="169">
        <v>4</v>
      </c>
      <c r="H217" s="169">
        <v>217</v>
      </c>
    </row>
    <row r="218" spans="1:8" ht="13.5" thickBot="1" x14ac:dyDescent="0.3">
      <c r="A218" s="85" t="s">
        <v>1711</v>
      </c>
      <c r="B218" s="169" t="s">
        <v>1501</v>
      </c>
      <c r="C218" s="64" t="s">
        <v>20</v>
      </c>
      <c r="D218" s="172"/>
      <c r="E218" s="89" t="b">
        <f t="shared" si="3"/>
        <v>0</v>
      </c>
      <c r="F218" s="89" t="b">
        <f>AND(E218,F219)</f>
        <v>0</v>
      </c>
      <c r="G218" s="169">
        <v>3</v>
      </c>
      <c r="H218" s="169">
        <v>218</v>
      </c>
    </row>
    <row r="219" spans="1:8" ht="13.5" thickBot="1" x14ac:dyDescent="0.3">
      <c r="A219" s="170" t="s">
        <v>1552</v>
      </c>
      <c r="B219" s="169" t="s">
        <v>1501</v>
      </c>
      <c r="C219" s="64" t="s">
        <v>20</v>
      </c>
      <c r="D219" s="172"/>
      <c r="E219" s="89" t="b">
        <f t="shared" si="3"/>
        <v>0</v>
      </c>
      <c r="F219" s="89" t="b">
        <f>AND(E219)</f>
        <v>0</v>
      </c>
      <c r="G219" s="169">
        <v>4</v>
      </c>
      <c r="H219" s="169">
        <v>219</v>
      </c>
    </row>
    <row r="220" spans="1:8" ht="13.5" thickBot="1" x14ac:dyDescent="0.3">
      <c r="A220" s="85" t="s">
        <v>1712</v>
      </c>
      <c r="B220" s="169" t="s">
        <v>1501</v>
      </c>
      <c r="C220" s="64" t="s">
        <v>20</v>
      </c>
      <c r="D220" s="172"/>
      <c r="E220" s="89" t="b">
        <f t="shared" si="3"/>
        <v>0</v>
      </c>
      <c r="F220" s="89" t="b">
        <f>AND(E220)</f>
        <v>0</v>
      </c>
      <c r="G220" s="169">
        <v>3</v>
      </c>
      <c r="H220" s="169">
        <v>220</v>
      </c>
    </row>
    <row r="221" spans="1:8" ht="13.5" thickBot="1" x14ac:dyDescent="0.3">
      <c r="A221" s="85" t="s">
        <v>1713</v>
      </c>
      <c r="B221" s="169" t="s">
        <v>1501</v>
      </c>
      <c r="C221" s="64" t="s">
        <v>20</v>
      </c>
      <c r="D221" s="172"/>
      <c r="E221" s="89" t="b">
        <f t="shared" si="3"/>
        <v>0</v>
      </c>
      <c r="F221" s="89" t="b">
        <f>AND(E221)</f>
        <v>0</v>
      </c>
      <c r="G221" s="169">
        <v>3</v>
      </c>
      <c r="H221" s="169">
        <v>221</v>
      </c>
    </row>
    <row r="222" spans="1:8" ht="13.5" thickBot="1" x14ac:dyDescent="0.3">
      <c r="A222" s="85" t="s">
        <v>1714</v>
      </c>
      <c r="B222" s="169" t="s">
        <v>1501</v>
      </c>
      <c r="C222" s="64" t="s">
        <v>20</v>
      </c>
      <c r="D222" s="172"/>
      <c r="E222" s="89" t="b">
        <f t="shared" si="3"/>
        <v>0</v>
      </c>
      <c r="F222" s="89" t="b">
        <f>AND(E222,F223)</f>
        <v>0</v>
      </c>
      <c r="G222" s="169">
        <v>1</v>
      </c>
      <c r="H222" s="169">
        <v>222</v>
      </c>
    </row>
    <row r="223" spans="1:8" ht="39" thickBot="1" x14ac:dyDescent="0.3">
      <c r="A223" s="170" t="s">
        <v>1553</v>
      </c>
      <c r="B223" s="169" t="s">
        <v>1501</v>
      </c>
      <c r="C223" s="64" t="s">
        <v>20</v>
      </c>
      <c r="D223" s="172"/>
      <c r="E223" s="89" t="b">
        <f t="shared" si="3"/>
        <v>0</v>
      </c>
      <c r="F223" s="89" t="b">
        <f>AND(E223)</f>
        <v>0</v>
      </c>
      <c r="G223" s="169">
        <v>2</v>
      </c>
      <c r="H223" s="169">
        <v>223</v>
      </c>
    </row>
    <row r="224" spans="1:8" ht="13.5" thickBot="1" x14ac:dyDescent="0.3">
      <c r="A224" s="85" t="s">
        <v>1715</v>
      </c>
      <c r="B224" s="169" t="s">
        <v>1501</v>
      </c>
      <c r="C224" s="64" t="s">
        <v>20</v>
      </c>
      <c r="D224" s="172"/>
      <c r="E224" s="89" t="b">
        <f t="shared" si="3"/>
        <v>0</v>
      </c>
      <c r="F224" s="89" t="b">
        <f>AND(E224,F225)</f>
        <v>0</v>
      </c>
      <c r="G224" s="169">
        <v>1</v>
      </c>
      <c r="H224" s="169">
        <v>224</v>
      </c>
    </row>
    <row r="225" spans="1:8" ht="13.5" thickBot="1" x14ac:dyDescent="0.3">
      <c r="A225" s="170" t="s">
        <v>1554</v>
      </c>
      <c r="B225" s="169" t="s">
        <v>1501</v>
      </c>
      <c r="C225" s="64" t="s">
        <v>20</v>
      </c>
      <c r="D225" s="172"/>
      <c r="E225" s="89" t="b">
        <f t="shared" si="3"/>
        <v>0</v>
      </c>
      <c r="F225" s="89" t="b">
        <f>AND(E225)</f>
        <v>0</v>
      </c>
      <c r="G225" s="169">
        <v>2</v>
      </c>
      <c r="H225" s="169">
        <v>225</v>
      </c>
    </row>
    <row r="226" spans="1:8" ht="13.5" thickBot="1" x14ac:dyDescent="0.3">
      <c r="A226" s="85" t="s">
        <v>1716</v>
      </c>
      <c r="B226" s="169" t="s">
        <v>1501</v>
      </c>
      <c r="C226" s="64" t="s">
        <v>20</v>
      </c>
      <c r="D226" s="172"/>
      <c r="E226" s="89" t="b">
        <f t="shared" si="3"/>
        <v>0</v>
      </c>
      <c r="F226" s="89" t="b">
        <f>AND(E226,F227)</f>
        <v>0</v>
      </c>
      <c r="G226" s="169">
        <v>1</v>
      </c>
      <c r="H226" s="169">
        <v>226</v>
      </c>
    </row>
    <row r="227" spans="1:8" ht="13.5" thickBot="1" x14ac:dyDescent="0.3">
      <c r="A227" s="170" t="s">
        <v>1555</v>
      </c>
      <c r="B227" s="169" t="s">
        <v>1501</v>
      </c>
      <c r="C227" s="64" t="s">
        <v>20</v>
      </c>
      <c r="D227" s="172"/>
      <c r="E227" s="89" t="b">
        <f t="shared" si="3"/>
        <v>0</v>
      </c>
      <c r="F227" s="89" t="b">
        <f>AND(E227)</f>
        <v>0</v>
      </c>
      <c r="G227" s="169">
        <v>2</v>
      </c>
      <c r="H227" s="169">
        <v>227</v>
      </c>
    </row>
    <row r="228" spans="1:8" ht="13.5" thickBot="1" x14ac:dyDescent="0.3">
      <c r="A228" s="85" t="s">
        <v>1717</v>
      </c>
      <c r="B228" s="169" t="s">
        <v>1501</v>
      </c>
      <c r="C228" s="64" t="s">
        <v>20</v>
      </c>
      <c r="D228" s="172"/>
      <c r="E228" s="89" t="b">
        <f t="shared" si="3"/>
        <v>0</v>
      </c>
      <c r="F228" s="89" t="b">
        <f>AND(E228)</f>
        <v>0</v>
      </c>
      <c r="G228" s="169">
        <v>1</v>
      </c>
      <c r="H228" s="169">
        <v>228</v>
      </c>
    </row>
    <row r="229" spans="1:8" ht="13.5" thickBot="1" x14ac:dyDescent="0.3">
      <c r="A229" s="15"/>
      <c r="B229" s="15"/>
      <c r="C229" s="15"/>
      <c r="D229" s="15"/>
      <c r="E229" s="15"/>
      <c r="F229" s="15"/>
      <c r="G229" s="15"/>
    </row>
    <row r="230" spans="1:8" ht="26.25" thickBot="1" x14ac:dyDescent="0.3">
      <c r="A230" s="168" t="s">
        <v>1556</v>
      </c>
      <c r="B230" s="15"/>
      <c r="C230" s="15"/>
      <c r="D230" s="15"/>
      <c r="E230" s="15"/>
      <c r="F230" s="15"/>
      <c r="G230" s="15"/>
    </row>
  </sheetData>
  <sheetProtection algorithmName="SHA-512" hashValue="gmldrHlUB/9f1hRbXRWcNWX+HeZydH06wsXl1EhBiR3FKF6bS66W736NPuhpGT+rJAGYaqxfpLmLPkuPEYkBQw==" saltValue="LKCNdWwww/1gCi8CUXpbDA==" spinCount="100000" sheet="1" objects="1" scenarios="1" sort="0" autoFilter="0"/>
  <autoFilter ref="A4:H228" xr:uid="{00000000-0001-0000-0700-000000000000}"/>
  <conditionalFormatting sqref="B2">
    <cfRule type="containsText" dxfId="91" priority="1" operator="containsText" text="N/A">
      <formula>NOT(ISERROR(SEARCH("N/A",B2)))</formula>
    </cfRule>
    <cfRule type="containsText" dxfId="90" priority="2" operator="containsText" text="FALSE">
      <formula>NOT(ISERROR(SEARCH("FALSE",B2)))</formula>
    </cfRule>
    <cfRule type="containsText" dxfId="89" priority="3" operator="containsText" text="TRUE">
      <formula>NOT(ISERROR(SEARCH("TRUE",B2)))</formula>
    </cfRule>
  </conditionalFormatting>
  <conditionalFormatting sqref="C5:C228">
    <cfRule type="containsText" dxfId="88" priority="4" operator="containsText" text="N/A">
      <formula>NOT(ISERROR(SEARCH("N/A",C5)))</formula>
    </cfRule>
    <cfRule type="containsText" dxfId="87" priority="5" operator="containsText" text="FALSE">
      <formula>NOT(ISERROR(SEARCH("FALSE",C5)))</formula>
    </cfRule>
    <cfRule type="containsText" dxfId="86" priority="6" operator="containsText" text="TRUE">
      <formula>NOT(ISERROR(SEARCH("TRUE",C5)))</formula>
    </cfRule>
  </conditionalFormatting>
  <conditionalFormatting sqref="D5:D228">
    <cfRule type="notContainsBlanks" dxfId="85" priority="7">
      <formula>LEN(TRIM(D5))&gt;0</formula>
    </cfRule>
  </conditionalFormatting>
  <conditionalFormatting sqref="E5:F228">
    <cfRule type="containsText" dxfId="84" priority="8" operator="containsText" text="N/A">
      <formula>NOT(ISERROR(SEARCH("N/A",E5)))</formula>
    </cfRule>
    <cfRule type="containsText" dxfId="83" priority="9" operator="containsText" text="FALSE">
      <formula>NOT(ISERROR(SEARCH("FALSE",E5)))</formula>
    </cfRule>
    <cfRule type="containsText" dxfId="82" priority="10" operator="containsText" text="TRUE">
      <formula>NOT(ISERROR(SEARCH("TRUE",E5)))</formula>
    </cfRule>
  </conditionalFormatting>
  <dataValidations count="1">
    <dataValidation type="list" allowBlank="1" showInputMessage="1" showErrorMessage="1" sqref="C5:C228" xr:uid="{14297BA3-E1D5-4DC7-98A4-41E46A3F1F6E}">
      <formula1>"&lt;Select&gt;, TRUE, FALSE, N/A"</formula1>
    </dataValidation>
  </dataValidations>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4"/>
  </sheetPr>
  <dimension ref="A1:BS752"/>
  <sheetViews>
    <sheetView zoomScale="85" zoomScaleNormal="85" workbookViewId="0"/>
  </sheetViews>
  <sheetFormatPr defaultColWidth="9.140625" defaultRowHeight="12.75" x14ac:dyDescent="0.25"/>
  <cols>
    <col min="1" max="1" width="45.85546875" style="50" customWidth="1"/>
    <col min="2" max="2" width="13" style="30" customWidth="1"/>
    <col min="3" max="3" width="18.140625" style="30" bestFit="1" customWidth="1"/>
    <col min="4" max="4" width="13.28515625" style="30" customWidth="1"/>
    <col min="5" max="5" width="12.42578125" style="30" bestFit="1" customWidth="1"/>
    <col min="6" max="6" width="29.28515625" style="30" customWidth="1"/>
    <col min="7" max="7" width="27" style="27" customWidth="1"/>
    <col min="8" max="8" width="20.7109375" style="30" customWidth="1"/>
    <col min="9" max="9" width="13.42578125" style="30" hidden="1" customWidth="1"/>
    <col min="10" max="10" width="20.7109375" style="30" customWidth="1"/>
    <col min="11" max="11" width="17.85546875" style="30" hidden="1" customWidth="1"/>
    <col min="12" max="12" width="20.7109375" style="30" customWidth="1"/>
    <col min="13" max="13" width="14.42578125" style="30" hidden="1" customWidth="1"/>
    <col min="14" max="14" width="20.7109375" style="30" customWidth="1"/>
    <col min="15" max="15" width="10.7109375" style="30" hidden="1" customWidth="1"/>
    <col min="16" max="16" width="14.5703125" style="30" customWidth="1"/>
    <col min="17" max="17" width="9.5703125" style="30" customWidth="1"/>
    <col min="18" max="18" width="11" style="30" customWidth="1"/>
    <col min="19" max="19" width="21.140625" style="30" customWidth="1"/>
    <col min="20" max="20" width="15.140625" style="30" customWidth="1"/>
    <col min="21" max="21" width="17.28515625" style="30" customWidth="1"/>
    <col min="22" max="22" width="26.140625" style="30" customWidth="1"/>
    <col min="23" max="23" width="13.42578125" style="195" hidden="1" customWidth="1"/>
    <col min="24" max="24" width="9.140625" style="195" hidden="1" customWidth="1"/>
    <col min="25" max="25" width="13.28515625" style="195" hidden="1" customWidth="1"/>
    <col min="26" max="26" width="9.140625" style="195" hidden="1" customWidth="1"/>
    <col min="27" max="28" width="9.140625" style="50" hidden="1" customWidth="1"/>
    <col min="29" max="29" width="14.42578125" style="50" hidden="1" customWidth="1"/>
    <col min="30" max="31" width="9.140625" style="50" hidden="1" customWidth="1"/>
    <col min="32" max="32" width="13.85546875" style="50" hidden="1" customWidth="1"/>
    <col min="33" max="33" width="17.7109375" style="50" hidden="1" customWidth="1"/>
    <col min="34" max="36" width="28.140625" style="50" hidden="1" customWidth="1"/>
    <col min="37" max="41" width="18.28515625" style="50" hidden="1" customWidth="1"/>
    <col min="42" max="42" width="32.5703125" style="50" hidden="1" customWidth="1"/>
    <col min="43" max="44" width="18.28515625" style="50" hidden="1" customWidth="1"/>
    <col min="45" max="62" width="21.140625" style="50" hidden="1" customWidth="1"/>
    <col min="63" max="63" width="12.28515625" style="50" hidden="1" customWidth="1"/>
    <col min="64" max="64" width="11.7109375" style="50" hidden="1" customWidth="1"/>
    <col min="65" max="65" width="33.140625" style="50" hidden="1" customWidth="1"/>
    <col min="66" max="66" width="53.85546875" style="50" hidden="1" customWidth="1"/>
    <col min="67" max="67" width="11.5703125" style="50" hidden="1" customWidth="1"/>
    <col min="68" max="68" width="34.7109375" style="27" customWidth="1"/>
    <col min="69" max="70" width="9.140625" style="27" customWidth="1"/>
    <col min="71" max="71" width="110.140625" style="27" customWidth="1"/>
    <col min="72" max="73" width="30.42578125" style="27" customWidth="1"/>
    <col min="74" max="74" width="104.85546875" style="27" customWidth="1"/>
    <col min="75" max="16384" width="9.140625" style="27"/>
  </cols>
  <sheetData>
    <row r="1" spans="1:71" ht="39" thickBot="1" x14ac:dyDescent="0.3">
      <c r="A1" s="189" t="s">
        <v>685</v>
      </c>
      <c r="B1" s="15"/>
      <c r="C1" s="15"/>
      <c r="D1" s="15"/>
      <c r="E1" s="15"/>
      <c r="F1" s="15"/>
      <c r="G1" s="188" t="s">
        <v>686</v>
      </c>
      <c r="H1" s="19" t="s">
        <v>1449</v>
      </c>
      <c r="I1" s="190"/>
      <c r="J1" s="20" t="s">
        <v>1450</v>
      </c>
      <c r="K1" s="190"/>
      <c r="L1" s="20" t="s">
        <v>1451</v>
      </c>
      <c r="M1" s="190"/>
      <c r="N1" s="20" t="s">
        <v>1452</v>
      </c>
      <c r="O1" s="15"/>
      <c r="P1" s="15"/>
      <c r="Q1" s="15"/>
      <c r="R1" s="15"/>
      <c r="S1" s="15"/>
      <c r="T1" s="191" t="s">
        <v>1453</v>
      </c>
      <c r="U1" s="15"/>
      <c r="V1" s="15"/>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c r="AX1" s="192"/>
      <c r="AY1" s="192"/>
      <c r="AZ1" s="192"/>
      <c r="BA1" s="192"/>
      <c r="BB1" s="192"/>
      <c r="BC1" s="192"/>
      <c r="BD1" s="192"/>
      <c r="BE1" s="192"/>
      <c r="BF1" s="192"/>
      <c r="BG1" s="192"/>
      <c r="BH1" s="192"/>
      <c r="BI1" s="192"/>
      <c r="BJ1" s="192"/>
      <c r="BK1" s="192"/>
      <c r="BL1" s="192"/>
      <c r="BM1" s="192"/>
      <c r="BN1" s="192"/>
      <c r="BP1" s="275" t="s">
        <v>1866</v>
      </c>
      <c r="BQ1" s="275"/>
      <c r="BR1" s="275"/>
      <c r="BS1" s="275"/>
    </row>
    <row r="2" spans="1:71" ht="13.5" thickBot="1" x14ac:dyDescent="0.3">
      <c r="A2" s="15"/>
      <c r="B2" s="15"/>
      <c r="C2" s="15"/>
      <c r="D2" s="15"/>
      <c r="E2" s="15"/>
      <c r="F2" s="15"/>
      <c r="G2" s="188" t="s">
        <v>687</v>
      </c>
      <c r="H2" s="163" t="b">
        <f>AND($I$5:$I$727)</f>
        <v>0</v>
      </c>
      <c r="I2" s="164"/>
      <c r="J2" s="165" t="b">
        <f>AND($K$5:$K$727)</f>
        <v>0</v>
      </c>
      <c r="K2" s="164"/>
      <c r="L2" s="165" t="b">
        <f>AND($M$5:$M$727)</f>
        <v>0</v>
      </c>
      <c r="M2" s="164"/>
      <c r="N2" s="165" t="b">
        <f>AND($O$5:$O$727)</f>
        <v>0</v>
      </c>
      <c r="O2" s="15"/>
      <c r="P2" s="15"/>
      <c r="Q2" s="15"/>
      <c r="R2" s="15"/>
      <c r="S2" s="15"/>
      <c r="T2" s="60" t="b">
        <f>AND($W$5:$W$727)</f>
        <v>1</v>
      </c>
      <c r="U2" s="15"/>
      <c r="V2" s="15"/>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c r="BM2" s="192"/>
      <c r="BN2" s="192"/>
    </row>
    <row r="3" spans="1:71" ht="13.5" thickBot="1" x14ac:dyDescent="0.3">
      <c r="A3" s="15"/>
      <c r="B3" s="15"/>
      <c r="C3" s="15"/>
      <c r="D3" s="15"/>
      <c r="E3" s="15"/>
      <c r="F3" s="15"/>
      <c r="G3" s="15"/>
      <c r="H3" s="15"/>
      <c r="I3" s="15"/>
      <c r="J3" s="15"/>
      <c r="K3" s="15"/>
      <c r="L3" s="15"/>
      <c r="M3" s="15"/>
      <c r="N3" s="15"/>
      <c r="O3" s="15"/>
      <c r="P3" s="15"/>
      <c r="Q3" s="15"/>
      <c r="R3" s="15"/>
      <c r="S3" s="15"/>
      <c r="T3" s="15"/>
      <c r="U3" s="15"/>
      <c r="V3" s="15"/>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row>
    <row r="4" spans="1:71" s="30" customFormat="1" ht="39" thickBot="1" x14ac:dyDescent="0.3">
      <c r="A4" s="19" t="s">
        <v>1890</v>
      </c>
      <c r="B4" s="20" t="s">
        <v>1454</v>
      </c>
      <c r="C4" s="20" t="s">
        <v>1455</v>
      </c>
      <c r="D4" s="20" t="s">
        <v>1456</v>
      </c>
      <c r="E4" s="20" t="s">
        <v>1457</v>
      </c>
      <c r="F4" s="20" t="s">
        <v>688</v>
      </c>
      <c r="G4" s="20" t="s">
        <v>689</v>
      </c>
      <c r="H4" s="20" t="s">
        <v>1458</v>
      </c>
      <c r="I4" s="20" t="s">
        <v>1459</v>
      </c>
      <c r="J4" s="20" t="s">
        <v>1460</v>
      </c>
      <c r="K4" s="20" t="s">
        <v>1461</v>
      </c>
      <c r="L4" s="20" t="s">
        <v>1462</v>
      </c>
      <c r="M4" s="20" t="s">
        <v>1463</v>
      </c>
      <c r="N4" s="20" t="s">
        <v>1464</v>
      </c>
      <c r="O4" s="20" t="s">
        <v>1465</v>
      </c>
      <c r="P4" s="20" t="s">
        <v>1466</v>
      </c>
      <c r="Q4" s="20" t="s">
        <v>690</v>
      </c>
      <c r="R4" s="20" t="s">
        <v>691</v>
      </c>
      <c r="S4" s="20" t="s">
        <v>1467</v>
      </c>
      <c r="T4" s="20" t="s">
        <v>1468</v>
      </c>
      <c r="U4" s="20" t="s">
        <v>1469</v>
      </c>
      <c r="V4" s="20" t="s">
        <v>692</v>
      </c>
      <c r="W4" s="74" t="s">
        <v>1470</v>
      </c>
      <c r="X4" s="74" t="s">
        <v>1404</v>
      </c>
      <c r="Y4" s="74" t="s">
        <v>1471</v>
      </c>
      <c r="Z4" s="74" t="s">
        <v>1472</v>
      </c>
      <c r="AA4" s="74" t="s">
        <v>1473</v>
      </c>
      <c r="AB4" s="74" t="s">
        <v>1474</v>
      </c>
      <c r="AC4" s="74" t="s">
        <v>1475</v>
      </c>
      <c r="AD4" s="74" t="s">
        <v>1405</v>
      </c>
      <c r="AE4" s="74" t="s">
        <v>1406</v>
      </c>
      <c r="AF4" s="74" t="s">
        <v>1407</v>
      </c>
      <c r="AG4" s="74" t="s">
        <v>450</v>
      </c>
      <c r="AH4" s="74" t="s">
        <v>1492</v>
      </c>
      <c r="AI4" s="74" t="s">
        <v>1408</v>
      </c>
      <c r="AJ4" s="74" t="s">
        <v>1409</v>
      </c>
      <c r="AK4" s="74" t="s">
        <v>1410</v>
      </c>
      <c r="AL4" s="74" t="s">
        <v>1411</v>
      </c>
      <c r="AM4" s="74" t="s">
        <v>1412</v>
      </c>
      <c r="AN4" s="74" t="s">
        <v>1490</v>
      </c>
      <c r="AO4" s="74" t="s">
        <v>1413</v>
      </c>
      <c r="AP4" s="74" t="s">
        <v>1414</v>
      </c>
      <c r="AQ4" s="74" t="s">
        <v>1415</v>
      </c>
      <c r="AR4" s="74" t="s">
        <v>1416</v>
      </c>
      <c r="AS4" s="74" t="s">
        <v>1417</v>
      </c>
      <c r="AT4" s="74" t="s">
        <v>1418</v>
      </c>
      <c r="AU4" s="74" t="s">
        <v>1419</v>
      </c>
      <c r="AV4" s="74" t="s">
        <v>1420</v>
      </c>
      <c r="AW4" s="74" t="s">
        <v>1421</v>
      </c>
      <c r="AX4" s="74" t="s">
        <v>1422</v>
      </c>
      <c r="AY4" s="74" t="s">
        <v>1423</v>
      </c>
      <c r="AZ4" s="74" t="s">
        <v>1424</v>
      </c>
      <c r="BA4" s="74" t="s">
        <v>1425</v>
      </c>
      <c r="BB4" s="74" t="s">
        <v>1426</v>
      </c>
      <c r="BC4" s="74" t="s">
        <v>1427</v>
      </c>
      <c r="BD4" s="74" t="s">
        <v>1428</v>
      </c>
      <c r="BE4" s="74" t="s">
        <v>1429</v>
      </c>
      <c r="BF4" s="74" t="s">
        <v>1430</v>
      </c>
      <c r="BG4" s="74" t="s">
        <v>1431</v>
      </c>
      <c r="BH4" s="74" t="s">
        <v>1432</v>
      </c>
      <c r="BI4" s="74" t="s">
        <v>1433</v>
      </c>
      <c r="BJ4" s="74" t="s">
        <v>1434</v>
      </c>
      <c r="BK4" s="74" t="s">
        <v>1435</v>
      </c>
      <c r="BL4" s="74" t="s">
        <v>1448</v>
      </c>
      <c r="BM4" s="74" t="s">
        <v>1491</v>
      </c>
      <c r="BN4" s="74" t="s">
        <v>375</v>
      </c>
      <c r="BO4" s="195" t="s">
        <v>1493</v>
      </c>
    </row>
    <row r="5" spans="1:71" ht="13.5" thickBot="1" x14ac:dyDescent="0.25">
      <c r="A5" s="185" t="s">
        <v>693</v>
      </c>
      <c r="B5" s="193" t="s">
        <v>694</v>
      </c>
      <c r="C5" s="193" t="s">
        <v>694</v>
      </c>
      <c r="D5" s="194" t="s">
        <v>695</v>
      </c>
      <c r="E5" s="193" t="s">
        <v>694</v>
      </c>
      <c r="F5" s="160" t="s">
        <v>20</v>
      </c>
      <c r="G5" s="161"/>
      <c r="H5" s="186" t="str">
        <f t="shared" ref="H5:H68" si="0">IF(B5="YES",(IF(F5="Yes",TRUE,(IF(F5="YES WITH MODIFICATION",(IF((NOT(ISBLANK(U5))),"Used with modification","Change Request?")),(IF(F5="N/A",(IF((NOT(ISBLANK(G5))),"Not Used","Rationale?")),(IF(F5="&lt;Select&gt;","Used?",FALSE)))))))),"N/A")</f>
        <v>Used?</v>
      </c>
      <c r="I5" s="186" t="b">
        <f t="shared" ref="I5:I68" si="1">IF(B5="YES",OR(IF(F5="YES",TRUE,FALSE),IF(AND(F5="YES WITH MODIFICATION",NOT(ISBLANK(U5))),TRUE,FALSE),(IF(F5="N/A",NOT(ISBLANK(G5))))),TRUE)</f>
        <v>0</v>
      </c>
      <c r="J5" s="186" t="str">
        <f t="shared" ref="J5:J68" si="2">IF(C5="YES",(IF(F5="YES",TRUE,(IF(F5="YES WITH MODIFICATION",(IF((NOT(ISBLANK(U5))),"Used with modification","Change Request?")),(IF(F5="N/A",(IF((NOT(ISBLANK(G5))),"Not Used","Rationale?")),(IF(F5="&lt;Select&gt;","Used?",FALSE)))))))),"N/A")</f>
        <v>Used?</v>
      </c>
      <c r="K5" s="186" t="b">
        <f t="shared" ref="K5:K68" si="3">IF(C5="YES",OR(IF(F5="YES",TRUE,FALSE),IF(AND(F5="YES WITH MODIFICATION",NOT(ISBLANK(U5))),TRUE,FALSE),(IF(F5="N/A",NOT(ISBLANK(G5))))),TRUE)</f>
        <v>0</v>
      </c>
      <c r="L5" s="186" t="str">
        <f t="shared" ref="L5:L68" si="4">IF(D5="YES",(IF(F5="YES",TRUE,(IF(F5="YES WITH MODIFICATION",(IF((NOT(ISBLANK(U5))),"Used with modification","Change Request?")),(IF(F5="N/A",(IF((NOT(ISBLANK(G5))),"Not Used","Rationale?")),(IF(F5="&lt;Select&gt;","Used?",FALSE)))))))),"N/A")</f>
        <v>N/A</v>
      </c>
      <c r="M5" s="186" t="b">
        <f t="shared" ref="M5:M68" si="5">IF(D5="YES",OR(IF(F5="YES",TRUE,FALSE),IF(AND(F5="YES WITH MODIFICATION",NOT(ISBLANK(U5))),TRUE,FALSE),(IF(F5="N/A",NOT(ISBLANK(G5))))),TRUE)</f>
        <v>1</v>
      </c>
      <c r="N5" s="186" t="str">
        <f t="shared" ref="N5:N68" si="6">IF(E5="YES",(IF(F5="YES",TRUE,(IF(F5="YES WITH MODIFICATION",(IF((NOT(ISBLANK(U5))),"Used with modification","Change Request?")),(IF(F5="N/A",(IF((NOT(ISBLANK(G5))),"Not Used","Rationale?")),(IF(F5="&lt;Select&gt;","Used?",FALSE)))))))),"N/A")</f>
        <v>Used?</v>
      </c>
      <c r="O5" s="186" t="b">
        <f t="shared" ref="O5:O68" si="7">IF(E5="YES",OR(IF(F5="YES",TRUE,FALSE),IF(AND(F5="YES WITH MODIFICATION",NOT(ISBLANK(U5))),TRUE,FALSE),(IF(F5="N/A",NOT(ISBLANK(G5))))),TRUE)</f>
        <v>0</v>
      </c>
      <c r="P5" s="26" t="s">
        <v>696</v>
      </c>
      <c r="Q5" s="160" t="s">
        <v>20</v>
      </c>
      <c r="R5" s="160" t="s">
        <v>20</v>
      </c>
      <c r="S5" s="26" t="s">
        <v>697</v>
      </c>
      <c r="T5" s="165" t="str">
        <f t="shared" ref="T5:T68" si="8">IF(NOT(OR(F5="Yes",F5="YES WITH MODIFICATION")),"Not Used",(AND(X5=Y5,X5=(OR(Z5=TRUE,AA5=TRUE)), X5=AB5, X5=AC5)))</f>
        <v>Not Used</v>
      </c>
      <c r="U5" s="162"/>
      <c r="V5" s="55"/>
      <c r="W5" s="51" t="b">
        <f t="shared" ref="W5:W68" si="9">IF(T5=TRUE,TRUE,(IF(T5="Not Used", TRUE,FALSE)))</f>
        <v>1</v>
      </c>
      <c r="X5" s="51" t="str">
        <f t="shared" ref="X5:X68" si="10">IF(OR(F5="YES",F5="YES WITH MODIFICATION"),TRUE,"Not Used")</f>
        <v>Not Used</v>
      </c>
      <c r="Y5" s="51" t="str">
        <f t="shared" ref="Y5:Y68" si="11">IF(OR(P5="SC §3.X.X.X", ISBLANK(P5)),"Not Used", TRUE)</f>
        <v>Not Used</v>
      </c>
      <c r="Z5" s="51" t="str">
        <f t="shared" ref="Z5:AA68" si="12">IF(OR(Q5="&lt;Select&gt;",(ISBLANK(Q5))),"Not Used",TRUE)</f>
        <v>Not Used</v>
      </c>
      <c r="AA5" s="51" t="str">
        <f t="shared" si="12"/>
        <v>Not Used</v>
      </c>
      <c r="AB5" s="51" t="str">
        <f t="shared" ref="AB5:AB68" si="13">IF(OR(S5="&lt;enter location here&gt;",(ISBLANK(S5))),"Not Used",TRUE)</f>
        <v>Not Used</v>
      </c>
      <c r="AC5" s="51" t="b">
        <f t="shared" ref="AC5:AC68" si="14">IF(F5="YES WITH MODIFICATION",IF(NOT(ISBLANK(U5)),TRUE,FALSE),TRUE)</f>
        <v>1</v>
      </c>
      <c r="AD5" s="51">
        <f>COUNTIF($X$5:$X$5, "Not Used")</f>
        <v>1</v>
      </c>
      <c r="AE5" s="51">
        <f>COUNTIF($X$5:$X$5, "TRUE")</f>
        <v>0</v>
      </c>
      <c r="AF5" s="51" t="b">
        <f t="shared" ref="AF5:AF68" si="15">IF(F5="&lt;Select&gt;", TRUE,FALSE)</f>
        <v>1</v>
      </c>
      <c r="AG5" s="51" t="s">
        <v>1436</v>
      </c>
      <c r="AH5" s="51">
        <f>COUNTIF($F$5:$F$727, "YES WITH MODIFICATION")</f>
        <v>0</v>
      </c>
      <c r="AI5" s="51" t="b">
        <f t="shared" ref="AI5:AI68" si="16">IF(F5="N/A", TRUE, FALSE)</f>
        <v>0</v>
      </c>
      <c r="AJ5" s="51" t="b">
        <f t="shared" ref="AJ5:AJ68" si="17">IF(AI5=TRUE, IF(NOT(ISBLANK(G5)), TRUE, FALSE))</f>
        <v>0</v>
      </c>
      <c r="AK5" s="51" t="b">
        <f t="shared" ref="AK5:AK68" si="18">IF(F5="YES WITH MODIFICATION", TRUE, FALSE)</f>
        <v>0</v>
      </c>
      <c r="AL5" s="51" t="b">
        <f t="shared" ref="AL5:AL68" si="19">IF(ISBLANK(U5), FALSE, TRUE)</f>
        <v>0</v>
      </c>
      <c r="AM5" s="51" t="b">
        <f t="shared" ref="AM5:AM68" si="20">IF(AND(AK5=TRUE, AL5=TRUE), TRUE, FALSE)</f>
        <v>0</v>
      </c>
      <c r="AN5" s="51">
        <f>COUNTIF($AM$5:$AM$727, "TRUE")</f>
        <v>0</v>
      </c>
      <c r="AO5" s="51" t="b">
        <f t="shared" ref="AO5:AO68" si="21">IF(AND(F5="YES WITH MODIFICATION", NOT(ISBLANK(U5))), TRUE, FALSE)</f>
        <v>0</v>
      </c>
      <c r="AP5" s="51" t="str">
        <f>IF(AND(B5="YES", C5="YES", D5="YES"), "Tier 1 MMS, Tier 1 Sub MMS, Tier 2 MMS", IF(AND(B5="YES", C5="YES"), "Tier 1 MMS, Tier 1 Sub MMS", IF(AND(B5="YES", D5="YES"), "Tier 1 MMS, Tier 2 MMS", IF(AND(C5="YES", D5="YES"), "Tier 1 Sub MMS, Tier 2 MMS", IF(B5="YES", "Tier 1 MMS", IF(C5="YES", "Tier 1 Sub MMS", IF(D5="YES", "Tier 2 MMS", "Not in MMS")))))))</f>
        <v>Tier 1 MMS, Tier 1 Sub MMS</v>
      </c>
      <c r="AQ5" s="51" t="b">
        <f t="shared" ref="AQ5:AQ68" si="22">IF(S5="&lt;enter location here&gt;", FALSE, TRUE)</f>
        <v>0</v>
      </c>
      <c r="AR5" s="51" t="b">
        <f t="shared" ref="AR5:AR68" si="23">IF(F5="&lt;Select&gt;", FALSE, IF(T5=FALSE, FALSE, TRUE))</f>
        <v>0</v>
      </c>
      <c r="AS5" s="51" t="b">
        <f t="shared" ref="AS5:AS68" si="24">IF(ISNUMBER(SEARCH("Tier 1 Sub MMS",AP5)), IF(F5="&lt;Select&gt;", FALSE, IF(AND(F5="N/A", J5="Rationale?"), FALSE, TRUE)), "")</f>
        <v>0</v>
      </c>
      <c r="AT5" s="51" t="b">
        <f t="shared" ref="AT5:AT68" si="25">IF(ISNUMBER(SEARCH("Tier 1 MMS",AP5)), IF(F5="&lt;Select&gt;", FALSE, IF(AND(F5="N/A", H5="Rationale?"), FALSE, TRUE)), "")</f>
        <v>0</v>
      </c>
      <c r="AU5" s="51" t="b">
        <f t="shared" ref="AU5:AU68" si="26">IF(ISNUMBER(SEARCH("Tier 1 MMS",AP5)), IF(F5="&lt;Select&gt;", FALSE, IF(AND(F5="YES WITH MODIFICATION", H5="Change Request?"), FALSE, TRUE)), "")</f>
        <v>0</v>
      </c>
      <c r="AV5" s="51" t="str">
        <f t="shared" ref="AV5:AV68" si="27">IF(ISNUMBER(SEARCH("Tier 1 MMS",AP5)), IF(AK5=TRUE, TRUE, ""),"")</f>
        <v/>
      </c>
      <c r="AW5" s="51" t="str">
        <f t="shared" ref="AW5:AW68" si="28">IF(ISNUMBER(SEARCH("Tier 1 MMS",AP5)), IF(AL5=TRUE, TRUE, ""),"")</f>
        <v/>
      </c>
      <c r="AX5" s="51" t="str">
        <f t="shared" ref="AX5:AX68" si="29">IF(ISNUMBER(SEARCH("Tier 1 MMS",AP5)), IF(AI5=TRUE, TRUE, ""),"")</f>
        <v/>
      </c>
      <c r="AY5" s="51" t="str">
        <f t="shared" ref="AY5:AY68" si="30">IF(ISNUMBER(SEARCH("Tier 1 MMS",AP5)), IF(AJ5=TRUE, TRUE, ""),"")</f>
        <v/>
      </c>
      <c r="AZ5" s="51" t="str">
        <f t="shared" ref="AZ5:AZ68" si="31">IF(ISNUMBER(SEARCH("Tier 1 Sub MMS",AP5)), IF(AK5=TRUE, TRUE, ""),"")</f>
        <v/>
      </c>
      <c r="BA5" s="51" t="str">
        <f t="shared" ref="BA5:BA68" si="32">IF(ISNUMBER(SEARCH("Tier 1 Sub MMS",AP5)), IF(AL5=TRUE, TRUE, ""),"")</f>
        <v/>
      </c>
      <c r="BB5" s="51" t="str">
        <f t="shared" ref="BB5:BB68" si="33">IF(ISNUMBER(SEARCH("Tier 1 Sub MMS",AP5)), IF(AI5=TRUE, TRUE, ""),"")</f>
        <v/>
      </c>
      <c r="BC5" s="51" t="str">
        <f t="shared" ref="BC5:BC68" si="34">IF(ISNUMBER(SEARCH("Tier 1 Sub MMS",AP5)), IF(AJ5=TRUE, TRUE, ""),"")</f>
        <v/>
      </c>
      <c r="BD5" s="51" t="str">
        <f t="shared" ref="BD5:BD68" si="35">IF(ISNUMBER(SEARCH("Tier 2 MMS",AP5)), IF(AK5=TRUE, TRUE, ""),"")</f>
        <v/>
      </c>
      <c r="BE5" s="51" t="str">
        <f t="shared" ref="BE5:BE68" si="36">IF(ISNUMBER(SEARCH("Tier 2 MMS",AP5)), IF(AL5=TRUE, TRUE, ""),"")</f>
        <v/>
      </c>
      <c r="BF5" s="51" t="str">
        <f t="shared" ref="BF5:BF68" si="37">IF(ISNUMBER(SEARCH("Tier 2 MMS",AP5)), IF(AI5=TRUE, TRUE, ""),"")</f>
        <v/>
      </c>
      <c r="BG5" s="51" t="str">
        <f t="shared" ref="BG5:BG68" si="38">IF(ISNUMBER(SEARCH("Tier 2 MMS",AP5)), IF(AJ5=TRUE, TRUE, ""),"")</f>
        <v/>
      </c>
      <c r="BH5" s="51" t="b">
        <f t="shared" ref="BH5:BH68" si="39" xml:space="preserve"> IF(OR(F5="&lt;Select&gt;", AQ5=FALSE), FALSE, TRUE)</f>
        <v>0</v>
      </c>
      <c r="BI5" s="51" t="str">
        <f t="shared" ref="BI5:BI68" si="40">IF(E5="YES", "", IF(E5="NO", IF(F5="N/A",TRUE,IF(F5="YES",FALSE))))</f>
        <v/>
      </c>
      <c r="BJ5" s="51" t="str">
        <f t="shared" ref="BJ5:BJ68" si="41">IF(E5="YES", "", IF(E5="NO", IF(AND(F5="N/A", NOT(ISBLANK(G5))), TRUE, IF(AND(F5="YES",AL5=TRUE),TRUE,FALSE))))</f>
        <v/>
      </c>
      <c r="BK5" s="51" t="b">
        <f t="shared" ref="BK5:BK68" si="42" xml:space="preserve"> IF(OR(F5="&lt;Select&gt;", T5=FALSE), FALSE, TRUE)</f>
        <v>0</v>
      </c>
      <c r="BL5" s="192" t="b">
        <f>AND(BK5:BK727)</f>
        <v>0</v>
      </c>
      <c r="BM5" s="51" t="s">
        <v>1437</v>
      </c>
      <c r="BN5" s="51" t="b">
        <f>J2</f>
        <v>0</v>
      </c>
    </row>
    <row r="6" spans="1:71" ht="13.5" thickBot="1" x14ac:dyDescent="0.25">
      <c r="A6" s="185" t="s">
        <v>698</v>
      </c>
      <c r="B6" s="193" t="s">
        <v>694</v>
      </c>
      <c r="C6" s="193" t="s">
        <v>694</v>
      </c>
      <c r="D6" s="194" t="s">
        <v>695</v>
      </c>
      <c r="E6" s="193" t="s">
        <v>694</v>
      </c>
      <c r="F6" s="160" t="s">
        <v>20</v>
      </c>
      <c r="G6" s="161"/>
      <c r="H6" s="186" t="str">
        <f t="shared" si="0"/>
        <v>Used?</v>
      </c>
      <c r="I6" s="186" t="b">
        <f t="shared" si="1"/>
        <v>0</v>
      </c>
      <c r="J6" s="186" t="str">
        <f t="shared" si="2"/>
        <v>Used?</v>
      </c>
      <c r="K6" s="186" t="b">
        <f t="shared" si="3"/>
        <v>0</v>
      </c>
      <c r="L6" s="186" t="str">
        <f t="shared" si="4"/>
        <v>N/A</v>
      </c>
      <c r="M6" s="186" t="b">
        <f t="shared" si="5"/>
        <v>1</v>
      </c>
      <c r="N6" s="186" t="str">
        <f t="shared" si="6"/>
        <v>Used?</v>
      </c>
      <c r="O6" s="186" t="b">
        <f t="shared" si="7"/>
        <v>0</v>
      </c>
      <c r="P6" s="26" t="s">
        <v>696</v>
      </c>
      <c r="Q6" s="160" t="s">
        <v>20</v>
      </c>
      <c r="R6" s="160" t="s">
        <v>20</v>
      </c>
      <c r="S6" s="26" t="s">
        <v>697</v>
      </c>
      <c r="T6" s="165" t="str">
        <f t="shared" si="8"/>
        <v>Not Used</v>
      </c>
      <c r="U6" s="162"/>
      <c r="V6" s="55"/>
      <c r="W6" s="51" t="b">
        <f t="shared" si="9"/>
        <v>1</v>
      </c>
      <c r="X6" s="51" t="str">
        <f t="shared" si="10"/>
        <v>Not Used</v>
      </c>
      <c r="Y6" s="51" t="str">
        <f t="shared" si="11"/>
        <v>Not Used</v>
      </c>
      <c r="Z6" s="51" t="str">
        <f t="shared" si="12"/>
        <v>Not Used</v>
      </c>
      <c r="AA6" s="51" t="str">
        <f t="shared" si="12"/>
        <v>Not Used</v>
      </c>
      <c r="AB6" s="51" t="str">
        <f t="shared" si="13"/>
        <v>Not Used</v>
      </c>
      <c r="AC6" s="51" t="b">
        <f t="shared" si="14"/>
        <v>1</v>
      </c>
      <c r="AD6" s="51">
        <f>COUNTIF($X$5:$X$6, "Not Used")</f>
        <v>2</v>
      </c>
      <c r="AE6" s="51">
        <f>COUNTIF($X$5:$X$6, "TRUE")</f>
        <v>0</v>
      </c>
      <c r="AF6" s="51" t="b">
        <f t="shared" si="15"/>
        <v>1</v>
      </c>
      <c r="AG6" s="51">
        <f>COUNTIF($AF$5:$AF$727, "TRUE")</f>
        <v>723</v>
      </c>
      <c r="AH6" s="51" t="s">
        <v>1438</v>
      </c>
      <c r="AI6" s="51" t="b">
        <f t="shared" si="16"/>
        <v>0</v>
      </c>
      <c r="AJ6" s="51" t="b">
        <f t="shared" si="17"/>
        <v>0</v>
      </c>
      <c r="AK6" s="51" t="b">
        <f t="shared" si="18"/>
        <v>0</v>
      </c>
      <c r="AL6" s="51" t="b">
        <f t="shared" si="19"/>
        <v>0</v>
      </c>
      <c r="AM6" s="51" t="b">
        <f t="shared" si="20"/>
        <v>0</v>
      </c>
      <c r="AN6" s="51"/>
      <c r="AO6" s="51" t="b">
        <f t="shared" si="21"/>
        <v>0</v>
      </c>
      <c r="AP6" s="51" t="str">
        <f t="shared" ref="AP6:AP69" si="43">IF(AND(B6="YES", C6="YES", D6="YES"), "Tier 1 MMS, Tier 1 Sub MMS, Tier 2 MMS", IF(AND(B6="YES", C6="YES"), "Tier 1 MMS, Tier 1 Sub MMS", IF(AND(B6="YES", D6="YES"), "Tier 1 MMS, Tier 2 MMS", IF(AND(C6="YES", D6="YES"), "Tier 1 Sub MMS, Tier 2 MMS", IF(B6="YES", "Tier 1 MMS", IF(C6="YES", "Tier 1 Sub MMS", IF(D6="YES", "Tier 2 MMS", "Not in MMS")))))))</f>
        <v>Tier 1 MMS, Tier 1 Sub MMS</v>
      </c>
      <c r="AQ6" s="51" t="b">
        <f t="shared" si="22"/>
        <v>0</v>
      </c>
      <c r="AR6" s="51" t="b">
        <f t="shared" si="23"/>
        <v>0</v>
      </c>
      <c r="AS6" s="51" t="b">
        <f t="shared" si="24"/>
        <v>0</v>
      </c>
      <c r="AT6" s="51" t="b">
        <f t="shared" si="25"/>
        <v>0</v>
      </c>
      <c r="AU6" s="51" t="b">
        <f t="shared" si="26"/>
        <v>0</v>
      </c>
      <c r="AV6" s="51" t="str">
        <f t="shared" si="27"/>
        <v/>
      </c>
      <c r="AW6" s="51" t="str">
        <f t="shared" si="28"/>
        <v/>
      </c>
      <c r="AX6" s="51" t="str">
        <f t="shared" si="29"/>
        <v/>
      </c>
      <c r="AY6" s="51" t="str">
        <f t="shared" si="30"/>
        <v/>
      </c>
      <c r="AZ6" s="51" t="str">
        <f t="shared" si="31"/>
        <v/>
      </c>
      <c r="BA6" s="51" t="str">
        <f t="shared" si="32"/>
        <v/>
      </c>
      <c r="BB6" s="51" t="str">
        <f t="shared" si="33"/>
        <v/>
      </c>
      <c r="BC6" s="51" t="str">
        <f t="shared" si="34"/>
        <v/>
      </c>
      <c r="BD6" s="51" t="str">
        <f t="shared" si="35"/>
        <v/>
      </c>
      <c r="BE6" s="51" t="str">
        <f t="shared" si="36"/>
        <v/>
      </c>
      <c r="BF6" s="51" t="str">
        <f t="shared" si="37"/>
        <v/>
      </c>
      <c r="BG6" s="51" t="str">
        <f t="shared" si="38"/>
        <v/>
      </c>
      <c r="BH6" s="51" t="b">
        <f t="shared" si="39"/>
        <v>0</v>
      </c>
      <c r="BI6" s="51" t="str">
        <f t="shared" si="40"/>
        <v/>
      </c>
      <c r="BJ6" s="51" t="str">
        <f t="shared" si="41"/>
        <v/>
      </c>
      <c r="BK6" s="51" t="b">
        <f t="shared" si="42"/>
        <v>0</v>
      </c>
      <c r="BL6" s="192"/>
      <c r="BM6" s="51" t="s">
        <v>1439</v>
      </c>
      <c r="BN6" s="51" t="str">
        <f>IF(AH19=0,  "N/A", IF(AH19&gt;0, IF(AND(AH19=AH21), TRUE, FALSE)))</f>
        <v>N/A</v>
      </c>
      <c r="BO6" s="50" t="s">
        <v>427</v>
      </c>
    </row>
    <row r="7" spans="1:71" ht="13.5" thickBot="1" x14ac:dyDescent="0.25">
      <c r="A7" s="185" t="s">
        <v>699</v>
      </c>
      <c r="B7" s="193" t="s">
        <v>694</v>
      </c>
      <c r="C7" s="193" t="s">
        <v>694</v>
      </c>
      <c r="D7" s="194" t="s">
        <v>695</v>
      </c>
      <c r="E7" s="193" t="s">
        <v>694</v>
      </c>
      <c r="F7" s="160" t="s">
        <v>20</v>
      </c>
      <c r="G7" s="161"/>
      <c r="H7" s="186" t="str">
        <f t="shared" si="0"/>
        <v>Used?</v>
      </c>
      <c r="I7" s="186" t="b">
        <f t="shared" si="1"/>
        <v>0</v>
      </c>
      <c r="J7" s="186" t="str">
        <f t="shared" si="2"/>
        <v>Used?</v>
      </c>
      <c r="K7" s="186" t="b">
        <f t="shared" si="3"/>
        <v>0</v>
      </c>
      <c r="L7" s="186" t="str">
        <f t="shared" si="4"/>
        <v>N/A</v>
      </c>
      <c r="M7" s="186" t="b">
        <f t="shared" si="5"/>
        <v>1</v>
      </c>
      <c r="N7" s="186" t="str">
        <f t="shared" si="6"/>
        <v>Used?</v>
      </c>
      <c r="O7" s="186" t="b">
        <f t="shared" si="7"/>
        <v>0</v>
      </c>
      <c r="P7" s="26" t="s">
        <v>696</v>
      </c>
      <c r="Q7" s="160" t="s">
        <v>20</v>
      </c>
      <c r="R7" s="160" t="s">
        <v>20</v>
      </c>
      <c r="S7" s="26" t="s">
        <v>697</v>
      </c>
      <c r="T7" s="165" t="str">
        <f t="shared" si="8"/>
        <v>Not Used</v>
      </c>
      <c r="U7" s="162"/>
      <c r="V7" s="55"/>
      <c r="W7" s="51" t="b">
        <f t="shared" si="9"/>
        <v>1</v>
      </c>
      <c r="X7" s="51" t="str">
        <f t="shared" si="10"/>
        <v>Not Used</v>
      </c>
      <c r="Y7" s="51" t="str">
        <f t="shared" si="11"/>
        <v>Not Used</v>
      </c>
      <c r="Z7" s="51" t="str">
        <f t="shared" si="12"/>
        <v>Not Used</v>
      </c>
      <c r="AA7" s="51" t="str">
        <f t="shared" si="12"/>
        <v>Not Used</v>
      </c>
      <c r="AB7" s="51" t="str">
        <f t="shared" si="13"/>
        <v>Not Used</v>
      </c>
      <c r="AC7" s="51" t="b">
        <f t="shared" si="14"/>
        <v>1</v>
      </c>
      <c r="AD7" s="51">
        <f>COUNTIF($X$5:$X$7, "Not Used")</f>
        <v>3</v>
      </c>
      <c r="AE7" s="51">
        <f>COUNTIF($X$5:$X$7, "TRUE")</f>
        <v>0</v>
      </c>
      <c r="AF7" s="51" t="b">
        <f t="shared" si="15"/>
        <v>1</v>
      </c>
      <c r="AG7" s="51" t="s">
        <v>1440</v>
      </c>
      <c r="AH7" s="51">
        <f>COUNTIF($BD$5:$BD$727, "TRUE")</f>
        <v>0</v>
      </c>
      <c r="AI7" s="51" t="b">
        <f t="shared" si="16"/>
        <v>0</v>
      </c>
      <c r="AJ7" s="51" t="b">
        <f t="shared" si="17"/>
        <v>0</v>
      </c>
      <c r="AK7" s="51" t="b">
        <f t="shared" si="18"/>
        <v>0</v>
      </c>
      <c r="AL7" s="51" t="b">
        <f t="shared" si="19"/>
        <v>0</v>
      </c>
      <c r="AM7" s="51" t="b">
        <f t="shared" si="20"/>
        <v>0</v>
      </c>
      <c r="AN7" s="51"/>
      <c r="AO7" s="51" t="b">
        <f t="shared" si="21"/>
        <v>0</v>
      </c>
      <c r="AP7" s="51" t="str">
        <f t="shared" si="43"/>
        <v>Tier 1 MMS, Tier 1 Sub MMS</v>
      </c>
      <c r="AQ7" s="51" t="b">
        <f t="shared" si="22"/>
        <v>0</v>
      </c>
      <c r="AR7" s="51" t="b">
        <f t="shared" si="23"/>
        <v>0</v>
      </c>
      <c r="AS7" s="51" t="b">
        <f t="shared" si="24"/>
        <v>0</v>
      </c>
      <c r="AT7" s="51" t="b">
        <f t="shared" si="25"/>
        <v>0</v>
      </c>
      <c r="AU7" s="51" t="b">
        <f t="shared" si="26"/>
        <v>0</v>
      </c>
      <c r="AV7" s="51" t="str">
        <f t="shared" si="27"/>
        <v/>
      </c>
      <c r="AW7" s="51" t="str">
        <f t="shared" si="28"/>
        <v/>
      </c>
      <c r="AX7" s="51" t="str">
        <f t="shared" si="29"/>
        <v/>
      </c>
      <c r="AY7" s="51" t="str">
        <f t="shared" si="30"/>
        <v/>
      </c>
      <c r="AZ7" s="51" t="str">
        <f t="shared" si="31"/>
        <v/>
      </c>
      <c r="BA7" s="51" t="str">
        <f t="shared" si="32"/>
        <v/>
      </c>
      <c r="BB7" s="51" t="str">
        <f t="shared" si="33"/>
        <v/>
      </c>
      <c r="BC7" s="51" t="str">
        <f t="shared" si="34"/>
        <v/>
      </c>
      <c r="BD7" s="51" t="str">
        <f t="shared" si="35"/>
        <v/>
      </c>
      <c r="BE7" s="51" t="str">
        <f t="shared" si="36"/>
        <v/>
      </c>
      <c r="BF7" s="51" t="str">
        <f t="shared" si="37"/>
        <v/>
      </c>
      <c r="BG7" s="51" t="str">
        <f t="shared" si="38"/>
        <v/>
      </c>
      <c r="BH7" s="51" t="b">
        <f t="shared" si="39"/>
        <v>0</v>
      </c>
      <c r="BI7" s="51" t="str">
        <f t="shared" si="40"/>
        <v/>
      </c>
      <c r="BJ7" s="51" t="str">
        <f t="shared" si="41"/>
        <v/>
      </c>
      <c r="BK7" s="51" t="b">
        <f t="shared" si="42"/>
        <v>0</v>
      </c>
      <c r="BL7" s="192"/>
      <c r="BM7" s="51" t="s">
        <v>1476</v>
      </c>
      <c r="BN7" s="51" t="b">
        <f>H2</f>
        <v>0</v>
      </c>
    </row>
    <row r="8" spans="1:71" ht="13.5" thickBot="1" x14ac:dyDescent="0.25">
      <c r="A8" s="185" t="s">
        <v>700</v>
      </c>
      <c r="B8" s="193" t="s">
        <v>694</v>
      </c>
      <c r="C8" s="193" t="s">
        <v>694</v>
      </c>
      <c r="D8" s="194" t="s">
        <v>695</v>
      </c>
      <c r="E8" s="193" t="s">
        <v>694</v>
      </c>
      <c r="F8" s="160" t="s">
        <v>20</v>
      </c>
      <c r="G8" s="161"/>
      <c r="H8" s="186" t="str">
        <f t="shared" si="0"/>
        <v>Used?</v>
      </c>
      <c r="I8" s="186" t="b">
        <f t="shared" si="1"/>
        <v>0</v>
      </c>
      <c r="J8" s="186" t="str">
        <f t="shared" si="2"/>
        <v>Used?</v>
      </c>
      <c r="K8" s="186" t="b">
        <f t="shared" si="3"/>
        <v>0</v>
      </c>
      <c r="L8" s="186" t="str">
        <f t="shared" si="4"/>
        <v>N/A</v>
      </c>
      <c r="M8" s="186" t="b">
        <f t="shared" si="5"/>
        <v>1</v>
      </c>
      <c r="N8" s="186" t="str">
        <f t="shared" si="6"/>
        <v>Used?</v>
      </c>
      <c r="O8" s="186" t="b">
        <f t="shared" si="7"/>
        <v>0</v>
      </c>
      <c r="P8" s="26" t="s">
        <v>696</v>
      </c>
      <c r="Q8" s="160" t="s">
        <v>20</v>
      </c>
      <c r="R8" s="160" t="s">
        <v>20</v>
      </c>
      <c r="S8" s="26" t="s">
        <v>697</v>
      </c>
      <c r="T8" s="165" t="str">
        <f t="shared" si="8"/>
        <v>Not Used</v>
      </c>
      <c r="U8" s="162"/>
      <c r="V8" s="55"/>
      <c r="W8" s="51" t="b">
        <f t="shared" si="9"/>
        <v>1</v>
      </c>
      <c r="X8" s="51" t="str">
        <f t="shared" si="10"/>
        <v>Not Used</v>
      </c>
      <c r="Y8" s="51" t="str">
        <f t="shared" si="11"/>
        <v>Not Used</v>
      </c>
      <c r="Z8" s="51" t="str">
        <f t="shared" si="12"/>
        <v>Not Used</v>
      </c>
      <c r="AA8" s="51" t="str">
        <f t="shared" si="12"/>
        <v>Not Used</v>
      </c>
      <c r="AB8" s="51" t="str">
        <f t="shared" si="13"/>
        <v>Not Used</v>
      </c>
      <c r="AC8" s="51" t="b">
        <f t="shared" si="14"/>
        <v>1</v>
      </c>
      <c r="AD8" s="51">
        <f>COUNTIF($X$5:$X$8, "Not Used")</f>
        <v>4</v>
      </c>
      <c r="AE8" s="51">
        <f>COUNTIF($X$5:$X$8, "TRUE")</f>
        <v>0</v>
      </c>
      <c r="AF8" s="51" t="b">
        <f t="shared" si="15"/>
        <v>1</v>
      </c>
      <c r="AG8" s="51">
        <f>COUNTIF($AI$5:$AI$727, "TRUE")</f>
        <v>0</v>
      </c>
      <c r="AH8" s="51" t="s">
        <v>1441</v>
      </c>
      <c r="AI8" s="51" t="b">
        <f t="shared" si="16"/>
        <v>0</v>
      </c>
      <c r="AJ8" s="51" t="b">
        <f t="shared" si="17"/>
        <v>0</v>
      </c>
      <c r="AK8" s="51" t="b">
        <f t="shared" si="18"/>
        <v>0</v>
      </c>
      <c r="AL8" s="51" t="b">
        <f t="shared" si="19"/>
        <v>0</v>
      </c>
      <c r="AM8" s="51" t="b">
        <f t="shared" si="20"/>
        <v>0</v>
      </c>
      <c r="AN8" s="51"/>
      <c r="AO8" s="51" t="b">
        <f t="shared" si="21"/>
        <v>0</v>
      </c>
      <c r="AP8" s="51" t="str">
        <f t="shared" si="43"/>
        <v>Tier 1 MMS, Tier 1 Sub MMS</v>
      </c>
      <c r="AQ8" s="51" t="b">
        <f t="shared" si="22"/>
        <v>0</v>
      </c>
      <c r="AR8" s="51" t="b">
        <f t="shared" si="23"/>
        <v>0</v>
      </c>
      <c r="AS8" s="51" t="b">
        <f t="shared" si="24"/>
        <v>0</v>
      </c>
      <c r="AT8" s="51" t="b">
        <f t="shared" si="25"/>
        <v>0</v>
      </c>
      <c r="AU8" s="51" t="b">
        <f t="shared" si="26"/>
        <v>0</v>
      </c>
      <c r="AV8" s="51" t="str">
        <f t="shared" si="27"/>
        <v/>
      </c>
      <c r="AW8" s="51" t="str">
        <f t="shared" si="28"/>
        <v/>
      </c>
      <c r="AX8" s="51" t="str">
        <f t="shared" si="29"/>
        <v/>
      </c>
      <c r="AY8" s="51" t="str">
        <f t="shared" si="30"/>
        <v/>
      </c>
      <c r="AZ8" s="51" t="str">
        <f t="shared" si="31"/>
        <v/>
      </c>
      <c r="BA8" s="51" t="str">
        <f t="shared" si="32"/>
        <v/>
      </c>
      <c r="BB8" s="51" t="str">
        <f t="shared" si="33"/>
        <v/>
      </c>
      <c r="BC8" s="51" t="str">
        <f t="shared" si="34"/>
        <v/>
      </c>
      <c r="BD8" s="51" t="str">
        <f t="shared" si="35"/>
        <v/>
      </c>
      <c r="BE8" s="51" t="str">
        <f t="shared" si="36"/>
        <v/>
      </c>
      <c r="BF8" s="51" t="str">
        <f t="shared" si="37"/>
        <v/>
      </c>
      <c r="BG8" s="51" t="str">
        <f t="shared" si="38"/>
        <v/>
      </c>
      <c r="BH8" s="51" t="b">
        <f t="shared" si="39"/>
        <v>0</v>
      </c>
      <c r="BI8" s="51" t="str">
        <f t="shared" si="40"/>
        <v/>
      </c>
      <c r="BJ8" s="51" t="str">
        <f t="shared" si="41"/>
        <v/>
      </c>
      <c r="BK8" s="51" t="b">
        <f t="shared" si="42"/>
        <v>0</v>
      </c>
      <c r="BL8" s="192"/>
      <c r="BM8" s="51" t="s">
        <v>1477</v>
      </c>
      <c r="BN8" s="51" t="str">
        <f>IF(AH27=0,  "N/A", IF(AH27&gt;0, IF(AND(AH27=AH29), TRUE, FALSE)))</f>
        <v>N/A</v>
      </c>
    </row>
    <row r="9" spans="1:71" ht="13.5" thickBot="1" x14ac:dyDescent="0.25">
      <c r="A9" s="185" t="s">
        <v>701</v>
      </c>
      <c r="B9" s="193" t="s">
        <v>694</v>
      </c>
      <c r="C9" s="193" t="s">
        <v>694</v>
      </c>
      <c r="D9" s="194" t="s">
        <v>695</v>
      </c>
      <c r="E9" s="193" t="s">
        <v>694</v>
      </c>
      <c r="F9" s="160" t="s">
        <v>20</v>
      </c>
      <c r="G9" s="161"/>
      <c r="H9" s="186" t="str">
        <f t="shared" si="0"/>
        <v>Used?</v>
      </c>
      <c r="I9" s="186" t="b">
        <f t="shared" si="1"/>
        <v>0</v>
      </c>
      <c r="J9" s="186" t="str">
        <f t="shared" si="2"/>
        <v>Used?</v>
      </c>
      <c r="K9" s="186" t="b">
        <f t="shared" si="3"/>
        <v>0</v>
      </c>
      <c r="L9" s="186" t="str">
        <f t="shared" si="4"/>
        <v>N/A</v>
      </c>
      <c r="M9" s="186" t="b">
        <f t="shared" si="5"/>
        <v>1</v>
      </c>
      <c r="N9" s="186" t="str">
        <f t="shared" si="6"/>
        <v>Used?</v>
      </c>
      <c r="O9" s="186" t="b">
        <f t="shared" si="7"/>
        <v>0</v>
      </c>
      <c r="P9" s="26" t="s">
        <v>696</v>
      </c>
      <c r="Q9" s="160" t="s">
        <v>20</v>
      </c>
      <c r="R9" s="160" t="s">
        <v>20</v>
      </c>
      <c r="S9" s="26" t="s">
        <v>697</v>
      </c>
      <c r="T9" s="165" t="str">
        <f t="shared" si="8"/>
        <v>Not Used</v>
      </c>
      <c r="U9" s="162"/>
      <c r="V9" s="55"/>
      <c r="W9" s="51" t="b">
        <f t="shared" si="9"/>
        <v>1</v>
      </c>
      <c r="X9" s="51" t="str">
        <f t="shared" si="10"/>
        <v>Not Used</v>
      </c>
      <c r="Y9" s="51" t="str">
        <f t="shared" si="11"/>
        <v>Not Used</v>
      </c>
      <c r="Z9" s="51" t="str">
        <f t="shared" si="12"/>
        <v>Not Used</v>
      </c>
      <c r="AA9" s="51" t="str">
        <f t="shared" si="12"/>
        <v>Not Used</v>
      </c>
      <c r="AB9" s="51" t="str">
        <f t="shared" si="13"/>
        <v>Not Used</v>
      </c>
      <c r="AC9" s="51" t="b">
        <f t="shared" si="14"/>
        <v>1</v>
      </c>
      <c r="AD9" s="51">
        <f>COUNTIF($X$5:$X$9, "Not Used")</f>
        <v>5</v>
      </c>
      <c r="AE9" s="51">
        <f>COUNTIF($X$5:$X$9, "TRUE")</f>
        <v>0</v>
      </c>
      <c r="AF9" s="51" t="b">
        <f t="shared" si="15"/>
        <v>1</v>
      </c>
      <c r="AG9" s="51" t="s">
        <v>1442</v>
      </c>
      <c r="AH9" s="51">
        <f>COUNTIF($BE$5:$BE$727, "TRUE")</f>
        <v>0</v>
      </c>
      <c r="AI9" s="51" t="b">
        <f t="shared" si="16"/>
        <v>0</v>
      </c>
      <c r="AJ9" s="51" t="b">
        <f t="shared" si="17"/>
        <v>0</v>
      </c>
      <c r="AK9" s="51" t="b">
        <f t="shared" si="18"/>
        <v>0</v>
      </c>
      <c r="AL9" s="51" t="b">
        <f t="shared" si="19"/>
        <v>0</v>
      </c>
      <c r="AM9" s="51" t="b">
        <f t="shared" si="20"/>
        <v>0</v>
      </c>
      <c r="AN9" s="51"/>
      <c r="AO9" s="51" t="b">
        <f t="shared" si="21"/>
        <v>0</v>
      </c>
      <c r="AP9" s="51" t="str">
        <f t="shared" si="43"/>
        <v>Tier 1 MMS, Tier 1 Sub MMS</v>
      </c>
      <c r="AQ9" s="51" t="b">
        <f t="shared" si="22"/>
        <v>0</v>
      </c>
      <c r="AR9" s="51" t="b">
        <f t="shared" si="23"/>
        <v>0</v>
      </c>
      <c r="AS9" s="51" t="b">
        <f t="shared" si="24"/>
        <v>0</v>
      </c>
      <c r="AT9" s="51" t="b">
        <f t="shared" si="25"/>
        <v>0</v>
      </c>
      <c r="AU9" s="51" t="b">
        <f t="shared" si="26"/>
        <v>0</v>
      </c>
      <c r="AV9" s="51" t="str">
        <f t="shared" si="27"/>
        <v/>
      </c>
      <c r="AW9" s="51" t="str">
        <f t="shared" si="28"/>
        <v/>
      </c>
      <c r="AX9" s="51" t="str">
        <f t="shared" si="29"/>
        <v/>
      </c>
      <c r="AY9" s="51" t="str">
        <f t="shared" si="30"/>
        <v/>
      </c>
      <c r="AZ9" s="51" t="str">
        <f t="shared" si="31"/>
        <v/>
      </c>
      <c r="BA9" s="51" t="str">
        <f t="shared" si="32"/>
        <v/>
      </c>
      <c r="BB9" s="51" t="str">
        <f t="shared" si="33"/>
        <v/>
      </c>
      <c r="BC9" s="51" t="str">
        <f t="shared" si="34"/>
        <v/>
      </c>
      <c r="BD9" s="51" t="str">
        <f t="shared" si="35"/>
        <v/>
      </c>
      <c r="BE9" s="51" t="str">
        <f t="shared" si="36"/>
        <v/>
      </c>
      <c r="BF9" s="51" t="str">
        <f t="shared" si="37"/>
        <v/>
      </c>
      <c r="BG9" s="51" t="str">
        <f t="shared" si="38"/>
        <v/>
      </c>
      <c r="BH9" s="51" t="b">
        <f t="shared" si="39"/>
        <v>0</v>
      </c>
      <c r="BI9" s="51" t="str">
        <f t="shared" si="40"/>
        <v/>
      </c>
      <c r="BJ9" s="51" t="str">
        <f t="shared" si="41"/>
        <v/>
      </c>
      <c r="BK9" s="51" t="b">
        <f t="shared" si="42"/>
        <v>0</v>
      </c>
      <c r="BL9" s="192"/>
      <c r="BM9" s="51" t="s">
        <v>1478</v>
      </c>
      <c r="BN9" s="51" t="str">
        <f>IF(AH23=0,  "N/A", IF(AH23&gt;0, IF(AND(AH23=AH25), TRUE, FALSE)))</f>
        <v>N/A</v>
      </c>
    </row>
    <row r="10" spans="1:71" ht="13.5" thickBot="1" x14ac:dyDescent="0.25">
      <c r="A10" s="185" t="s">
        <v>702</v>
      </c>
      <c r="B10" s="193" t="s">
        <v>694</v>
      </c>
      <c r="C10" s="194" t="s">
        <v>695</v>
      </c>
      <c r="D10" s="194" t="s">
        <v>695</v>
      </c>
      <c r="E10" s="193" t="s">
        <v>694</v>
      </c>
      <c r="F10" s="160" t="s">
        <v>20</v>
      </c>
      <c r="G10" s="161"/>
      <c r="H10" s="186" t="str">
        <f t="shared" si="0"/>
        <v>Used?</v>
      </c>
      <c r="I10" s="186" t="b">
        <f t="shared" si="1"/>
        <v>0</v>
      </c>
      <c r="J10" s="186" t="str">
        <f t="shared" si="2"/>
        <v>N/A</v>
      </c>
      <c r="K10" s="186" t="b">
        <f t="shared" si="3"/>
        <v>1</v>
      </c>
      <c r="L10" s="186" t="str">
        <f t="shared" si="4"/>
        <v>N/A</v>
      </c>
      <c r="M10" s="186" t="b">
        <f t="shared" si="5"/>
        <v>1</v>
      </c>
      <c r="N10" s="186" t="str">
        <f t="shared" si="6"/>
        <v>Used?</v>
      </c>
      <c r="O10" s="186" t="b">
        <f t="shared" si="7"/>
        <v>0</v>
      </c>
      <c r="P10" s="26" t="s">
        <v>696</v>
      </c>
      <c r="Q10" s="160" t="s">
        <v>20</v>
      </c>
      <c r="R10" s="160" t="s">
        <v>20</v>
      </c>
      <c r="S10" s="26" t="s">
        <v>697</v>
      </c>
      <c r="T10" s="165" t="str">
        <f t="shared" si="8"/>
        <v>Not Used</v>
      </c>
      <c r="U10" s="162"/>
      <c r="V10" s="55"/>
      <c r="W10" s="51" t="b">
        <f t="shared" si="9"/>
        <v>1</v>
      </c>
      <c r="X10" s="51" t="str">
        <f t="shared" si="10"/>
        <v>Not Used</v>
      </c>
      <c r="Y10" s="51" t="str">
        <f t="shared" si="11"/>
        <v>Not Used</v>
      </c>
      <c r="Z10" s="51" t="str">
        <f t="shared" si="12"/>
        <v>Not Used</v>
      </c>
      <c r="AA10" s="51" t="str">
        <f t="shared" si="12"/>
        <v>Not Used</v>
      </c>
      <c r="AB10" s="51" t="str">
        <f t="shared" si="13"/>
        <v>Not Used</v>
      </c>
      <c r="AC10" s="51" t="b">
        <f t="shared" si="14"/>
        <v>1</v>
      </c>
      <c r="AD10" s="51">
        <f>COUNTIF($X$5:$X$10, "Not Used")</f>
        <v>6</v>
      </c>
      <c r="AE10" s="51">
        <f>COUNTIF($X$5:$X$10, "TRUE")</f>
        <v>0</v>
      </c>
      <c r="AF10" s="51" t="b">
        <f t="shared" si="15"/>
        <v>1</v>
      </c>
      <c r="AG10" s="51">
        <f>COUNTIF($AJ$5:$AJ$727, "TRUE")</f>
        <v>0</v>
      </c>
      <c r="AH10" s="51" t="s">
        <v>1443</v>
      </c>
      <c r="AI10" s="51" t="b">
        <f t="shared" si="16"/>
        <v>0</v>
      </c>
      <c r="AJ10" s="51" t="b">
        <f t="shared" si="17"/>
        <v>0</v>
      </c>
      <c r="AK10" s="51" t="b">
        <f t="shared" si="18"/>
        <v>0</v>
      </c>
      <c r="AL10" s="51" t="b">
        <f t="shared" si="19"/>
        <v>0</v>
      </c>
      <c r="AM10" s="51" t="b">
        <f t="shared" si="20"/>
        <v>0</v>
      </c>
      <c r="AN10" s="51"/>
      <c r="AO10" s="51" t="b">
        <f t="shared" si="21"/>
        <v>0</v>
      </c>
      <c r="AP10" s="51" t="str">
        <f t="shared" si="43"/>
        <v>Tier 1 MMS</v>
      </c>
      <c r="AQ10" s="51" t="b">
        <f t="shared" si="22"/>
        <v>0</v>
      </c>
      <c r="AR10" s="51" t="b">
        <f t="shared" si="23"/>
        <v>0</v>
      </c>
      <c r="AS10" s="51" t="str">
        <f t="shared" si="24"/>
        <v/>
      </c>
      <c r="AT10" s="51" t="b">
        <f t="shared" si="25"/>
        <v>0</v>
      </c>
      <c r="AU10" s="51" t="b">
        <f t="shared" si="26"/>
        <v>0</v>
      </c>
      <c r="AV10" s="51" t="str">
        <f t="shared" si="27"/>
        <v/>
      </c>
      <c r="AW10" s="51" t="str">
        <f t="shared" si="28"/>
        <v/>
      </c>
      <c r="AX10" s="51" t="str">
        <f t="shared" si="29"/>
        <v/>
      </c>
      <c r="AY10" s="51" t="str">
        <f t="shared" si="30"/>
        <v/>
      </c>
      <c r="AZ10" s="51" t="str">
        <f t="shared" si="31"/>
        <v/>
      </c>
      <c r="BA10" s="51" t="str">
        <f t="shared" si="32"/>
        <v/>
      </c>
      <c r="BB10" s="51" t="str">
        <f t="shared" si="33"/>
        <v/>
      </c>
      <c r="BC10" s="51" t="str">
        <f t="shared" si="34"/>
        <v/>
      </c>
      <c r="BD10" s="51" t="str">
        <f t="shared" si="35"/>
        <v/>
      </c>
      <c r="BE10" s="51" t="str">
        <f t="shared" si="36"/>
        <v/>
      </c>
      <c r="BF10" s="51" t="str">
        <f t="shared" si="37"/>
        <v/>
      </c>
      <c r="BG10" s="51" t="str">
        <f t="shared" si="38"/>
        <v/>
      </c>
      <c r="BH10" s="51" t="b">
        <f t="shared" si="39"/>
        <v>0</v>
      </c>
      <c r="BI10" s="51" t="str">
        <f t="shared" si="40"/>
        <v/>
      </c>
      <c r="BJ10" s="51" t="str">
        <f t="shared" si="41"/>
        <v/>
      </c>
      <c r="BK10" s="51" t="b">
        <f t="shared" si="42"/>
        <v>0</v>
      </c>
      <c r="BL10" s="192"/>
      <c r="BM10" s="51" t="s">
        <v>1479</v>
      </c>
      <c r="BN10" s="51" t="b">
        <f>L2</f>
        <v>0</v>
      </c>
    </row>
    <row r="11" spans="1:71" ht="13.5" thickBot="1" x14ac:dyDescent="0.25">
      <c r="A11" s="185" t="s">
        <v>703</v>
      </c>
      <c r="B11" s="193" t="s">
        <v>694</v>
      </c>
      <c r="C11" s="194" t="s">
        <v>695</v>
      </c>
      <c r="D11" s="194" t="s">
        <v>695</v>
      </c>
      <c r="E11" s="193" t="s">
        <v>694</v>
      </c>
      <c r="F11" s="160" t="s">
        <v>20</v>
      </c>
      <c r="G11" s="161"/>
      <c r="H11" s="186" t="str">
        <f t="shared" si="0"/>
        <v>Used?</v>
      </c>
      <c r="I11" s="186" t="b">
        <f t="shared" si="1"/>
        <v>0</v>
      </c>
      <c r="J11" s="186" t="str">
        <f t="shared" si="2"/>
        <v>N/A</v>
      </c>
      <c r="K11" s="186" t="b">
        <f t="shared" si="3"/>
        <v>1</v>
      </c>
      <c r="L11" s="186" t="str">
        <f t="shared" si="4"/>
        <v>N/A</v>
      </c>
      <c r="M11" s="186" t="b">
        <f t="shared" si="5"/>
        <v>1</v>
      </c>
      <c r="N11" s="186" t="str">
        <f t="shared" si="6"/>
        <v>Used?</v>
      </c>
      <c r="O11" s="186" t="b">
        <f t="shared" si="7"/>
        <v>0</v>
      </c>
      <c r="P11" s="26" t="s">
        <v>696</v>
      </c>
      <c r="Q11" s="160" t="s">
        <v>20</v>
      </c>
      <c r="R11" s="160" t="s">
        <v>20</v>
      </c>
      <c r="S11" s="26" t="s">
        <v>697</v>
      </c>
      <c r="T11" s="165" t="str">
        <f t="shared" si="8"/>
        <v>Not Used</v>
      </c>
      <c r="U11" s="162"/>
      <c r="V11" s="55"/>
      <c r="W11" s="51" t="b">
        <f t="shared" si="9"/>
        <v>1</v>
      </c>
      <c r="X11" s="51" t="str">
        <f t="shared" si="10"/>
        <v>Not Used</v>
      </c>
      <c r="Y11" s="51" t="str">
        <f t="shared" si="11"/>
        <v>Not Used</v>
      </c>
      <c r="Z11" s="51" t="str">
        <f t="shared" si="12"/>
        <v>Not Used</v>
      </c>
      <c r="AA11" s="51" t="str">
        <f t="shared" si="12"/>
        <v>Not Used</v>
      </c>
      <c r="AB11" s="51" t="str">
        <f t="shared" si="13"/>
        <v>Not Used</v>
      </c>
      <c r="AC11" s="51" t="b">
        <f t="shared" si="14"/>
        <v>1</v>
      </c>
      <c r="AD11" s="51">
        <f>COUNTIF($X$5:$X$11, "Not Used")</f>
        <v>7</v>
      </c>
      <c r="AE11" s="51">
        <f>COUNTIF($X$5:$X$11, "TRUE")</f>
        <v>0</v>
      </c>
      <c r="AF11" s="51" t="b">
        <f t="shared" si="15"/>
        <v>1</v>
      </c>
      <c r="AG11" s="192"/>
      <c r="AH11" s="51">
        <f>COUNTIF($BF$5:$BF$727, "TRUE")</f>
        <v>0</v>
      </c>
      <c r="AI11" s="51" t="b">
        <f t="shared" si="16"/>
        <v>0</v>
      </c>
      <c r="AJ11" s="51" t="b">
        <f t="shared" si="17"/>
        <v>0</v>
      </c>
      <c r="AK11" s="51" t="b">
        <f t="shared" si="18"/>
        <v>0</v>
      </c>
      <c r="AL11" s="51" t="b">
        <f t="shared" si="19"/>
        <v>0</v>
      </c>
      <c r="AM11" s="51" t="b">
        <f t="shared" si="20"/>
        <v>0</v>
      </c>
      <c r="AN11" s="51"/>
      <c r="AO11" s="51" t="b">
        <f t="shared" si="21"/>
        <v>0</v>
      </c>
      <c r="AP11" s="51" t="str">
        <f t="shared" si="43"/>
        <v>Tier 1 MMS</v>
      </c>
      <c r="AQ11" s="51" t="b">
        <f t="shared" si="22"/>
        <v>0</v>
      </c>
      <c r="AR11" s="51" t="b">
        <f t="shared" si="23"/>
        <v>0</v>
      </c>
      <c r="AS11" s="51" t="str">
        <f t="shared" si="24"/>
        <v/>
      </c>
      <c r="AT11" s="51" t="b">
        <f t="shared" si="25"/>
        <v>0</v>
      </c>
      <c r="AU11" s="51" t="b">
        <f t="shared" si="26"/>
        <v>0</v>
      </c>
      <c r="AV11" s="51" t="str">
        <f t="shared" si="27"/>
        <v/>
      </c>
      <c r="AW11" s="51" t="str">
        <f t="shared" si="28"/>
        <v/>
      </c>
      <c r="AX11" s="51" t="str">
        <f t="shared" si="29"/>
        <v/>
      </c>
      <c r="AY11" s="51" t="str">
        <f t="shared" si="30"/>
        <v/>
      </c>
      <c r="AZ11" s="51" t="str">
        <f t="shared" si="31"/>
        <v/>
      </c>
      <c r="BA11" s="51" t="str">
        <f t="shared" si="32"/>
        <v/>
      </c>
      <c r="BB11" s="51" t="str">
        <f t="shared" si="33"/>
        <v/>
      </c>
      <c r="BC11" s="51" t="str">
        <f t="shared" si="34"/>
        <v/>
      </c>
      <c r="BD11" s="51" t="str">
        <f t="shared" si="35"/>
        <v/>
      </c>
      <c r="BE11" s="51" t="str">
        <f t="shared" si="36"/>
        <v/>
      </c>
      <c r="BF11" s="51" t="str">
        <f t="shared" si="37"/>
        <v/>
      </c>
      <c r="BG11" s="51" t="str">
        <f t="shared" si="38"/>
        <v/>
      </c>
      <c r="BH11" s="51" t="b">
        <f t="shared" si="39"/>
        <v>0</v>
      </c>
      <c r="BI11" s="51" t="str">
        <f t="shared" si="40"/>
        <v/>
      </c>
      <c r="BJ11" s="51" t="str">
        <f t="shared" si="41"/>
        <v/>
      </c>
      <c r="BK11" s="51" t="b">
        <f t="shared" si="42"/>
        <v>0</v>
      </c>
      <c r="BL11" s="192"/>
      <c r="BM11" s="51" t="s">
        <v>1480</v>
      </c>
      <c r="BN11" s="51" t="str">
        <f>IF(AH11=0,  "N/A", IF(AH11&gt;0, IF(AND(AH11=AH13), TRUE, FALSE)))</f>
        <v>N/A</v>
      </c>
    </row>
    <row r="12" spans="1:71" ht="13.5" thickBot="1" x14ac:dyDescent="0.25">
      <c r="A12" s="185" t="s">
        <v>704</v>
      </c>
      <c r="B12" s="193" t="s">
        <v>694</v>
      </c>
      <c r="C12" s="193" t="s">
        <v>694</v>
      </c>
      <c r="D12" s="194" t="s">
        <v>695</v>
      </c>
      <c r="E12" s="193" t="s">
        <v>694</v>
      </c>
      <c r="F12" s="160" t="s">
        <v>20</v>
      </c>
      <c r="G12" s="161"/>
      <c r="H12" s="186" t="str">
        <f t="shared" si="0"/>
        <v>Used?</v>
      </c>
      <c r="I12" s="186" t="b">
        <f t="shared" si="1"/>
        <v>0</v>
      </c>
      <c r="J12" s="186" t="str">
        <f t="shared" si="2"/>
        <v>Used?</v>
      </c>
      <c r="K12" s="186" t="b">
        <f t="shared" si="3"/>
        <v>0</v>
      </c>
      <c r="L12" s="186" t="str">
        <f t="shared" si="4"/>
        <v>N/A</v>
      </c>
      <c r="M12" s="186" t="b">
        <f t="shared" si="5"/>
        <v>1</v>
      </c>
      <c r="N12" s="186" t="str">
        <f t="shared" si="6"/>
        <v>Used?</v>
      </c>
      <c r="O12" s="186" t="b">
        <f t="shared" si="7"/>
        <v>0</v>
      </c>
      <c r="P12" s="26" t="s">
        <v>696</v>
      </c>
      <c r="Q12" s="160" t="s">
        <v>20</v>
      </c>
      <c r="R12" s="160" t="s">
        <v>20</v>
      </c>
      <c r="S12" s="26" t="s">
        <v>697</v>
      </c>
      <c r="T12" s="165" t="str">
        <f t="shared" si="8"/>
        <v>Not Used</v>
      </c>
      <c r="U12" s="162"/>
      <c r="V12" s="55"/>
      <c r="W12" s="51" t="b">
        <f t="shared" si="9"/>
        <v>1</v>
      </c>
      <c r="X12" s="51" t="str">
        <f t="shared" si="10"/>
        <v>Not Used</v>
      </c>
      <c r="Y12" s="51" t="str">
        <f t="shared" si="11"/>
        <v>Not Used</v>
      </c>
      <c r="Z12" s="51" t="str">
        <f t="shared" si="12"/>
        <v>Not Used</v>
      </c>
      <c r="AA12" s="51" t="str">
        <f t="shared" si="12"/>
        <v>Not Used</v>
      </c>
      <c r="AB12" s="51" t="str">
        <f t="shared" si="13"/>
        <v>Not Used</v>
      </c>
      <c r="AC12" s="51" t="b">
        <f t="shared" si="14"/>
        <v>1</v>
      </c>
      <c r="AD12" s="51">
        <f>COUNTIF($X$5:$X$12, "Not Used")</f>
        <v>8</v>
      </c>
      <c r="AE12" s="51">
        <f>COUNTIF($X$5:$X$12, "TRUE")</f>
        <v>0</v>
      </c>
      <c r="AF12" s="51" t="b">
        <f t="shared" si="15"/>
        <v>1</v>
      </c>
      <c r="AG12" s="192"/>
      <c r="AH12" s="51" t="s">
        <v>1444</v>
      </c>
      <c r="AI12" s="51" t="b">
        <f t="shared" si="16"/>
        <v>0</v>
      </c>
      <c r="AJ12" s="51" t="b">
        <f t="shared" si="17"/>
        <v>0</v>
      </c>
      <c r="AK12" s="51" t="b">
        <f t="shared" si="18"/>
        <v>0</v>
      </c>
      <c r="AL12" s="51" t="b">
        <f t="shared" si="19"/>
        <v>0</v>
      </c>
      <c r="AM12" s="51" t="b">
        <f t="shared" si="20"/>
        <v>0</v>
      </c>
      <c r="AN12" s="51"/>
      <c r="AO12" s="51" t="b">
        <f t="shared" si="21"/>
        <v>0</v>
      </c>
      <c r="AP12" s="51" t="str">
        <f t="shared" si="43"/>
        <v>Tier 1 MMS, Tier 1 Sub MMS</v>
      </c>
      <c r="AQ12" s="51" t="b">
        <f t="shared" si="22"/>
        <v>0</v>
      </c>
      <c r="AR12" s="51" t="b">
        <f t="shared" si="23"/>
        <v>0</v>
      </c>
      <c r="AS12" s="51" t="b">
        <f t="shared" si="24"/>
        <v>0</v>
      </c>
      <c r="AT12" s="51" t="b">
        <f t="shared" si="25"/>
        <v>0</v>
      </c>
      <c r="AU12" s="51" t="b">
        <f t="shared" si="26"/>
        <v>0</v>
      </c>
      <c r="AV12" s="51" t="str">
        <f t="shared" si="27"/>
        <v/>
      </c>
      <c r="AW12" s="51" t="str">
        <f t="shared" si="28"/>
        <v/>
      </c>
      <c r="AX12" s="51" t="str">
        <f t="shared" si="29"/>
        <v/>
      </c>
      <c r="AY12" s="51" t="str">
        <f t="shared" si="30"/>
        <v/>
      </c>
      <c r="AZ12" s="51" t="str">
        <f t="shared" si="31"/>
        <v/>
      </c>
      <c r="BA12" s="51" t="str">
        <f t="shared" si="32"/>
        <v/>
      </c>
      <c r="BB12" s="51" t="str">
        <f t="shared" si="33"/>
        <v/>
      </c>
      <c r="BC12" s="51" t="str">
        <f t="shared" si="34"/>
        <v/>
      </c>
      <c r="BD12" s="51" t="str">
        <f t="shared" si="35"/>
        <v/>
      </c>
      <c r="BE12" s="51" t="str">
        <f t="shared" si="36"/>
        <v/>
      </c>
      <c r="BF12" s="51" t="str">
        <f t="shared" si="37"/>
        <v/>
      </c>
      <c r="BG12" s="51" t="str">
        <f t="shared" si="38"/>
        <v/>
      </c>
      <c r="BH12" s="51" t="b">
        <f t="shared" si="39"/>
        <v>0</v>
      </c>
      <c r="BI12" s="51" t="str">
        <f t="shared" si="40"/>
        <v/>
      </c>
      <c r="BJ12" s="51" t="str">
        <f t="shared" si="41"/>
        <v/>
      </c>
      <c r="BK12" s="51" t="b">
        <f t="shared" si="42"/>
        <v>0</v>
      </c>
      <c r="BL12" s="192"/>
      <c r="BM12" s="51" t="s">
        <v>1481</v>
      </c>
      <c r="BN12" s="51" t="str">
        <f>IF(AH7=0,  "N/A", IF(AH7&gt;0, IF(AND(AH7=AH9), TRUE, FALSE)))</f>
        <v>N/A</v>
      </c>
    </row>
    <row r="13" spans="1:71" ht="13.5" thickBot="1" x14ac:dyDescent="0.25">
      <c r="A13" s="185" t="s">
        <v>705</v>
      </c>
      <c r="B13" s="193" t="s">
        <v>694</v>
      </c>
      <c r="C13" s="193" t="s">
        <v>694</v>
      </c>
      <c r="D13" s="194" t="s">
        <v>695</v>
      </c>
      <c r="E13" s="193" t="s">
        <v>694</v>
      </c>
      <c r="F13" s="160" t="s">
        <v>20</v>
      </c>
      <c r="G13" s="161"/>
      <c r="H13" s="186" t="str">
        <f t="shared" si="0"/>
        <v>Used?</v>
      </c>
      <c r="I13" s="186" t="b">
        <f t="shared" si="1"/>
        <v>0</v>
      </c>
      <c r="J13" s="186" t="str">
        <f t="shared" si="2"/>
        <v>Used?</v>
      </c>
      <c r="K13" s="186" t="b">
        <f t="shared" si="3"/>
        <v>0</v>
      </c>
      <c r="L13" s="186" t="str">
        <f t="shared" si="4"/>
        <v>N/A</v>
      </c>
      <c r="M13" s="186" t="b">
        <f t="shared" si="5"/>
        <v>1</v>
      </c>
      <c r="N13" s="186" t="str">
        <f t="shared" si="6"/>
        <v>Used?</v>
      </c>
      <c r="O13" s="186" t="b">
        <f t="shared" si="7"/>
        <v>0</v>
      </c>
      <c r="P13" s="26" t="s">
        <v>696</v>
      </c>
      <c r="Q13" s="160" t="s">
        <v>20</v>
      </c>
      <c r="R13" s="160" t="s">
        <v>20</v>
      </c>
      <c r="S13" s="26" t="s">
        <v>697</v>
      </c>
      <c r="T13" s="165" t="str">
        <f t="shared" si="8"/>
        <v>Not Used</v>
      </c>
      <c r="U13" s="162"/>
      <c r="V13" s="55"/>
      <c r="W13" s="51" t="b">
        <f t="shared" si="9"/>
        <v>1</v>
      </c>
      <c r="X13" s="51" t="str">
        <f t="shared" si="10"/>
        <v>Not Used</v>
      </c>
      <c r="Y13" s="51" t="str">
        <f t="shared" si="11"/>
        <v>Not Used</v>
      </c>
      <c r="Z13" s="51" t="str">
        <f t="shared" si="12"/>
        <v>Not Used</v>
      </c>
      <c r="AA13" s="51" t="str">
        <f t="shared" si="12"/>
        <v>Not Used</v>
      </c>
      <c r="AB13" s="51" t="str">
        <f t="shared" si="13"/>
        <v>Not Used</v>
      </c>
      <c r="AC13" s="51" t="b">
        <f t="shared" si="14"/>
        <v>1</v>
      </c>
      <c r="AD13" s="51">
        <f>COUNTIF($X$5:$X$13, "Not Used")</f>
        <v>9</v>
      </c>
      <c r="AE13" s="51">
        <f>COUNTIF($X$5:$X$13, "TRUE")</f>
        <v>0</v>
      </c>
      <c r="AF13" s="51" t="b">
        <f t="shared" si="15"/>
        <v>1</v>
      </c>
      <c r="AG13" s="192"/>
      <c r="AH13" s="51">
        <f>COUNTIF($BG$5:$BG$727, "TRUE")</f>
        <v>0</v>
      </c>
      <c r="AI13" s="51" t="b">
        <f t="shared" si="16"/>
        <v>0</v>
      </c>
      <c r="AJ13" s="51" t="b">
        <f t="shared" si="17"/>
        <v>0</v>
      </c>
      <c r="AK13" s="51" t="b">
        <f t="shared" si="18"/>
        <v>0</v>
      </c>
      <c r="AL13" s="51" t="b">
        <f t="shared" si="19"/>
        <v>0</v>
      </c>
      <c r="AM13" s="51" t="b">
        <f t="shared" si="20"/>
        <v>0</v>
      </c>
      <c r="AN13" s="51"/>
      <c r="AO13" s="51" t="b">
        <f t="shared" si="21"/>
        <v>0</v>
      </c>
      <c r="AP13" s="51" t="str">
        <f t="shared" si="43"/>
        <v>Tier 1 MMS, Tier 1 Sub MMS</v>
      </c>
      <c r="AQ13" s="51" t="b">
        <f t="shared" si="22"/>
        <v>0</v>
      </c>
      <c r="AR13" s="51" t="b">
        <f t="shared" si="23"/>
        <v>0</v>
      </c>
      <c r="AS13" s="51" t="b">
        <f t="shared" si="24"/>
        <v>0</v>
      </c>
      <c r="AT13" s="51" t="b">
        <f t="shared" si="25"/>
        <v>0</v>
      </c>
      <c r="AU13" s="51" t="b">
        <f t="shared" si="26"/>
        <v>0</v>
      </c>
      <c r="AV13" s="51" t="str">
        <f t="shared" si="27"/>
        <v/>
      </c>
      <c r="AW13" s="51" t="str">
        <f t="shared" si="28"/>
        <v/>
      </c>
      <c r="AX13" s="51" t="str">
        <f t="shared" si="29"/>
        <v/>
      </c>
      <c r="AY13" s="51" t="str">
        <f t="shared" si="30"/>
        <v/>
      </c>
      <c r="AZ13" s="51" t="str">
        <f t="shared" si="31"/>
        <v/>
      </c>
      <c r="BA13" s="51" t="str">
        <f t="shared" si="32"/>
        <v/>
      </c>
      <c r="BB13" s="51" t="str">
        <f t="shared" si="33"/>
        <v/>
      </c>
      <c r="BC13" s="51" t="str">
        <f t="shared" si="34"/>
        <v/>
      </c>
      <c r="BD13" s="51" t="str">
        <f t="shared" si="35"/>
        <v/>
      </c>
      <c r="BE13" s="51" t="str">
        <f t="shared" si="36"/>
        <v/>
      </c>
      <c r="BF13" s="51" t="str">
        <f t="shared" si="37"/>
        <v/>
      </c>
      <c r="BG13" s="51" t="str">
        <f t="shared" si="38"/>
        <v/>
      </c>
      <c r="BH13" s="51" t="b">
        <f t="shared" si="39"/>
        <v>0</v>
      </c>
      <c r="BI13" s="51" t="str">
        <f t="shared" si="40"/>
        <v/>
      </c>
      <c r="BJ13" s="51" t="str">
        <f t="shared" si="41"/>
        <v/>
      </c>
      <c r="BK13" s="51" t="b">
        <f t="shared" si="42"/>
        <v>0</v>
      </c>
      <c r="BL13" s="192"/>
      <c r="BM13" s="51" t="s">
        <v>1482</v>
      </c>
      <c r="BN13" s="51" t="str">
        <f>IF(AND(BI5:BI727), TRUE, "N/A")</f>
        <v>N/A</v>
      </c>
    </row>
    <row r="14" spans="1:71" ht="13.5" thickBot="1" x14ac:dyDescent="0.25">
      <c r="A14" s="185" t="s">
        <v>706</v>
      </c>
      <c r="B14" s="193" t="s">
        <v>694</v>
      </c>
      <c r="C14" s="193" t="s">
        <v>694</v>
      </c>
      <c r="D14" s="194" t="s">
        <v>695</v>
      </c>
      <c r="E14" s="193" t="s">
        <v>694</v>
      </c>
      <c r="F14" s="160" t="s">
        <v>20</v>
      </c>
      <c r="G14" s="161"/>
      <c r="H14" s="186" t="str">
        <f t="shared" si="0"/>
        <v>Used?</v>
      </c>
      <c r="I14" s="186" t="b">
        <f t="shared" si="1"/>
        <v>0</v>
      </c>
      <c r="J14" s="186" t="str">
        <f t="shared" si="2"/>
        <v>Used?</v>
      </c>
      <c r="K14" s="186" t="b">
        <f t="shared" si="3"/>
        <v>0</v>
      </c>
      <c r="L14" s="186" t="str">
        <f t="shared" si="4"/>
        <v>N/A</v>
      </c>
      <c r="M14" s="186" t="b">
        <f t="shared" si="5"/>
        <v>1</v>
      </c>
      <c r="N14" s="186" t="str">
        <f t="shared" si="6"/>
        <v>Used?</v>
      </c>
      <c r="O14" s="186" t="b">
        <f t="shared" si="7"/>
        <v>0</v>
      </c>
      <c r="P14" s="26" t="s">
        <v>696</v>
      </c>
      <c r="Q14" s="160" t="s">
        <v>20</v>
      </c>
      <c r="R14" s="160" t="s">
        <v>20</v>
      </c>
      <c r="S14" s="26" t="s">
        <v>697</v>
      </c>
      <c r="T14" s="165" t="str">
        <f t="shared" si="8"/>
        <v>Not Used</v>
      </c>
      <c r="U14" s="162"/>
      <c r="V14" s="55"/>
      <c r="W14" s="51" t="b">
        <f t="shared" si="9"/>
        <v>1</v>
      </c>
      <c r="X14" s="51" t="str">
        <f t="shared" si="10"/>
        <v>Not Used</v>
      </c>
      <c r="Y14" s="51" t="str">
        <f t="shared" si="11"/>
        <v>Not Used</v>
      </c>
      <c r="Z14" s="51" t="str">
        <f t="shared" si="12"/>
        <v>Not Used</v>
      </c>
      <c r="AA14" s="51" t="str">
        <f t="shared" si="12"/>
        <v>Not Used</v>
      </c>
      <c r="AB14" s="51" t="str">
        <f t="shared" si="13"/>
        <v>Not Used</v>
      </c>
      <c r="AC14" s="51" t="b">
        <f t="shared" si="14"/>
        <v>1</v>
      </c>
      <c r="AD14" s="51">
        <f>COUNTIF($X$5:$X$14, "Not Used")</f>
        <v>10</v>
      </c>
      <c r="AE14" s="51">
        <f>COUNTIF($X$5:$X$14, "TRUE")</f>
        <v>0</v>
      </c>
      <c r="AF14" s="51" t="b">
        <f t="shared" si="15"/>
        <v>1</v>
      </c>
      <c r="AG14" s="192"/>
      <c r="AH14" s="51" t="s">
        <v>1445</v>
      </c>
      <c r="AI14" s="51" t="b">
        <f t="shared" si="16"/>
        <v>0</v>
      </c>
      <c r="AJ14" s="51" t="b">
        <f t="shared" si="17"/>
        <v>0</v>
      </c>
      <c r="AK14" s="51" t="b">
        <f t="shared" si="18"/>
        <v>0</v>
      </c>
      <c r="AL14" s="51" t="b">
        <f t="shared" si="19"/>
        <v>0</v>
      </c>
      <c r="AM14" s="51" t="b">
        <f t="shared" si="20"/>
        <v>0</v>
      </c>
      <c r="AN14" s="51"/>
      <c r="AO14" s="51" t="b">
        <f t="shared" si="21"/>
        <v>0</v>
      </c>
      <c r="AP14" s="51" t="str">
        <f t="shared" si="43"/>
        <v>Tier 1 MMS, Tier 1 Sub MMS</v>
      </c>
      <c r="AQ14" s="51" t="b">
        <f t="shared" si="22"/>
        <v>0</v>
      </c>
      <c r="AR14" s="51" t="b">
        <f t="shared" si="23"/>
        <v>0</v>
      </c>
      <c r="AS14" s="51" t="b">
        <f t="shared" si="24"/>
        <v>0</v>
      </c>
      <c r="AT14" s="51" t="b">
        <f t="shared" si="25"/>
        <v>0</v>
      </c>
      <c r="AU14" s="51" t="b">
        <f t="shared" si="26"/>
        <v>0</v>
      </c>
      <c r="AV14" s="51" t="str">
        <f t="shared" si="27"/>
        <v/>
      </c>
      <c r="AW14" s="51" t="str">
        <f t="shared" si="28"/>
        <v/>
      </c>
      <c r="AX14" s="51" t="str">
        <f t="shared" si="29"/>
        <v/>
      </c>
      <c r="AY14" s="51" t="str">
        <f t="shared" si="30"/>
        <v/>
      </c>
      <c r="AZ14" s="51" t="str">
        <f t="shared" si="31"/>
        <v/>
      </c>
      <c r="BA14" s="51" t="str">
        <f t="shared" si="32"/>
        <v/>
      </c>
      <c r="BB14" s="51" t="str">
        <f t="shared" si="33"/>
        <v/>
      </c>
      <c r="BC14" s="51" t="str">
        <f t="shared" si="34"/>
        <v/>
      </c>
      <c r="BD14" s="51" t="str">
        <f t="shared" si="35"/>
        <v/>
      </c>
      <c r="BE14" s="51" t="str">
        <f t="shared" si="36"/>
        <v/>
      </c>
      <c r="BF14" s="51" t="str">
        <f t="shared" si="37"/>
        <v/>
      </c>
      <c r="BG14" s="51" t="str">
        <f t="shared" si="38"/>
        <v/>
      </c>
      <c r="BH14" s="51" t="b">
        <f t="shared" si="39"/>
        <v>0</v>
      </c>
      <c r="BI14" s="51" t="str">
        <f t="shared" si="40"/>
        <v/>
      </c>
      <c r="BJ14" s="51" t="str">
        <f t="shared" si="41"/>
        <v/>
      </c>
      <c r="BK14" s="51" t="b">
        <f t="shared" si="42"/>
        <v>0</v>
      </c>
      <c r="BL14" s="192"/>
      <c r="BM14" s="51" t="s">
        <v>1483</v>
      </c>
      <c r="BN14" s="51" t="b">
        <f>IF(AND(BI5:BI727), "N/A", IF(AND(BJ5:BJ727), TRUE))</f>
        <v>0</v>
      </c>
    </row>
    <row r="15" spans="1:71" ht="13.5" thickBot="1" x14ac:dyDescent="0.25">
      <c r="A15" s="185" t="s">
        <v>707</v>
      </c>
      <c r="B15" s="193" t="s">
        <v>694</v>
      </c>
      <c r="C15" s="193" t="s">
        <v>694</v>
      </c>
      <c r="D15" s="194" t="s">
        <v>695</v>
      </c>
      <c r="E15" s="193" t="s">
        <v>694</v>
      </c>
      <c r="F15" s="160" t="s">
        <v>20</v>
      </c>
      <c r="G15" s="161"/>
      <c r="H15" s="186" t="str">
        <f t="shared" si="0"/>
        <v>Used?</v>
      </c>
      <c r="I15" s="186" t="b">
        <f t="shared" si="1"/>
        <v>0</v>
      </c>
      <c r="J15" s="186" t="str">
        <f t="shared" si="2"/>
        <v>Used?</v>
      </c>
      <c r="K15" s="186" t="b">
        <f t="shared" si="3"/>
        <v>0</v>
      </c>
      <c r="L15" s="186" t="str">
        <f t="shared" si="4"/>
        <v>N/A</v>
      </c>
      <c r="M15" s="186" t="b">
        <f t="shared" si="5"/>
        <v>1</v>
      </c>
      <c r="N15" s="186" t="str">
        <f t="shared" si="6"/>
        <v>Used?</v>
      </c>
      <c r="O15" s="186" t="b">
        <f t="shared" si="7"/>
        <v>0</v>
      </c>
      <c r="P15" s="26" t="s">
        <v>696</v>
      </c>
      <c r="Q15" s="160" t="s">
        <v>20</v>
      </c>
      <c r="R15" s="160" t="s">
        <v>20</v>
      </c>
      <c r="S15" s="26" t="s">
        <v>697</v>
      </c>
      <c r="T15" s="165" t="str">
        <f t="shared" si="8"/>
        <v>Not Used</v>
      </c>
      <c r="U15" s="162"/>
      <c r="V15" s="55"/>
      <c r="W15" s="51" t="b">
        <f t="shared" si="9"/>
        <v>1</v>
      </c>
      <c r="X15" s="51" t="str">
        <f t="shared" si="10"/>
        <v>Not Used</v>
      </c>
      <c r="Y15" s="51" t="str">
        <f t="shared" si="11"/>
        <v>Not Used</v>
      </c>
      <c r="Z15" s="51" t="str">
        <f t="shared" si="12"/>
        <v>Not Used</v>
      </c>
      <c r="AA15" s="51" t="str">
        <f t="shared" si="12"/>
        <v>Not Used</v>
      </c>
      <c r="AB15" s="51" t="str">
        <f t="shared" si="13"/>
        <v>Not Used</v>
      </c>
      <c r="AC15" s="51" t="b">
        <f t="shared" si="14"/>
        <v>1</v>
      </c>
      <c r="AD15" s="51">
        <f>COUNTIF($X$5:$X$15, "Not Used")</f>
        <v>11</v>
      </c>
      <c r="AE15" s="51">
        <f>COUNTIF($X$5:$X$15, "TRUE")</f>
        <v>0</v>
      </c>
      <c r="AF15" s="51" t="b">
        <f t="shared" si="15"/>
        <v>1</v>
      </c>
      <c r="AG15" s="192"/>
      <c r="AH15" s="51">
        <f>COUNTIF($AZ$5:$AZ$727, "TRUE")</f>
        <v>0</v>
      </c>
      <c r="AI15" s="51" t="b">
        <f t="shared" si="16"/>
        <v>0</v>
      </c>
      <c r="AJ15" s="51" t="b">
        <f t="shared" si="17"/>
        <v>0</v>
      </c>
      <c r="AK15" s="51" t="b">
        <f t="shared" si="18"/>
        <v>0</v>
      </c>
      <c r="AL15" s="51" t="b">
        <f t="shared" si="19"/>
        <v>0</v>
      </c>
      <c r="AM15" s="51" t="b">
        <f t="shared" si="20"/>
        <v>0</v>
      </c>
      <c r="AN15" s="51"/>
      <c r="AO15" s="51" t="b">
        <f t="shared" si="21"/>
        <v>0</v>
      </c>
      <c r="AP15" s="51" t="str">
        <f t="shared" si="43"/>
        <v>Tier 1 MMS, Tier 1 Sub MMS</v>
      </c>
      <c r="AQ15" s="51" t="b">
        <f t="shared" si="22"/>
        <v>0</v>
      </c>
      <c r="AR15" s="51" t="b">
        <f t="shared" si="23"/>
        <v>0</v>
      </c>
      <c r="AS15" s="51" t="b">
        <f t="shared" si="24"/>
        <v>0</v>
      </c>
      <c r="AT15" s="51" t="b">
        <f t="shared" si="25"/>
        <v>0</v>
      </c>
      <c r="AU15" s="51" t="b">
        <f t="shared" si="26"/>
        <v>0</v>
      </c>
      <c r="AV15" s="51" t="str">
        <f t="shared" si="27"/>
        <v/>
      </c>
      <c r="AW15" s="51" t="str">
        <f t="shared" si="28"/>
        <v/>
      </c>
      <c r="AX15" s="51" t="str">
        <f t="shared" si="29"/>
        <v/>
      </c>
      <c r="AY15" s="51" t="str">
        <f t="shared" si="30"/>
        <v/>
      </c>
      <c r="AZ15" s="51" t="str">
        <f t="shared" si="31"/>
        <v/>
      </c>
      <c r="BA15" s="51" t="str">
        <f t="shared" si="32"/>
        <v/>
      </c>
      <c r="BB15" s="51" t="str">
        <f t="shared" si="33"/>
        <v/>
      </c>
      <c r="BC15" s="51" t="str">
        <f t="shared" si="34"/>
        <v/>
      </c>
      <c r="BD15" s="51" t="str">
        <f t="shared" si="35"/>
        <v/>
      </c>
      <c r="BE15" s="51" t="str">
        <f t="shared" si="36"/>
        <v/>
      </c>
      <c r="BF15" s="51" t="str">
        <f t="shared" si="37"/>
        <v/>
      </c>
      <c r="BG15" s="51" t="str">
        <f t="shared" si="38"/>
        <v/>
      </c>
      <c r="BH15" s="51" t="b">
        <f t="shared" si="39"/>
        <v>0</v>
      </c>
      <c r="BI15" s="51" t="str">
        <f t="shared" si="40"/>
        <v/>
      </c>
      <c r="BJ15" s="51" t="str">
        <f t="shared" si="41"/>
        <v/>
      </c>
      <c r="BK15" s="51" t="b">
        <f t="shared" si="42"/>
        <v>0</v>
      </c>
      <c r="BL15" s="192"/>
      <c r="BM15" s="51" t="s">
        <v>1484</v>
      </c>
      <c r="BN15" s="51" t="b">
        <f>IF(AND(BI5:BI727), "N/A", IF(AND(BJ5:BJ727), TRUE))</f>
        <v>0</v>
      </c>
    </row>
    <row r="16" spans="1:71" ht="13.5" thickBot="1" x14ac:dyDescent="0.25">
      <c r="A16" s="185" t="s">
        <v>708</v>
      </c>
      <c r="B16" s="193" t="s">
        <v>694</v>
      </c>
      <c r="C16" s="193" t="s">
        <v>694</v>
      </c>
      <c r="D16" s="194" t="s">
        <v>695</v>
      </c>
      <c r="E16" s="193" t="s">
        <v>694</v>
      </c>
      <c r="F16" s="160" t="s">
        <v>20</v>
      </c>
      <c r="G16" s="161"/>
      <c r="H16" s="186" t="str">
        <f t="shared" si="0"/>
        <v>Used?</v>
      </c>
      <c r="I16" s="186" t="b">
        <f t="shared" si="1"/>
        <v>0</v>
      </c>
      <c r="J16" s="186" t="str">
        <f t="shared" si="2"/>
        <v>Used?</v>
      </c>
      <c r="K16" s="186" t="b">
        <f t="shared" si="3"/>
        <v>0</v>
      </c>
      <c r="L16" s="186" t="str">
        <f t="shared" si="4"/>
        <v>N/A</v>
      </c>
      <c r="M16" s="186" t="b">
        <f t="shared" si="5"/>
        <v>1</v>
      </c>
      <c r="N16" s="186" t="str">
        <f t="shared" si="6"/>
        <v>Used?</v>
      </c>
      <c r="O16" s="186" t="b">
        <f t="shared" si="7"/>
        <v>0</v>
      </c>
      <c r="P16" s="26" t="s">
        <v>696</v>
      </c>
      <c r="Q16" s="160" t="s">
        <v>20</v>
      </c>
      <c r="R16" s="160" t="s">
        <v>20</v>
      </c>
      <c r="S16" s="26" t="s">
        <v>697</v>
      </c>
      <c r="T16" s="165" t="str">
        <f t="shared" si="8"/>
        <v>Not Used</v>
      </c>
      <c r="U16" s="162"/>
      <c r="V16" s="55"/>
      <c r="W16" s="51" t="b">
        <f t="shared" si="9"/>
        <v>1</v>
      </c>
      <c r="X16" s="51" t="str">
        <f t="shared" si="10"/>
        <v>Not Used</v>
      </c>
      <c r="Y16" s="51" t="str">
        <f t="shared" si="11"/>
        <v>Not Used</v>
      </c>
      <c r="Z16" s="51" t="str">
        <f t="shared" si="12"/>
        <v>Not Used</v>
      </c>
      <c r="AA16" s="51" t="str">
        <f t="shared" si="12"/>
        <v>Not Used</v>
      </c>
      <c r="AB16" s="51" t="str">
        <f t="shared" si="13"/>
        <v>Not Used</v>
      </c>
      <c r="AC16" s="51" t="b">
        <f t="shared" si="14"/>
        <v>1</v>
      </c>
      <c r="AD16" s="51">
        <f>COUNTIF($X$5:$X$16, "Not Used")</f>
        <v>12</v>
      </c>
      <c r="AE16" s="51">
        <f>COUNTIF($X$5:$X$16, "TRUE")</f>
        <v>0</v>
      </c>
      <c r="AF16" s="51" t="b">
        <f t="shared" si="15"/>
        <v>1</v>
      </c>
      <c r="AG16" s="192"/>
      <c r="AH16" s="51" t="s">
        <v>1446</v>
      </c>
      <c r="AI16" s="51" t="b">
        <f t="shared" si="16"/>
        <v>0</v>
      </c>
      <c r="AJ16" s="51" t="b">
        <f t="shared" si="17"/>
        <v>0</v>
      </c>
      <c r="AK16" s="51" t="b">
        <f t="shared" si="18"/>
        <v>0</v>
      </c>
      <c r="AL16" s="51" t="b">
        <f t="shared" si="19"/>
        <v>0</v>
      </c>
      <c r="AM16" s="51" t="b">
        <f t="shared" si="20"/>
        <v>0</v>
      </c>
      <c r="AN16" s="51"/>
      <c r="AO16" s="51" t="b">
        <f t="shared" si="21"/>
        <v>0</v>
      </c>
      <c r="AP16" s="51" t="str">
        <f t="shared" si="43"/>
        <v>Tier 1 MMS, Tier 1 Sub MMS</v>
      </c>
      <c r="AQ16" s="51" t="b">
        <f t="shared" si="22"/>
        <v>0</v>
      </c>
      <c r="AR16" s="51" t="b">
        <f t="shared" si="23"/>
        <v>0</v>
      </c>
      <c r="AS16" s="51" t="b">
        <f t="shared" si="24"/>
        <v>0</v>
      </c>
      <c r="AT16" s="51" t="b">
        <f t="shared" si="25"/>
        <v>0</v>
      </c>
      <c r="AU16" s="51" t="b">
        <f t="shared" si="26"/>
        <v>0</v>
      </c>
      <c r="AV16" s="51" t="str">
        <f t="shared" si="27"/>
        <v/>
      </c>
      <c r="AW16" s="51" t="str">
        <f t="shared" si="28"/>
        <v/>
      </c>
      <c r="AX16" s="51" t="str">
        <f t="shared" si="29"/>
        <v/>
      </c>
      <c r="AY16" s="51" t="str">
        <f t="shared" si="30"/>
        <v/>
      </c>
      <c r="AZ16" s="51" t="str">
        <f t="shared" si="31"/>
        <v/>
      </c>
      <c r="BA16" s="51" t="str">
        <f t="shared" si="32"/>
        <v/>
      </c>
      <c r="BB16" s="51" t="str">
        <f t="shared" si="33"/>
        <v/>
      </c>
      <c r="BC16" s="51" t="str">
        <f t="shared" si="34"/>
        <v/>
      </c>
      <c r="BD16" s="51" t="str">
        <f t="shared" si="35"/>
        <v/>
      </c>
      <c r="BE16" s="51" t="str">
        <f t="shared" si="36"/>
        <v/>
      </c>
      <c r="BF16" s="51" t="str">
        <f t="shared" si="37"/>
        <v/>
      </c>
      <c r="BG16" s="51" t="str">
        <f t="shared" si="38"/>
        <v/>
      </c>
      <c r="BH16" s="51" t="b">
        <f t="shared" si="39"/>
        <v>0</v>
      </c>
      <c r="BI16" s="51" t="str">
        <f t="shared" si="40"/>
        <v/>
      </c>
      <c r="BJ16" s="51" t="str">
        <f t="shared" si="41"/>
        <v/>
      </c>
      <c r="BK16" s="51" t="b">
        <f t="shared" si="42"/>
        <v>0</v>
      </c>
      <c r="BL16" s="192"/>
      <c r="BM16" s="51" t="s">
        <v>1485</v>
      </c>
      <c r="BN16" s="51" t="b">
        <f>IF(AG6&gt;0, FALSE, IF(AH5=0,TRUE, IF(AH5&gt;0,"N/A")))</f>
        <v>0</v>
      </c>
    </row>
    <row r="17" spans="1:66" ht="13.5" thickBot="1" x14ac:dyDescent="0.25">
      <c r="A17" s="185" t="s">
        <v>709</v>
      </c>
      <c r="B17" s="193" t="s">
        <v>694</v>
      </c>
      <c r="C17" s="194" t="s">
        <v>695</v>
      </c>
      <c r="D17" s="194" t="s">
        <v>695</v>
      </c>
      <c r="E17" s="193" t="s">
        <v>694</v>
      </c>
      <c r="F17" s="160" t="s">
        <v>20</v>
      </c>
      <c r="G17" s="161"/>
      <c r="H17" s="186" t="str">
        <f t="shared" si="0"/>
        <v>Used?</v>
      </c>
      <c r="I17" s="186" t="b">
        <f t="shared" si="1"/>
        <v>0</v>
      </c>
      <c r="J17" s="186" t="str">
        <f t="shared" si="2"/>
        <v>N/A</v>
      </c>
      <c r="K17" s="186" t="b">
        <f t="shared" si="3"/>
        <v>1</v>
      </c>
      <c r="L17" s="186" t="str">
        <f t="shared" si="4"/>
        <v>N/A</v>
      </c>
      <c r="M17" s="186" t="b">
        <f t="shared" si="5"/>
        <v>1</v>
      </c>
      <c r="N17" s="186" t="str">
        <f t="shared" si="6"/>
        <v>Used?</v>
      </c>
      <c r="O17" s="186" t="b">
        <f t="shared" si="7"/>
        <v>0</v>
      </c>
      <c r="P17" s="26" t="s">
        <v>696</v>
      </c>
      <c r="Q17" s="160" t="s">
        <v>20</v>
      </c>
      <c r="R17" s="160" t="s">
        <v>20</v>
      </c>
      <c r="S17" s="26" t="s">
        <v>697</v>
      </c>
      <c r="T17" s="165" t="str">
        <f t="shared" si="8"/>
        <v>Not Used</v>
      </c>
      <c r="U17" s="162"/>
      <c r="V17" s="55"/>
      <c r="W17" s="51" t="b">
        <f t="shared" si="9"/>
        <v>1</v>
      </c>
      <c r="X17" s="51" t="str">
        <f t="shared" si="10"/>
        <v>Not Used</v>
      </c>
      <c r="Y17" s="51" t="str">
        <f t="shared" si="11"/>
        <v>Not Used</v>
      </c>
      <c r="Z17" s="51" t="str">
        <f t="shared" si="12"/>
        <v>Not Used</v>
      </c>
      <c r="AA17" s="51" t="str">
        <f t="shared" si="12"/>
        <v>Not Used</v>
      </c>
      <c r="AB17" s="51" t="str">
        <f t="shared" si="13"/>
        <v>Not Used</v>
      </c>
      <c r="AC17" s="51" t="b">
        <f t="shared" si="14"/>
        <v>1</v>
      </c>
      <c r="AD17" s="51">
        <f>COUNTIF($X$5:$X$17, "Not Used")</f>
        <v>13</v>
      </c>
      <c r="AE17" s="51">
        <f>COUNTIF($X$5:$X$17, "TRUE")</f>
        <v>0</v>
      </c>
      <c r="AF17" s="51" t="b">
        <f t="shared" si="15"/>
        <v>1</v>
      </c>
      <c r="AG17" s="192"/>
      <c r="AH17" s="51">
        <f>COUNTIF($BA$5:$BA$727, "TRUE")</f>
        <v>0</v>
      </c>
      <c r="AI17" s="51" t="b">
        <f t="shared" si="16"/>
        <v>0</v>
      </c>
      <c r="AJ17" s="51" t="b">
        <f t="shared" si="17"/>
        <v>0</v>
      </c>
      <c r="AK17" s="51" t="b">
        <f t="shared" si="18"/>
        <v>0</v>
      </c>
      <c r="AL17" s="51" t="b">
        <f t="shared" si="19"/>
        <v>0</v>
      </c>
      <c r="AM17" s="51" t="b">
        <f t="shared" si="20"/>
        <v>0</v>
      </c>
      <c r="AN17" s="51"/>
      <c r="AO17" s="51" t="b">
        <f t="shared" si="21"/>
        <v>0</v>
      </c>
      <c r="AP17" s="51" t="str">
        <f t="shared" si="43"/>
        <v>Tier 1 MMS</v>
      </c>
      <c r="AQ17" s="51" t="b">
        <f t="shared" si="22"/>
        <v>0</v>
      </c>
      <c r="AR17" s="51" t="b">
        <f t="shared" si="23"/>
        <v>0</v>
      </c>
      <c r="AS17" s="51" t="str">
        <f t="shared" si="24"/>
        <v/>
      </c>
      <c r="AT17" s="51" t="b">
        <f t="shared" si="25"/>
        <v>0</v>
      </c>
      <c r="AU17" s="51" t="b">
        <f t="shared" si="26"/>
        <v>0</v>
      </c>
      <c r="AV17" s="51" t="str">
        <f t="shared" si="27"/>
        <v/>
      </c>
      <c r="AW17" s="51" t="str">
        <f t="shared" si="28"/>
        <v/>
      </c>
      <c r="AX17" s="51" t="str">
        <f t="shared" si="29"/>
        <v/>
      </c>
      <c r="AY17" s="51" t="str">
        <f t="shared" si="30"/>
        <v/>
      </c>
      <c r="AZ17" s="51" t="str">
        <f t="shared" si="31"/>
        <v/>
      </c>
      <c r="BA17" s="51" t="str">
        <f t="shared" si="32"/>
        <v/>
      </c>
      <c r="BB17" s="51" t="str">
        <f t="shared" si="33"/>
        <v/>
      </c>
      <c r="BC17" s="51" t="str">
        <f t="shared" si="34"/>
        <v/>
      </c>
      <c r="BD17" s="51" t="str">
        <f t="shared" si="35"/>
        <v/>
      </c>
      <c r="BE17" s="51" t="str">
        <f t="shared" si="36"/>
        <v/>
      </c>
      <c r="BF17" s="51" t="str">
        <f t="shared" si="37"/>
        <v/>
      </c>
      <c r="BG17" s="51" t="str">
        <f t="shared" si="38"/>
        <v/>
      </c>
      <c r="BH17" s="51" t="b">
        <f t="shared" si="39"/>
        <v>0</v>
      </c>
      <c r="BI17" s="51" t="str">
        <f t="shared" si="40"/>
        <v/>
      </c>
      <c r="BJ17" s="51" t="str">
        <f t="shared" si="41"/>
        <v/>
      </c>
      <c r="BK17" s="51" t="b">
        <f t="shared" si="42"/>
        <v>0</v>
      </c>
      <c r="BL17" s="192"/>
      <c r="BM17" s="51" t="s">
        <v>1486</v>
      </c>
      <c r="BN17" s="51" t="b">
        <f>IF(AG6&gt;0, FALSE, IF(AH5&gt;0, IF(AN5=AH5, TRUE), "N/A"))</f>
        <v>0</v>
      </c>
    </row>
    <row r="18" spans="1:66" ht="13.5" thickBot="1" x14ac:dyDescent="0.25">
      <c r="A18" s="185" t="s">
        <v>710</v>
      </c>
      <c r="B18" s="193" t="s">
        <v>694</v>
      </c>
      <c r="C18" s="194" t="s">
        <v>695</v>
      </c>
      <c r="D18" s="194" t="s">
        <v>695</v>
      </c>
      <c r="E18" s="193" t="s">
        <v>694</v>
      </c>
      <c r="F18" s="160" t="s">
        <v>20</v>
      </c>
      <c r="G18" s="161"/>
      <c r="H18" s="186" t="str">
        <f t="shared" si="0"/>
        <v>Used?</v>
      </c>
      <c r="I18" s="186" t="b">
        <f t="shared" si="1"/>
        <v>0</v>
      </c>
      <c r="J18" s="186" t="str">
        <f t="shared" si="2"/>
        <v>N/A</v>
      </c>
      <c r="K18" s="186" t="b">
        <f t="shared" si="3"/>
        <v>1</v>
      </c>
      <c r="L18" s="186" t="str">
        <f t="shared" si="4"/>
        <v>N/A</v>
      </c>
      <c r="M18" s="186" t="b">
        <f t="shared" si="5"/>
        <v>1</v>
      </c>
      <c r="N18" s="186" t="str">
        <f t="shared" si="6"/>
        <v>Used?</v>
      </c>
      <c r="O18" s="186" t="b">
        <f t="shared" si="7"/>
        <v>0</v>
      </c>
      <c r="P18" s="26" t="s">
        <v>696</v>
      </c>
      <c r="Q18" s="160" t="s">
        <v>20</v>
      </c>
      <c r="R18" s="160" t="s">
        <v>20</v>
      </c>
      <c r="S18" s="26" t="s">
        <v>697</v>
      </c>
      <c r="T18" s="165" t="str">
        <f t="shared" si="8"/>
        <v>Not Used</v>
      </c>
      <c r="U18" s="162"/>
      <c r="V18" s="55"/>
      <c r="W18" s="51" t="b">
        <f t="shared" si="9"/>
        <v>1</v>
      </c>
      <c r="X18" s="51" t="str">
        <f t="shared" si="10"/>
        <v>Not Used</v>
      </c>
      <c r="Y18" s="51" t="str">
        <f t="shared" si="11"/>
        <v>Not Used</v>
      </c>
      <c r="Z18" s="51" t="str">
        <f t="shared" si="12"/>
        <v>Not Used</v>
      </c>
      <c r="AA18" s="51" t="str">
        <f t="shared" si="12"/>
        <v>Not Used</v>
      </c>
      <c r="AB18" s="51" t="str">
        <f t="shared" si="13"/>
        <v>Not Used</v>
      </c>
      <c r="AC18" s="51" t="b">
        <f t="shared" si="14"/>
        <v>1</v>
      </c>
      <c r="AD18" s="51">
        <f>COUNTIF($X$5:$X$18, "Not Used")</f>
        <v>14</v>
      </c>
      <c r="AE18" s="51">
        <f>COUNTIF($X$5:$X$18, "TRUE")</f>
        <v>0</v>
      </c>
      <c r="AF18" s="51" t="b">
        <f t="shared" si="15"/>
        <v>1</v>
      </c>
      <c r="AG18" s="192"/>
      <c r="AH18" s="51" t="s">
        <v>678</v>
      </c>
      <c r="AI18" s="51" t="b">
        <f t="shared" si="16"/>
        <v>0</v>
      </c>
      <c r="AJ18" s="51" t="b">
        <f t="shared" si="17"/>
        <v>0</v>
      </c>
      <c r="AK18" s="51" t="b">
        <f t="shared" si="18"/>
        <v>0</v>
      </c>
      <c r="AL18" s="51" t="b">
        <f t="shared" si="19"/>
        <v>0</v>
      </c>
      <c r="AM18" s="51" t="b">
        <f t="shared" si="20"/>
        <v>0</v>
      </c>
      <c r="AN18" s="51"/>
      <c r="AO18" s="51" t="b">
        <f t="shared" si="21"/>
        <v>0</v>
      </c>
      <c r="AP18" s="51" t="str">
        <f t="shared" si="43"/>
        <v>Tier 1 MMS</v>
      </c>
      <c r="AQ18" s="51" t="b">
        <f t="shared" si="22"/>
        <v>0</v>
      </c>
      <c r="AR18" s="51" t="b">
        <f t="shared" si="23"/>
        <v>0</v>
      </c>
      <c r="AS18" s="51" t="str">
        <f t="shared" si="24"/>
        <v/>
      </c>
      <c r="AT18" s="51" t="b">
        <f t="shared" si="25"/>
        <v>0</v>
      </c>
      <c r="AU18" s="51" t="b">
        <f t="shared" si="26"/>
        <v>0</v>
      </c>
      <c r="AV18" s="51" t="str">
        <f t="shared" si="27"/>
        <v/>
      </c>
      <c r="AW18" s="51" t="str">
        <f t="shared" si="28"/>
        <v/>
      </c>
      <c r="AX18" s="51" t="str">
        <f t="shared" si="29"/>
        <v/>
      </c>
      <c r="AY18" s="51" t="str">
        <f t="shared" si="30"/>
        <v/>
      </c>
      <c r="AZ18" s="51" t="str">
        <f t="shared" si="31"/>
        <v/>
      </c>
      <c r="BA18" s="51" t="str">
        <f t="shared" si="32"/>
        <v/>
      </c>
      <c r="BB18" s="51" t="str">
        <f t="shared" si="33"/>
        <v/>
      </c>
      <c r="BC18" s="51" t="str">
        <f t="shared" si="34"/>
        <v/>
      </c>
      <c r="BD18" s="51" t="str">
        <f t="shared" si="35"/>
        <v/>
      </c>
      <c r="BE18" s="51" t="str">
        <f t="shared" si="36"/>
        <v/>
      </c>
      <c r="BF18" s="51" t="str">
        <f t="shared" si="37"/>
        <v/>
      </c>
      <c r="BG18" s="51" t="str">
        <f t="shared" si="38"/>
        <v/>
      </c>
      <c r="BH18" s="51" t="b">
        <f t="shared" si="39"/>
        <v>0</v>
      </c>
      <c r="BI18" s="51" t="str">
        <f t="shared" si="40"/>
        <v/>
      </c>
      <c r="BJ18" s="51" t="str">
        <f t="shared" si="41"/>
        <v/>
      </c>
      <c r="BK18" s="51" t="b">
        <f t="shared" si="42"/>
        <v>0</v>
      </c>
      <c r="BL18" s="192"/>
      <c r="BM18" s="51" t="s">
        <v>1487</v>
      </c>
      <c r="BN18" s="51" t="b">
        <f>IF(AG6&gt;0, FALSE, IF(AH5&gt;0, IF(AN5=AH5, TRUE), "N/A"))</f>
        <v>0</v>
      </c>
    </row>
    <row r="19" spans="1:66" ht="13.5" thickBot="1" x14ac:dyDescent="0.25">
      <c r="A19" s="185" t="s">
        <v>711</v>
      </c>
      <c r="B19" s="193" t="s">
        <v>694</v>
      </c>
      <c r="C19" s="194" t="s">
        <v>695</v>
      </c>
      <c r="D19" s="194" t="s">
        <v>695</v>
      </c>
      <c r="E19" s="193" t="s">
        <v>694</v>
      </c>
      <c r="F19" s="160" t="s">
        <v>20</v>
      </c>
      <c r="G19" s="161"/>
      <c r="H19" s="186" t="str">
        <f t="shared" si="0"/>
        <v>Used?</v>
      </c>
      <c r="I19" s="186" t="b">
        <f t="shared" si="1"/>
        <v>0</v>
      </c>
      <c r="J19" s="186" t="str">
        <f t="shared" si="2"/>
        <v>N/A</v>
      </c>
      <c r="K19" s="186" t="b">
        <f t="shared" si="3"/>
        <v>1</v>
      </c>
      <c r="L19" s="186" t="str">
        <f t="shared" si="4"/>
        <v>N/A</v>
      </c>
      <c r="M19" s="186" t="b">
        <f t="shared" si="5"/>
        <v>1</v>
      </c>
      <c r="N19" s="186" t="str">
        <f t="shared" si="6"/>
        <v>Used?</v>
      </c>
      <c r="O19" s="186" t="b">
        <f t="shared" si="7"/>
        <v>0</v>
      </c>
      <c r="P19" s="26" t="s">
        <v>696</v>
      </c>
      <c r="Q19" s="160" t="s">
        <v>20</v>
      </c>
      <c r="R19" s="160" t="s">
        <v>20</v>
      </c>
      <c r="S19" s="26" t="s">
        <v>697</v>
      </c>
      <c r="T19" s="165" t="str">
        <f t="shared" si="8"/>
        <v>Not Used</v>
      </c>
      <c r="U19" s="162"/>
      <c r="V19" s="55"/>
      <c r="W19" s="51" t="b">
        <f t="shared" si="9"/>
        <v>1</v>
      </c>
      <c r="X19" s="51" t="str">
        <f t="shared" si="10"/>
        <v>Not Used</v>
      </c>
      <c r="Y19" s="51" t="str">
        <f t="shared" si="11"/>
        <v>Not Used</v>
      </c>
      <c r="Z19" s="51" t="str">
        <f t="shared" si="12"/>
        <v>Not Used</v>
      </c>
      <c r="AA19" s="51" t="str">
        <f t="shared" si="12"/>
        <v>Not Used</v>
      </c>
      <c r="AB19" s="51" t="str">
        <f t="shared" si="13"/>
        <v>Not Used</v>
      </c>
      <c r="AC19" s="51" t="b">
        <f t="shared" si="14"/>
        <v>1</v>
      </c>
      <c r="AD19" s="51">
        <f>COUNTIF($X$5:$X$19, "Not Used")</f>
        <v>15</v>
      </c>
      <c r="AE19" s="51">
        <f>COUNTIF($X$5:$X$19, "TRUE")</f>
        <v>0</v>
      </c>
      <c r="AF19" s="51" t="b">
        <f t="shared" si="15"/>
        <v>1</v>
      </c>
      <c r="AG19" s="192"/>
      <c r="AH19" s="51">
        <f>COUNTIF($BB$5:$BB$727, "TRUE")</f>
        <v>0</v>
      </c>
      <c r="AI19" s="51" t="b">
        <f t="shared" si="16"/>
        <v>0</v>
      </c>
      <c r="AJ19" s="51" t="b">
        <f t="shared" si="17"/>
        <v>0</v>
      </c>
      <c r="AK19" s="51" t="b">
        <f t="shared" si="18"/>
        <v>0</v>
      </c>
      <c r="AL19" s="51" t="b">
        <f t="shared" si="19"/>
        <v>0</v>
      </c>
      <c r="AM19" s="51" t="b">
        <f t="shared" si="20"/>
        <v>0</v>
      </c>
      <c r="AN19" s="51"/>
      <c r="AO19" s="51" t="b">
        <f t="shared" si="21"/>
        <v>0</v>
      </c>
      <c r="AP19" s="51" t="str">
        <f t="shared" si="43"/>
        <v>Tier 1 MMS</v>
      </c>
      <c r="AQ19" s="51" t="b">
        <f t="shared" si="22"/>
        <v>0</v>
      </c>
      <c r="AR19" s="51" t="b">
        <f t="shared" si="23"/>
        <v>0</v>
      </c>
      <c r="AS19" s="51" t="str">
        <f t="shared" si="24"/>
        <v/>
      </c>
      <c r="AT19" s="51" t="b">
        <f t="shared" si="25"/>
        <v>0</v>
      </c>
      <c r="AU19" s="51" t="b">
        <f t="shared" si="26"/>
        <v>0</v>
      </c>
      <c r="AV19" s="51" t="str">
        <f t="shared" si="27"/>
        <v/>
      </c>
      <c r="AW19" s="51" t="str">
        <f t="shared" si="28"/>
        <v/>
      </c>
      <c r="AX19" s="51" t="str">
        <f t="shared" si="29"/>
        <v/>
      </c>
      <c r="AY19" s="51" t="str">
        <f t="shared" si="30"/>
        <v/>
      </c>
      <c r="AZ19" s="51" t="str">
        <f t="shared" si="31"/>
        <v/>
      </c>
      <c r="BA19" s="51" t="str">
        <f t="shared" si="32"/>
        <v/>
      </c>
      <c r="BB19" s="51" t="str">
        <f t="shared" si="33"/>
        <v/>
      </c>
      <c r="BC19" s="51" t="str">
        <f t="shared" si="34"/>
        <v/>
      </c>
      <c r="BD19" s="51" t="str">
        <f t="shared" si="35"/>
        <v/>
      </c>
      <c r="BE19" s="51" t="str">
        <f t="shared" si="36"/>
        <v/>
      </c>
      <c r="BF19" s="51" t="str">
        <f t="shared" si="37"/>
        <v/>
      </c>
      <c r="BG19" s="51" t="str">
        <f t="shared" si="38"/>
        <v/>
      </c>
      <c r="BH19" s="51" t="b">
        <f t="shared" si="39"/>
        <v>0</v>
      </c>
      <c r="BI19" s="51" t="str">
        <f t="shared" si="40"/>
        <v/>
      </c>
      <c r="BJ19" s="51" t="str">
        <f t="shared" si="41"/>
        <v/>
      </c>
      <c r="BK19" s="51" t="b">
        <f t="shared" si="42"/>
        <v>0</v>
      </c>
      <c r="BL19" s="192"/>
      <c r="BM19" s="51" t="s">
        <v>1488</v>
      </c>
      <c r="BN19" s="51" t="b">
        <f>IF(AG6=0,IF(AND(AG8=AG10,AH5=AN5, AND(AR5:AR727)), TRUE,FALSE),FALSE)</f>
        <v>0</v>
      </c>
    </row>
    <row r="20" spans="1:66" ht="13.5" thickBot="1" x14ac:dyDescent="0.25">
      <c r="A20" s="185" t="s">
        <v>712</v>
      </c>
      <c r="B20" s="193" t="s">
        <v>694</v>
      </c>
      <c r="C20" s="194" t="s">
        <v>695</v>
      </c>
      <c r="D20" s="194" t="s">
        <v>695</v>
      </c>
      <c r="E20" s="193" t="s">
        <v>694</v>
      </c>
      <c r="F20" s="160" t="s">
        <v>20</v>
      </c>
      <c r="G20" s="161"/>
      <c r="H20" s="186" t="str">
        <f t="shared" si="0"/>
        <v>Used?</v>
      </c>
      <c r="I20" s="186" t="b">
        <f t="shared" si="1"/>
        <v>0</v>
      </c>
      <c r="J20" s="186" t="str">
        <f t="shared" si="2"/>
        <v>N/A</v>
      </c>
      <c r="K20" s="186" t="b">
        <f t="shared" si="3"/>
        <v>1</v>
      </c>
      <c r="L20" s="186" t="str">
        <f t="shared" si="4"/>
        <v>N/A</v>
      </c>
      <c r="M20" s="186" t="b">
        <f t="shared" si="5"/>
        <v>1</v>
      </c>
      <c r="N20" s="186" t="str">
        <f t="shared" si="6"/>
        <v>Used?</v>
      </c>
      <c r="O20" s="186" t="b">
        <f t="shared" si="7"/>
        <v>0</v>
      </c>
      <c r="P20" s="26" t="s">
        <v>696</v>
      </c>
      <c r="Q20" s="160" t="s">
        <v>20</v>
      </c>
      <c r="R20" s="160" t="s">
        <v>20</v>
      </c>
      <c r="S20" s="26" t="s">
        <v>697</v>
      </c>
      <c r="T20" s="165" t="str">
        <f t="shared" si="8"/>
        <v>Not Used</v>
      </c>
      <c r="U20" s="162"/>
      <c r="V20" s="55"/>
      <c r="W20" s="51" t="b">
        <f t="shared" si="9"/>
        <v>1</v>
      </c>
      <c r="X20" s="51" t="str">
        <f t="shared" si="10"/>
        <v>Not Used</v>
      </c>
      <c r="Y20" s="51" t="str">
        <f t="shared" si="11"/>
        <v>Not Used</v>
      </c>
      <c r="Z20" s="51" t="str">
        <f t="shared" si="12"/>
        <v>Not Used</v>
      </c>
      <c r="AA20" s="51" t="str">
        <f t="shared" si="12"/>
        <v>Not Used</v>
      </c>
      <c r="AB20" s="51" t="str">
        <f t="shared" si="13"/>
        <v>Not Used</v>
      </c>
      <c r="AC20" s="51" t="b">
        <f t="shared" si="14"/>
        <v>1</v>
      </c>
      <c r="AD20" s="51">
        <f>COUNTIF($X$5:$X$20, "Not Used")</f>
        <v>16</v>
      </c>
      <c r="AE20" s="51">
        <f>COUNTIF($X$5:$X$20, "TRUE")</f>
        <v>0</v>
      </c>
      <c r="AF20" s="51" t="b">
        <f t="shared" si="15"/>
        <v>1</v>
      </c>
      <c r="AG20" s="192"/>
      <c r="AH20" s="51" t="s">
        <v>679</v>
      </c>
      <c r="AI20" s="51" t="b">
        <f t="shared" si="16"/>
        <v>0</v>
      </c>
      <c r="AJ20" s="51" t="b">
        <f t="shared" si="17"/>
        <v>0</v>
      </c>
      <c r="AK20" s="51" t="b">
        <f t="shared" si="18"/>
        <v>0</v>
      </c>
      <c r="AL20" s="51" t="b">
        <f t="shared" si="19"/>
        <v>0</v>
      </c>
      <c r="AM20" s="51" t="b">
        <f t="shared" si="20"/>
        <v>0</v>
      </c>
      <c r="AN20" s="51"/>
      <c r="AO20" s="51" t="b">
        <f t="shared" si="21"/>
        <v>0</v>
      </c>
      <c r="AP20" s="51" t="str">
        <f t="shared" si="43"/>
        <v>Tier 1 MMS</v>
      </c>
      <c r="AQ20" s="51" t="b">
        <f t="shared" si="22"/>
        <v>0</v>
      </c>
      <c r="AR20" s="51" t="b">
        <f t="shared" si="23"/>
        <v>0</v>
      </c>
      <c r="AS20" s="51" t="str">
        <f t="shared" si="24"/>
        <v/>
      </c>
      <c r="AT20" s="51" t="b">
        <f t="shared" si="25"/>
        <v>0</v>
      </c>
      <c r="AU20" s="51" t="b">
        <f t="shared" si="26"/>
        <v>0</v>
      </c>
      <c r="AV20" s="51" t="str">
        <f t="shared" si="27"/>
        <v/>
      </c>
      <c r="AW20" s="51" t="str">
        <f t="shared" si="28"/>
        <v/>
      </c>
      <c r="AX20" s="51" t="str">
        <f t="shared" si="29"/>
        <v/>
      </c>
      <c r="AY20" s="51" t="str">
        <f t="shared" si="30"/>
        <v/>
      </c>
      <c r="AZ20" s="51" t="str">
        <f t="shared" si="31"/>
        <v/>
      </c>
      <c r="BA20" s="51" t="str">
        <f t="shared" si="32"/>
        <v/>
      </c>
      <c r="BB20" s="51" t="str">
        <f t="shared" si="33"/>
        <v/>
      </c>
      <c r="BC20" s="51" t="str">
        <f t="shared" si="34"/>
        <v/>
      </c>
      <c r="BD20" s="51" t="str">
        <f t="shared" si="35"/>
        <v/>
      </c>
      <c r="BE20" s="51" t="str">
        <f t="shared" si="36"/>
        <v/>
      </c>
      <c r="BF20" s="51" t="str">
        <f t="shared" si="37"/>
        <v/>
      </c>
      <c r="BG20" s="51" t="str">
        <f t="shared" si="38"/>
        <v/>
      </c>
      <c r="BH20" s="51" t="b">
        <f t="shared" si="39"/>
        <v>0</v>
      </c>
      <c r="BI20" s="51" t="str">
        <f t="shared" si="40"/>
        <v/>
      </c>
      <c r="BJ20" s="51" t="str">
        <f t="shared" si="41"/>
        <v/>
      </c>
      <c r="BK20" s="51" t="b">
        <f t="shared" si="42"/>
        <v>0</v>
      </c>
      <c r="BL20" s="192"/>
      <c r="BM20" s="51" t="s">
        <v>1489</v>
      </c>
      <c r="BN20" s="51" t="b">
        <f>AND(BH5:BH727)</f>
        <v>0</v>
      </c>
    </row>
    <row r="21" spans="1:66" ht="13.5" thickBot="1" x14ac:dyDescent="0.25">
      <c r="A21" s="185" t="s">
        <v>713</v>
      </c>
      <c r="B21" s="193" t="s">
        <v>694</v>
      </c>
      <c r="C21" s="193" t="s">
        <v>694</v>
      </c>
      <c r="D21" s="194" t="s">
        <v>695</v>
      </c>
      <c r="E21" s="193" t="s">
        <v>694</v>
      </c>
      <c r="F21" s="160" t="s">
        <v>20</v>
      </c>
      <c r="G21" s="161"/>
      <c r="H21" s="186" t="str">
        <f t="shared" si="0"/>
        <v>Used?</v>
      </c>
      <c r="I21" s="186" t="b">
        <f t="shared" si="1"/>
        <v>0</v>
      </c>
      <c r="J21" s="186" t="str">
        <f t="shared" si="2"/>
        <v>Used?</v>
      </c>
      <c r="K21" s="186" t="b">
        <f t="shared" si="3"/>
        <v>0</v>
      </c>
      <c r="L21" s="186" t="str">
        <f t="shared" si="4"/>
        <v>N/A</v>
      </c>
      <c r="M21" s="186" t="b">
        <f t="shared" si="5"/>
        <v>1</v>
      </c>
      <c r="N21" s="186" t="str">
        <f t="shared" si="6"/>
        <v>Used?</v>
      </c>
      <c r="O21" s="186" t="b">
        <f t="shared" si="7"/>
        <v>0</v>
      </c>
      <c r="P21" s="26" t="s">
        <v>696</v>
      </c>
      <c r="Q21" s="160" t="s">
        <v>20</v>
      </c>
      <c r="R21" s="160" t="s">
        <v>20</v>
      </c>
      <c r="S21" s="26" t="s">
        <v>697</v>
      </c>
      <c r="T21" s="165" t="str">
        <f t="shared" si="8"/>
        <v>Not Used</v>
      </c>
      <c r="U21" s="162"/>
      <c r="V21" s="55"/>
      <c r="W21" s="51" t="b">
        <f t="shared" si="9"/>
        <v>1</v>
      </c>
      <c r="X21" s="51" t="str">
        <f t="shared" si="10"/>
        <v>Not Used</v>
      </c>
      <c r="Y21" s="51" t="str">
        <f t="shared" si="11"/>
        <v>Not Used</v>
      </c>
      <c r="Z21" s="51" t="str">
        <f t="shared" si="12"/>
        <v>Not Used</v>
      </c>
      <c r="AA21" s="51" t="str">
        <f t="shared" si="12"/>
        <v>Not Used</v>
      </c>
      <c r="AB21" s="51" t="str">
        <f t="shared" si="13"/>
        <v>Not Used</v>
      </c>
      <c r="AC21" s="51" t="b">
        <f t="shared" si="14"/>
        <v>1</v>
      </c>
      <c r="AD21" s="51">
        <f>COUNTIF($X$5:$X$21, "Not Used")</f>
        <v>17</v>
      </c>
      <c r="AE21" s="51">
        <f>COUNTIF($X$5:$X$21, "TRUE")</f>
        <v>0</v>
      </c>
      <c r="AF21" s="51" t="b">
        <f t="shared" si="15"/>
        <v>1</v>
      </c>
      <c r="AG21" s="192"/>
      <c r="AH21" s="51">
        <f>COUNTIF($BC$5:$BC$727, "TRUE")</f>
        <v>0</v>
      </c>
      <c r="AI21" s="51" t="b">
        <f t="shared" si="16"/>
        <v>0</v>
      </c>
      <c r="AJ21" s="51" t="b">
        <f t="shared" si="17"/>
        <v>0</v>
      </c>
      <c r="AK21" s="51" t="b">
        <f t="shared" si="18"/>
        <v>0</v>
      </c>
      <c r="AL21" s="51" t="b">
        <f t="shared" si="19"/>
        <v>0</v>
      </c>
      <c r="AM21" s="51" t="b">
        <f t="shared" si="20"/>
        <v>0</v>
      </c>
      <c r="AN21" s="51"/>
      <c r="AO21" s="51" t="b">
        <f t="shared" si="21"/>
        <v>0</v>
      </c>
      <c r="AP21" s="51" t="str">
        <f t="shared" si="43"/>
        <v>Tier 1 MMS, Tier 1 Sub MMS</v>
      </c>
      <c r="AQ21" s="51" t="b">
        <f t="shared" si="22"/>
        <v>0</v>
      </c>
      <c r="AR21" s="51" t="b">
        <f t="shared" si="23"/>
        <v>0</v>
      </c>
      <c r="AS21" s="51" t="b">
        <f t="shared" si="24"/>
        <v>0</v>
      </c>
      <c r="AT21" s="51" t="b">
        <f t="shared" si="25"/>
        <v>0</v>
      </c>
      <c r="AU21" s="51" t="b">
        <f t="shared" si="26"/>
        <v>0</v>
      </c>
      <c r="AV21" s="51" t="str">
        <f t="shared" si="27"/>
        <v/>
      </c>
      <c r="AW21" s="51" t="str">
        <f t="shared" si="28"/>
        <v/>
      </c>
      <c r="AX21" s="51" t="str">
        <f t="shared" si="29"/>
        <v/>
      </c>
      <c r="AY21" s="51" t="str">
        <f t="shared" si="30"/>
        <v/>
      </c>
      <c r="AZ21" s="51" t="str">
        <f t="shared" si="31"/>
        <v/>
      </c>
      <c r="BA21" s="51" t="str">
        <f t="shared" si="32"/>
        <v/>
      </c>
      <c r="BB21" s="51" t="str">
        <f t="shared" si="33"/>
        <v/>
      </c>
      <c r="BC21" s="51" t="str">
        <f t="shared" si="34"/>
        <v/>
      </c>
      <c r="BD21" s="51" t="str">
        <f t="shared" si="35"/>
        <v/>
      </c>
      <c r="BE21" s="51" t="str">
        <f t="shared" si="36"/>
        <v/>
      </c>
      <c r="BF21" s="51" t="str">
        <f t="shared" si="37"/>
        <v/>
      </c>
      <c r="BG21" s="51" t="str">
        <f t="shared" si="38"/>
        <v/>
      </c>
      <c r="BH21" s="51" t="b">
        <f t="shared" si="39"/>
        <v>0</v>
      </c>
      <c r="BI21" s="51" t="str">
        <f t="shared" si="40"/>
        <v/>
      </c>
      <c r="BJ21" s="51" t="str">
        <f t="shared" si="41"/>
        <v/>
      </c>
      <c r="BK21" s="51" t="b">
        <f t="shared" si="42"/>
        <v>0</v>
      </c>
      <c r="BL21" s="192"/>
      <c r="BM21" s="192"/>
      <c r="BN21" s="192"/>
    </row>
    <row r="22" spans="1:66" ht="13.5" thickBot="1" x14ac:dyDescent="0.25">
      <c r="A22" s="185" t="s">
        <v>714</v>
      </c>
      <c r="B22" s="193" t="s">
        <v>694</v>
      </c>
      <c r="C22" s="193" t="s">
        <v>694</v>
      </c>
      <c r="D22" s="194" t="s">
        <v>695</v>
      </c>
      <c r="E22" s="193" t="s">
        <v>694</v>
      </c>
      <c r="F22" s="160" t="s">
        <v>20</v>
      </c>
      <c r="G22" s="161"/>
      <c r="H22" s="186" t="str">
        <f t="shared" si="0"/>
        <v>Used?</v>
      </c>
      <c r="I22" s="186" t="b">
        <f t="shared" si="1"/>
        <v>0</v>
      </c>
      <c r="J22" s="186" t="str">
        <f t="shared" si="2"/>
        <v>Used?</v>
      </c>
      <c r="K22" s="186" t="b">
        <f t="shared" si="3"/>
        <v>0</v>
      </c>
      <c r="L22" s="186" t="str">
        <f t="shared" si="4"/>
        <v>N/A</v>
      </c>
      <c r="M22" s="186" t="b">
        <f t="shared" si="5"/>
        <v>1</v>
      </c>
      <c r="N22" s="186" t="str">
        <f t="shared" si="6"/>
        <v>Used?</v>
      </c>
      <c r="O22" s="186" t="b">
        <f t="shared" si="7"/>
        <v>0</v>
      </c>
      <c r="P22" s="26" t="s">
        <v>696</v>
      </c>
      <c r="Q22" s="160" t="s">
        <v>20</v>
      </c>
      <c r="R22" s="160" t="s">
        <v>20</v>
      </c>
      <c r="S22" s="26" t="s">
        <v>697</v>
      </c>
      <c r="T22" s="165" t="str">
        <f t="shared" si="8"/>
        <v>Not Used</v>
      </c>
      <c r="U22" s="162"/>
      <c r="V22" s="55"/>
      <c r="W22" s="51" t="b">
        <f t="shared" si="9"/>
        <v>1</v>
      </c>
      <c r="X22" s="51" t="str">
        <f t="shared" si="10"/>
        <v>Not Used</v>
      </c>
      <c r="Y22" s="51" t="str">
        <f t="shared" si="11"/>
        <v>Not Used</v>
      </c>
      <c r="Z22" s="51" t="str">
        <f t="shared" si="12"/>
        <v>Not Used</v>
      </c>
      <c r="AA22" s="51" t="str">
        <f t="shared" si="12"/>
        <v>Not Used</v>
      </c>
      <c r="AB22" s="51" t="str">
        <f t="shared" si="13"/>
        <v>Not Used</v>
      </c>
      <c r="AC22" s="51" t="b">
        <f t="shared" si="14"/>
        <v>1</v>
      </c>
      <c r="AD22" s="51">
        <f>COUNTIF($X$5:$X$22, "Not Used")</f>
        <v>18</v>
      </c>
      <c r="AE22" s="51">
        <f>COUNTIF($X$5:$X$22, "TRUE")</f>
        <v>0</v>
      </c>
      <c r="AF22" s="51" t="b">
        <f t="shared" si="15"/>
        <v>1</v>
      </c>
      <c r="AG22" s="192"/>
      <c r="AH22" s="51" t="s">
        <v>680</v>
      </c>
      <c r="AI22" s="51" t="b">
        <f t="shared" si="16"/>
        <v>0</v>
      </c>
      <c r="AJ22" s="51" t="b">
        <f t="shared" si="17"/>
        <v>0</v>
      </c>
      <c r="AK22" s="51" t="b">
        <f t="shared" si="18"/>
        <v>0</v>
      </c>
      <c r="AL22" s="51" t="b">
        <f t="shared" si="19"/>
        <v>0</v>
      </c>
      <c r="AM22" s="51" t="b">
        <f t="shared" si="20"/>
        <v>0</v>
      </c>
      <c r="AN22" s="51"/>
      <c r="AO22" s="51" t="b">
        <f t="shared" si="21"/>
        <v>0</v>
      </c>
      <c r="AP22" s="51" t="str">
        <f t="shared" si="43"/>
        <v>Tier 1 MMS, Tier 1 Sub MMS</v>
      </c>
      <c r="AQ22" s="51" t="b">
        <f t="shared" si="22"/>
        <v>0</v>
      </c>
      <c r="AR22" s="51" t="b">
        <f t="shared" si="23"/>
        <v>0</v>
      </c>
      <c r="AS22" s="51" t="b">
        <f t="shared" si="24"/>
        <v>0</v>
      </c>
      <c r="AT22" s="51" t="b">
        <f t="shared" si="25"/>
        <v>0</v>
      </c>
      <c r="AU22" s="51" t="b">
        <f t="shared" si="26"/>
        <v>0</v>
      </c>
      <c r="AV22" s="51" t="str">
        <f t="shared" si="27"/>
        <v/>
      </c>
      <c r="AW22" s="51" t="str">
        <f t="shared" si="28"/>
        <v/>
      </c>
      <c r="AX22" s="51" t="str">
        <f t="shared" si="29"/>
        <v/>
      </c>
      <c r="AY22" s="51" t="str">
        <f t="shared" si="30"/>
        <v/>
      </c>
      <c r="AZ22" s="51" t="str">
        <f t="shared" si="31"/>
        <v/>
      </c>
      <c r="BA22" s="51" t="str">
        <f t="shared" si="32"/>
        <v/>
      </c>
      <c r="BB22" s="51" t="str">
        <f t="shared" si="33"/>
        <v/>
      </c>
      <c r="BC22" s="51" t="str">
        <f t="shared" si="34"/>
        <v/>
      </c>
      <c r="BD22" s="51" t="str">
        <f t="shared" si="35"/>
        <v/>
      </c>
      <c r="BE22" s="51" t="str">
        <f t="shared" si="36"/>
        <v/>
      </c>
      <c r="BF22" s="51" t="str">
        <f t="shared" si="37"/>
        <v/>
      </c>
      <c r="BG22" s="51" t="str">
        <f t="shared" si="38"/>
        <v/>
      </c>
      <c r="BH22" s="51" t="b">
        <f t="shared" si="39"/>
        <v>0</v>
      </c>
      <c r="BI22" s="51" t="str">
        <f t="shared" si="40"/>
        <v/>
      </c>
      <c r="BJ22" s="51" t="str">
        <f t="shared" si="41"/>
        <v/>
      </c>
      <c r="BK22" s="51" t="b">
        <f t="shared" si="42"/>
        <v>0</v>
      </c>
      <c r="BL22" s="192"/>
      <c r="BM22" s="192"/>
      <c r="BN22" s="192"/>
    </row>
    <row r="23" spans="1:66" ht="13.5" thickBot="1" x14ac:dyDescent="0.25">
      <c r="A23" s="185" t="s">
        <v>715</v>
      </c>
      <c r="B23" s="193" t="s">
        <v>694</v>
      </c>
      <c r="C23" s="193" t="s">
        <v>694</v>
      </c>
      <c r="D23" s="194" t="s">
        <v>695</v>
      </c>
      <c r="E23" s="193" t="s">
        <v>694</v>
      </c>
      <c r="F23" s="160" t="s">
        <v>20</v>
      </c>
      <c r="G23" s="161"/>
      <c r="H23" s="186" t="str">
        <f t="shared" si="0"/>
        <v>Used?</v>
      </c>
      <c r="I23" s="186" t="b">
        <f t="shared" si="1"/>
        <v>0</v>
      </c>
      <c r="J23" s="186" t="str">
        <f t="shared" si="2"/>
        <v>Used?</v>
      </c>
      <c r="K23" s="186" t="b">
        <f t="shared" si="3"/>
        <v>0</v>
      </c>
      <c r="L23" s="186" t="str">
        <f t="shared" si="4"/>
        <v>N/A</v>
      </c>
      <c r="M23" s="186" t="b">
        <f t="shared" si="5"/>
        <v>1</v>
      </c>
      <c r="N23" s="186" t="str">
        <f t="shared" si="6"/>
        <v>Used?</v>
      </c>
      <c r="O23" s="186" t="b">
        <f t="shared" si="7"/>
        <v>0</v>
      </c>
      <c r="P23" s="26" t="s">
        <v>696</v>
      </c>
      <c r="Q23" s="160" t="s">
        <v>20</v>
      </c>
      <c r="R23" s="160" t="s">
        <v>20</v>
      </c>
      <c r="S23" s="26" t="s">
        <v>697</v>
      </c>
      <c r="T23" s="165" t="str">
        <f t="shared" si="8"/>
        <v>Not Used</v>
      </c>
      <c r="U23" s="162"/>
      <c r="V23" s="55"/>
      <c r="W23" s="51" t="b">
        <f t="shared" si="9"/>
        <v>1</v>
      </c>
      <c r="X23" s="51" t="str">
        <f t="shared" si="10"/>
        <v>Not Used</v>
      </c>
      <c r="Y23" s="51" t="str">
        <f t="shared" si="11"/>
        <v>Not Used</v>
      </c>
      <c r="Z23" s="51" t="str">
        <f t="shared" si="12"/>
        <v>Not Used</v>
      </c>
      <c r="AA23" s="51" t="str">
        <f t="shared" si="12"/>
        <v>Not Used</v>
      </c>
      <c r="AB23" s="51" t="str">
        <f t="shared" si="13"/>
        <v>Not Used</v>
      </c>
      <c r="AC23" s="51" t="b">
        <f t="shared" si="14"/>
        <v>1</v>
      </c>
      <c r="AD23" s="51">
        <f>COUNTIF($X$5:$X$23, "Not Used")</f>
        <v>19</v>
      </c>
      <c r="AE23" s="51">
        <f>COUNTIF($X$5:$X$23, "TRUE")</f>
        <v>0</v>
      </c>
      <c r="AF23" s="51" t="b">
        <f t="shared" si="15"/>
        <v>1</v>
      </c>
      <c r="AG23" s="192"/>
      <c r="AH23" s="51">
        <f>COUNTIF($AV$5:$AV$727, "TRUE")</f>
        <v>0</v>
      </c>
      <c r="AI23" s="51" t="b">
        <f t="shared" si="16"/>
        <v>0</v>
      </c>
      <c r="AJ23" s="51" t="b">
        <f t="shared" si="17"/>
        <v>0</v>
      </c>
      <c r="AK23" s="51" t="b">
        <f t="shared" si="18"/>
        <v>0</v>
      </c>
      <c r="AL23" s="51" t="b">
        <f t="shared" si="19"/>
        <v>0</v>
      </c>
      <c r="AM23" s="51" t="b">
        <f t="shared" si="20"/>
        <v>0</v>
      </c>
      <c r="AN23" s="51"/>
      <c r="AO23" s="51" t="b">
        <f t="shared" si="21"/>
        <v>0</v>
      </c>
      <c r="AP23" s="51" t="str">
        <f t="shared" si="43"/>
        <v>Tier 1 MMS, Tier 1 Sub MMS</v>
      </c>
      <c r="AQ23" s="51" t="b">
        <f t="shared" si="22"/>
        <v>0</v>
      </c>
      <c r="AR23" s="51" t="b">
        <f t="shared" si="23"/>
        <v>0</v>
      </c>
      <c r="AS23" s="51" t="b">
        <f t="shared" si="24"/>
        <v>0</v>
      </c>
      <c r="AT23" s="51" t="b">
        <f t="shared" si="25"/>
        <v>0</v>
      </c>
      <c r="AU23" s="51" t="b">
        <f t="shared" si="26"/>
        <v>0</v>
      </c>
      <c r="AV23" s="51" t="str">
        <f t="shared" si="27"/>
        <v/>
      </c>
      <c r="AW23" s="51" t="str">
        <f t="shared" si="28"/>
        <v/>
      </c>
      <c r="AX23" s="51" t="str">
        <f t="shared" si="29"/>
        <v/>
      </c>
      <c r="AY23" s="51" t="str">
        <f t="shared" si="30"/>
        <v/>
      </c>
      <c r="AZ23" s="51" t="str">
        <f t="shared" si="31"/>
        <v/>
      </c>
      <c r="BA23" s="51" t="str">
        <f t="shared" si="32"/>
        <v/>
      </c>
      <c r="BB23" s="51" t="str">
        <f t="shared" si="33"/>
        <v/>
      </c>
      <c r="BC23" s="51" t="str">
        <f t="shared" si="34"/>
        <v/>
      </c>
      <c r="BD23" s="51" t="str">
        <f t="shared" si="35"/>
        <v/>
      </c>
      <c r="BE23" s="51" t="str">
        <f t="shared" si="36"/>
        <v/>
      </c>
      <c r="BF23" s="51" t="str">
        <f t="shared" si="37"/>
        <v/>
      </c>
      <c r="BG23" s="51" t="str">
        <f t="shared" si="38"/>
        <v/>
      </c>
      <c r="BH23" s="51" t="b">
        <f t="shared" si="39"/>
        <v>0</v>
      </c>
      <c r="BI23" s="51" t="str">
        <f t="shared" si="40"/>
        <v/>
      </c>
      <c r="BJ23" s="51" t="str">
        <f t="shared" si="41"/>
        <v/>
      </c>
      <c r="BK23" s="51" t="b">
        <f t="shared" si="42"/>
        <v>0</v>
      </c>
      <c r="BL23" s="192"/>
      <c r="BM23" s="192"/>
      <c r="BN23" s="192"/>
    </row>
    <row r="24" spans="1:66" ht="13.5" thickBot="1" x14ac:dyDescent="0.25">
      <c r="A24" s="185" t="s">
        <v>716</v>
      </c>
      <c r="B24" s="193" t="s">
        <v>694</v>
      </c>
      <c r="C24" s="193" t="s">
        <v>694</v>
      </c>
      <c r="D24" s="194" t="s">
        <v>695</v>
      </c>
      <c r="E24" s="193" t="s">
        <v>694</v>
      </c>
      <c r="F24" s="160" t="s">
        <v>20</v>
      </c>
      <c r="G24" s="161"/>
      <c r="H24" s="186" t="str">
        <f t="shared" si="0"/>
        <v>Used?</v>
      </c>
      <c r="I24" s="186" t="b">
        <f t="shared" si="1"/>
        <v>0</v>
      </c>
      <c r="J24" s="186" t="str">
        <f t="shared" si="2"/>
        <v>Used?</v>
      </c>
      <c r="K24" s="186" t="b">
        <f t="shared" si="3"/>
        <v>0</v>
      </c>
      <c r="L24" s="186" t="str">
        <f t="shared" si="4"/>
        <v>N/A</v>
      </c>
      <c r="M24" s="186" t="b">
        <f t="shared" si="5"/>
        <v>1</v>
      </c>
      <c r="N24" s="186" t="str">
        <f t="shared" si="6"/>
        <v>Used?</v>
      </c>
      <c r="O24" s="186" t="b">
        <f t="shared" si="7"/>
        <v>0</v>
      </c>
      <c r="P24" s="26" t="s">
        <v>696</v>
      </c>
      <c r="Q24" s="160" t="s">
        <v>20</v>
      </c>
      <c r="R24" s="160" t="s">
        <v>20</v>
      </c>
      <c r="S24" s="26" t="s">
        <v>697</v>
      </c>
      <c r="T24" s="165" t="str">
        <f t="shared" si="8"/>
        <v>Not Used</v>
      </c>
      <c r="U24" s="162"/>
      <c r="V24" s="55"/>
      <c r="W24" s="51" t="b">
        <f t="shared" si="9"/>
        <v>1</v>
      </c>
      <c r="X24" s="51" t="str">
        <f t="shared" si="10"/>
        <v>Not Used</v>
      </c>
      <c r="Y24" s="51" t="str">
        <f t="shared" si="11"/>
        <v>Not Used</v>
      </c>
      <c r="Z24" s="51" t="str">
        <f t="shared" si="12"/>
        <v>Not Used</v>
      </c>
      <c r="AA24" s="51" t="str">
        <f t="shared" si="12"/>
        <v>Not Used</v>
      </c>
      <c r="AB24" s="51" t="str">
        <f t="shared" si="13"/>
        <v>Not Used</v>
      </c>
      <c r="AC24" s="51" t="b">
        <f t="shared" si="14"/>
        <v>1</v>
      </c>
      <c r="AD24" s="51">
        <f>COUNTIF($X$5:$X$24, "Not Used")</f>
        <v>20</v>
      </c>
      <c r="AE24" s="51">
        <f>COUNTIF($X$5:$X$24, "TRUE")</f>
        <v>0</v>
      </c>
      <c r="AF24" s="51" t="b">
        <f t="shared" si="15"/>
        <v>1</v>
      </c>
      <c r="AG24" s="192"/>
      <c r="AH24" s="51" t="s">
        <v>1447</v>
      </c>
      <c r="AI24" s="51" t="b">
        <f t="shared" si="16"/>
        <v>0</v>
      </c>
      <c r="AJ24" s="51" t="b">
        <f t="shared" si="17"/>
        <v>0</v>
      </c>
      <c r="AK24" s="51" t="b">
        <f t="shared" si="18"/>
        <v>0</v>
      </c>
      <c r="AL24" s="51" t="b">
        <f t="shared" si="19"/>
        <v>0</v>
      </c>
      <c r="AM24" s="51" t="b">
        <f t="shared" si="20"/>
        <v>0</v>
      </c>
      <c r="AN24" s="51"/>
      <c r="AO24" s="51" t="b">
        <f t="shared" si="21"/>
        <v>0</v>
      </c>
      <c r="AP24" s="51" t="str">
        <f t="shared" si="43"/>
        <v>Tier 1 MMS, Tier 1 Sub MMS</v>
      </c>
      <c r="AQ24" s="51" t="b">
        <f t="shared" si="22"/>
        <v>0</v>
      </c>
      <c r="AR24" s="51" t="b">
        <f t="shared" si="23"/>
        <v>0</v>
      </c>
      <c r="AS24" s="51" t="b">
        <f t="shared" si="24"/>
        <v>0</v>
      </c>
      <c r="AT24" s="51" t="b">
        <f t="shared" si="25"/>
        <v>0</v>
      </c>
      <c r="AU24" s="51" t="b">
        <f t="shared" si="26"/>
        <v>0</v>
      </c>
      <c r="AV24" s="51" t="str">
        <f t="shared" si="27"/>
        <v/>
      </c>
      <c r="AW24" s="51" t="str">
        <f t="shared" si="28"/>
        <v/>
      </c>
      <c r="AX24" s="51" t="str">
        <f t="shared" si="29"/>
        <v/>
      </c>
      <c r="AY24" s="51" t="str">
        <f t="shared" si="30"/>
        <v/>
      </c>
      <c r="AZ24" s="51" t="str">
        <f t="shared" si="31"/>
        <v/>
      </c>
      <c r="BA24" s="51" t="str">
        <f t="shared" si="32"/>
        <v/>
      </c>
      <c r="BB24" s="51" t="str">
        <f t="shared" si="33"/>
        <v/>
      </c>
      <c r="BC24" s="51" t="str">
        <f t="shared" si="34"/>
        <v/>
      </c>
      <c r="BD24" s="51" t="str">
        <f t="shared" si="35"/>
        <v/>
      </c>
      <c r="BE24" s="51" t="str">
        <f t="shared" si="36"/>
        <v/>
      </c>
      <c r="BF24" s="51" t="str">
        <f t="shared" si="37"/>
        <v/>
      </c>
      <c r="BG24" s="51" t="str">
        <f t="shared" si="38"/>
        <v/>
      </c>
      <c r="BH24" s="51" t="b">
        <f t="shared" si="39"/>
        <v>0</v>
      </c>
      <c r="BI24" s="51" t="str">
        <f t="shared" si="40"/>
        <v/>
      </c>
      <c r="BJ24" s="51" t="str">
        <f t="shared" si="41"/>
        <v/>
      </c>
      <c r="BK24" s="51" t="b">
        <f t="shared" si="42"/>
        <v>0</v>
      </c>
      <c r="BL24" s="192"/>
      <c r="BM24" s="192"/>
      <c r="BN24" s="192"/>
    </row>
    <row r="25" spans="1:66" ht="13.5" thickBot="1" x14ac:dyDescent="0.25">
      <c r="A25" s="185" t="s">
        <v>717</v>
      </c>
      <c r="B25" s="193" t="s">
        <v>694</v>
      </c>
      <c r="C25" s="193" t="s">
        <v>694</v>
      </c>
      <c r="D25" s="194" t="s">
        <v>695</v>
      </c>
      <c r="E25" s="193" t="s">
        <v>694</v>
      </c>
      <c r="F25" s="160" t="s">
        <v>20</v>
      </c>
      <c r="G25" s="161"/>
      <c r="H25" s="186" t="str">
        <f t="shared" si="0"/>
        <v>Used?</v>
      </c>
      <c r="I25" s="186" t="b">
        <f t="shared" si="1"/>
        <v>0</v>
      </c>
      <c r="J25" s="186" t="str">
        <f t="shared" si="2"/>
        <v>Used?</v>
      </c>
      <c r="K25" s="186" t="b">
        <f t="shared" si="3"/>
        <v>0</v>
      </c>
      <c r="L25" s="186" t="str">
        <f t="shared" si="4"/>
        <v>N/A</v>
      </c>
      <c r="M25" s="186" t="b">
        <f t="shared" si="5"/>
        <v>1</v>
      </c>
      <c r="N25" s="186" t="str">
        <f t="shared" si="6"/>
        <v>Used?</v>
      </c>
      <c r="O25" s="186" t="b">
        <f t="shared" si="7"/>
        <v>0</v>
      </c>
      <c r="P25" s="26" t="s">
        <v>696</v>
      </c>
      <c r="Q25" s="160" t="s">
        <v>20</v>
      </c>
      <c r="R25" s="160" t="s">
        <v>20</v>
      </c>
      <c r="S25" s="26" t="s">
        <v>697</v>
      </c>
      <c r="T25" s="165" t="str">
        <f t="shared" si="8"/>
        <v>Not Used</v>
      </c>
      <c r="U25" s="162"/>
      <c r="V25" s="55"/>
      <c r="W25" s="51" t="b">
        <f t="shared" si="9"/>
        <v>1</v>
      </c>
      <c r="X25" s="51" t="str">
        <f t="shared" si="10"/>
        <v>Not Used</v>
      </c>
      <c r="Y25" s="51" t="str">
        <f t="shared" si="11"/>
        <v>Not Used</v>
      </c>
      <c r="Z25" s="51" t="str">
        <f t="shared" si="12"/>
        <v>Not Used</v>
      </c>
      <c r="AA25" s="51" t="str">
        <f t="shared" si="12"/>
        <v>Not Used</v>
      </c>
      <c r="AB25" s="51" t="str">
        <f t="shared" si="13"/>
        <v>Not Used</v>
      </c>
      <c r="AC25" s="51" t="b">
        <f t="shared" si="14"/>
        <v>1</v>
      </c>
      <c r="AD25" s="51">
        <f>COUNTIF($X$5:$X$25, "Not Used")</f>
        <v>21</v>
      </c>
      <c r="AE25" s="51">
        <f>COUNTIF($X$5:$X$25, "TRUE")</f>
        <v>0</v>
      </c>
      <c r="AF25" s="51" t="b">
        <f t="shared" si="15"/>
        <v>1</v>
      </c>
      <c r="AG25" s="192"/>
      <c r="AH25" s="51">
        <f>COUNTIF($AW$5:$AW$727, "TRUE")</f>
        <v>0</v>
      </c>
      <c r="AI25" s="51" t="b">
        <f t="shared" si="16"/>
        <v>0</v>
      </c>
      <c r="AJ25" s="51" t="b">
        <f t="shared" si="17"/>
        <v>0</v>
      </c>
      <c r="AK25" s="51" t="b">
        <f t="shared" si="18"/>
        <v>0</v>
      </c>
      <c r="AL25" s="51" t="b">
        <f t="shared" si="19"/>
        <v>0</v>
      </c>
      <c r="AM25" s="51" t="b">
        <f t="shared" si="20"/>
        <v>0</v>
      </c>
      <c r="AN25" s="51"/>
      <c r="AO25" s="51" t="b">
        <f t="shared" si="21"/>
        <v>0</v>
      </c>
      <c r="AP25" s="51" t="str">
        <f t="shared" si="43"/>
        <v>Tier 1 MMS, Tier 1 Sub MMS</v>
      </c>
      <c r="AQ25" s="51" t="b">
        <f t="shared" si="22"/>
        <v>0</v>
      </c>
      <c r="AR25" s="51" t="b">
        <f t="shared" si="23"/>
        <v>0</v>
      </c>
      <c r="AS25" s="51" t="b">
        <f t="shared" si="24"/>
        <v>0</v>
      </c>
      <c r="AT25" s="51" t="b">
        <f t="shared" si="25"/>
        <v>0</v>
      </c>
      <c r="AU25" s="51" t="b">
        <f t="shared" si="26"/>
        <v>0</v>
      </c>
      <c r="AV25" s="51" t="str">
        <f t="shared" si="27"/>
        <v/>
      </c>
      <c r="AW25" s="51" t="str">
        <f t="shared" si="28"/>
        <v/>
      </c>
      <c r="AX25" s="51" t="str">
        <f t="shared" si="29"/>
        <v/>
      </c>
      <c r="AY25" s="51" t="str">
        <f t="shared" si="30"/>
        <v/>
      </c>
      <c r="AZ25" s="51" t="str">
        <f t="shared" si="31"/>
        <v/>
      </c>
      <c r="BA25" s="51" t="str">
        <f t="shared" si="32"/>
        <v/>
      </c>
      <c r="BB25" s="51" t="str">
        <f t="shared" si="33"/>
        <v/>
      </c>
      <c r="BC25" s="51" t="str">
        <f t="shared" si="34"/>
        <v/>
      </c>
      <c r="BD25" s="51" t="str">
        <f t="shared" si="35"/>
        <v/>
      </c>
      <c r="BE25" s="51" t="str">
        <f t="shared" si="36"/>
        <v/>
      </c>
      <c r="BF25" s="51" t="str">
        <f t="shared" si="37"/>
        <v/>
      </c>
      <c r="BG25" s="51" t="str">
        <f t="shared" si="38"/>
        <v/>
      </c>
      <c r="BH25" s="51" t="b">
        <f t="shared" si="39"/>
        <v>0</v>
      </c>
      <c r="BI25" s="51" t="str">
        <f t="shared" si="40"/>
        <v/>
      </c>
      <c r="BJ25" s="51" t="str">
        <f t="shared" si="41"/>
        <v/>
      </c>
      <c r="BK25" s="51" t="b">
        <f t="shared" si="42"/>
        <v>0</v>
      </c>
      <c r="BL25" s="192"/>
      <c r="BM25" s="192"/>
      <c r="BN25" s="192"/>
    </row>
    <row r="26" spans="1:66" ht="13.5" thickBot="1" x14ac:dyDescent="0.25">
      <c r="A26" s="185" t="s">
        <v>718</v>
      </c>
      <c r="B26" s="193" t="s">
        <v>694</v>
      </c>
      <c r="C26" s="194" t="s">
        <v>695</v>
      </c>
      <c r="D26" s="194" t="s">
        <v>695</v>
      </c>
      <c r="E26" s="193" t="s">
        <v>694</v>
      </c>
      <c r="F26" s="160" t="s">
        <v>20</v>
      </c>
      <c r="G26" s="161"/>
      <c r="H26" s="186" t="str">
        <f t="shared" si="0"/>
        <v>Used?</v>
      </c>
      <c r="I26" s="186" t="b">
        <f t="shared" si="1"/>
        <v>0</v>
      </c>
      <c r="J26" s="186" t="str">
        <f t="shared" si="2"/>
        <v>N/A</v>
      </c>
      <c r="K26" s="186" t="b">
        <f t="shared" si="3"/>
        <v>1</v>
      </c>
      <c r="L26" s="186" t="str">
        <f t="shared" si="4"/>
        <v>N/A</v>
      </c>
      <c r="M26" s="186" t="b">
        <f t="shared" si="5"/>
        <v>1</v>
      </c>
      <c r="N26" s="186" t="str">
        <f t="shared" si="6"/>
        <v>Used?</v>
      </c>
      <c r="O26" s="186" t="b">
        <f t="shared" si="7"/>
        <v>0</v>
      </c>
      <c r="P26" s="26" t="s">
        <v>696</v>
      </c>
      <c r="Q26" s="160" t="s">
        <v>20</v>
      </c>
      <c r="R26" s="160" t="s">
        <v>20</v>
      </c>
      <c r="S26" s="26" t="s">
        <v>697</v>
      </c>
      <c r="T26" s="165" t="str">
        <f t="shared" si="8"/>
        <v>Not Used</v>
      </c>
      <c r="U26" s="162"/>
      <c r="V26" s="55"/>
      <c r="W26" s="51" t="b">
        <f t="shared" si="9"/>
        <v>1</v>
      </c>
      <c r="X26" s="51" t="str">
        <f t="shared" si="10"/>
        <v>Not Used</v>
      </c>
      <c r="Y26" s="51" t="str">
        <f t="shared" si="11"/>
        <v>Not Used</v>
      </c>
      <c r="Z26" s="51" t="str">
        <f t="shared" si="12"/>
        <v>Not Used</v>
      </c>
      <c r="AA26" s="51" t="str">
        <f t="shared" si="12"/>
        <v>Not Used</v>
      </c>
      <c r="AB26" s="51" t="str">
        <f t="shared" si="13"/>
        <v>Not Used</v>
      </c>
      <c r="AC26" s="51" t="b">
        <f t="shared" si="14"/>
        <v>1</v>
      </c>
      <c r="AD26" s="51">
        <f>COUNTIF($X$5:$X$26, "Not Used")</f>
        <v>22</v>
      </c>
      <c r="AE26" s="51">
        <f>COUNTIF($X$5:$X$26, "TRUE")</f>
        <v>0</v>
      </c>
      <c r="AF26" s="51" t="b">
        <f t="shared" si="15"/>
        <v>1</v>
      </c>
      <c r="AG26" s="192"/>
      <c r="AH26" s="51" t="s">
        <v>681</v>
      </c>
      <c r="AI26" s="51" t="b">
        <f t="shared" si="16"/>
        <v>0</v>
      </c>
      <c r="AJ26" s="51" t="b">
        <f t="shared" si="17"/>
        <v>0</v>
      </c>
      <c r="AK26" s="51" t="b">
        <f t="shared" si="18"/>
        <v>0</v>
      </c>
      <c r="AL26" s="51" t="b">
        <f t="shared" si="19"/>
        <v>0</v>
      </c>
      <c r="AM26" s="51" t="b">
        <f t="shared" si="20"/>
        <v>0</v>
      </c>
      <c r="AN26" s="51"/>
      <c r="AO26" s="51" t="b">
        <f t="shared" si="21"/>
        <v>0</v>
      </c>
      <c r="AP26" s="51" t="str">
        <f t="shared" si="43"/>
        <v>Tier 1 MMS</v>
      </c>
      <c r="AQ26" s="51" t="b">
        <f t="shared" si="22"/>
        <v>0</v>
      </c>
      <c r="AR26" s="51" t="b">
        <f t="shared" si="23"/>
        <v>0</v>
      </c>
      <c r="AS26" s="51" t="str">
        <f t="shared" si="24"/>
        <v/>
      </c>
      <c r="AT26" s="51" t="b">
        <f t="shared" si="25"/>
        <v>0</v>
      </c>
      <c r="AU26" s="51" t="b">
        <f t="shared" si="26"/>
        <v>0</v>
      </c>
      <c r="AV26" s="51" t="str">
        <f t="shared" si="27"/>
        <v/>
      </c>
      <c r="AW26" s="51" t="str">
        <f t="shared" si="28"/>
        <v/>
      </c>
      <c r="AX26" s="51" t="str">
        <f t="shared" si="29"/>
        <v/>
      </c>
      <c r="AY26" s="51" t="str">
        <f t="shared" si="30"/>
        <v/>
      </c>
      <c r="AZ26" s="51" t="str">
        <f t="shared" si="31"/>
        <v/>
      </c>
      <c r="BA26" s="51" t="str">
        <f t="shared" si="32"/>
        <v/>
      </c>
      <c r="BB26" s="51" t="str">
        <f t="shared" si="33"/>
        <v/>
      </c>
      <c r="BC26" s="51" t="str">
        <f t="shared" si="34"/>
        <v/>
      </c>
      <c r="BD26" s="51" t="str">
        <f t="shared" si="35"/>
        <v/>
      </c>
      <c r="BE26" s="51" t="str">
        <f t="shared" si="36"/>
        <v/>
      </c>
      <c r="BF26" s="51" t="str">
        <f t="shared" si="37"/>
        <v/>
      </c>
      <c r="BG26" s="51" t="str">
        <f t="shared" si="38"/>
        <v/>
      </c>
      <c r="BH26" s="51" t="b">
        <f t="shared" si="39"/>
        <v>0</v>
      </c>
      <c r="BI26" s="51" t="str">
        <f t="shared" si="40"/>
        <v/>
      </c>
      <c r="BJ26" s="51" t="str">
        <f t="shared" si="41"/>
        <v/>
      </c>
      <c r="BK26" s="51" t="b">
        <f t="shared" si="42"/>
        <v>0</v>
      </c>
      <c r="BL26" s="192"/>
      <c r="BM26" s="192"/>
      <c r="BN26" s="192"/>
    </row>
    <row r="27" spans="1:66" ht="13.5" thickBot="1" x14ac:dyDescent="0.25">
      <c r="A27" s="185" t="s">
        <v>719</v>
      </c>
      <c r="B27" s="193" t="s">
        <v>694</v>
      </c>
      <c r="C27" s="194" t="s">
        <v>695</v>
      </c>
      <c r="D27" s="194" t="s">
        <v>695</v>
      </c>
      <c r="E27" s="193" t="s">
        <v>694</v>
      </c>
      <c r="F27" s="160" t="s">
        <v>20</v>
      </c>
      <c r="G27" s="161"/>
      <c r="H27" s="186" t="str">
        <f t="shared" si="0"/>
        <v>Used?</v>
      </c>
      <c r="I27" s="186" t="b">
        <f t="shared" si="1"/>
        <v>0</v>
      </c>
      <c r="J27" s="186" t="str">
        <f t="shared" si="2"/>
        <v>N/A</v>
      </c>
      <c r="K27" s="186" t="b">
        <f t="shared" si="3"/>
        <v>1</v>
      </c>
      <c r="L27" s="186" t="str">
        <f t="shared" si="4"/>
        <v>N/A</v>
      </c>
      <c r="M27" s="186" t="b">
        <f t="shared" si="5"/>
        <v>1</v>
      </c>
      <c r="N27" s="186" t="str">
        <f t="shared" si="6"/>
        <v>Used?</v>
      </c>
      <c r="O27" s="186" t="b">
        <f t="shared" si="7"/>
        <v>0</v>
      </c>
      <c r="P27" s="26" t="s">
        <v>696</v>
      </c>
      <c r="Q27" s="160" t="s">
        <v>20</v>
      </c>
      <c r="R27" s="160" t="s">
        <v>20</v>
      </c>
      <c r="S27" s="26" t="s">
        <v>697</v>
      </c>
      <c r="T27" s="165" t="str">
        <f t="shared" si="8"/>
        <v>Not Used</v>
      </c>
      <c r="U27" s="162"/>
      <c r="V27" s="55"/>
      <c r="W27" s="51" t="b">
        <f t="shared" si="9"/>
        <v>1</v>
      </c>
      <c r="X27" s="51" t="str">
        <f t="shared" si="10"/>
        <v>Not Used</v>
      </c>
      <c r="Y27" s="51" t="str">
        <f t="shared" si="11"/>
        <v>Not Used</v>
      </c>
      <c r="Z27" s="51" t="str">
        <f t="shared" si="12"/>
        <v>Not Used</v>
      </c>
      <c r="AA27" s="51" t="str">
        <f t="shared" si="12"/>
        <v>Not Used</v>
      </c>
      <c r="AB27" s="51" t="str">
        <f t="shared" si="13"/>
        <v>Not Used</v>
      </c>
      <c r="AC27" s="51" t="b">
        <f t="shared" si="14"/>
        <v>1</v>
      </c>
      <c r="AD27" s="51">
        <f>COUNTIF($X$5:$X$27, "Not Used")</f>
        <v>23</v>
      </c>
      <c r="AE27" s="51">
        <f>COUNTIF($X$5:$X$27, "TRUE")</f>
        <v>0</v>
      </c>
      <c r="AF27" s="51" t="b">
        <f t="shared" si="15"/>
        <v>1</v>
      </c>
      <c r="AG27" s="192"/>
      <c r="AH27" s="51">
        <f>COUNTIF($AX$5:$AX$727, "TRUE")</f>
        <v>0</v>
      </c>
      <c r="AI27" s="51" t="b">
        <f t="shared" si="16"/>
        <v>0</v>
      </c>
      <c r="AJ27" s="51" t="b">
        <f t="shared" si="17"/>
        <v>0</v>
      </c>
      <c r="AK27" s="51" t="b">
        <f t="shared" si="18"/>
        <v>0</v>
      </c>
      <c r="AL27" s="51" t="b">
        <f t="shared" si="19"/>
        <v>0</v>
      </c>
      <c r="AM27" s="51" t="b">
        <f t="shared" si="20"/>
        <v>0</v>
      </c>
      <c r="AN27" s="51"/>
      <c r="AO27" s="51" t="b">
        <f t="shared" si="21"/>
        <v>0</v>
      </c>
      <c r="AP27" s="51" t="str">
        <f t="shared" si="43"/>
        <v>Tier 1 MMS</v>
      </c>
      <c r="AQ27" s="51" t="b">
        <f t="shared" si="22"/>
        <v>0</v>
      </c>
      <c r="AR27" s="51" t="b">
        <f t="shared" si="23"/>
        <v>0</v>
      </c>
      <c r="AS27" s="51" t="str">
        <f t="shared" si="24"/>
        <v/>
      </c>
      <c r="AT27" s="51" t="b">
        <f t="shared" si="25"/>
        <v>0</v>
      </c>
      <c r="AU27" s="51" t="b">
        <f t="shared" si="26"/>
        <v>0</v>
      </c>
      <c r="AV27" s="51" t="str">
        <f t="shared" si="27"/>
        <v/>
      </c>
      <c r="AW27" s="51" t="str">
        <f t="shared" si="28"/>
        <v/>
      </c>
      <c r="AX27" s="51" t="str">
        <f t="shared" si="29"/>
        <v/>
      </c>
      <c r="AY27" s="51" t="str">
        <f t="shared" si="30"/>
        <v/>
      </c>
      <c r="AZ27" s="51" t="str">
        <f t="shared" si="31"/>
        <v/>
      </c>
      <c r="BA27" s="51" t="str">
        <f t="shared" si="32"/>
        <v/>
      </c>
      <c r="BB27" s="51" t="str">
        <f t="shared" si="33"/>
        <v/>
      </c>
      <c r="BC27" s="51" t="str">
        <f t="shared" si="34"/>
        <v/>
      </c>
      <c r="BD27" s="51" t="str">
        <f t="shared" si="35"/>
        <v/>
      </c>
      <c r="BE27" s="51" t="str">
        <f t="shared" si="36"/>
        <v/>
      </c>
      <c r="BF27" s="51" t="str">
        <f t="shared" si="37"/>
        <v/>
      </c>
      <c r="BG27" s="51" t="str">
        <f t="shared" si="38"/>
        <v/>
      </c>
      <c r="BH27" s="51" t="b">
        <f t="shared" si="39"/>
        <v>0</v>
      </c>
      <c r="BI27" s="51" t="str">
        <f t="shared" si="40"/>
        <v/>
      </c>
      <c r="BJ27" s="51" t="str">
        <f t="shared" si="41"/>
        <v/>
      </c>
      <c r="BK27" s="51" t="b">
        <f t="shared" si="42"/>
        <v>0</v>
      </c>
      <c r="BL27" s="192"/>
      <c r="BM27" s="192"/>
      <c r="BN27" s="192"/>
    </row>
    <row r="28" spans="1:66" ht="13.5" thickBot="1" x14ac:dyDescent="0.25">
      <c r="A28" s="185" t="s">
        <v>720</v>
      </c>
      <c r="B28" s="193" t="s">
        <v>694</v>
      </c>
      <c r="C28" s="194" t="s">
        <v>695</v>
      </c>
      <c r="D28" s="194" t="s">
        <v>695</v>
      </c>
      <c r="E28" s="193" t="s">
        <v>694</v>
      </c>
      <c r="F28" s="160" t="s">
        <v>20</v>
      </c>
      <c r="G28" s="161"/>
      <c r="H28" s="186" t="str">
        <f t="shared" si="0"/>
        <v>Used?</v>
      </c>
      <c r="I28" s="186" t="b">
        <f t="shared" si="1"/>
        <v>0</v>
      </c>
      <c r="J28" s="186" t="str">
        <f t="shared" si="2"/>
        <v>N/A</v>
      </c>
      <c r="K28" s="186" t="b">
        <f t="shared" si="3"/>
        <v>1</v>
      </c>
      <c r="L28" s="186" t="str">
        <f t="shared" si="4"/>
        <v>N/A</v>
      </c>
      <c r="M28" s="186" t="b">
        <f t="shared" si="5"/>
        <v>1</v>
      </c>
      <c r="N28" s="186" t="str">
        <f t="shared" si="6"/>
        <v>Used?</v>
      </c>
      <c r="O28" s="186" t="b">
        <f t="shared" si="7"/>
        <v>0</v>
      </c>
      <c r="P28" s="26" t="s">
        <v>696</v>
      </c>
      <c r="Q28" s="160" t="s">
        <v>20</v>
      </c>
      <c r="R28" s="160" t="s">
        <v>20</v>
      </c>
      <c r="S28" s="26" t="s">
        <v>697</v>
      </c>
      <c r="T28" s="165" t="str">
        <f t="shared" si="8"/>
        <v>Not Used</v>
      </c>
      <c r="U28" s="162"/>
      <c r="V28" s="55"/>
      <c r="W28" s="51" t="b">
        <f t="shared" si="9"/>
        <v>1</v>
      </c>
      <c r="X28" s="51" t="str">
        <f t="shared" si="10"/>
        <v>Not Used</v>
      </c>
      <c r="Y28" s="51" t="str">
        <f t="shared" si="11"/>
        <v>Not Used</v>
      </c>
      <c r="Z28" s="51" t="str">
        <f t="shared" si="12"/>
        <v>Not Used</v>
      </c>
      <c r="AA28" s="51" t="str">
        <f t="shared" si="12"/>
        <v>Not Used</v>
      </c>
      <c r="AB28" s="51" t="str">
        <f t="shared" si="13"/>
        <v>Not Used</v>
      </c>
      <c r="AC28" s="51" t="b">
        <f t="shared" si="14"/>
        <v>1</v>
      </c>
      <c r="AD28" s="51">
        <f>COUNTIF($X$5:$X$28, "Not Used")</f>
        <v>24</v>
      </c>
      <c r="AE28" s="51">
        <f>COUNTIF($X$5:$X$28, "TRUE")</f>
        <v>0</v>
      </c>
      <c r="AF28" s="51" t="b">
        <f t="shared" si="15"/>
        <v>1</v>
      </c>
      <c r="AG28" s="192"/>
      <c r="AH28" s="51" t="s">
        <v>682</v>
      </c>
      <c r="AI28" s="51" t="b">
        <f t="shared" si="16"/>
        <v>0</v>
      </c>
      <c r="AJ28" s="51" t="b">
        <f t="shared" si="17"/>
        <v>0</v>
      </c>
      <c r="AK28" s="51" t="b">
        <f t="shared" si="18"/>
        <v>0</v>
      </c>
      <c r="AL28" s="51" t="b">
        <f t="shared" si="19"/>
        <v>0</v>
      </c>
      <c r="AM28" s="51" t="b">
        <f t="shared" si="20"/>
        <v>0</v>
      </c>
      <c r="AN28" s="51"/>
      <c r="AO28" s="51" t="b">
        <f t="shared" si="21"/>
        <v>0</v>
      </c>
      <c r="AP28" s="51" t="str">
        <f t="shared" si="43"/>
        <v>Tier 1 MMS</v>
      </c>
      <c r="AQ28" s="51" t="b">
        <f t="shared" si="22"/>
        <v>0</v>
      </c>
      <c r="AR28" s="51" t="b">
        <f t="shared" si="23"/>
        <v>0</v>
      </c>
      <c r="AS28" s="51" t="str">
        <f t="shared" si="24"/>
        <v/>
      </c>
      <c r="AT28" s="51" t="b">
        <f t="shared" si="25"/>
        <v>0</v>
      </c>
      <c r="AU28" s="51" t="b">
        <f t="shared" si="26"/>
        <v>0</v>
      </c>
      <c r="AV28" s="51" t="str">
        <f t="shared" si="27"/>
        <v/>
      </c>
      <c r="AW28" s="51" t="str">
        <f t="shared" si="28"/>
        <v/>
      </c>
      <c r="AX28" s="51" t="str">
        <f t="shared" si="29"/>
        <v/>
      </c>
      <c r="AY28" s="51" t="str">
        <f t="shared" si="30"/>
        <v/>
      </c>
      <c r="AZ28" s="51" t="str">
        <f t="shared" si="31"/>
        <v/>
      </c>
      <c r="BA28" s="51" t="str">
        <f t="shared" si="32"/>
        <v/>
      </c>
      <c r="BB28" s="51" t="str">
        <f t="shared" si="33"/>
        <v/>
      </c>
      <c r="BC28" s="51" t="str">
        <f t="shared" si="34"/>
        <v/>
      </c>
      <c r="BD28" s="51" t="str">
        <f t="shared" si="35"/>
        <v/>
      </c>
      <c r="BE28" s="51" t="str">
        <f t="shared" si="36"/>
        <v/>
      </c>
      <c r="BF28" s="51" t="str">
        <f t="shared" si="37"/>
        <v/>
      </c>
      <c r="BG28" s="51" t="str">
        <f t="shared" si="38"/>
        <v/>
      </c>
      <c r="BH28" s="51" t="b">
        <f t="shared" si="39"/>
        <v>0</v>
      </c>
      <c r="BI28" s="51" t="str">
        <f t="shared" si="40"/>
        <v/>
      </c>
      <c r="BJ28" s="51" t="str">
        <f t="shared" si="41"/>
        <v/>
      </c>
      <c r="BK28" s="51" t="b">
        <f t="shared" si="42"/>
        <v>0</v>
      </c>
      <c r="BL28" s="192"/>
      <c r="BM28" s="192"/>
      <c r="BN28" s="192"/>
    </row>
    <row r="29" spans="1:66" ht="13.5" thickBot="1" x14ac:dyDescent="0.25">
      <c r="A29" s="185" t="s">
        <v>721</v>
      </c>
      <c r="B29" s="193" t="s">
        <v>694</v>
      </c>
      <c r="C29" s="194" t="s">
        <v>695</v>
      </c>
      <c r="D29" s="194" t="s">
        <v>695</v>
      </c>
      <c r="E29" s="193" t="s">
        <v>694</v>
      </c>
      <c r="F29" s="160" t="s">
        <v>20</v>
      </c>
      <c r="G29" s="161"/>
      <c r="H29" s="186" t="str">
        <f t="shared" si="0"/>
        <v>Used?</v>
      </c>
      <c r="I29" s="186" t="b">
        <f t="shared" si="1"/>
        <v>0</v>
      </c>
      <c r="J29" s="186" t="str">
        <f t="shared" si="2"/>
        <v>N/A</v>
      </c>
      <c r="K29" s="186" t="b">
        <f t="shared" si="3"/>
        <v>1</v>
      </c>
      <c r="L29" s="186" t="str">
        <f t="shared" si="4"/>
        <v>N/A</v>
      </c>
      <c r="M29" s="186" t="b">
        <f t="shared" si="5"/>
        <v>1</v>
      </c>
      <c r="N29" s="186" t="str">
        <f t="shared" si="6"/>
        <v>Used?</v>
      </c>
      <c r="O29" s="186" t="b">
        <f t="shared" si="7"/>
        <v>0</v>
      </c>
      <c r="P29" s="26" t="s">
        <v>696</v>
      </c>
      <c r="Q29" s="160" t="s">
        <v>20</v>
      </c>
      <c r="R29" s="160" t="s">
        <v>20</v>
      </c>
      <c r="S29" s="26" t="s">
        <v>697</v>
      </c>
      <c r="T29" s="165" t="str">
        <f t="shared" si="8"/>
        <v>Not Used</v>
      </c>
      <c r="U29" s="162"/>
      <c r="V29" s="55"/>
      <c r="W29" s="51" t="b">
        <f t="shared" si="9"/>
        <v>1</v>
      </c>
      <c r="X29" s="51" t="str">
        <f t="shared" si="10"/>
        <v>Not Used</v>
      </c>
      <c r="Y29" s="51" t="str">
        <f t="shared" si="11"/>
        <v>Not Used</v>
      </c>
      <c r="Z29" s="51" t="str">
        <f t="shared" si="12"/>
        <v>Not Used</v>
      </c>
      <c r="AA29" s="51" t="str">
        <f t="shared" si="12"/>
        <v>Not Used</v>
      </c>
      <c r="AB29" s="51" t="str">
        <f t="shared" si="13"/>
        <v>Not Used</v>
      </c>
      <c r="AC29" s="51" t="b">
        <f t="shared" si="14"/>
        <v>1</v>
      </c>
      <c r="AD29" s="51">
        <f>COUNTIF($X$5:$X$29, "Not Used")</f>
        <v>25</v>
      </c>
      <c r="AE29" s="51">
        <f>COUNTIF($X$5:$X$29, "TRUE")</f>
        <v>0</v>
      </c>
      <c r="AF29" s="51" t="b">
        <f t="shared" si="15"/>
        <v>1</v>
      </c>
      <c r="AG29" s="192"/>
      <c r="AH29" s="51">
        <f>COUNTIF($AY$5:$AY$727, "TRUE")</f>
        <v>0</v>
      </c>
      <c r="AI29" s="51" t="b">
        <f t="shared" si="16"/>
        <v>0</v>
      </c>
      <c r="AJ29" s="51" t="b">
        <f t="shared" si="17"/>
        <v>0</v>
      </c>
      <c r="AK29" s="51" t="b">
        <f t="shared" si="18"/>
        <v>0</v>
      </c>
      <c r="AL29" s="51" t="b">
        <f t="shared" si="19"/>
        <v>0</v>
      </c>
      <c r="AM29" s="51" t="b">
        <f t="shared" si="20"/>
        <v>0</v>
      </c>
      <c r="AN29" s="51"/>
      <c r="AO29" s="51" t="b">
        <f t="shared" si="21"/>
        <v>0</v>
      </c>
      <c r="AP29" s="51" t="str">
        <f t="shared" si="43"/>
        <v>Tier 1 MMS</v>
      </c>
      <c r="AQ29" s="51" t="b">
        <f t="shared" si="22"/>
        <v>0</v>
      </c>
      <c r="AR29" s="51" t="b">
        <f t="shared" si="23"/>
        <v>0</v>
      </c>
      <c r="AS29" s="51" t="str">
        <f t="shared" si="24"/>
        <v/>
      </c>
      <c r="AT29" s="51" t="b">
        <f t="shared" si="25"/>
        <v>0</v>
      </c>
      <c r="AU29" s="51" t="b">
        <f t="shared" si="26"/>
        <v>0</v>
      </c>
      <c r="AV29" s="51" t="str">
        <f t="shared" si="27"/>
        <v/>
      </c>
      <c r="AW29" s="51" t="str">
        <f t="shared" si="28"/>
        <v/>
      </c>
      <c r="AX29" s="51" t="str">
        <f t="shared" si="29"/>
        <v/>
      </c>
      <c r="AY29" s="51" t="str">
        <f t="shared" si="30"/>
        <v/>
      </c>
      <c r="AZ29" s="51" t="str">
        <f t="shared" si="31"/>
        <v/>
      </c>
      <c r="BA29" s="51" t="str">
        <f t="shared" si="32"/>
        <v/>
      </c>
      <c r="BB29" s="51" t="str">
        <f t="shared" si="33"/>
        <v/>
      </c>
      <c r="BC29" s="51" t="str">
        <f t="shared" si="34"/>
        <v/>
      </c>
      <c r="BD29" s="51" t="str">
        <f t="shared" si="35"/>
        <v/>
      </c>
      <c r="BE29" s="51" t="str">
        <f t="shared" si="36"/>
        <v/>
      </c>
      <c r="BF29" s="51" t="str">
        <f t="shared" si="37"/>
        <v/>
      </c>
      <c r="BG29" s="51" t="str">
        <f t="shared" si="38"/>
        <v/>
      </c>
      <c r="BH29" s="51" t="b">
        <f t="shared" si="39"/>
        <v>0</v>
      </c>
      <c r="BI29" s="51" t="str">
        <f t="shared" si="40"/>
        <v/>
      </c>
      <c r="BJ29" s="51" t="str">
        <f t="shared" si="41"/>
        <v/>
      </c>
      <c r="BK29" s="51" t="b">
        <f t="shared" si="42"/>
        <v>0</v>
      </c>
      <c r="BL29" s="192"/>
      <c r="BM29" s="192"/>
      <c r="BN29" s="192"/>
    </row>
    <row r="30" spans="1:66" ht="13.5" thickBot="1" x14ac:dyDescent="0.25">
      <c r="A30" s="185" t="s">
        <v>722</v>
      </c>
      <c r="B30" s="193" t="s">
        <v>694</v>
      </c>
      <c r="C30" s="194" t="s">
        <v>695</v>
      </c>
      <c r="D30" s="194" t="s">
        <v>695</v>
      </c>
      <c r="E30" s="193" t="s">
        <v>694</v>
      </c>
      <c r="F30" s="160" t="s">
        <v>20</v>
      </c>
      <c r="G30" s="161"/>
      <c r="H30" s="186" t="str">
        <f t="shared" si="0"/>
        <v>Used?</v>
      </c>
      <c r="I30" s="186" t="b">
        <f t="shared" si="1"/>
        <v>0</v>
      </c>
      <c r="J30" s="186" t="str">
        <f t="shared" si="2"/>
        <v>N/A</v>
      </c>
      <c r="K30" s="186" t="b">
        <f t="shared" si="3"/>
        <v>1</v>
      </c>
      <c r="L30" s="186" t="str">
        <f t="shared" si="4"/>
        <v>N/A</v>
      </c>
      <c r="M30" s="186" t="b">
        <f t="shared" si="5"/>
        <v>1</v>
      </c>
      <c r="N30" s="186" t="str">
        <f t="shared" si="6"/>
        <v>Used?</v>
      </c>
      <c r="O30" s="186" t="b">
        <f t="shared" si="7"/>
        <v>0</v>
      </c>
      <c r="P30" s="26" t="s">
        <v>696</v>
      </c>
      <c r="Q30" s="160" t="s">
        <v>20</v>
      </c>
      <c r="R30" s="160" t="s">
        <v>20</v>
      </c>
      <c r="S30" s="26" t="s">
        <v>697</v>
      </c>
      <c r="T30" s="165" t="str">
        <f t="shared" si="8"/>
        <v>Not Used</v>
      </c>
      <c r="U30" s="162"/>
      <c r="V30" s="55"/>
      <c r="W30" s="51" t="b">
        <f t="shared" si="9"/>
        <v>1</v>
      </c>
      <c r="X30" s="51" t="str">
        <f t="shared" si="10"/>
        <v>Not Used</v>
      </c>
      <c r="Y30" s="51" t="str">
        <f t="shared" si="11"/>
        <v>Not Used</v>
      </c>
      <c r="Z30" s="51" t="str">
        <f t="shared" si="12"/>
        <v>Not Used</v>
      </c>
      <c r="AA30" s="51" t="str">
        <f t="shared" si="12"/>
        <v>Not Used</v>
      </c>
      <c r="AB30" s="51" t="str">
        <f t="shared" si="13"/>
        <v>Not Used</v>
      </c>
      <c r="AC30" s="51" t="b">
        <f t="shared" si="14"/>
        <v>1</v>
      </c>
      <c r="AD30" s="51">
        <f>COUNTIF($X$5:$X$30, "Not Used")</f>
        <v>26</v>
      </c>
      <c r="AE30" s="51">
        <f>COUNTIF($X$5:$X$30, "TRUE")</f>
        <v>0</v>
      </c>
      <c r="AF30" s="51" t="b">
        <f t="shared" si="15"/>
        <v>1</v>
      </c>
      <c r="AI30" s="51" t="b">
        <f t="shared" si="16"/>
        <v>0</v>
      </c>
      <c r="AJ30" s="51" t="b">
        <f t="shared" si="17"/>
        <v>0</v>
      </c>
      <c r="AK30" s="51" t="b">
        <f t="shared" si="18"/>
        <v>0</v>
      </c>
      <c r="AL30" s="51" t="b">
        <f t="shared" si="19"/>
        <v>0</v>
      </c>
      <c r="AM30" s="51" t="b">
        <f t="shared" si="20"/>
        <v>0</v>
      </c>
      <c r="AN30" s="51"/>
      <c r="AO30" s="51" t="b">
        <f t="shared" si="21"/>
        <v>0</v>
      </c>
      <c r="AP30" s="51" t="str">
        <f t="shared" si="43"/>
        <v>Tier 1 MMS</v>
      </c>
      <c r="AQ30" s="51" t="b">
        <f t="shared" si="22"/>
        <v>0</v>
      </c>
      <c r="AR30" s="51" t="b">
        <f t="shared" si="23"/>
        <v>0</v>
      </c>
      <c r="AS30" s="51" t="str">
        <f t="shared" si="24"/>
        <v/>
      </c>
      <c r="AT30" s="51" t="b">
        <f t="shared" si="25"/>
        <v>0</v>
      </c>
      <c r="AU30" s="51" t="b">
        <f t="shared" si="26"/>
        <v>0</v>
      </c>
      <c r="AV30" s="51" t="str">
        <f t="shared" si="27"/>
        <v/>
      </c>
      <c r="AW30" s="51" t="str">
        <f t="shared" si="28"/>
        <v/>
      </c>
      <c r="AX30" s="51" t="str">
        <f t="shared" si="29"/>
        <v/>
      </c>
      <c r="AY30" s="51" t="str">
        <f t="shared" si="30"/>
        <v/>
      </c>
      <c r="AZ30" s="51" t="str">
        <f t="shared" si="31"/>
        <v/>
      </c>
      <c r="BA30" s="51" t="str">
        <f t="shared" si="32"/>
        <v/>
      </c>
      <c r="BB30" s="51" t="str">
        <f t="shared" si="33"/>
        <v/>
      </c>
      <c r="BC30" s="51" t="str">
        <f t="shared" si="34"/>
        <v/>
      </c>
      <c r="BD30" s="51" t="str">
        <f t="shared" si="35"/>
        <v/>
      </c>
      <c r="BE30" s="51" t="str">
        <f t="shared" si="36"/>
        <v/>
      </c>
      <c r="BF30" s="51" t="str">
        <f t="shared" si="37"/>
        <v/>
      </c>
      <c r="BG30" s="51" t="str">
        <f t="shared" si="38"/>
        <v/>
      </c>
      <c r="BH30" s="51" t="b">
        <f t="shared" si="39"/>
        <v>0</v>
      </c>
      <c r="BI30" s="51" t="str">
        <f t="shared" si="40"/>
        <v/>
      </c>
      <c r="BJ30" s="51" t="str">
        <f t="shared" si="41"/>
        <v/>
      </c>
      <c r="BK30" s="51" t="b">
        <f t="shared" si="42"/>
        <v>0</v>
      </c>
      <c r="BL30" s="192"/>
    </row>
    <row r="31" spans="1:66" ht="13.5" thickBot="1" x14ac:dyDescent="0.25">
      <c r="A31" s="185" t="s">
        <v>723</v>
      </c>
      <c r="B31" s="193" t="s">
        <v>694</v>
      </c>
      <c r="C31" s="193" t="s">
        <v>694</v>
      </c>
      <c r="D31" s="194" t="s">
        <v>695</v>
      </c>
      <c r="E31" s="193" t="s">
        <v>694</v>
      </c>
      <c r="F31" s="160" t="s">
        <v>20</v>
      </c>
      <c r="G31" s="161"/>
      <c r="H31" s="186" t="str">
        <f t="shared" si="0"/>
        <v>Used?</v>
      </c>
      <c r="I31" s="186" t="b">
        <f t="shared" si="1"/>
        <v>0</v>
      </c>
      <c r="J31" s="186" t="str">
        <f t="shared" si="2"/>
        <v>Used?</v>
      </c>
      <c r="K31" s="186" t="b">
        <f t="shared" si="3"/>
        <v>0</v>
      </c>
      <c r="L31" s="186" t="str">
        <f t="shared" si="4"/>
        <v>N/A</v>
      </c>
      <c r="M31" s="186" t="b">
        <f t="shared" si="5"/>
        <v>1</v>
      </c>
      <c r="N31" s="186" t="str">
        <f t="shared" si="6"/>
        <v>Used?</v>
      </c>
      <c r="O31" s="186" t="b">
        <f t="shared" si="7"/>
        <v>0</v>
      </c>
      <c r="P31" s="26" t="s">
        <v>696</v>
      </c>
      <c r="Q31" s="160" t="s">
        <v>20</v>
      </c>
      <c r="R31" s="160" t="s">
        <v>20</v>
      </c>
      <c r="S31" s="26" t="s">
        <v>697</v>
      </c>
      <c r="T31" s="165" t="str">
        <f t="shared" si="8"/>
        <v>Not Used</v>
      </c>
      <c r="U31" s="162"/>
      <c r="V31" s="55"/>
      <c r="W31" s="51" t="b">
        <f t="shared" si="9"/>
        <v>1</v>
      </c>
      <c r="X31" s="51" t="str">
        <f t="shared" si="10"/>
        <v>Not Used</v>
      </c>
      <c r="Y31" s="51" t="str">
        <f t="shared" si="11"/>
        <v>Not Used</v>
      </c>
      <c r="Z31" s="51" t="str">
        <f t="shared" si="12"/>
        <v>Not Used</v>
      </c>
      <c r="AA31" s="51" t="str">
        <f t="shared" si="12"/>
        <v>Not Used</v>
      </c>
      <c r="AB31" s="51" t="str">
        <f t="shared" si="13"/>
        <v>Not Used</v>
      </c>
      <c r="AC31" s="51" t="b">
        <f t="shared" si="14"/>
        <v>1</v>
      </c>
      <c r="AD31" s="51">
        <f>COUNTIF($X$5:$X$31, "Not Used")</f>
        <v>27</v>
      </c>
      <c r="AE31" s="51">
        <f>COUNTIF($X$5:$X$31, "TRUE")</f>
        <v>0</v>
      </c>
      <c r="AF31" s="51" t="b">
        <f t="shared" si="15"/>
        <v>1</v>
      </c>
      <c r="AI31" s="51" t="b">
        <f t="shared" si="16"/>
        <v>0</v>
      </c>
      <c r="AJ31" s="51" t="b">
        <f t="shared" si="17"/>
        <v>0</v>
      </c>
      <c r="AK31" s="51" t="b">
        <f t="shared" si="18"/>
        <v>0</v>
      </c>
      <c r="AL31" s="51" t="b">
        <f t="shared" si="19"/>
        <v>0</v>
      </c>
      <c r="AM31" s="51" t="b">
        <f t="shared" si="20"/>
        <v>0</v>
      </c>
      <c r="AN31" s="51"/>
      <c r="AO31" s="51" t="b">
        <f t="shared" si="21"/>
        <v>0</v>
      </c>
      <c r="AP31" s="51" t="str">
        <f t="shared" si="43"/>
        <v>Tier 1 MMS, Tier 1 Sub MMS</v>
      </c>
      <c r="AQ31" s="51" t="b">
        <f t="shared" si="22"/>
        <v>0</v>
      </c>
      <c r="AR31" s="51" t="b">
        <f t="shared" si="23"/>
        <v>0</v>
      </c>
      <c r="AS31" s="51" t="b">
        <f t="shared" si="24"/>
        <v>0</v>
      </c>
      <c r="AT31" s="51" t="b">
        <f t="shared" si="25"/>
        <v>0</v>
      </c>
      <c r="AU31" s="51" t="b">
        <f t="shared" si="26"/>
        <v>0</v>
      </c>
      <c r="AV31" s="51" t="str">
        <f t="shared" si="27"/>
        <v/>
      </c>
      <c r="AW31" s="51" t="str">
        <f t="shared" si="28"/>
        <v/>
      </c>
      <c r="AX31" s="51" t="str">
        <f t="shared" si="29"/>
        <v/>
      </c>
      <c r="AY31" s="51" t="str">
        <f t="shared" si="30"/>
        <v/>
      </c>
      <c r="AZ31" s="51" t="str">
        <f t="shared" si="31"/>
        <v/>
      </c>
      <c r="BA31" s="51" t="str">
        <f t="shared" si="32"/>
        <v/>
      </c>
      <c r="BB31" s="51" t="str">
        <f t="shared" si="33"/>
        <v/>
      </c>
      <c r="BC31" s="51" t="str">
        <f t="shared" si="34"/>
        <v/>
      </c>
      <c r="BD31" s="51" t="str">
        <f t="shared" si="35"/>
        <v/>
      </c>
      <c r="BE31" s="51" t="str">
        <f t="shared" si="36"/>
        <v/>
      </c>
      <c r="BF31" s="51" t="str">
        <f t="shared" si="37"/>
        <v/>
      </c>
      <c r="BG31" s="51" t="str">
        <f t="shared" si="38"/>
        <v/>
      </c>
      <c r="BH31" s="51" t="b">
        <f t="shared" si="39"/>
        <v>0</v>
      </c>
      <c r="BI31" s="51" t="str">
        <f t="shared" si="40"/>
        <v/>
      </c>
      <c r="BJ31" s="51" t="str">
        <f t="shared" si="41"/>
        <v/>
      </c>
      <c r="BK31" s="51" t="b">
        <f t="shared" si="42"/>
        <v>0</v>
      </c>
      <c r="BL31" s="192"/>
    </row>
    <row r="32" spans="1:66" ht="13.5" thickBot="1" x14ac:dyDescent="0.25">
      <c r="A32" s="185" t="s">
        <v>724</v>
      </c>
      <c r="B32" s="193" t="s">
        <v>694</v>
      </c>
      <c r="C32" s="193" t="s">
        <v>694</v>
      </c>
      <c r="D32" s="194" t="s">
        <v>695</v>
      </c>
      <c r="E32" s="193" t="s">
        <v>694</v>
      </c>
      <c r="F32" s="160" t="s">
        <v>20</v>
      </c>
      <c r="G32" s="161"/>
      <c r="H32" s="186" t="str">
        <f t="shared" si="0"/>
        <v>Used?</v>
      </c>
      <c r="I32" s="186" t="b">
        <f t="shared" si="1"/>
        <v>0</v>
      </c>
      <c r="J32" s="186" t="str">
        <f t="shared" si="2"/>
        <v>Used?</v>
      </c>
      <c r="K32" s="186" t="b">
        <f t="shared" si="3"/>
        <v>0</v>
      </c>
      <c r="L32" s="186" t="str">
        <f t="shared" si="4"/>
        <v>N/A</v>
      </c>
      <c r="M32" s="186" t="b">
        <f t="shared" si="5"/>
        <v>1</v>
      </c>
      <c r="N32" s="186" t="str">
        <f t="shared" si="6"/>
        <v>Used?</v>
      </c>
      <c r="O32" s="186" t="b">
        <f t="shared" si="7"/>
        <v>0</v>
      </c>
      <c r="P32" s="26" t="s">
        <v>696</v>
      </c>
      <c r="Q32" s="160" t="s">
        <v>20</v>
      </c>
      <c r="R32" s="160" t="s">
        <v>20</v>
      </c>
      <c r="S32" s="26" t="s">
        <v>697</v>
      </c>
      <c r="T32" s="165" t="str">
        <f t="shared" si="8"/>
        <v>Not Used</v>
      </c>
      <c r="U32" s="162"/>
      <c r="V32" s="55"/>
      <c r="W32" s="51" t="b">
        <f t="shared" si="9"/>
        <v>1</v>
      </c>
      <c r="X32" s="51" t="str">
        <f t="shared" si="10"/>
        <v>Not Used</v>
      </c>
      <c r="Y32" s="51" t="str">
        <f t="shared" si="11"/>
        <v>Not Used</v>
      </c>
      <c r="Z32" s="51" t="str">
        <f t="shared" si="12"/>
        <v>Not Used</v>
      </c>
      <c r="AA32" s="51" t="str">
        <f t="shared" si="12"/>
        <v>Not Used</v>
      </c>
      <c r="AB32" s="51" t="str">
        <f t="shared" si="13"/>
        <v>Not Used</v>
      </c>
      <c r="AC32" s="51" t="b">
        <f t="shared" si="14"/>
        <v>1</v>
      </c>
      <c r="AD32" s="51">
        <f>COUNTIF($X$5:$X$32, "Not Used")</f>
        <v>28</v>
      </c>
      <c r="AE32" s="51">
        <f>COUNTIF($X$5:$X$32, "TRUE")</f>
        <v>0</v>
      </c>
      <c r="AF32" s="51" t="b">
        <f t="shared" si="15"/>
        <v>1</v>
      </c>
      <c r="AI32" s="51" t="b">
        <f t="shared" si="16"/>
        <v>0</v>
      </c>
      <c r="AJ32" s="51" t="b">
        <f t="shared" si="17"/>
        <v>0</v>
      </c>
      <c r="AK32" s="51" t="b">
        <f t="shared" si="18"/>
        <v>0</v>
      </c>
      <c r="AL32" s="51" t="b">
        <f t="shared" si="19"/>
        <v>0</v>
      </c>
      <c r="AM32" s="51" t="b">
        <f t="shared" si="20"/>
        <v>0</v>
      </c>
      <c r="AN32" s="51"/>
      <c r="AO32" s="51" t="b">
        <f t="shared" si="21"/>
        <v>0</v>
      </c>
      <c r="AP32" s="51" t="str">
        <f t="shared" si="43"/>
        <v>Tier 1 MMS, Tier 1 Sub MMS</v>
      </c>
      <c r="AQ32" s="51" t="b">
        <f t="shared" si="22"/>
        <v>0</v>
      </c>
      <c r="AR32" s="51" t="b">
        <f t="shared" si="23"/>
        <v>0</v>
      </c>
      <c r="AS32" s="51" t="b">
        <f t="shared" si="24"/>
        <v>0</v>
      </c>
      <c r="AT32" s="51" t="b">
        <f t="shared" si="25"/>
        <v>0</v>
      </c>
      <c r="AU32" s="51" t="b">
        <f t="shared" si="26"/>
        <v>0</v>
      </c>
      <c r="AV32" s="51" t="str">
        <f t="shared" si="27"/>
        <v/>
      </c>
      <c r="AW32" s="51" t="str">
        <f t="shared" si="28"/>
        <v/>
      </c>
      <c r="AX32" s="51" t="str">
        <f t="shared" si="29"/>
        <v/>
      </c>
      <c r="AY32" s="51" t="str">
        <f t="shared" si="30"/>
        <v/>
      </c>
      <c r="AZ32" s="51" t="str">
        <f t="shared" si="31"/>
        <v/>
      </c>
      <c r="BA32" s="51" t="str">
        <f t="shared" si="32"/>
        <v/>
      </c>
      <c r="BB32" s="51" t="str">
        <f t="shared" si="33"/>
        <v/>
      </c>
      <c r="BC32" s="51" t="str">
        <f t="shared" si="34"/>
        <v/>
      </c>
      <c r="BD32" s="51" t="str">
        <f t="shared" si="35"/>
        <v/>
      </c>
      <c r="BE32" s="51" t="str">
        <f t="shared" si="36"/>
        <v/>
      </c>
      <c r="BF32" s="51" t="str">
        <f t="shared" si="37"/>
        <v/>
      </c>
      <c r="BG32" s="51" t="str">
        <f t="shared" si="38"/>
        <v/>
      </c>
      <c r="BH32" s="51" t="b">
        <f t="shared" si="39"/>
        <v>0</v>
      </c>
      <c r="BI32" s="51" t="str">
        <f t="shared" si="40"/>
        <v/>
      </c>
      <c r="BJ32" s="51" t="str">
        <f t="shared" si="41"/>
        <v/>
      </c>
      <c r="BK32" s="51" t="b">
        <f t="shared" si="42"/>
        <v>0</v>
      </c>
      <c r="BL32" s="192"/>
    </row>
    <row r="33" spans="1:64" ht="13.5" thickBot="1" x14ac:dyDescent="0.25">
      <c r="A33" s="185" t="s">
        <v>725</v>
      </c>
      <c r="B33" s="193" t="s">
        <v>694</v>
      </c>
      <c r="C33" s="193" t="s">
        <v>694</v>
      </c>
      <c r="D33" s="194" t="s">
        <v>695</v>
      </c>
      <c r="E33" s="193" t="s">
        <v>694</v>
      </c>
      <c r="F33" s="160" t="s">
        <v>20</v>
      </c>
      <c r="G33" s="161"/>
      <c r="H33" s="186" t="str">
        <f t="shared" si="0"/>
        <v>Used?</v>
      </c>
      <c r="I33" s="186" t="b">
        <f t="shared" si="1"/>
        <v>0</v>
      </c>
      <c r="J33" s="186" t="str">
        <f t="shared" si="2"/>
        <v>Used?</v>
      </c>
      <c r="K33" s="186" t="b">
        <f t="shared" si="3"/>
        <v>0</v>
      </c>
      <c r="L33" s="186" t="str">
        <f t="shared" si="4"/>
        <v>N/A</v>
      </c>
      <c r="M33" s="186" t="b">
        <f t="shared" si="5"/>
        <v>1</v>
      </c>
      <c r="N33" s="186" t="str">
        <f t="shared" si="6"/>
        <v>Used?</v>
      </c>
      <c r="O33" s="186" t="b">
        <f t="shared" si="7"/>
        <v>0</v>
      </c>
      <c r="P33" s="26" t="s">
        <v>696</v>
      </c>
      <c r="Q33" s="160" t="s">
        <v>20</v>
      </c>
      <c r="R33" s="160" t="s">
        <v>20</v>
      </c>
      <c r="S33" s="26" t="s">
        <v>697</v>
      </c>
      <c r="T33" s="165" t="str">
        <f t="shared" si="8"/>
        <v>Not Used</v>
      </c>
      <c r="U33" s="162"/>
      <c r="V33" s="55"/>
      <c r="W33" s="51" t="b">
        <f t="shared" si="9"/>
        <v>1</v>
      </c>
      <c r="X33" s="51" t="str">
        <f t="shared" si="10"/>
        <v>Not Used</v>
      </c>
      <c r="Y33" s="51" t="str">
        <f t="shared" si="11"/>
        <v>Not Used</v>
      </c>
      <c r="Z33" s="51" t="str">
        <f t="shared" si="12"/>
        <v>Not Used</v>
      </c>
      <c r="AA33" s="51" t="str">
        <f t="shared" si="12"/>
        <v>Not Used</v>
      </c>
      <c r="AB33" s="51" t="str">
        <f t="shared" si="13"/>
        <v>Not Used</v>
      </c>
      <c r="AC33" s="51" t="b">
        <f t="shared" si="14"/>
        <v>1</v>
      </c>
      <c r="AD33" s="51">
        <f>COUNTIF($X$5:$X$33, "Not Used")</f>
        <v>29</v>
      </c>
      <c r="AE33" s="51">
        <f>COUNTIF($X$5:$X$33, "TRUE")</f>
        <v>0</v>
      </c>
      <c r="AF33" s="51" t="b">
        <f t="shared" si="15"/>
        <v>1</v>
      </c>
      <c r="AI33" s="51" t="b">
        <f t="shared" si="16"/>
        <v>0</v>
      </c>
      <c r="AJ33" s="51" t="b">
        <f t="shared" si="17"/>
        <v>0</v>
      </c>
      <c r="AK33" s="51" t="b">
        <f t="shared" si="18"/>
        <v>0</v>
      </c>
      <c r="AL33" s="51" t="b">
        <f t="shared" si="19"/>
        <v>0</v>
      </c>
      <c r="AM33" s="51" t="b">
        <f t="shared" si="20"/>
        <v>0</v>
      </c>
      <c r="AN33" s="51"/>
      <c r="AO33" s="51" t="b">
        <f t="shared" si="21"/>
        <v>0</v>
      </c>
      <c r="AP33" s="51" t="str">
        <f t="shared" si="43"/>
        <v>Tier 1 MMS, Tier 1 Sub MMS</v>
      </c>
      <c r="AQ33" s="51" t="b">
        <f t="shared" si="22"/>
        <v>0</v>
      </c>
      <c r="AR33" s="51" t="b">
        <f t="shared" si="23"/>
        <v>0</v>
      </c>
      <c r="AS33" s="51" t="b">
        <f t="shared" si="24"/>
        <v>0</v>
      </c>
      <c r="AT33" s="51" t="b">
        <f t="shared" si="25"/>
        <v>0</v>
      </c>
      <c r="AU33" s="51" t="b">
        <f t="shared" si="26"/>
        <v>0</v>
      </c>
      <c r="AV33" s="51" t="str">
        <f t="shared" si="27"/>
        <v/>
      </c>
      <c r="AW33" s="51" t="str">
        <f t="shared" si="28"/>
        <v/>
      </c>
      <c r="AX33" s="51" t="str">
        <f t="shared" si="29"/>
        <v/>
      </c>
      <c r="AY33" s="51" t="str">
        <f t="shared" si="30"/>
        <v/>
      </c>
      <c r="AZ33" s="51" t="str">
        <f t="shared" si="31"/>
        <v/>
      </c>
      <c r="BA33" s="51" t="str">
        <f t="shared" si="32"/>
        <v/>
      </c>
      <c r="BB33" s="51" t="str">
        <f t="shared" si="33"/>
        <v/>
      </c>
      <c r="BC33" s="51" t="str">
        <f t="shared" si="34"/>
        <v/>
      </c>
      <c r="BD33" s="51" t="str">
        <f t="shared" si="35"/>
        <v/>
      </c>
      <c r="BE33" s="51" t="str">
        <f t="shared" si="36"/>
        <v/>
      </c>
      <c r="BF33" s="51" t="str">
        <f t="shared" si="37"/>
        <v/>
      </c>
      <c r="BG33" s="51" t="str">
        <f t="shared" si="38"/>
        <v/>
      </c>
      <c r="BH33" s="51" t="b">
        <f t="shared" si="39"/>
        <v>0</v>
      </c>
      <c r="BI33" s="51" t="str">
        <f t="shared" si="40"/>
        <v/>
      </c>
      <c r="BJ33" s="51" t="str">
        <f t="shared" si="41"/>
        <v/>
      </c>
      <c r="BK33" s="51" t="b">
        <f t="shared" si="42"/>
        <v>0</v>
      </c>
      <c r="BL33" s="192"/>
    </row>
    <row r="34" spans="1:64" ht="13.5" thickBot="1" x14ac:dyDescent="0.25">
      <c r="A34" s="185" t="s">
        <v>726</v>
      </c>
      <c r="B34" s="193" t="s">
        <v>694</v>
      </c>
      <c r="C34" s="193" t="s">
        <v>694</v>
      </c>
      <c r="D34" s="194" t="s">
        <v>695</v>
      </c>
      <c r="E34" s="193" t="s">
        <v>694</v>
      </c>
      <c r="F34" s="160" t="s">
        <v>20</v>
      </c>
      <c r="G34" s="161"/>
      <c r="H34" s="186" t="str">
        <f t="shared" si="0"/>
        <v>Used?</v>
      </c>
      <c r="I34" s="186" t="b">
        <f t="shared" si="1"/>
        <v>0</v>
      </c>
      <c r="J34" s="186" t="str">
        <f t="shared" si="2"/>
        <v>Used?</v>
      </c>
      <c r="K34" s="186" t="b">
        <f t="shared" si="3"/>
        <v>0</v>
      </c>
      <c r="L34" s="186" t="str">
        <f t="shared" si="4"/>
        <v>N/A</v>
      </c>
      <c r="M34" s="186" t="b">
        <f t="shared" si="5"/>
        <v>1</v>
      </c>
      <c r="N34" s="186" t="str">
        <f t="shared" si="6"/>
        <v>Used?</v>
      </c>
      <c r="O34" s="186" t="b">
        <f t="shared" si="7"/>
        <v>0</v>
      </c>
      <c r="P34" s="26" t="s">
        <v>696</v>
      </c>
      <c r="Q34" s="160" t="s">
        <v>20</v>
      </c>
      <c r="R34" s="160" t="s">
        <v>20</v>
      </c>
      <c r="S34" s="26" t="s">
        <v>697</v>
      </c>
      <c r="T34" s="165" t="str">
        <f t="shared" si="8"/>
        <v>Not Used</v>
      </c>
      <c r="U34" s="162"/>
      <c r="V34" s="55"/>
      <c r="W34" s="51" t="b">
        <f t="shared" si="9"/>
        <v>1</v>
      </c>
      <c r="X34" s="51" t="str">
        <f t="shared" si="10"/>
        <v>Not Used</v>
      </c>
      <c r="Y34" s="51" t="str">
        <f t="shared" si="11"/>
        <v>Not Used</v>
      </c>
      <c r="Z34" s="51" t="str">
        <f t="shared" si="12"/>
        <v>Not Used</v>
      </c>
      <c r="AA34" s="51" t="str">
        <f t="shared" si="12"/>
        <v>Not Used</v>
      </c>
      <c r="AB34" s="51" t="str">
        <f t="shared" si="13"/>
        <v>Not Used</v>
      </c>
      <c r="AC34" s="51" t="b">
        <f t="shared" si="14"/>
        <v>1</v>
      </c>
      <c r="AD34" s="51">
        <f>COUNTIF($X$5:$X$34, "Not Used")</f>
        <v>30</v>
      </c>
      <c r="AE34" s="51">
        <f>COUNTIF($X$5:$X$34, "TRUE")</f>
        <v>0</v>
      </c>
      <c r="AF34" s="51" t="b">
        <f t="shared" si="15"/>
        <v>1</v>
      </c>
      <c r="AI34" s="51" t="b">
        <f t="shared" si="16"/>
        <v>0</v>
      </c>
      <c r="AJ34" s="51" t="b">
        <f t="shared" si="17"/>
        <v>0</v>
      </c>
      <c r="AK34" s="51" t="b">
        <f t="shared" si="18"/>
        <v>0</v>
      </c>
      <c r="AL34" s="51" t="b">
        <f t="shared" si="19"/>
        <v>0</v>
      </c>
      <c r="AM34" s="51" t="b">
        <f t="shared" si="20"/>
        <v>0</v>
      </c>
      <c r="AN34" s="51"/>
      <c r="AO34" s="51" t="b">
        <f t="shared" si="21"/>
        <v>0</v>
      </c>
      <c r="AP34" s="51" t="str">
        <f t="shared" si="43"/>
        <v>Tier 1 MMS, Tier 1 Sub MMS</v>
      </c>
      <c r="AQ34" s="51" t="b">
        <f t="shared" si="22"/>
        <v>0</v>
      </c>
      <c r="AR34" s="51" t="b">
        <f t="shared" si="23"/>
        <v>0</v>
      </c>
      <c r="AS34" s="51" t="b">
        <f t="shared" si="24"/>
        <v>0</v>
      </c>
      <c r="AT34" s="51" t="b">
        <f t="shared" si="25"/>
        <v>0</v>
      </c>
      <c r="AU34" s="51" t="b">
        <f t="shared" si="26"/>
        <v>0</v>
      </c>
      <c r="AV34" s="51" t="str">
        <f t="shared" si="27"/>
        <v/>
      </c>
      <c r="AW34" s="51" t="str">
        <f t="shared" si="28"/>
        <v/>
      </c>
      <c r="AX34" s="51" t="str">
        <f t="shared" si="29"/>
        <v/>
      </c>
      <c r="AY34" s="51" t="str">
        <f t="shared" si="30"/>
        <v/>
      </c>
      <c r="AZ34" s="51" t="str">
        <f t="shared" si="31"/>
        <v/>
      </c>
      <c r="BA34" s="51" t="str">
        <f t="shared" si="32"/>
        <v/>
      </c>
      <c r="BB34" s="51" t="str">
        <f t="shared" si="33"/>
        <v/>
      </c>
      <c r="BC34" s="51" t="str">
        <f t="shared" si="34"/>
        <v/>
      </c>
      <c r="BD34" s="51" t="str">
        <f t="shared" si="35"/>
        <v/>
      </c>
      <c r="BE34" s="51" t="str">
        <f t="shared" si="36"/>
        <v/>
      </c>
      <c r="BF34" s="51" t="str">
        <f t="shared" si="37"/>
        <v/>
      </c>
      <c r="BG34" s="51" t="str">
        <f t="shared" si="38"/>
        <v/>
      </c>
      <c r="BH34" s="51" t="b">
        <f t="shared" si="39"/>
        <v>0</v>
      </c>
      <c r="BI34" s="51" t="str">
        <f t="shared" si="40"/>
        <v/>
      </c>
      <c r="BJ34" s="51" t="str">
        <f t="shared" si="41"/>
        <v/>
      </c>
      <c r="BK34" s="51" t="b">
        <f t="shared" si="42"/>
        <v>0</v>
      </c>
      <c r="BL34" s="192"/>
    </row>
    <row r="35" spans="1:64" ht="13.5" thickBot="1" x14ac:dyDescent="0.25">
      <c r="A35" s="185" t="s">
        <v>727</v>
      </c>
      <c r="B35" s="193" t="s">
        <v>694</v>
      </c>
      <c r="C35" s="193" t="s">
        <v>694</v>
      </c>
      <c r="D35" s="194" t="s">
        <v>695</v>
      </c>
      <c r="E35" s="193" t="s">
        <v>694</v>
      </c>
      <c r="F35" s="160" t="s">
        <v>20</v>
      </c>
      <c r="G35" s="161"/>
      <c r="H35" s="186" t="str">
        <f t="shared" si="0"/>
        <v>Used?</v>
      </c>
      <c r="I35" s="186" t="b">
        <f t="shared" si="1"/>
        <v>0</v>
      </c>
      <c r="J35" s="186" t="str">
        <f t="shared" si="2"/>
        <v>Used?</v>
      </c>
      <c r="K35" s="186" t="b">
        <f t="shared" si="3"/>
        <v>0</v>
      </c>
      <c r="L35" s="186" t="str">
        <f t="shared" si="4"/>
        <v>N/A</v>
      </c>
      <c r="M35" s="186" t="b">
        <f t="shared" si="5"/>
        <v>1</v>
      </c>
      <c r="N35" s="186" t="str">
        <f t="shared" si="6"/>
        <v>Used?</v>
      </c>
      <c r="O35" s="186" t="b">
        <f t="shared" si="7"/>
        <v>0</v>
      </c>
      <c r="P35" s="26" t="s">
        <v>696</v>
      </c>
      <c r="Q35" s="160" t="s">
        <v>20</v>
      </c>
      <c r="R35" s="160" t="s">
        <v>20</v>
      </c>
      <c r="S35" s="26" t="s">
        <v>697</v>
      </c>
      <c r="T35" s="165" t="str">
        <f t="shared" si="8"/>
        <v>Not Used</v>
      </c>
      <c r="U35" s="162"/>
      <c r="V35" s="55"/>
      <c r="W35" s="51" t="b">
        <f t="shared" si="9"/>
        <v>1</v>
      </c>
      <c r="X35" s="51" t="str">
        <f t="shared" si="10"/>
        <v>Not Used</v>
      </c>
      <c r="Y35" s="51" t="str">
        <f t="shared" si="11"/>
        <v>Not Used</v>
      </c>
      <c r="Z35" s="51" t="str">
        <f t="shared" si="12"/>
        <v>Not Used</v>
      </c>
      <c r="AA35" s="51" t="str">
        <f t="shared" si="12"/>
        <v>Not Used</v>
      </c>
      <c r="AB35" s="51" t="str">
        <f t="shared" si="13"/>
        <v>Not Used</v>
      </c>
      <c r="AC35" s="51" t="b">
        <f t="shared" si="14"/>
        <v>1</v>
      </c>
      <c r="AD35" s="51">
        <f>COUNTIF($X$5:$X$35, "Not Used")</f>
        <v>31</v>
      </c>
      <c r="AE35" s="51">
        <f>COUNTIF($X$5:$X$35, "TRUE")</f>
        <v>0</v>
      </c>
      <c r="AF35" s="51" t="b">
        <f t="shared" si="15"/>
        <v>1</v>
      </c>
      <c r="AI35" s="51" t="b">
        <f t="shared" si="16"/>
        <v>0</v>
      </c>
      <c r="AJ35" s="51" t="b">
        <f t="shared" si="17"/>
        <v>0</v>
      </c>
      <c r="AK35" s="51" t="b">
        <f t="shared" si="18"/>
        <v>0</v>
      </c>
      <c r="AL35" s="51" t="b">
        <f t="shared" si="19"/>
        <v>0</v>
      </c>
      <c r="AM35" s="51" t="b">
        <f t="shared" si="20"/>
        <v>0</v>
      </c>
      <c r="AN35" s="51"/>
      <c r="AO35" s="51" t="b">
        <f t="shared" si="21"/>
        <v>0</v>
      </c>
      <c r="AP35" s="51" t="str">
        <f t="shared" si="43"/>
        <v>Tier 1 MMS, Tier 1 Sub MMS</v>
      </c>
      <c r="AQ35" s="51" t="b">
        <f t="shared" si="22"/>
        <v>0</v>
      </c>
      <c r="AR35" s="51" t="b">
        <f t="shared" si="23"/>
        <v>0</v>
      </c>
      <c r="AS35" s="51" t="b">
        <f t="shared" si="24"/>
        <v>0</v>
      </c>
      <c r="AT35" s="51" t="b">
        <f t="shared" si="25"/>
        <v>0</v>
      </c>
      <c r="AU35" s="51" t="b">
        <f t="shared" si="26"/>
        <v>0</v>
      </c>
      <c r="AV35" s="51" t="str">
        <f t="shared" si="27"/>
        <v/>
      </c>
      <c r="AW35" s="51" t="str">
        <f t="shared" si="28"/>
        <v/>
      </c>
      <c r="AX35" s="51" t="str">
        <f t="shared" si="29"/>
        <v/>
      </c>
      <c r="AY35" s="51" t="str">
        <f t="shared" si="30"/>
        <v/>
      </c>
      <c r="AZ35" s="51" t="str">
        <f t="shared" si="31"/>
        <v/>
      </c>
      <c r="BA35" s="51" t="str">
        <f t="shared" si="32"/>
        <v/>
      </c>
      <c r="BB35" s="51" t="str">
        <f t="shared" si="33"/>
        <v/>
      </c>
      <c r="BC35" s="51" t="str">
        <f t="shared" si="34"/>
        <v/>
      </c>
      <c r="BD35" s="51" t="str">
        <f t="shared" si="35"/>
        <v/>
      </c>
      <c r="BE35" s="51" t="str">
        <f t="shared" si="36"/>
        <v/>
      </c>
      <c r="BF35" s="51" t="str">
        <f t="shared" si="37"/>
        <v/>
      </c>
      <c r="BG35" s="51" t="str">
        <f t="shared" si="38"/>
        <v/>
      </c>
      <c r="BH35" s="51" t="b">
        <f t="shared" si="39"/>
        <v>0</v>
      </c>
      <c r="BI35" s="51" t="str">
        <f t="shared" si="40"/>
        <v/>
      </c>
      <c r="BJ35" s="51" t="str">
        <f t="shared" si="41"/>
        <v/>
      </c>
      <c r="BK35" s="51" t="b">
        <f t="shared" si="42"/>
        <v>0</v>
      </c>
      <c r="BL35" s="192"/>
    </row>
    <row r="36" spans="1:64" ht="13.5" thickBot="1" x14ac:dyDescent="0.25">
      <c r="A36" s="185" t="s">
        <v>728</v>
      </c>
      <c r="B36" s="193" t="s">
        <v>694</v>
      </c>
      <c r="C36" s="194" t="s">
        <v>695</v>
      </c>
      <c r="D36" s="194" t="s">
        <v>695</v>
      </c>
      <c r="E36" s="193" t="s">
        <v>694</v>
      </c>
      <c r="F36" s="160" t="s">
        <v>20</v>
      </c>
      <c r="G36" s="161"/>
      <c r="H36" s="186" t="str">
        <f t="shared" si="0"/>
        <v>Used?</v>
      </c>
      <c r="I36" s="186" t="b">
        <f t="shared" si="1"/>
        <v>0</v>
      </c>
      <c r="J36" s="186" t="str">
        <f t="shared" si="2"/>
        <v>N/A</v>
      </c>
      <c r="K36" s="186" t="b">
        <f t="shared" si="3"/>
        <v>1</v>
      </c>
      <c r="L36" s="186" t="str">
        <f t="shared" si="4"/>
        <v>N/A</v>
      </c>
      <c r="M36" s="186" t="b">
        <f t="shared" si="5"/>
        <v>1</v>
      </c>
      <c r="N36" s="186" t="str">
        <f t="shared" si="6"/>
        <v>Used?</v>
      </c>
      <c r="O36" s="186" t="b">
        <f t="shared" si="7"/>
        <v>0</v>
      </c>
      <c r="P36" s="26" t="s">
        <v>696</v>
      </c>
      <c r="Q36" s="160" t="s">
        <v>20</v>
      </c>
      <c r="R36" s="160" t="s">
        <v>20</v>
      </c>
      <c r="S36" s="26" t="s">
        <v>697</v>
      </c>
      <c r="T36" s="165" t="str">
        <f t="shared" si="8"/>
        <v>Not Used</v>
      </c>
      <c r="U36" s="162"/>
      <c r="V36" s="55"/>
      <c r="W36" s="51" t="b">
        <f t="shared" si="9"/>
        <v>1</v>
      </c>
      <c r="X36" s="51" t="str">
        <f t="shared" si="10"/>
        <v>Not Used</v>
      </c>
      <c r="Y36" s="51" t="str">
        <f t="shared" si="11"/>
        <v>Not Used</v>
      </c>
      <c r="Z36" s="51" t="str">
        <f t="shared" si="12"/>
        <v>Not Used</v>
      </c>
      <c r="AA36" s="51" t="str">
        <f t="shared" si="12"/>
        <v>Not Used</v>
      </c>
      <c r="AB36" s="51" t="str">
        <f t="shared" si="13"/>
        <v>Not Used</v>
      </c>
      <c r="AC36" s="51" t="b">
        <f t="shared" si="14"/>
        <v>1</v>
      </c>
      <c r="AD36" s="51">
        <f>COUNTIF($X$5:$X$36, "Not Used")</f>
        <v>32</v>
      </c>
      <c r="AE36" s="51">
        <f>COUNTIF($X$5:$X$36, "TRUE")</f>
        <v>0</v>
      </c>
      <c r="AF36" s="51" t="b">
        <f t="shared" si="15"/>
        <v>1</v>
      </c>
      <c r="AI36" s="51" t="b">
        <f t="shared" si="16"/>
        <v>0</v>
      </c>
      <c r="AJ36" s="51" t="b">
        <f t="shared" si="17"/>
        <v>0</v>
      </c>
      <c r="AK36" s="51" t="b">
        <f t="shared" si="18"/>
        <v>0</v>
      </c>
      <c r="AL36" s="51" t="b">
        <f t="shared" si="19"/>
        <v>0</v>
      </c>
      <c r="AM36" s="51" t="b">
        <f t="shared" si="20"/>
        <v>0</v>
      </c>
      <c r="AN36" s="51"/>
      <c r="AO36" s="51" t="b">
        <f t="shared" si="21"/>
        <v>0</v>
      </c>
      <c r="AP36" s="51" t="str">
        <f t="shared" si="43"/>
        <v>Tier 1 MMS</v>
      </c>
      <c r="AQ36" s="51" t="b">
        <f t="shared" si="22"/>
        <v>0</v>
      </c>
      <c r="AR36" s="51" t="b">
        <f t="shared" si="23"/>
        <v>0</v>
      </c>
      <c r="AS36" s="51" t="str">
        <f t="shared" si="24"/>
        <v/>
      </c>
      <c r="AT36" s="51" t="b">
        <f t="shared" si="25"/>
        <v>0</v>
      </c>
      <c r="AU36" s="51" t="b">
        <f t="shared" si="26"/>
        <v>0</v>
      </c>
      <c r="AV36" s="51" t="str">
        <f t="shared" si="27"/>
        <v/>
      </c>
      <c r="AW36" s="51" t="str">
        <f t="shared" si="28"/>
        <v/>
      </c>
      <c r="AX36" s="51" t="str">
        <f t="shared" si="29"/>
        <v/>
      </c>
      <c r="AY36" s="51" t="str">
        <f t="shared" si="30"/>
        <v/>
      </c>
      <c r="AZ36" s="51" t="str">
        <f t="shared" si="31"/>
        <v/>
      </c>
      <c r="BA36" s="51" t="str">
        <f t="shared" si="32"/>
        <v/>
      </c>
      <c r="BB36" s="51" t="str">
        <f t="shared" si="33"/>
        <v/>
      </c>
      <c r="BC36" s="51" t="str">
        <f t="shared" si="34"/>
        <v/>
      </c>
      <c r="BD36" s="51" t="str">
        <f t="shared" si="35"/>
        <v/>
      </c>
      <c r="BE36" s="51" t="str">
        <f t="shared" si="36"/>
        <v/>
      </c>
      <c r="BF36" s="51" t="str">
        <f t="shared" si="37"/>
        <v/>
      </c>
      <c r="BG36" s="51" t="str">
        <f t="shared" si="38"/>
        <v/>
      </c>
      <c r="BH36" s="51" t="b">
        <f t="shared" si="39"/>
        <v>0</v>
      </c>
      <c r="BI36" s="51" t="str">
        <f t="shared" si="40"/>
        <v/>
      </c>
      <c r="BJ36" s="51" t="str">
        <f t="shared" si="41"/>
        <v/>
      </c>
      <c r="BK36" s="51" t="b">
        <f t="shared" si="42"/>
        <v>0</v>
      </c>
      <c r="BL36" s="192"/>
    </row>
    <row r="37" spans="1:64" ht="13.5" thickBot="1" x14ac:dyDescent="0.25">
      <c r="A37" s="185" t="s">
        <v>729</v>
      </c>
      <c r="B37" s="193" t="s">
        <v>694</v>
      </c>
      <c r="C37" s="194" t="s">
        <v>695</v>
      </c>
      <c r="D37" s="194" t="s">
        <v>695</v>
      </c>
      <c r="E37" s="193" t="s">
        <v>694</v>
      </c>
      <c r="F37" s="160" t="s">
        <v>20</v>
      </c>
      <c r="G37" s="161"/>
      <c r="H37" s="186" t="str">
        <f t="shared" si="0"/>
        <v>Used?</v>
      </c>
      <c r="I37" s="186" t="b">
        <f t="shared" si="1"/>
        <v>0</v>
      </c>
      <c r="J37" s="186" t="str">
        <f t="shared" si="2"/>
        <v>N/A</v>
      </c>
      <c r="K37" s="186" t="b">
        <f t="shared" si="3"/>
        <v>1</v>
      </c>
      <c r="L37" s="186" t="str">
        <f t="shared" si="4"/>
        <v>N/A</v>
      </c>
      <c r="M37" s="186" t="b">
        <f t="shared" si="5"/>
        <v>1</v>
      </c>
      <c r="N37" s="186" t="str">
        <f t="shared" si="6"/>
        <v>Used?</v>
      </c>
      <c r="O37" s="186" t="b">
        <f t="shared" si="7"/>
        <v>0</v>
      </c>
      <c r="P37" s="26" t="s">
        <v>696</v>
      </c>
      <c r="Q37" s="160" t="s">
        <v>20</v>
      </c>
      <c r="R37" s="160" t="s">
        <v>20</v>
      </c>
      <c r="S37" s="26" t="s">
        <v>697</v>
      </c>
      <c r="T37" s="165" t="str">
        <f t="shared" si="8"/>
        <v>Not Used</v>
      </c>
      <c r="U37" s="162"/>
      <c r="V37" s="55"/>
      <c r="W37" s="51" t="b">
        <f t="shared" si="9"/>
        <v>1</v>
      </c>
      <c r="X37" s="51" t="str">
        <f t="shared" si="10"/>
        <v>Not Used</v>
      </c>
      <c r="Y37" s="51" t="str">
        <f t="shared" si="11"/>
        <v>Not Used</v>
      </c>
      <c r="Z37" s="51" t="str">
        <f t="shared" si="12"/>
        <v>Not Used</v>
      </c>
      <c r="AA37" s="51" t="str">
        <f t="shared" si="12"/>
        <v>Not Used</v>
      </c>
      <c r="AB37" s="51" t="str">
        <f t="shared" si="13"/>
        <v>Not Used</v>
      </c>
      <c r="AC37" s="51" t="b">
        <f t="shared" si="14"/>
        <v>1</v>
      </c>
      <c r="AD37" s="51">
        <f>COUNTIF($X$5:$X$37, "Not Used")</f>
        <v>33</v>
      </c>
      <c r="AE37" s="51">
        <f>COUNTIF($X$5:$X$37, "TRUE")</f>
        <v>0</v>
      </c>
      <c r="AF37" s="51" t="b">
        <f t="shared" si="15"/>
        <v>1</v>
      </c>
      <c r="AI37" s="51" t="b">
        <f t="shared" si="16"/>
        <v>0</v>
      </c>
      <c r="AJ37" s="51" t="b">
        <f t="shared" si="17"/>
        <v>0</v>
      </c>
      <c r="AK37" s="51" t="b">
        <f t="shared" si="18"/>
        <v>0</v>
      </c>
      <c r="AL37" s="51" t="b">
        <f t="shared" si="19"/>
        <v>0</v>
      </c>
      <c r="AM37" s="51" t="b">
        <f t="shared" si="20"/>
        <v>0</v>
      </c>
      <c r="AN37" s="51"/>
      <c r="AO37" s="51" t="b">
        <f t="shared" si="21"/>
        <v>0</v>
      </c>
      <c r="AP37" s="51" t="str">
        <f t="shared" si="43"/>
        <v>Tier 1 MMS</v>
      </c>
      <c r="AQ37" s="51" t="b">
        <f t="shared" si="22"/>
        <v>0</v>
      </c>
      <c r="AR37" s="51" t="b">
        <f t="shared" si="23"/>
        <v>0</v>
      </c>
      <c r="AS37" s="51" t="str">
        <f t="shared" si="24"/>
        <v/>
      </c>
      <c r="AT37" s="51" t="b">
        <f t="shared" si="25"/>
        <v>0</v>
      </c>
      <c r="AU37" s="51" t="b">
        <f t="shared" si="26"/>
        <v>0</v>
      </c>
      <c r="AV37" s="51" t="str">
        <f t="shared" si="27"/>
        <v/>
      </c>
      <c r="AW37" s="51" t="str">
        <f t="shared" si="28"/>
        <v/>
      </c>
      <c r="AX37" s="51" t="str">
        <f t="shared" si="29"/>
        <v/>
      </c>
      <c r="AY37" s="51" t="str">
        <f t="shared" si="30"/>
        <v/>
      </c>
      <c r="AZ37" s="51" t="str">
        <f t="shared" si="31"/>
        <v/>
      </c>
      <c r="BA37" s="51" t="str">
        <f t="shared" si="32"/>
        <v/>
      </c>
      <c r="BB37" s="51" t="str">
        <f t="shared" si="33"/>
        <v/>
      </c>
      <c r="BC37" s="51" t="str">
        <f t="shared" si="34"/>
        <v/>
      </c>
      <c r="BD37" s="51" t="str">
        <f t="shared" si="35"/>
        <v/>
      </c>
      <c r="BE37" s="51" t="str">
        <f t="shared" si="36"/>
        <v/>
      </c>
      <c r="BF37" s="51" t="str">
        <f t="shared" si="37"/>
        <v/>
      </c>
      <c r="BG37" s="51" t="str">
        <f t="shared" si="38"/>
        <v/>
      </c>
      <c r="BH37" s="51" t="b">
        <f t="shared" si="39"/>
        <v>0</v>
      </c>
      <c r="BI37" s="51" t="str">
        <f t="shared" si="40"/>
        <v/>
      </c>
      <c r="BJ37" s="51" t="str">
        <f t="shared" si="41"/>
        <v/>
      </c>
      <c r="BK37" s="51" t="b">
        <f t="shared" si="42"/>
        <v>0</v>
      </c>
      <c r="BL37" s="192"/>
    </row>
    <row r="38" spans="1:64" ht="13.5" thickBot="1" x14ac:dyDescent="0.25">
      <c r="A38" s="185" t="s">
        <v>730</v>
      </c>
      <c r="B38" s="193" t="s">
        <v>694</v>
      </c>
      <c r="C38" s="194" t="s">
        <v>695</v>
      </c>
      <c r="D38" s="194" t="s">
        <v>695</v>
      </c>
      <c r="E38" s="193" t="s">
        <v>694</v>
      </c>
      <c r="F38" s="160" t="s">
        <v>20</v>
      </c>
      <c r="G38" s="161"/>
      <c r="H38" s="186" t="str">
        <f t="shared" si="0"/>
        <v>Used?</v>
      </c>
      <c r="I38" s="186" t="b">
        <f t="shared" si="1"/>
        <v>0</v>
      </c>
      <c r="J38" s="186" t="str">
        <f t="shared" si="2"/>
        <v>N/A</v>
      </c>
      <c r="K38" s="186" t="b">
        <f t="shared" si="3"/>
        <v>1</v>
      </c>
      <c r="L38" s="186" t="str">
        <f t="shared" si="4"/>
        <v>N/A</v>
      </c>
      <c r="M38" s="186" t="b">
        <f t="shared" si="5"/>
        <v>1</v>
      </c>
      <c r="N38" s="186" t="str">
        <f t="shared" si="6"/>
        <v>Used?</v>
      </c>
      <c r="O38" s="186" t="b">
        <f t="shared" si="7"/>
        <v>0</v>
      </c>
      <c r="P38" s="26" t="s">
        <v>696</v>
      </c>
      <c r="Q38" s="160" t="s">
        <v>20</v>
      </c>
      <c r="R38" s="160" t="s">
        <v>20</v>
      </c>
      <c r="S38" s="26" t="s">
        <v>697</v>
      </c>
      <c r="T38" s="165" t="str">
        <f t="shared" si="8"/>
        <v>Not Used</v>
      </c>
      <c r="U38" s="162"/>
      <c r="V38" s="55"/>
      <c r="W38" s="51" t="b">
        <f t="shared" si="9"/>
        <v>1</v>
      </c>
      <c r="X38" s="51" t="str">
        <f t="shared" si="10"/>
        <v>Not Used</v>
      </c>
      <c r="Y38" s="51" t="str">
        <f t="shared" si="11"/>
        <v>Not Used</v>
      </c>
      <c r="Z38" s="51" t="str">
        <f t="shared" si="12"/>
        <v>Not Used</v>
      </c>
      <c r="AA38" s="51" t="str">
        <f t="shared" si="12"/>
        <v>Not Used</v>
      </c>
      <c r="AB38" s="51" t="str">
        <f t="shared" si="13"/>
        <v>Not Used</v>
      </c>
      <c r="AC38" s="51" t="b">
        <f t="shared" si="14"/>
        <v>1</v>
      </c>
      <c r="AD38" s="51">
        <f>COUNTIF($X$5:$X$38, "Not Used")</f>
        <v>34</v>
      </c>
      <c r="AE38" s="51">
        <f>COUNTIF($X$5:$X$38, "TRUE")</f>
        <v>0</v>
      </c>
      <c r="AF38" s="51" t="b">
        <f t="shared" si="15"/>
        <v>1</v>
      </c>
      <c r="AI38" s="51" t="b">
        <f t="shared" si="16"/>
        <v>0</v>
      </c>
      <c r="AJ38" s="51" t="b">
        <f t="shared" si="17"/>
        <v>0</v>
      </c>
      <c r="AK38" s="51" t="b">
        <f t="shared" si="18"/>
        <v>0</v>
      </c>
      <c r="AL38" s="51" t="b">
        <f t="shared" si="19"/>
        <v>0</v>
      </c>
      <c r="AM38" s="51" t="b">
        <f t="shared" si="20"/>
        <v>0</v>
      </c>
      <c r="AN38" s="51"/>
      <c r="AO38" s="51" t="b">
        <f t="shared" si="21"/>
        <v>0</v>
      </c>
      <c r="AP38" s="51" t="str">
        <f t="shared" si="43"/>
        <v>Tier 1 MMS</v>
      </c>
      <c r="AQ38" s="51" t="b">
        <f t="shared" si="22"/>
        <v>0</v>
      </c>
      <c r="AR38" s="51" t="b">
        <f t="shared" si="23"/>
        <v>0</v>
      </c>
      <c r="AS38" s="51" t="str">
        <f t="shared" si="24"/>
        <v/>
      </c>
      <c r="AT38" s="51" t="b">
        <f t="shared" si="25"/>
        <v>0</v>
      </c>
      <c r="AU38" s="51" t="b">
        <f t="shared" si="26"/>
        <v>0</v>
      </c>
      <c r="AV38" s="51" t="str">
        <f t="shared" si="27"/>
        <v/>
      </c>
      <c r="AW38" s="51" t="str">
        <f t="shared" si="28"/>
        <v/>
      </c>
      <c r="AX38" s="51" t="str">
        <f t="shared" si="29"/>
        <v/>
      </c>
      <c r="AY38" s="51" t="str">
        <f t="shared" si="30"/>
        <v/>
      </c>
      <c r="AZ38" s="51" t="str">
        <f t="shared" si="31"/>
        <v/>
      </c>
      <c r="BA38" s="51" t="str">
        <f t="shared" si="32"/>
        <v/>
      </c>
      <c r="BB38" s="51" t="str">
        <f t="shared" si="33"/>
        <v/>
      </c>
      <c r="BC38" s="51" t="str">
        <f t="shared" si="34"/>
        <v/>
      </c>
      <c r="BD38" s="51" t="str">
        <f t="shared" si="35"/>
        <v/>
      </c>
      <c r="BE38" s="51" t="str">
        <f t="shared" si="36"/>
        <v/>
      </c>
      <c r="BF38" s="51" t="str">
        <f t="shared" si="37"/>
        <v/>
      </c>
      <c r="BG38" s="51" t="str">
        <f t="shared" si="38"/>
        <v/>
      </c>
      <c r="BH38" s="51" t="b">
        <f t="shared" si="39"/>
        <v>0</v>
      </c>
      <c r="BI38" s="51" t="str">
        <f t="shared" si="40"/>
        <v/>
      </c>
      <c r="BJ38" s="51" t="str">
        <f t="shared" si="41"/>
        <v/>
      </c>
      <c r="BK38" s="51" t="b">
        <f t="shared" si="42"/>
        <v>0</v>
      </c>
      <c r="BL38" s="192"/>
    </row>
    <row r="39" spans="1:64" ht="13.5" thickBot="1" x14ac:dyDescent="0.25">
      <c r="A39" s="185" t="s">
        <v>731</v>
      </c>
      <c r="B39" s="193" t="s">
        <v>694</v>
      </c>
      <c r="C39" s="194" t="s">
        <v>695</v>
      </c>
      <c r="D39" s="194" t="s">
        <v>695</v>
      </c>
      <c r="E39" s="193" t="s">
        <v>694</v>
      </c>
      <c r="F39" s="160" t="s">
        <v>20</v>
      </c>
      <c r="G39" s="161"/>
      <c r="H39" s="186" t="str">
        <f t="shared" si="0"/>
        <v>Used?</v>
      </c>
      <c r="I39" s="186" t="b">
        <f t="shared" si="1"/>
        <v>0</v>
      </c>
      <c r="J39" s="186" t="str">
        <f t="shared" si="2"/>
        <v>N/A</v>
      </c>
      <c r="K39" s="186" t="b">
        <f t="shared" si="3"/>
        <v>1</v>
      </c>
      <c r="L39" s="186" t="str">
        <f t="shared" si="4"/>
        <v>N/A</v>
      </c>
      <c r="M39" s="186" t="b">
        <f t="shared" si="5"/>
        <v>1</v>
      </c>
      <c r="N39" s="186" t="str">
        <f t="shared" si="6"/>
        <v>Used?</v>
      </c>
      <c r="O39" s="186" t="b">
        <f t="shared" si="7"/>
        <v>0</v>
      </c>
      <c r="P39" s="26" t="s">
        <v>696</v>
      </c>
      <c r="Q39" s="160" t="s">
        <v>20</v>
      </c>
      <c r="R39" s="160" t="s">
        <v>20</v>
      </c>
      <c r="S39" s="26" t="s">
        <v>697</v>
      </c>
      <c r="T39" s="165" t="str">
        <f t="shared" si="8"/>
        <v>Not Used</v>
      </c>
      <c r="U39" s="162"/>
      <c r="V39" s="55"/>
      <c r="W39" s="51" t="b">
        <f t="shared" si="9"/>
        <v>1</v>
      </c>
      <c r="X39" s="51" t="str">
        <f t="shared" si="10"/>
        <v>Not Used</v>
      </c>
      <c r="Y39" s="51" t="str">
        <f t="shared" si="11"/>
        <v>Not Used</v>
      </c>
      <c r="Z39" s="51" t="str">
        <f t="shared" si="12"/>
        <v>Not Used</v>
      </c>
      <c r="AA39" s="51" t="str">
        <f t="shared" si="12"/>
        <v>Not Used</v>
      </c>
      <c r="AB39" s="51" t="str">
        <f t="shared" si="13"/>
        <v>Not Used</v>
      </c>
      <c r="AC39" s="51" t="b">
        <f t="shared" si="14"/>
        <v>1</v>
      </c>
      <c r="AD39" s="51">
        <f>COUNTIF($X$5:$X$39, "Not Used")</f>
        <v>35</v>
      </c>
      <c r="AE39" s="51">
        <f>COUNTIF($X$5:$X$39, "TRUE")</f>
        <v>0</v>
      </c>
      <c r="AF39" s="51" t="b">
        <f t="shared" si="15"/>
        <v>1</v>
      </c>
      <c r="AI39" s="51" t="b">
        <f t="shared" si="16"/>
        <v>0</v>
      </c>
      <c r="AJ39" s="51" t="b">
        <f t="shared" si="17"/>
        <v>0</v>
      </c>
      <c r="AK39" s="51" t="b">
        <f t="shared" si="18"/>
        <v>0</v>
      </c>
      <c r="AL39" s="51" t="b">
        <f t="shared" si="19"/>
        <v>0</v>
      </c>
      <c r="AM39" s="51" t="b">
        <f t="shared" si="20"/>
        <v>0</v>
      </c>
      <c r="AN39" s="51"/>
      <c r="AO39" s="51" t="b">
        <f t="shared" si="21"/>
        <v>0</v>
      </c>
      <c r="AP39" s="51" t="str">
        <f t="shared" si="43"/>
        <v>Tier 1 MMS</v>
      </c>
      <c r="AQ39" s="51" t="b">
        <f t="shared" si="22"/>
        <v>0</v>
      </c>
      <c r="AR39" s="51" t="b">
        <f t="shared" si="23"/>
        <v>0</v>
      </c>
      <c r="AS39" s="51" t="str">
        <f t="shared" si="24"/>
        <v/>
      </c>
      <c r="AT39" s="51" t="b">
        <f t="shared" si="25"/>
        <v>0</v>
      </c>
      <c r="AU39" s="51" t="b">
        <f t="shared" si="26"/>
        <v>0</v>
      </c>
      <c r="AV39" s="51" t="str">
        <f t="shared" si="27"/>
        <v/>
      </c>
      <c r="AW39" s="51" t="str">
        <f t="shared" si="28"/>
        <v/>
      </c>
      <c r="AX39" s="51" t="str">
        <f t="shared" si="29"/>
        <v/>
      </c>
      <c r="AY39" s="51" t="str">
        <f t="shared" si="30"/>
        <v/>
      </c>
      <c r="AZ39" s="51" t="str">
        <f t="shared" si="31"/>
        <v/>
      </c>
      <c r="BA39" s="51" t="str">
        <f t="shared" si="32"/>
        <v/>
      </c>
      <c r="BB39" s="51" t="str">
        <f t="shared" si="33"/>
        <v/>
      </c>
      <c r="BC39" s="51" t="str">
        <f t="shared" si="34"/>
        <v/>
      </c>
      <c r="BD39" s="51" t="str">
        <f t="shared" si="35"/>
        <v/>
      </c>
      <c r="BE39" s="51" t="str">
        <f t="shared" si="36"/>
        <v/>
      </c>
      <c r="BF39" s="51" t="str">
        <f t="shared" si="37"/>
        <v/>
      </c>
      <c r="BG39" s="51" t="str">
        <f t="shared" si="38"/>
        <v/>
      </c>
      <c r="BH39" s="51" t="b">
        <f t="shared" si="39"/>
        <v>0</v>
      </c>
      <c r="BI39" s="51" t="str">
        <f t="shared" si="40"/>
        <v/>
      </c>
      <c r="BJ39" s="51" t="str">
        <f t="shared" si="41"/>
        <v/>
      </c>
      <c r="BK39" s="51" t="b">
        <f t="shared" si="42"/>
        <v>0</v>
      </c>
      <c r="BL39" s="192"/>
    </row>
    <row r="40" spans="1:64" ht="13.5" thickBot="1" x14ac:dyDescent="0.25">
      <c r="A40" s="185" t="s">
        <v>732</v>
      </c>
      <c r="B40" s="193" t="s">
        <v>694</v>
      </c>
      <c r="C40" s="194" t="s">
        <v>695</v>
      </c>
      <c r="D40" s="194" t="s">
        <v>695</v>
      </c>
      <c r="E40" s="193" t="s">
        <v>694</v>
      </c>
      <c r="F40" s="160" t="s">
        <v>20</v>
      </c>
      <c r="G40" s="161"/>
      <c r="H40" s="186" t="str">
        <f t="shared" si="0"/>
        <v>Used?</v>
      </c>
      <c r="I40" s="186" t="b">
        <f t="shared" si="1"/>
        <v>0</v>
      </c>
      <c r="J40" s="186" t="str">
        <f t="shared" si="2"/>
        <v>N/A</v>
      </c>
      <c r="K40" s="186" t="b">
        <f t="shared" si="3"/>
        <v>1</v>
      </c>
      <c r="L40" s="186" t="str">
        <f t="shared" si="4"/>
        <v>N/A</v>
      </c>
      <c r="M40" s="186" t="b">
        <f t="shared" si="5"/>
        <v>1</v>
      </c>
      <c r="N40" s="186" t="str">
        <f t="shared" si="6"/>
        <v>Used?</v>
      </c>
      <c r="O40" s="186" t="b">
        <f t="shared" si="7"/>
        <v>0</v>
      </c>
      <c r="P40" s="26" t="s">
        <v>696</v>
      </c>
      <c r="Q40" s="160" t="s">
        <v>20</v>
      </c>
      <c r="R40" s="160" t="s">
        <v>20</v>
      </c>
      <c r="S40" s="26" t="s">
        <v>697</v>
      </c>
      <c r="T40" s="165" t="str">
        <f t="shared" si="8"/>
        <v>Not Used</v>
      </c>
      <c r="U40" s="162"/>
      <c r="V40" s="55"/>
      <c r="W40" s="51" t="b">
        <f t="shared" si="9"/>
        <v>1</v>
      </c>
      <c r="X40" s="51" t="str">
        <f t="shared" si="10"/>
        <v>Not Used</v>
      </c>
      <c r="Y40" s="51" t="str">
        <f t="shared" si="11"/>
        <v>Not Used</v>
      </c>
      <c r="Z40" s="51" t="str">
        <f t="shared" si="12"/>
        <v>Not Used</v>
      </c>
      <c r="AA40" s="51" t="str">
        <f t="shared" si="12"/>
        <v>Not Used</v>
      </c>
      <c r="AB40" s="51" t="str">
        <f t="shared" si="13"/>
        <v>Not Used</v>
      </c>
      <c r="AC40" s="51" t="b">
        <f t="shared" si="14"/>
        <v>1</v>
      </c>
      <c r="AD40" s="51">
        <f>COUNTIF($X$5:$X$40, "Not Used")</f>
        <v>36</v>
      </c>
      <c r="AE40" s="51">
        <f>COUNTIF($X$5:$X$40, "TRUE")</f>
        <v>0</v>
      </c>
      <c r="AF40" s="51" t="b">
        <f t="shared" si="15"/>
        <v>1</v>
      </c>
      <c r="AI40" s="51" t="b">
        <f t="shared" si="16"/>
        <v>0</v>
      </c>
      <c r="AJ40" s="51" t="b">
        <f t="shared" si="17"/>
        <v>0</v>
      </c>
      <c r="AK40" s="51" t="b">
        <f t="shared" si="18"/>
        <v>0</v>
      </c>
      <c r="AL40" s="51" t="b">
        <f t="shared" si="19"/>
        <v>0</v>
      </c>
      <c r="AM40" s="51" t="b">
        <f t="shared" si="20"/>
        <v>0</v>
      </c>
      <c r="AN40" s="51"/>
      <c r="AO40" s="51" t="b">
        <f t="shared" si="21"/>
        <v>0</v>
      </c>
      <c r="AP40" s="51" t="str">
        <f t="shared" si="43"/>
        <v>Tier 1 MMS</v>
      </c>
      <c r="AQ40" s="51" t="b">
        <f t="shared" si="22"/>
        <v>0</v>
      </c>
      <c r="AR40" s="51" t="b">
        <f t="shared" si="23"/>
        <v>0</v>
      </c>
      <c r="AS40" s="51" t="str">
        <f t="shared" si="24"/>
        <v/>
      </c>
      <c r="AT40" s="51" t="b">
        <f t="shared" si="25"/>
        <v>0</v>
      </c>
      <c r="AU40" s="51" t="b">
        <f t="shared" si="26"/>
        <v>0</v>
      </c>
      <c r="AV40" s="51" t="str">
        <f t="shared" si="27"/>
        <v/>
      </c>
      <c r="AW40" s="51" t="str">
        <f t="shared" si="28"/>
        <v/>
      </c>
      <c r="AX40" s="51" t="str">
        <f t="shared" si="29"/>
        <v/>
      </c>
      <c r="AY40" s="51" t="str">
        <f t="shared" si="30"/>
        <v/>
      </c>
      <c r="AZ40" s="51" t="str">
        <f t="shared" si="31"/>
        <v/>
      </c>
      <c r="BA40" s="51" t="str">
        <f t="shared" si="32"/>
        <v/>
      </c>
      <c r="BB40" s="51" t="str">
        <f t="shared" si="33"/>
        <v/>
      </c>
      <c r="BC40" s="51" t="str">
        <f t="shared" si="34"/>
        <v/>
      </c>
      <c r="BD40" s="51" t="str">
        <f t="shared" si="35"/>
        <v/>
      </c>
      <c r="BE40" s="51" t="str">
        <f t="shared" si="36"/>
        <v/>
      </c>
      <c r="BF40" s="51" t="str">
        <f t="shared" si="37"/>
        <v/>
      </c>
      <c r="BG40" s="51" t="str">
        <f t="shared" si="38"/>
        <v/>
      </c>
      <c r="BH40" s="51" t="b">
        <f t="shared" si="39"/>
        <v>0</v>
      </c>
      <c r="BI40" s="51" t="str">
        <f t="shared" si="40"/>
        <v/>
      </c>
      <c r="BJ40" s="51" t="str">
        <f t="shared" si="41"/>
        <v/>
      </c>
      <c r="BK40" s="51" t="b">
        <f t="shared" si="42"/>
        <v>0</v>
      </c>
      <c r="BL40" s="192"/>
    </row>
    <row r="41" spans="1:64" ht="13.5" thickBot="1" x14ac:dyDescent="0.25">
      <c r="A41" s="185" t="s">
        <v>733</v>
      </c>
      <c r="B41" s="193" t="s">
        <v>694</v>
      </c>
      <c r="C41" s="194" t="s">
        <v>695</v>
      </c>
      <c r="D41" s="194" t="s">
        <v>695</v>
      </c>
      <c r="E41" s="193" t="s">
        <v>694</v>
      </c>
      <c r="F41" s="160" t="s">
        <v>20</v>
      </c>
      <c r="G41" s="161"/>
      <c r="H41" s="186" t="str">
        <f t="shared" si="0"/>
        <v>Used?</v>
      </c>
      <c r="I41" s="186" t="b">
        <f t="shared" si="1"/>
        <v>0</v>
      </c>
      <c r="J41" s="186" t="str">
        <f t="shared" si="2"/>
        <v>N/A</v>
      </c>
      <c r="K41" s="186" t="b">
        <f t="shared" si="3"/>
        <v>1</v>
      </c>
      <c r="L41" s="186" t="str">
        <f t="shared" si="4"/>
        <v>N/A</v>
      </c>
      <c r="M41" s="186" t="b">
        <f t="shared" si="5"/>
        <v>1</v>
      </c>
      <c r="N41" s="186" t="str">
        <f t="shared" si="6"/>
        <v>Used?</v>
      </c>
      <c r="O41" s="186" t="b">
        <f t="shared" si="7"/>
        <v>0</v>
      </c>
      <c r="P41" s="26" t="s">
        <v>696</v>
      </c>
      <c r="Q41" s="160" t="s">
        <v>20</v>
      </c>
      <c r="R41" s="160" t="s">
        <v>20</v>
      </c>
      <c r="S41" s="26" t="s">
        <v>697</v>
      </c>
      <c r="T41" s="165" t="str">
        <f t="shared" si="8"/>
        <v>Not Used</v>
      </c>
      <c r="U41" s="162"/>
      <c r="V41" s="55"/>
      <c r="W41" s="51" t="b">
        <f t="shared" si="9"/>
        <v>1</v>
      </c>
      <c r="X41" s="51" t="str">
        <f t="shared" si="10"/>
        <v>Not Used</v>
      </c>
      <c r="Y41" s="51" t="str">
        <f t="shared" si="11"/>
        <v>Not Used</v>
      </c>
      <c r="Z41" s="51" t="str">
        <f t="shared" si="12"/>
        <v>Not Used</v>
      </c>
      <c r="AA41" s="51" t="str">
        <f t="shared" si="12"/>
        <v>Not Used</v>
      </c>
      <c r="AB41" s="51" t="str">
        <f t="shared" si="13"/>
        <v>Not Used</v>
      </c>
      <c r="AC41" s="51" t="b">
        <f t="shared" si="14"/>
        <v>1</v>
      </c>
      <c r="AD41" s="51">
        <f>COUNTIF($X$5:$X$41, "Not Used")</f>
        <v>37</v>
      </c>
      <c r="AE41" s="51">
        <f>COUNTIF($X$5:$X$41, "TRUE")</f>
        <v>0</v>
      </c>
      <c r="AF41" s="51" t="b">
        <f t="shared" si="15"/>
        <v>1</v>
      </c>
      <c r="AI41" s="51" t="b">
        <f t="shared" si="16"/>
        <v>0</v>
      </c>
      <c r="AJ41" s="51" t="b">
        <f t="shared" si="17"/>
        <v>0</v>
      </c>
      <c r="AK41" s="51" t="b">
        <f t="shared" si="18"/>
        <v>0</v>
      </c>
      <c r="AL41" s="51" t="b">
        <f t="shared" si="19"/>
        <v>0</v>
      </c>
      <c r="AM41" s="51" t="b">
        <f t="shared" si="20"/>
        <v>0</v>
      </c>
      <c r="AN41" s="51"/>
      <c r="AO41" s="51" t="b">
        <f t="shared" si="21"/>
        <v>0</v>
      </c>
      <c r="AP41" s="51" t="str">
        <f t="shared" si="43"/>
        <v>Tier 1 MMS</v>
      </c>
      <c r="AQ41" s="51" t="b">
        <f t="shared" si="22"/>
        <v>0</v>
      </c>
      <c r="AR41" s="51" t="b">
        <f t="shared" si="23"/>
        <v>0</v>
      </c>
      <c r="AS41" s="51" t="str">
        <f t="shared" si="24"/>
        <v/>
      </c>
      <c r="AT41" s="51" t="b">
        <f t="shared" si="25"/>
        <v>0</v>
      </c>
      <c r="AU41" s="51" t="b">
        <f t="shared" si="26"/>
        <v>0</v>
      </c>
      <c r="AV41" s="51" t="str">
        <f t="shared" si="27"/>
        <v/>
      </c>
      <c r="AW41" s="51" t="str">
        <f t="shared" si="28"/>
        <v/>
      </c>
      <c r="AX41" s="51" t="str">
        <f t="shared" si="29"/>
        <v/>
      </c>
      <c r="AY41" s="51" t="str">
        <f t="shared" si="30"/>
        <v/>
      </c>
      <c r="AZ41" s="51" t="str">
        <f t="shared" si="31"/>
        <v/>
      </c>
      <c r="BA41" s="51" t="str">
        <f t="shared" si="32"/>
        <v/>
      </c>
      <c r="BB41" s="51" t="str">
        <f t="shared" si="33"/>
        <v/>
      </c>
      <c r="BC41" s="51" t="str">
        <f t="shared" si="34"/>
        <v/>
      </c>
      <c r="BD41" s="51" t="str">
        <f t="shared" si="35"/>
        <v/>
      </c>
      <c r="BE41" s="51" t="str">
        <f t="shared" si="36"/>
        <v/>
      </c>
      <c r="BF41" s="51" t="str">
        <f t="shared" si="37"/>
        <v/>
      </c>
      <c r="BG41" s="51" t="str">
        <f t="shared" si="38"/>
        <v/>
      </c>
      <c r="BH41" s="51" t="b">
        <f t="shared" si="39"/>
        <v>0</v>
      </c>
      <c r="BI41" s="51" t="str">
        <f t="shared" si="40"/>
        <v/>
      </c>
      <c r="BJ41" s="51" t="str">
        <f t="shared" si="41"/>
        <v/>
      </c>
      <c r="BK41" s="51" t="b">
        <f t="shared" si="42"/>
        <v>0</v>
      </c>
      <c r="BL41" s="192"/>
    </row>
    <row r="42" spans="1:64" ht="13.5" thickBot="1" x14ac:dyDescent="0.25">
      <c r="A42" s="185" t="s">
        <v>734</v>
      </c>
      <c r="B42" s="193" t="s">
        <v>694</v>
      </c>
      <c r="C42" s="194" t="s">
        <v>695</v>
      </c>
      <c r="D42" s="194" t="s">
        <v>695</v>
      </c>
      <c r="E42" s="193" t="s">
        <v>694</v>
      </c>
      <c r="F42" s="160" t="s">
        <v>20</v>
      </c>
      <c r="G42" s="161"/>
      <c r="H42" s="186" t="str">
        <f t="shared" si="0"/>
        <v>Used?</v>
      </c>
      <c r="I42" s="186" t="b">
        <f t="shared" si="1"/>
        <v>0</v>
      </c>
      <c r="J42" s="186" t="str">
        <f t="shared" si="2"/>
        <v>N/A</v>
      </c>
      <c r="K42" s="186" t="b">
        <f t="shared" si="3"/>
        <v>1</v>
      </c>
      <c r="L42" s="186" t="str">
        <f t="shared" si="4"/>
        <v>N/A</v>
      </c>
      <c r="M42" s="186" t="b">
        <f t="shared" si="5"/>
        <v>1</v>
      </c>
      <c r="N42" s="186" t="str">
        <f t="shared" si="6"/>
        <v>Used?</v>
      </c>
      <c r="O42" s="186" t="b">
        <f t="shared" si="7"/>
        <v>0</v>
      </c>
      <c r="P42" s="26" t="s">
        <v>696</v>
      </c>
      <c r="Q42" s="160" t="s">
        <v>20</v>
      </c>
      <c r="R42" s="160" t="s">
        <v>20</v>
      </c>
      <c r="S42" s="26" t="s">
        <v>697</v>
      </c>
      <c r="T42" s="165" t="str">
        <f t="shared" si="8"/>
        <v>Not Used</v>
      </c>
      <c r="U42" s="162"/>
      <c r="V42" s="55"/>
      <c r="W42" s="51" t="b">
        <f t="shared" si="9"/>
        <v>1</v>
      </c>
      <c r="X42" s="51" t="str">
        <f t="shared" si="10"/>
        <v>Not Used</v>
      </c>
      <c r="Y42" s="51" t="str">
        <f t="shared" si="11"/>
        <v>Not Used</v>
      </c>
      <c r="Z42" s="51" t="str">
        <f t="shared" si="12"/>
        <v>Not Used</v>
      </c>
      <c r="AA42" s="51" t="str">
        <f t="shared" si="12"/>
        <v>Not Used</v>
      </c>
      <c r="AB42" s="51" t="str">
        <f t="shared" si="13"/>
        <v>Not Used</v>
      </c>
      <c r="AC42" s="51" t="b">
        <f t="shared" si="14"/>
        <v>1</v>
      </c>
      <c r="AD42" s="51">
        <f>COUNTIF($X$5:$X$42, "Not Used")</f>
        <v>38</v>
      </c>
      <c r="AE42" s="51">
        <f>COUNTIF($X$5:$X$42, "TRUE")</f>
        <v>0</v>
      </c>
      <c r="AF42" s="51" t="b">
        <f t="shared" si="15"/>
        <v>1</v>
      </c>
      <c r="AI42" s="51" t="b">
        <f t="shared" si="16"/>
        <v>0</v>
      </c>
      <c r="AJ42" s="51" t="b">
        <f t="shared" si="17"/>
        <v>0</v>
      </c>
      <c r="AK42" s="51" t="b">
        <f t="shared" si="18"/>
        <v>0</v>
      </c>
      <c r="AL42" s="51" t="b">
        <f t="shared" si="19"/>
        <v>0</v>
      </c>
      <c r="AM42" s="51" t="b">
        <f t="shared" si="20"/>
        <v>0</v>
      </c>
      <c r="AN42" s="51"/>
      <c r="AO42" s="51" t="b">
        <f t="shared" si="21"/>
        <v>0</v>
      </c>
      <c r="AP42" s="51" t="str">
        <f t="shared" si="43"/>
        <v>Tier 1 MMS</v>
      </c>
      <c r="AQ42" s="51" t="b">
        <f t="shared" si="22"/>
        <v>0</v>
      </c>
      <c r="AR42" s="51" t="b">
        <f t="shared" si="23"/>
        <v>0</v>
      </c>
      <c r="AS42" s="51" t="str">
        <f t="shared" si="24"/>
        <v/>
      </c>
      <c r="AT42" s="51" t="b">
        <f t="shared" si="25"/>
        <v>0</v>
      </c>
      <c r="AU42" s="51" t="b">
        <f t="shared" si="26"/>
        <v>0</v>
      </c>
      <c r="AV42" s="51" t="str">
        <f t="shared" si="27"/>
        <v/>
      </c>
      <c r="AW42" s="51" t="str">
        <f t="shared" si="28"/>
        <v/>
      </c>
      <c r="AX42" s="51" t="str">
        <f t="shared" si="29"/>
        <v/>
      </c>
      <c r="AY42" s="51" t="str">
        <f t="shared" si="30"/>
        <v/>
      </c>
      <c r="AZ42" s="51" t="str">
        <f t="shared" si="31"/>
        <v/>
      </c>
      <c r="BA42" s="51" t="str">
        <f t="shared" si="32"/>
        <v/>
      </c>
      <c r="BB42" s="51" t="str">
        <f t="shared" si="33"/>
        <v/>
      </c>
      <c r="BC42" s="51" t="str">
        <f t="shared" si="34"/>
        <v/>
      </c>
      <c r="BD42" s="51" t="str">
        <f t="shared" si="35"/>
        <v/>
      </c>
      <c r="BE42" s="51" t="str">
        <f t="shared" si="36"/>
        <v/>
      </c>
      <c r="BF42" s="51" t="str">
        <f t="shared" si="37"/>
        <v/>
      </c>
      <c r="BG42" s="51" t="str">
        <f t="shared" si="38"/>
        <v/>
      </c>
      <c r="BH42" s="51" t="b">
        <f t="shared" si="39"/>
        <v>0</v>
      </c>
      <c r="BI42" s="51" t="str">
        <f t="shared" si="40"/>
        <v/>
      </c>
      <c r="BJ42" s="51" t="str">
        <f t="shared" si="41"/>
        <v/>
      </c>
      <c r="BK42" s="51" t="b">
        <f t="shared" si="42"/>
        <v>0</v>
      </c>
      <c r="BL42" s="192"/>
    </row>
    <row r="43" spans="1:64" ht="13.5" thickBot="1" x14ac:dyDescent="0.25">
      <c r="A43" s="185" t="s">
        <v>735</v>
      </c>
      <c r="B43" s="193" t="s">
        <v>694</v>
      </c>
      <c r="C43" s="193" t="s">
        <v>694</v>
      </c>
      <c r="D43" s="194" t="s">
        <v>695</v>
      </c>
      <c r="E43" s="193" t="s">
        <v>694</v>
      </c>
      <c r="F43" s="160" t="s">
        <v>20</v>
      </c>
      <c r="G43" s="161"/>
      <c r="H43" s="186" t="str">
        <f t="shared" si="0"/>
        <v>Used?</v>
      </c>
      <c r="I43" s="186" t="b">
        <f t="shared" si="1"/>
        <v>0</v>
      </c>
      <c r="J43" s="186" t="str">
        <f t="shared" si="2"/>
        <v>Used?</v>
      </c>
      <c r="K43" s="186" t="b">
        <f t="shared" si="3"/>
        <v>0</v>
      </c>
      <c r="L43" s="186" t="str">
        <f t="shared" si="4"/>
        <v>N/A</v>
      </c>
      <c r="M43" s="186" t="b">
        <f t="shared" si="5"/>
        <v>1</v>
      </c>
      <c r="N43" s="186" t="str">
        <f t="shared" si="6"/>
        <v>Used?</v>
      </c>
      <c r="O43" s="186" t="b">
        <f t="shared" si="7"/>
        <v>0</v>
      </c>
      <c r="P43" s="26" t="s">
        <v>696</v>
      </c>
      <c r="Q43" s="160" t="s">
        <v>20</v>
      </c>
      <c r="R43" s="160" t="s">
        <v>20</v>
      </c>
      <c r="S43" s="26" t="s">
        <v>697</v>
      </c>
      <c r="T43" s="165" t="str">
        <f t="shared" si="8"/>
        <v>Not Used</v>
      </c>
      <c r="U43" s="162"/>
      <c r="V43" s="55"/>
      <c r="W43" s="51" t="b">
        <f t="shared" si="9"/>
        <v>1</v>
      </c>
      <c r="X43" s="51" t="str">
        <f t="shared" si="10"/>
        <v>Not Used</v>
      </c>
      <c r="Y43" s="51" t="str">
        <f t="shared" si="11"/>
        <v>Not Used</v>
      </c>
      <c r="Z43" s="51" t="str">
        <f t="shared" si="12"/>
        <v>Not Used</v>
      </c>
      <c r="AA43" s="51" t="str">
        <f t="shared" si="12"/>
        <v>Not Used</v>
      </c>
      <c r="AB43" s="51" t="str">
        <f t="shared" si="13"/>
        <v>Not Used</v>
      </c>
      <c r="AC43" s="51" t="b">
        <f t="shared" si="14"/>
        <v>1</v>
      </c>
      <c r="AD43" s="51">
        <f>COUNTIF($X$5:$X$43, "Not Used")</f>
        <v>39</v>
      </c>
      <c r="AE43" s="51">
        <f>COUNTIF($X$5:$X$43, "TRUE")</f>
        <v>0</v>
      </c>
      <c r="AF43" s="51" t="b">
        <f t="shared" si="15"/>
        <v>1</v>
      </c>
      <c r="AI43" s="51" t="b">
        <f t="shared" si="16"/>
        <v>0</v>
      </c>
      <c r="AJ43" s="51" t="b">
        <f t="shared" si="17"/>
        <v>0</v>
      </c>
      <c r="AK43" s="51" t="b">
        <f t="shared" si="18"/>
        <v>0</v>
      </c>
      <c r="AL43" s="51" t="b">
        <f t="shared" si="19"/>
        <v>0</v>
      </c>
      <c r="AM43" s="51" t="b">
        <f t="shared" si="20"/>
        <v>0</v>
      </c>
      <c r="AN43" s="51"/>
      <c r="AO43" s="51" t="b">
        <f t="shared" si="21"/>
        <v>0</v>
      </c>
      <c r="AP43" s="51" t="str">
        <f t="shared" si="43"/>
        <v>Tier 1 MMS, Tier 1 Sub MMS</v>
      </c>
      <c r="AQ43" s="51" t="b">
        <f t="shared" si="22"/>
        <v>0</v>
      </c>
      <c r="AR43" s="51" t="b">
        <f t="shared" si="23"/>
        <v>0</v>
      </c>
      <c r="AS43" s="51" t="b">
        <f t="shared" si="24"/>
        <v>0</v>
      </c>
      <c r="AT43" s="51" t="b">
        <f t="shared" si="25"/>
        <v>0</v>
      </c>
      <c r="AU43" s="51" t="b">
        <f t="shared" si="26"/>
        <v>0</v>
      </c>
      <c r="AV43" s="51" t="str">
        <f t="shared" si="27"/>
        <v/>
      </c>
      <c r="AW43" s="51" t="str">
        <f t="shared" si="28"/>
        <v/>
      </c>
      <c r="AX43" s="51" t="str">
        <f t="shared" si="29"/>
        <v/>
      </c>
      <c r="AY43" s="51" t="str">
        <f t="shared" si="30"/>
        <v/>
      </c>
      <c r="AZ43" s="51" t="str">
        <f t="shared" si="31"/>
        <v/>
      </c>
      <c r="BA43" s="51" t="str">
        <f t="shared" si="32"/>
        <v/>
      </c>
      <c r="BB43" s="51" t="str">
        <f t="shared" si="33"/>
        <v/>
      </c>
      <c r="BC43" s="51" t="str">
        <f t="shared" si="34"/>
        <v/>
      </c>
      <c r="BD43" s="51" t="str">
        <f t="shared" si="35"/>
        <v/>
      </c>
      <c r="BE43" s="51" t="str">
        <f t="shared" si="36"/>
        <v/>
      </c>
      <c r="BF43" s="51" t="str">
        <f t="shared" si="37"/>
        <v/>
      </c>
      <c r="BG43" s="51" t="str">
        <f t="shared" si="38"/>
        <v/>
      </c>
      <c r="BH43" s="51" t="b">
        <f t="shared" si="39"/>
        <v>0</v>
      </c>
      <c r="BI43" s="51" t="str">
        <f t="shared" si="40"/>
        <v/>
      </c>
      <c r="BJ43" s="51" t="str">
        <f t="shared" si="41"/>
        <v/>
      </c>
      <c r="BK43" s="51" t="b">
        <f t="shared" si="42"/>
        <v>0</v>
      </c>
      <c r="BL43" s="192"/>
    </row>
    <row r="44" spans="1:64" ht="13.5" thickBot="1" x14ac:dyDescent="0.25">
      <c r="A44" s="185" t="s">
        <v>736</v>
      </c>
      <c r="B44" s="193" t="s">
        <v>694</v>
      </c>
      <c r="C44" s="193" t="s">
        <v>694</v>
      </c>
      <c r="D44" s="194" t="s">
        <v>695</v>
      </c>
      <c r="E44" s="193" t="s">
        <v>694</v>
      </c>
      <c r="F44" s="160" t="s">
        <v>20</v>
      </c>
      <c r="G44" s="161"/>
      <c r="H44" s="186" t="str">
        <f t="shared" si="0"/>
        <v>Used?</v>
      </c>
      <c r="I44" s="186" t="b">
        <f t="shared" si="1"/>
        <v>0</v>
      </c>
      <c r="J44" s="186" t="str">
        <f t="shared" si="2"/>
        <v>Used?</v>
      </c>
      <c r="K44" s="186" t="b">
        <f t="shared" si="3"/>
        <v>0</v>
      </c>
      <c r="L44" s="186" t="str">
        <f t="shared" si="4"/>
        <v>N/A</v>
      </c>
      <c r="M44" s="186" t="b">
        <f t="shared" si="5"/>
        <v>1</v>
      </c>
      <c r="N44" s="186" t="str">
        <f t="shared" si="6"/>
        <v>Used?</v>
      </c>
      <c r="O44" s="186" t="b">
        <f t="shared" si="7"/>
        <v>0</v>
      </c>
      <c r="P44" s="26" t="s">
        <v>696</v>
      </c>
      <c r="Q44" s="160" t="s">
        <v>20</v>
      </c>
      <c r="R44" s="160" t="s">
        <v>20</v>
      </c>
      <c r="S44" s="26" t="s">
        <v>697</v>
      </c>
      <c r="T44" s="165" t="str">
        <f t="shared" si="8"/>
        <v>Not Used</v>
      </c>
      <c r="U44" s="162"/>
      <c r="V44" s="55"/>
      <c r="W44" s="51" t="b">
        <f t="shared" si="9"/>
        <v>1</v>
      </c>
      <c r="X44" s="51" t="str">
        <f t="shared" si="10"/>
        <v>Not Used</v>
      </c>
      <c r="Y44" s="51" t="str">
        <f t="shared" si="11"/>
        <v>Not Used</v>
      </c>
      <c r="Z44" s="51" t="str">
        <f t="shared" si="12"/>
        <v>Not Used</v>
      </c>
      <c r="AA44" s="51" t="str">
        <f t="shared" si="12"/>
        <v>Not Used</v>
      </c>
      <c r="AB44" s="51" t="str">
        <f t="shared" si="13"/>
        <v>Not Used</v>
      </c>
      <c r="AC44" s="51" t="b">
        <f t="shared" si="14"/>
        <v>1</v>
      </c>
      <c r="AD44" s="51">
        <f>COUNTIF($X$5:$X$44, "Not Used")</f>
        <v>40</v>
      </c>
      <c r="AE44" s="51">
        <f>COUNTIF($X$5:$X$44, "TRUE")</f>
        <v>0</v>
      </c>
      <c r="AF44" s="51" t="b">
        <f t="shared" si="15"/>
        <v>1</v>
      </c>
      <c r="AI44" s="51" t="b">
        <f t="shared" si="16"/>
        <v>0</v>
      </c>
      <c r="AJ44" s="51" t="b">
        <f t="shared" si="17"/>
        <v>0</v>
      </c>
      <c r="AK44" s="51" t="b">
        <f t="shared" si="18"/>
        <v>0</v>
      </c>
      <c r="AL44" s="51" t="b">
        <f t="shared" si="19"/>
        <v>0</v>
      </c>
      <c r="AM44" s="51" t="b">
        <f t="shared" si="20"/>
        <v>0</v>
      </c>
      <c r="AN44" s="51"/>
      <c r="AO44" s="51" t="b">
        <f t="shared" si="21"/>
        <v>0</v>
      </c>
      <c r="AP44" s="51" t="str">
        <f t="shared" si="43"/>
        <v>Tier 1 MMS, Tier 1 Sub MMS</v>
      </c>
      <c r="AQ44" s="51" t="b">
        <f t="shared" si="22"/>
        <v>0</v>
      </c>
      <c r="AR44" s="51" t="b">
        <f t="shared" si="23"/>
        <v>0</v>
      </c>
      <c r="AS44" s="51" t="b">
        <f t="shared" si="24"/>
        <v>0</v>
      </c>
      <c r="AT44" s="51" t="b">
        <f t="shared" si="25"/>
        <v>0</v>
      </c>
      <c r="AU44" s="51" t="b">
        <f t="shared" si="26"/>
        <v>0</v>
      </c>
      <c r="AV44" s="51" t="str">
        <f t="shared" si="27"/>
        <v/>
      </c>
      <c r="AW44" s="51" t="str">
        <f t="shared" si="28"/>
        <v/>
      </c>
      <c r="AX44" s="51" t="str">
        <f t="shared" si="29"/>
        <v/>
      </c>
      <c r="AY44" s="51" t="str">
        <f t="shared" si="30"/>
        <v/>
      </c>
      <c r="AZ44" s="51" t="str">
        <f t="shared" si="31"/>
        <v/>
      </c>
      <c r="BA44" s="51" t="str">
        <f t="shared" si="32"/>
        <v/>
      </c>
      <c r="BB44" s="51" t="str">
        <f t="shared" si="33"/>
        <v/>
      </c>
      <c r="BC44" s="51" t="str">
        <f t="shared" si="34"/>
        <v/>
      </c>
      <c r="BD44" s="51" t="str">
        <f t="shared" si="35"/>
        <v/>
      </c>
      <c r="BE44" s="51" t="str">
        <f t="shared" si="36"/>
        <v/>
      </c>
      <c r="BF44" s="51" t="str">
        <f t="shared" si="37"/>
        <v/>
      </c>
      <c r="BG44" s="51" t="str">
        <f t="shared" si="38"/>
        <v/>
      </c>
      <c r="BH44" s="51" t="b">
        <f t="shared" si="39"/>
        <v>0</v>
      </c>
      <c r="BI44" s="51" t="str">
        <f t="shared" si="40"/>
        <v/>
      </c>
      <c r="BJ44" s="51" t="str">
        <f t="shared" si="41"/>
        <v/>
      </c>
      <c r="BK44" s="51" t="b">
        <f t="shared" si="42"/>
        <v>0</v>
      </c>
      <c r="BL44" s="192"/>
    </row>
    <row r="45" spans="1:64" ht="13.5" thickBot="1" x14ac:dyDescent="0.25">
      <c r="A45" s="185" t="s">
        <v>737</v>
      </c>
      <c r="B45" s="193" t="s">
        <v>694</v>
      </c>
      <c r="C45" s="193" t="s">
        <v>694</v>
      </c>
      <c r="D45" s="194" t="s">
        <v>695</v>
      </c>
      <c r="E45" s="193" t="s">
        <v>694</v>
      </c>
      <c r="F45" s="160" t="s">
        <v>20</v>
      </c>
      <c r="G45" s="161"/>
      <c r="H45" s="186" t="str">
        <f t="shared" si="0"/>
        <v>Used?</v>
      </c>
      <c r="I45" s="186" t="b">
        <f t="shared" si="1"/>
        <v>0</v>
      </c>
      <c r="J45" s="186" t="str">
        <f t="shared" si="2"/>
        <v>Used?</v>
      </c>
      <c r="K45" s="186" t="b">
        <f t="shared" si="3"/>
        <v>0</v>
      </c>
      <c r="L45" s="186" t="str">
        <f t="shared" si="4"/>
        <v>N/A</v>
      </c>
      <c r="M45" s="186" t="b">
        <f t="shared" si="5"/>
        <v>1</v>
      </c>
      <c r="N45" s="186" t="str">
        <f t="shared" si="6"/>
        <v>Used?</v>
      </c>
      <c r="O45" s="186" t="b">
        <f t="shared" si="7"/>
        <v>0</v>
      </c>
      <c r="P45" s="26" t="s">
        <v>696</v>
      </c>
      <c r="Q45" s="160" t="s">
        <v>20</v>
      </c>
      <c r="R45" s="160" t="s">
        <v>20</v>
      </c>
      <c r="S45" s="26" t="s">
        <v>697</v>
      </c>
      <c r="T45" s="165" t="str">
        <f t="shared" si="8"/>
        <v>Not Used</v>
      </c>
      <c r="U45" s="162"/>
      <c r="V45" s="55"/>
      <c r="W45" s="51" t="b">
        <f t="shared" si="9"/>
        <v>1</v>
      </c>
      <c r="X45" s="51" t="str">
        <f t="shared" si="10"/>
        <v>Not Used</v>
      </c>
      <c r="Y45" s="51" t="str">
        <f t="shared" si="11"/>
        <v>Not Used</v>
      </c>
      <c r="Z45" s="51" t="str">
        <f t="shared" si="12"/>
        <v>Not Used</v>
      </c>
      <c r="AA45" s="51" t="str">
        <f t="shared" si="12"/>
        <v>Not Used</v>
      </c>
      <c r="AB45" s="51" t="str">
        <f t="shared" si="13"/>
        <v>Not Used</v>
      </c>
      <c r="AC45" s="51" t="b">
        <f t="shared" si="14"/>
        <v>1</v>
      </c>
      <c r="AD45" s="51">
        <f>COUNTIF($X$5:$X$45, "Not Used")</f>
        <v>41</v>
      </c>
      <c r="AE45" s="51">
        <f>COUNTIF($X$5:$X$45, "TRUE")</f>
        <v>0</v>
      </c>
      <c r="AF45" s="51" t="b">
        <f t="shared" si="15"/>
        <v>1</v>
      </c>
      <c r="AI45" s="51" t="b">
        <f t="shared" si="16"/>
        <v>0</v>
      </c>
      <c r="AJ45" s="51" t="b">
        <f t="shared" si="17"/>
        <v>0</v>
      </c>
      <c r="AK45" s="51" t="b">
        <f t="shared" si="18"/>
        <v>0</v>
      </c>
      <c r="AL45" s="51" t="b">
        <f t="shared" si="19"/>
        <v>0</v>
      </c>
      <c r="AM45" s="51" t="b">
        <f t="shared" si="20"/>
        <v>0</v>
      </c>
      <c r="AN45" s="51"/>
      <c r="AO45" s="51" t="b">
        <f t="shared" si="21"/>
        <v>0</v>
      </c>
      <c r="AP45" s="51" t="str">
        <f t="shared" si="43"/>
        <v>Tier 1 MMS, Tier 1 Sub MMS</v>
      </c>
      <c r="AQ45" s="51" t="b">
        <f t="shared" si="22"/>
        <v>0</v>
      </c>
      <c r="AR45" s="51" t="b">
        <f t="shared" si="23"/>
        <v>0</v>
      </c>
      <c r="AS45" s="51" t="b">
        <f t="shared" si="24"/>
        <v>0</v>
      </c>
      <c r="AT45" s="51" t="b">
        <f t="shared" si="25"/>
        <v>0</v>
      </c>
      <c r="AU45" s="51" t="b">
        <f t="shared" si="26"/>
        <v>0</v>
      </c>
      <c r="AV45" s="51" t="str">
        <f t="shared" si="27"/>
        <v/>
      </c>
      <c r="AW45" s="51" t="str">
        <f t="shared" si="28"/>
        <v/>
      </c>
      <c r="AX45" s="51" t="str">
        <f t="shared" si="29"/>
        <v/>
      </c>
      <c r="AY45" s="51" t="str">
        <f t="shared" si="30"/>
        <v/>
      </c>
      <c r="AZ45" s="51" t="str">
        <f t="shared" si="31"/>
        <v/>
      </c>
      <c r="BA45" s="51" t="str">
        <f t="shared" si="32"/>
        <v/>
      </c>
      <c r="BB45" s="51" t="str">
        <f t="shared" si="33"/>
        <v/>
      </c>
      <c r="BC45" s="51" t="str">
        <f t="shared" si="34"/>
        <v/>
      </c>
      <c r="BD45" s="51" t="str">
        <f t="shared" si="35"/>
        <v/>
      </c>
      <c r="BE45" s="51" t="str">
        <f t="shared" si="36"/>
        <v/>
      </c>
      <c r="BF45" s="51" t="str">
        <f t="shared" si="37"/>
        <v/>
      </c>
      <c r="BG45" s="51" t="str">
        <f t="shared" si="38"/>
        <v/>
      </c>
      <c r="BH45" s="51" t="b">
        <f t="shared" si="39"/>
        <v>0</v>
      </c>
      <c r="BI45" s="51" t="str">
        <f t="shared" si="40"/>
        <v/>
      </c>
      <c r="BJ45" s="51" t="str">
        <f t="shared" si="41"/>
        <v/>
      </c>
      <c r="BK45" s="51" t="b">
        <f t="shared" si="42"/>
        <v>0</v>
      </c>
      <c r="BL45" s="192"/>
    </row>
    <row r="46" spans="1:64" ht="13.5" thickBot="1" x14ac:dyDescent="0.25">
      <c r="A46" s="185" t="s">
        <v>738</v>
      </c>
      <c r="B46" s="193" t="s">
        <v>694</v>
      </c>
      <c r="C46" s="193" t="s">
        <v>694</v>
      </c>
      <c r="D46" s="194" t="s">
        <v>695</v>
      </c>
      <c r="E46" s="193" t="s">
        <v>694</v>
      </c>
      <c r="F46" s="160" t="s">
        <v>20</v>
      </c>
      <c r="G46" s="161"/>
      <c r="H46" s="186" t="str">
        <f t="shared" si="0"/>
        <v>Used?</v>
      </c>
      <c r="I46" s="186" t="b">
        <f t="shared" si="1"/>
        <v>0</v>
      </c>
      <c r="J46" s="186" t="str">
        <f t="shared" si="2"/>
        <v>Used?</v>
      </c>
      <c r="K46" s="186" t="b">
        <f t="shared" si="3"/>
        <v>0</v>
      </c>
      <c r="L46" s="186" t="str">
        <f t="shared" si="4"/>
        <v>N/A</v>
      </c>
      <c r="M46" s="186" t="b">
        <f t="shared" si="5"/>
        <v>1</v>
      </c>
      <c r="N46" s="186" t="str">
        <f t="shared" si="6"/>
        <v>Used?</v>
      </c>
      <c r="O46" s="186" t="b">
        <f t="shared" si="7"/>
        <v>0</v>
      </c>
      <c r="P46" s="26" t="s">
        <v>696</v>
      </c>
      <c r="Q46" s="160" t="s">
        <v>20</v>
      </c>
      <c r="R46" s="160" t="s">
        <v>20</v>
      </c>
      <c r="S46" s="26" t="s">
        <v>697</v>
      </c>
      <c r="T46" s="165" t="str">
        <f t="shared" si="8"/>
        <v>Not Used</v>
      </c>
      <c r="U46" s="162"/>
      <c r="V46" s="55"/>
      <c r="W46" s="51" t="b">
        <f t="shared" si="9"/>
        <v>1</v>
      </c>
      <c r="X46" s="51" t="str">
        <f t="shared" si="10"/>
        <v>Not Used</v>
      </c>
      <c r="Y46" s="51" t="str">
        <f t="shared" si="11"/>
        <v>Not Used</v>
      </c>
      <c r="Z46" s="51" t="str">
        <f t="shared" si="12"/>
        <v>Not Used</v>
      </c>
      <c r="AA46" s="51" t="str">
        <f t="shared" si="12"/>
        <v>Not Used</v>
      </c>
      <c r="AB46" s="51" t="str">
        <f t="shared" si="13"/>
        <v>Not Used</v>
      </c>
      <c r="AC46" s="51" t="b">
        <f t="shared" si="14"/>
        <v>1</v>
      </c>
      <c r="AD46" s="51">
        <f>COUNTIF($X$5:$X$46, "Not Used")</f>
        <v>42</v>
      </c>
      <c r="AE46" s="51">
        <f>COUNTIF($X$5:$X$46, "TRUE")</f>
        <v>0</v>
      </c>
      <c r="AF46" s="51" t="b">
        <f t="shared" si="15"/>
        <v>1</v>
      </c>
      <c r="AI46" s="51" t="b">
        <f t="shared" si="16"/>
        <v>0</v>
      </c>
      <c r="AJ46" s="51" t="b">
        <f t="shared" si="17"/>
        <v>0</v>
      </c>
      <c r="AK46" s="51" t="b">
        <f t="shared" si="18"/>
        <v>0</v>
      </c>
      <c r="AL46" s="51" t="b">
        <f t="shared" si="19"/>
        <v>0</v>
      </c>
      <c r="AM46" s="51" t="b">
        <f t="shared" si="20"/>
        <v>0</v>
      </c>
      <c r="AN46" s="51"/>
      <c r="AO46" s="51" t="b">
        <f t="shared" si="21"/>
        <v>0</v>
      </c>
      <c r="AP46" s="51" t="str">
        <f t="shared" si="43"/>
        <v>Tier 1 MMS, Tier 1 Sub MMS</v>
      </c>
      <c r="AQ46" s="51" t="b">
        <f t="shared" si="22"/>
        <v>0</v>
      </c>
      <c r="AR46" s="51" t="b">
        <f t="shared" si="23"/>
        <v>0</v>
      </c>
      <c r="AS46" s="51" t="b">
        <f t="shared" si="24"/>
        <v>0</v>
      </c>
      <c r="AT46" s="51" t="b">
        <f t="shared" si="25"/>
        <v>0</v>
      </c>
      <c r="AU46" s="51" t="b">
        <f t="shared" si="26"/>
        <v>0</v>
      </c>
      <c r="AV46" s="51" t="str">
        <f t="shared" si="27"/>
        <v/>
      </c>
      <c r="AW46" s="51" t="str">
        <f t="shared" si="28"/>
        <v/>
      </c>
      <c r="AX46" s="51" t="str">
        <f t="shared" si="29"/>
        <v/>
      </c>
      <c r="AY46" s="51" t="str">
        <f t="shared" si="30"/>
        <v/>
      </c>
      <c r="AZ46" s="51" t="str">
        <f t="shared" si="31"/>
        <v/>
      </c>
      <c r="BA46" s="51" t="str">
        <f t="shared" si="32"/>
        <v/>
      </c>
      <c r="BB46" s="51" t="str">
        <f t="shared" si="33"/>
        <v/>
      </c>
      <c r="BC46" s="51" t="str">
        <f t="shared" si="34"/>
        <v/>
      </c>
      <c r="BD46" s="51" t="str">
        <f t="shared" si="35"/>
        <v/>
      </c>
      <c r="BE46" s="51" t="str">
        <f t="shared" si="36"/>
        <v/>
      </c>
      <c r="BF46" s="51" t="str">
        <f t="shared" si="37"/>
        <v/>
      </c>
      <c r="BG46" s="51" t="str">
        <f t="shared" si="38"/>
        <v/>
      </c>
      <c r="BH46" s="51" t="b">
        <f t="shared" si="39"/>
        <v>0</v>
      </c>
      <c r="BI46" s="51" t="str">
        <f t="shared" si="40"/>
        <v/>
      </c>
      <c r="BJ46" s="51" t="str">
        <f t="shared" si="41"/>
        <v/>
      </c>
      <c r="BK46" s="51" t="b">
        <f t="shared" si="42"/>
        <v>0</v>
      </c>
      <c r="BL46" s="192"/>
    </row>
    <row r="47" spans="1:64" ht="13.5" thickBot="1" x14ac:dyDescent="0.25">
      <c r="A47" s="185" t="s">
        <v>739</v>
      </c>
      <c r="B47" s="193" t="s">
        <v>694</v>
      </c>
      <c r="C47" s="193" t="s">
        <v>694</v>
      </c>
      <c r="D47" s="194" t="s">
        <v>695</v>
      </c>
      <c r="E47" s="193" t="s">
        <v>694</v>
      </c>
      <c r="F47" s="160" t="s">
        <v>20</v>
      </c>
      <c r="G47" s="161"/>
      <c r="H47" s="186" t="str">
        <f t="shared" si="0"/>
        <v>Used?</v>
      </c>
      <c r="I47" s="186" t="b">
        <f t="shared" si="1"/>
        <v>0</v>
      </c>
      <c r="J47" s="186" t="str">
        <f t="shared" si="2"/>
        <v>Used?</v>
      </c>
      <c r="K47" s="186" t="b">
        <f t="shared" si="3"/>
        <v>0</v>
      </c>
      <c r="L47" s="186" t="str">
        <f t="shared" si="4"/>
        <v>N/A</v>
      </c>
      <c r="M47" s="186" t="b">
        <f t="shared" si="5"/>
        <v>1</v>
      </c>
      <c r="N47" s="186" t="str">
        <f t="shared" si="6"/>
        <v>Used?</v>
      </c>
      <c r="O47" s="186" t="b">
        <f t="shared" si="7"/>
        <v>0</v>
      </c>
      <c r="P47" s="26" t="s">
        <v>696</v>
      </c>
      <c r="Q47" s="160" t="s">
        <v>20</v>
      </c>
      <c r="R47" s="160" t="s">
        <v>20</v>
      </c>
      <c r="S47" s="26" t="s">
        <v>697</v>
      </c>
      <c r="T47" s="165" t="str">
        <f t="shared" si="8"/>
        <v>Not Used</v>
      </c>
      <c r="U47" s="162"/>
      <c r="V47" s="55"/>
      <c r="W47" s="51" t="b">
        <f t="shared" si="9"/>
        <v>1</v>
      </c>
      <c r="X47" s="51" t="str">
        <f t="shared" si="10"/>
        <v>Not Used</v>
      </c>
      <c r="Y47" s="51" t="str">
        <f t="shared" si="11"/>
        <v>Not Used</v>
      </c>
      <c r="Z47" s="51" t="str">
        <f t="shared" si="12"/>
        <v>Not Used</v>
      </c>
      <c r="AA47" s="51" t="str">
        <f t="shared" si="12"/>
        <v>Not Used</v>
      </c>
      <c r="AB47" s="51" t="str">
        <f t="shared" si="13"/>
        <v>Not Used</v>
      </c>
      <c r="AC47" s="51" t="b">
        <f t="shared" si="14"/>
        <v>1</v>
      </c>
      <c r="AD47" s="51">
        <f>COUNTIF($X$5:$X$47, "Not Used")</f>
        <v>43</v>
      </c>
      <c r="AE47" s="51">
        <f>COUNTIF($X$5:$X$47, "TRUE")</f>
        <v>0</v>
      </c>
      <c r="AF47" s="51" t="b">
        <f t="shared" si="15"/>
        <v>1</v>
      </c>
      <c r="AI47" s="51" t="b">
        <f t="shared" si="16"/>
        <v>0</v>
      </c>
      <c r="AJ47" s="51" t="b">
        <f t="shared" si="17"/>
        <v>0</v>
      </c>
      <c r="AK47" s="51" t="b">
        <f t="shared" si="18"/>
        <v>0</v>
      </c>
      <c r="AL47" s="51" t="b">
        <f t="shared" si="19"/>
        <v>0</v>
      </c>
      <c r="AM47" s="51" t="b">
        <f t="shared" si="20"/>
        <v>0</v>
      </c>
      <c r="AN47" s="51"/>
      <c r="AO47" s="51" t="b">
        <f t="shared" si="21"/>
        <v>0</v>
      </c>
      <c r="AP47" s="51" t="str">
        <f t="shared" si="43"/>
        <v>Tier 1 MMS, Tier 1 Sub MMS</v>
      </c>
      <c r="AQ47" s="51" t="b">
        <f t="shared" si="22"/>
        <v>0</v>
      </c>
      <c r="AR47" s="51" t="b">
        <f t="shared" si="23"/>
        <v>0</v>
      </c>
      <c r="AS47" s="51" t="b">
        <f t="shared" si="24"/>
        <v>0</v>
      </c>
      <c r="AT47" s="51" t="b">
        <f t="shared" si="25"/>
        <v>0</v>
      </c>
      <c r="AU47" s="51" t="b">
        <f t="shared" si="26"/>
        <v>0</v>
      </c>
      <c r="AV47" s="51" t="str">
        <f t="shared" si="27"/>
        <v/>
      </c>
      <c r="AW47" s="51" t="str">
        <f t="shared" si="28"/>
        <v/>
      </c>
      <c r="AX47" s="51" t="str">
        <f t="shared" si="29"/>
        <v/>
      </c>
      <c r="AY47" s="51" t="str">
        <f t="shared" si="30"/>
        <v/>
      </c>
      <c r="AZ47" s="51" t="str">
        <f t="shared" si="31"/>
        <v/>
      </c>
      <c r="BA47" s="51" t="str">
        <f t="shared" si="32"/>
        <v/>
      </c>
      <c r="BB47" s="51" t="str">
        <f t="shared" si="33"/>
        <v/>
      </c>
      <c r="BC47" s="51" t="str">
        <f t="shared" si="34"/>
        <v/>
      </c>
      <c r="BD47" s="51" t="str">
        <f t="shared" si="35"/>
        <v/>
      </c>
      <c r="BE47" s="51" t="str">
        <f t="shared" si="36"/>
        <v/>
      </c>
      <c r="BF47" s="51" t="str">
        <f t="shared" si="37"/>
        <v/>
      </c>
      <c r="BG47" s="51" t="str">
        <f t="shared" si="38"/>
        <v/>
      </c>
      <c r="BH47" s="51" t="b">
        <f t="shared" si="39"/>
        <v>0</v>
      </c>
      <c r="BI47" s="51" t="str">
        <f t="shared" si="40"/>
        <v/>
      </c>
      <c r="BJ47" s="51" t="str">
        <f t="shared" si="41"/>
        <v/>
      </c>
      <c r="BK47" s="51" t="b">
        <f t="shared" si="42"/>
        <v>0</v>
      </c>
      <c r="BL47" s="192"/>
    </row>
    <row r="48" spans="1:64" ht="13.5" thickBot="1" x14ac:dyDescent="0.25">
      <c r="A48" s="185" t="s">
        <v>740</v>
      </c>
      <c r="B48" s="193" t="s">
        <v>694</v>
      </c>
      <c r="C48" s="194" t="s">
        <v>695</v>
      </c>
      <c r="D48" s="194" t="s">
        <v>695</v>
      </c>
      <c r="E48" s="193" t="s">
        <v>694</v>
      </c>
      <c r="F48" s="160" t="s">
        <v>20</v>
      </c>
      <c r="G48" s="161"/>
      <c r="H48" s="186" t="str">
        <f t="shared" si="0"/>
        <v>Used?</v>
      </c>
      <c r="I48" s="186" t="b">
        <f t="shared" si="1"/>
        <v>0</v>
      </c>
      <c r="J48" s="186" t="str">
        <f t="shared" si="2"/>
        <v>N/A</v>
      </c>
      <c r="K48" s="186" t="b">
        <f t="shared" si="3"/>
        <v>1</v>
      </c>
      <c r="L48" s="186" t="str">
        <f t="shared" si="4"/>
        <v>N/A</v>
      </c>
      <c r="M48" s="186" t="b">
        <f t="shared" si="5"/>
        <v>1</v>
      </c>
      <c r="N48" s="186" t="str">
        <f t="shared" si="6"/>
        <v>Used?</v>
      </c>
      <c r="O48" s="186" t="b">
        <f t="shared" si="7"/>
        <v>0</v>
      </c>
      <c r="P48" s="26" t="s">
        <v>696</v>
      </c>
      <c r="Q48" s="160" t="s">
        <v>20</v>
      </c>
      <c r="R48" s="160" t="s">
        <v>20</v>
      </c>
      <c r="S48" s="26" t="s">
        <v>697</v>
      </c>
      <c r="T48" s="165" t="str">
        <f t="shared" si="8"/>
        <v>Not Used</v>
      </c>
      <c r="U48" s="162"/>
      <c r="V48" s="55"/>
      <c r="W48" s="51" t="b">
        <f t="shared" si="9"/>
        <v>1</v>
      </c>
      <c r="X48" s="51" t="str">
        <f t="shared" si="10"/>
        <v>Not Used</v>
      </c>
      <c r="Y48" s="51" t="str">
        <f t="shared" si="11"/>
        <v>Not Used</v>
      </c>
      <c r="Z48" s="51" t="str">
        <f t="shared" si="12"/>
        <v>Not Used</v>
      </c>
      <c r="AA48" s="51" t="str">
        <f t="shared" si="12"/>
        <v>Not Used</v>
      </c>
      <c r="AB48" s="51" t="str">
        <f t="shared" si="13"/>
        <v>Not Used</v>
      </c>
      <c r="AC48" s="51" t="b">
        <f t="shared" si="14"/>
        <v>1</v>
      </c>
      <c r="AD48" s="51">
        <f>COUNTIF($X$5:$X$48, "Not Used")</f>
        <v>44</v>
      </c>
      <c r="AE48" s="51">
        <f>COUNTIF($X$5:$X$48, "TRUE")</f>
        <v>0</v>
      </c>
      <c r="AF48" s="51" t="b">
        <f t="shared" si="15"/>
        <v>1</v>
      </c>
      <c r="AI48" s="51" t="b">
        <f t="shared" si="16"/>
        <v>0</v>
      </c>
      <c r="AJ48" s="51" t="b">
        <f t="shared" si="17"/>
        <v>0</v>
      </c>
      <c r="AK48" s="51" t="b">
        <f t="shared" si="18"/>
        <v>0</v>
      </c>
      <c r="AL48" s="51" t="b">
        <f t="shared" si="19"/>
        <v>0</v>
      </c>
      <c r="AM48" s="51" t="b">
        <f t="shared" si="20"/>
        <v>0</v>
      </c>
      <c r="AN48" s="51"/>
      <c r="AO48" s="51" t="b">
        <f t="shared" si="21"/>
        <v>0</v>
      </c>
      <c r="AP48" s="51" t="str">
        <f t="shared" si="43"/>
        <v>Tier 1 MMS</v>
      </c>
      <c r="AQ48" s="51" t="b">
        <f t="shared" si="22"/>
        <v>0</v>
      </c>
      <c r="AR48" s="51" t="b">
        <f t="shared" si="23"/>
        <v>0</v>
      </c>
      <c r="AS48" s="51" t="str">
        <f t="shared" si="24"/>
        <v/>
      </c>
      <c r="AT48" s="51" t="b">
        <f t="shared" si="25"/>
        <v>0</v>
      </c>
      <c r="AU48" s="51" t="b">
        <f t="shared" si="26"/>
        <v>0</v>
      </c>
      <c r="AV48" s="51" t="str">
        <f t="shared" si="27"/>
        <v/>
      </c>
      <c r="AW48" s="51" t="str">
        <f t="shared" si="28"/>
        <v/>
      </c>
      <c r="AX48" s="51" t="str">
        <f t="shared" si="29"/>
        <v/>
      </c>
      <c r="AY48" s="51" t="str">
        <f t="shared" si="30"/>
        <v/>
      </c>
      <c r="AZ48" s="51" t="str">
        <f t="shared" si="31"/>
        <v/>
      </c>
      <c r="BA48" s="51" t="str">
        <f t="shared" si="32"/>
        <v/>
      </c>
      <c r="BB48" s="51" t="str">
        <f t="shared" si="33"/>
        <v/>
      </c>
      <c r="BC48" s="51" t="str">
        <f t="shared" si="34"/>
        <v/>
      </c>
      <c r="BD48" s="51" t="str">
        <f t="shared" si="35"/>
        <v/>
      </c>
      <c r="BE48" s="51" t="str">
        <f t="shared" si="36"/>
        <v/>
      </c>
      <c r="BF48" s="51" t="str">
        <f t="shared" si="37"/>
        <v/>
      </c>
      <c r="BG48" s="51" t="str">
        <f t="shared" si="38"/>
        <v/>
      </c>
      <c r="BH48" s="51" t="b">
        <f t="shared" si="39"/>
        <v>0</v>
      </c>
      <c r="BI48" s="51" t="str">
        <f t="shared" si="40"/>
        <v/>
      </c>
      <c r="BJ48" s="51" t="str">
        <f t="shared" si="41"/>
        <v/>
      </c>
      <c r="BK48" s="51" t="b">
        <f t="shared" si="42"/>
        <v>0</v>
      </c>
      <c r="BL48" s="192"/>
    </row>
    <row r="49" spans="1:64" ht="13.5" thickBot="1" x14ac:dyDescent="0.25">
      <c r="A49" s="185" t="s">
        <v>741</v>
      </c>
      <c r="B49" s="193" t="s">
        <v>694</v>
      </c>
      <c r="C49" s="194" t="s">
        <v>695</v>
      </c>
      <c r="D49" s="194" t="s">
        <v>695</v>
      </c>
      <c r="E49" s="193" t="s">
        <v>694</v>
      </c>
      <c r="F49" s="160" t="s">
        <v>20</v>
      </c>
      <c r="G49" s="161"/>
      <c r="H49" s="186" t="str">
        <f t="shared" si="0"/>
        <v>Used?</v>
      </c>
      <c r="I49" s="186" t="b">
        <f t="shared" si="1"/>
        <v>0</v>
      </c>
      <c r="J49" s="186" t="str">
        <f t="shared" si="2"/>
        <v>N/A</v>
      </c>
      <c r="K49" s="186" t="b">
        <f t="shared" si="3"/>
        <v>1</v>
      </c>
      <c r="L49" s="186" t="str">
        <f t="shared" si="4"/>
        <v>N/A</v>
      </c>
      <c r="M49" s="186" t="b">
        <f t="shared" si="5"/>
        <v>1</v>
      </c>
      <c r="N49" s="186" t="str">
        <f t="shared" si="6"/>
        <v>Used?</v>
      </c>
      <c r="O49" s="186" t="b">
        <f t="shared" si="7"/>
        <v>0</v>
      </c>
      <c r="P49" s="26" t="s">
        <v>696</v>
      </c>
      <c r="Q49" s="160" t="s">
        <v>20</v>
      </c>
      <c r="R49" s="160" t="s">
        <v>20</v>
      </c>
      <c r="S49" s="26" t="s">
        <v>697</v>
      </c>
      <c r="T49" s="165" t="str">
        <f t="shared" si="8"/>
        <v>Not Used</v>
      </c>
      <c r="U49" s="162"/>
      <c r="V49" s="55"/>
      <c r="W49" s="51" t="b">
        <f t="shared" si="9"/>
        <v>1</v>
      </c>
      <c r="X49" s="51" t="str">
        <f t="shared" si="10"/>
        <v>Not Used</v>
      </c>
      <c r="Y49" s="51" t="str">
        <f t="shared" si="11"/>
        <v>Not Used</v>
      </c>
      <c r="Z49" s="51" t="str">
        <f t="shared" si="12"/>
        <v>Not Used</v>
      </c>
      <c r="AA49" s="51" t="str">
        <f t="shared" si="12"/>
        <v>Not Used</v>
      </c>
      <c r="AB49" s="51" t="str">
        <f t="shared" si="13"/>
        <v>Not Used</v>
      </c>
      <c r="AC49" s="51" t="b">
        <f t="shared" si="14"/>
        <v>1</v>
      </c>
      <c r="AD49" s="51">
        <f>COUNTIF($X$5:$X$49, "Not Used")</f>
        <v>45</v>
      </c>
      <c r="AE49" s="51">
        <f>COUNTIF($X$5:$X$49, "TRUE")</f>
        <v>0</v>
      </c>
      <c r="AF49" s="51" t="b">
        <f t="shared" si="15"/>
        <v>1</v>
      </c>
      <c r="AI49" s="51" t="b">
        <f t="shared" si="16"/>
        <v>0</v>
      </c>
      <c r="AJ49" s="51" t="b">
        <f t="shared" si="17"/>
        <v>0</v>
      </c>
      <c r="AK49" s="51" t="b">
        <f t="shared" si="18"/>
        <v>0</v>
      </c>
      <c r="AL49" s="51" t="b">
        <f t="shared" si="19"/>
        <v>0</v>
      </c>
      <c r="AM49" s="51" t="b">
        <f t="shared" si="20"/>
        <v>0</v>
      </c>
      <c r="AN49" s="51"/>
      <c r="AO49" s="51" t="b">
        <f t="shared" si="21"/>
        <v>0</v>
      </c>
      <c r="AP49" s="51" t="str">
        <f t="shared" si="43"/>
        <v>Tier 1 MMS</v>
      </c>
      <c r="AQ49" s="51" t="b">
        <f t="shared" si="22"/>
        <v>0</v>
      </c>
      <c r="AR49" s="51" t="b">
        <f t="shared" si="23"/>
        <v>0</v>
      </c>
      <c r="AS49" s="51" t="str">
        <f t="shared" si="24"/>
        <v/>
      </c>
      <c r="AT49" s="51" t="b">
        <f t="shared" si="25"/>
        <v>0</v>
      </c>
      <c r="AU49" s="51" t="b">
        <f t="shared" si="26"/>
        <v>0</v>
      </c>
      <c r="AV49" s="51" t="str">
        <f t="shared" si="27"/>
        <v/>
      </c>
      <c r="AW49" s="51" t="str">
        <f t="shared" si="28"/>
        <v/>
      </c>
      <c r="AX49" s="51" t="str">
        <f t="shared" si="29"/>
        <v/>
      </c>
      <c r="AY49" s="51" t="str">
        <f t="shared" si="30"/>
        <v/>
      </c>
      <c r="AZ49" s="51" t="str">
        <f t="shared" si="31"/>
        <v/>
      </c>
      <c r="BA49" s="51" t="str">
        <f t="shared" si="32"/>
        <v/>
      </c>
      <c r="BB49" s="51" t="str">
        <f t="shared" si="33"/>
        <v/>
      </c>
      <c r="BC49" s="51" t="str">
        <f t="shared" si="34"/>
        <v/>
      </c>
      <c r="BD49" s="51" t="str">
        <f t="shared" si="35"/>
        <v/>
      </c>
      <c r="BE49" s="51" t="str">
        <f t="shared" si="36"/>
        <v/>
      </c>
      <c r="BF49" s="51" t="str">
        <f t="shared" si="37"/>
        <v/>
      </c>
      <c r="BG49" s="51" t="str">
        <f t="shared" si="38"/>
        <v/>
      </c>
      <c r="BH49" s="51" t="b">
        <f t="shared" si="39"/>
        <v>0</v>
      </c>
      <c r="BI49" s="51" t="str">
        <f t="shared" si="40"/>
        <v/>
      </c>
      <c r="BJ49" s="51" t="str">
        <f t="shared" si="41"/>
        <v/>
      </c>
      <c r="BK49" s="51" t="b">
        <f t="shared" si="42"/>
        <v>0</v>
      </c>
      <c r="BL49" s="192"/>
    </row>
    <row r="50" spans="1:64" ht="13.5" thickBot="1" x14ac:dyDescent="0.25">
      <c r="A50" s="185" t="s">
        <v>742</v>
      </c>
      <c r="B50" s="193" t="s">
        <v>694</v>
      </c>
      <c r="C50" s="194" t="s">
        <v>695</v>
      </c>
      <c r="D50" s="194" t="s">
        <v>695</v>
      </c>
      <c r="E50" s="193" t="s">
        <v>694</v>
      </c>
      <c r="F50" s="160" t="s">
        <v>20</v>
      </c>
      <c r="G50" s="161"/>
      <c r="H50" s="186" t="str">
        <f t="shared" si="0"/>
        <v>Used?</v>
      </c>
      <c r="I50" s="186" t="b">
        <f t="shared" si="1"/>
        <v>0</v>
      </c>
      <c r="J50" s="186" t="str">
        <f t="shared" si="2"/>
        <v>N/A</v>
      </c>
      <c r="K50" s="186" t="b">
        <f t="shared" si="3"/>
        <v>1</v>
      </c>
      <c r="L50" s="186" t="str">
        <f t="shared" si="4"/>
        <v>N/A</v>
      </c>
      <c r="M50" s="186" t="b">
        <f t="shared" si="5"/>
        <v>1</v>
      </c>
      <c r="N50" s="186" t="str">
        <f t="shared" si="6"/>
        <v>Used?</v>
      </c>
      <c r="O50" s="186" t="b">
        <f t="shared" si="7"/>
        <v>0</v>
      </c>
      <c r="P50" s="26" t="s">
        <v>696</v>
      </c>
      <c r="Q50" s="160" t="s">
        <v>20</v>
      </c>
      <c r="R50" s="160" t="s">
        <v>20</v>
      </c>
      <c r="S50" s="26" t="s">
        <v>697</v>
      </c>
      <c r="T50" s="165" t="str">
        <f t="shared" si="8"/>
        <v>Not Used</v>
      </c>
      <c r="U50" s="162"/>
      <c r="V50" s="55"/>
      <c r="W50" s="51" t="b">
        <f t="shared" si="9"/>
        <v>1</v>
      </c>
      <c r="X50" s="51" t="str">
        <f t="shared" si="10"/>
        <v>Not Used</v>
      </c>
      <c r="Y50" s="51" t="str">
        <f t="shared" si="11"/>
        <v>Not Used</v>
      </c>
      <c r="Z50" s="51" t="str">
        <f t="shared" si="12"/>
        <v>Not Used</v>
      </c>
      <c r="AA50" s="51" t="str">
        <f t="shared" si="12"/>
        <v>Not Used</v>
      </c>
      <c r="AB50" s="51" t="str">
        <f t="shared" si="13"/>
        <v>Not Used</v>
      </c>
      <c r="AC50" s="51" t="b">
        <f t="shared" si="14"/>
        <v>1</v>
      </c>
      <c r="AD50" s="51">
        <f>COUNTIF($X$5:$X$50, "Not Used")</f>
        <v>46</v>
      </c>
      <c r="AE50" s="51">
        <f>COUNTIF($X$5:$X$50, "TRUE")</f>
        <v>0</v>
      </c>
      <c r="AF50" s="51" t="b">
        <f t="shared" si="15"/>
        <v>1</v>
      </c>
      <c r="AI50" s="51" t="b">
        <f t="shared" si="16"/>
        <v>0</v>
      </c>
      <c r="AJ50" s="51" t="b">
        <f t="shared" si="17"/>
        <v>0</v>
      </c>
      <c r="AK50" s="51" t="b">
        <f t="shared" si="18"/>
        <v>0</v>
      </c>
      <c r="AL50" s="51" t="b">
        <f t="shared" si="19"/>
        <v>0</v>
      </c>
      <c r="AM50" s="51" t="b">
        <f t="shared" si="20"/>
        <v>0</v>
      </c>
      <c r="AN50" s="51"/>
      <c r="AO50" s="51" t="b">
        <f t="shared" si="21"/>
        <v>0</v>
      </c>
      <c r="AP50" s="51" t="str">
        <f t="shared" si="43"/>
        <v>Tier 1 MMS</v>
      </c>
      <c r="AQ50" s="51" t="b">
        <f t="shared" si="22"/>
        <v>0</v>
      </c>
      <c r="AR50" s="51" t="b">
        <f t="shared" si="23"/>
        <v>0</v>
      </c>
      <c r="AS50" s="51" t="str">
        <f t="shared" si="24"/>
        <v/>
      </c>
      <c r="AT50" s="51" t="b">
        <f t="shared" si="25"/>
        <v>0</v>
      </c>
      <c r="AU50" s="51" t="b">
        <f t="shared" si="26"/>
        <v>0</v>
      </c>
      <c r="AV50" s="51" t="str">
        <f t="shared" si="27"/>
        <v/>
      </c>
      <c r="AW50" s="51" t="str">
        <f t="shared" si="28"/>
        <v/>
      </c>
      <c r="AX50" s="51" t="str">
        <f t="shared" si="29"/>
        <v/>
      </c>
      <c r="AY50" s="51" t="str">
        <f t="shared" si="30"/>
        <v/>
      </c>
      <c r="AZ50" s="51" t="str">
        <f t="shared" si="31"/>
        <v/>
      </c>
      <c r="BA50" s="51" t="str">
        <f t="shared" si="32"/>
        <v/>
      </c>
      <c r="BB50" s="51" t="str">
        <f t="shared" si="33"/>
        <v/>
      </c>
      <c r="BC50" s="51" t="str">
        <f t="shared" si="34"/>
        <v/>
      </c>
      <c r="BD50" s="51" t="str">
        <f t="shared" si="35"/>
        <v/>
      </c>
      <c r="BE50" s="51" t="str">
        <f t="shared" si="36"/>
        <v/>
      </c>
      <c r="BF50" s="51" t="str">
        <f t="shared" si="37"/>
        <v/>
      </c>
      <c r="BG50" s="51" t="str">
        <f t="shared" si="38"/>
        <v/>
      </c>
      <c r="BH50" s="51" t="b">
        <f t="shared" si="39"/>
        <v>0</v>
      </c>
      <c r="BI50" s="51" t="str">
        <f t="shared" si="40"/>
        <v/>
      </c>
      <c r="BJ50" s="51" t="str">
        <f t="shared" si="41"/>
        <v/>
      </c>
      <c r="BK50" s="51" t="b">
        <f t="shared" si="42"/>
        <v>0</v>
      </c>
      <c r="BL50" s="192"/>
    </row>
    <row r="51" spans="1:64" ht="13.5" thickBot="1" x14ac:dyDescent="0.25">
      <c r="A51" s="185" t="s">
        <v>743</v>
      </c>
      <c r="B51" s="193" t="s">
        <v>694</v>
      </c>
      <c r="C51" s="194" t="s">
        <v>695</v>
      </c>
      <c r="D51" s="194" t="s">
        <v>695</v>
      </c>
      <c r="E51" s="193" t="s">
        <v>694</v>
      </c>
      <c r="F51" s="160" t="s">
        <v>20</v>
      </c>
      <c r="G51" s="161"/>
      <c r="H51" s="186" t="str">
        <f t="shared" si="0"/>
        <v>Used?</v>
      </c>
      <c r="I51" s="186" t="b">
        <f t="shared" si="1"/>
        <v>0</v>
      </c>
      <c r="J51" s="186" t="str">
        <f t="shared" si="2"/>
        <v>N/A</v>
      </c>
      <c r="K51" s="186" t="b">
        <f t="shared" si="3"/>
        <v>1</v>
      </c>
      <c r="L51" s="186" t="str">
        <f t="shared" si="4"/>
        <v>N/A</v>
      </c>
      <c r="M51" s="186" t="b">
        <f t="shared" si="5"/>
        <v>1</v>
      </c>
      <c r="N51" s="186" t="str">
        <f t="shared" si="6"/>
        <v>Used?</v>
      </c>
      <c r="O51" s="186" t="b">
        <f t="shared" si="7"/>
        <v>0</v>
      </c>
      <c r="P51" s="26" t="s">
        <v>696</v>
      </c>
      <c r="Q51" s="160" t="s">
        <v>20</v>
      </c>
      <c r="R51" s="160" t="s">
        <v>20</v>
      </c>
      <c r="S51" s="26" t="s">
        <v>697</v>
      </c>
      <c r="T51" s="165" t="str">
        <f t="shared" si="8"/>
        <v>Not Used</v>
      </c>
      <c r="U51" s="162"/>
      <c r="V51" s="55"/>
      <c r="W51" s="51" t="b">
        <f t="shared" si="9"/>
        <v>1</v>
      </c>
      <c r="X51" s="51" t="str">
        <f t="shared" si="10"/>
        <v>Not Used</v>
      </c>
      <c r="Y51" s="51" t="str">
        <f t="shared" si="11"/>
        <v>Not Used</v>
      </c>
      <c r="Z51" s="51" t="str">
        <f t="shared" si="12"/>
        <v>Not Used</v>
      </c>
      <c r="AA51" s="51" t="str">
        <f t="shared" si="12"/>
        <v>Not Used</v>
      </c>
      <c r="AB51" s="51" t="str">
        <f t="shared" si="13"/>
        <v>Not Used</v>
      </c>
      <c r="AC51" s="51" t="b">
        <f t="shared" si="14"/>
        <v>1</v>
      </c>
      <c r="AD51" s="51">
        <f>COUNTIF($X$5:$X$51, "Not Used")</f>
        <v>47</v>
      </c>
      <c r="AE51" s="51">
        <f>COUNTIF($X$5:$X$51, "TRUE")</f>
        <v>0</v>
      </c>
      <c r="AF51" s="51" t="b">
        <f t="shared" si="15"/>
        <v>1</v>
      </c>
      <c r="AI51" s="51" t="b">
        <f t="shared" si="16"/>
        <v>0</v>
      </c>
      <c r="AJ51" s="51" t="b">
        <f t="shared" si="17"/>
        <v>0</v>
      </c>
      <c r="AK51" s="51" t="b">
        <f t="shared" si="18"/>
        <v>0</v>
      </c>
      <c r="AL51" s="51" t="b">
        <f t="shared" si="19"/>
        <v>0</v>
      </c>
      <c r="AM51" s="51" t="b">
        <f t="shared" si="20"/>
        <v>0</v>
      </c>
      <c r="AN51" s="51"/>
      <c r="AO51" s="51" t="b">
        <f t="shared" si="21"/>
        <v>0</v>
      </c>
      <c r="AP51" s="51" t="str">
        <f t="shared" si="43"/>
        <v>Tier 1 MMS</v>
      </c>
      <c r="AQ51" s="51" t="b">
        <f t="shared" si="22"/>
        <v>0</v>
      </c>
      <c r="AR51" s="51" t="b">
        <f t="shared" si="23"/>
        <v>0</v>
      </c>
      <c r="AS51" s="51" t="str">
        <f t="shared" si="24"/>
        <v/>
      </c>
      <c r="AT51" s="51" t="b">
        <f t="shared" si="25"/>
        <v>0</v>
      </c>
      <c r="AU51" s="51" t="b">
        <f t="shared" si="26"/>
        <v>0</v>
      </c>
      <c r="AV51" s="51" t="str">
        <f t="shared" si="27"/>
        <v/>
      </c>
      <c r="AW51" s="51" t="str">
        <f t="shared" si="28"/>
        <v/>
      </c>
      <c r="AX51" s="51" t="str">
        <f t="shared" si="29"/>
        <v/>
      </c>
      <c r="AY51" s="51" t="str">
        <f t="shared" si="30"/>
        <v/>
      </c>
      <c r="AZ51" s="51" t="str">
        <f t="shared" si="31"/>
        <v/>
      </c>
      <c r="BA51" s="51" t="str">
        <f t="shared" si="32"/>
        <v/>
      </c>
      <c r="BB51" s="51" t="str">
        <f t="shared" si="33"/>
        <v/>
      </c>
      <c r="BC51" s="51" t="str">
        <f t="shared" si="34"/>
        <v/>
      </c>
      <c r="BD51" s="51" t="str">
        <f t="shared" si="35"/>
        <v/>
      </c>
      <c r="BE51" s="51" t="str">
        <f t="shared" si="36"/>
        <v/>
      </c>
      <c r="BF51" s="51" t="str">
        <f t="shared" si="37"/>
        <v/>
      </c>
      <c r="BG51" s="51" t="str">
        <f t="shared" si="38"/>
        <v/>
      </c>
      <c r="BH51" s="51" t="b">
        <f t="shared" si="39"/>
        <v>0</v>
      </c>
      <c r="BI51" s="51" t="str">
        <f t="shared" si="40"/>
        <v/>
      </c>
      <c r="BJ51" s="51" t="str">
        <f t="shared" si="41"/>
        <v/>
      </c>
      <c r="BK51" s="51" t="b">
        <f t="shared" si="42"/>
        <v>0</v>
      </c>
      <c r="BL51" s="192"/>
    </row>
    <row r="52" spans="1:64" ht="13.5" thickBot="1" x14ac:dyDescent="0.25">
      <c r="A52" s="185" t="s">
        <v>744</v>
      </c>
      <c r="B52" s="193" t="s">
        <v>694</v>
      </c>
      <c r="C52" s="194" t="s">
        <v>695</v>
      </c>
      <c r="D52" s="194" t="s">
        <v>695</v>
      </c>
      <c r="E52" s="193" t="s">
        <v>694</v>
      </c>
      <c r="F52" s="160" t="s">
        <v>20</v>
      </c>
      <c r="G52" s="161"/>
      <c r="H52" s="186" t="str">
        <f t="shared" si="0"/>
        <v>Used?</v>
      </c>
      <c r="I52" s="186" t="b">
        <f t="shared" si="1"/>
        <v>0</v>
      </c>
      <c r="J52" s="186" t="str">
        <f t="shared" si="2"/>
        <v>N/A</v>
      </c>
      <c r="K52" s="186" t="b">
        <f t="shared" si="3"/>
        <v>1</v>
      </c>
      <c r="L52" s="186" t="str">
        <f t="shared" si="4"/>
        <v>N/A</v>
      </c>
      <c r="M52" s="186" t="b">
        <f t="shared" si="5"/>
        <v>1</v>
      </c>
      <c r="N52" s="186" t="str">
        <f t="shared" si="6"/>
        <v>Used?</v>
      </c>
      <c r="O52" s="186" t="b">
        <f t="shared" si="7"/>
        <v>0</v>
      </c>
      <c r="P52" s="26" t="s">
        <v>696</v>
      </c>
      <c r="Q52" s="160" t="s">
        <v>20</v>
      </c>
      <c r="R52" s="160" t="s">
        <v>20</v>
      </c>
      <c r="S52" s="26" t="s">
        <v>697</v>
      </c>
      <c r="T52" s="165" t="str">
        <f t="shared" si="8"/>
        <v>Not Used</v>
      </c>
      <c r="U52" s="162"/>
      <c r="V52" s="55"/>
      <c r="W52" s="51" t="b">
        <f t="shared" si="9"/>
        <v>1</v>
      </c>
      <c r="X52" s="51" t="str">
        <f t="shared" si="10"/>
        <v>Not Used</v>
      </c>
      <c r="Y52" s="51" t="str">
        <f t="shared" si="11"/>
        <v>Not Used</v>
      </c>
      <c r="Z52" s="51" t="str">
        <f t="shared" si="12"/>
        <v>Not Used</v>
      </c>
      <c r="AA52" s="51" t="str">
        <f t="shared" si="12"/>
        <v>Not Used</v>
      </c>
      <c r="AB52" s="51" t="str">
        <f t="shared" si="13"/>
        <v>Not Used</v>
      </c>
      <c r="AC52" s="51" t="b">
        <f t="shared" si="14"/>
        <v>1</v>
      </c>
      <c r="AD52" s="51">
        <f>COUNTIF($X$5:$X$52, "Not Used")</f>
        <v>48</v>
      </c>
      <c r="AE52" s="51">
        <f>COUNTIF($X$5:$X$52, "TRUE")</f>
        <v>0</v>
      </c>
      <c r="AF52" s="51" t="b">
        <f t="shared" si="15"/>
        <v>1</v>
      </c>
      <c r="AI52" s="51" t="b">
        <f t="shared" si="16"/>
        <v>0</v>
      </c>
      <c r="AJ52" s="51" t="b">
        <f t="shared" si="17"/>
        <v>0</v>
      </c>
      <c r="AK52" s="51" t="b">
        <f t="shared" si="18"/>
        <v>0</v>
      </c>
      <c r="AL52" s="51" t="b">
        <f t="shared" si="19"/>
        <v>0</v>
      </c>
      <c r="AM52" s="51" t="b">
        <f t="shared" si="20"/>
        <v>0</v>
      </c>
      <c r="AN52" s="51"/>
      <c r="AO52" s="51" t="b">
        <f t="shared" si="21"/>
        <v>0</v>
      </c>
      <c r="AP52" s="51" t="str">
        <f t="shared" si="43"/>
        <v>Tier 1 MMS</v>
      </c>
      <c r="AQ52" s="51" t="b">
        <f t="shared" si="22"/>
        <v>0</v>
      </c>
      <c r="AR52" s="51" t="b">
        <f t="shared" si="23"/>
        <v>0</v>
      </c>
      <c r="AS52" s="51" t="str">
        <f t="shared" si="24"/>
        <v/>
      </c>
      <c r="AT52" s="51" t="b">
        <f t="shared" si="25"/>
        <v>0</v>
      </c>
      <c r="AU52" s="51" t="b">
        <f t="shared" si="26"/>
        <v>0</v>
      </c>
      <c r="AV52" s="51" t="str">
        <f t="shared" si="27"/>
        <v/>
      </c>
      <c r="AW52" s="51" t="str">
        <f t="shared" si="28"/>
        <v/>
      </c>
      <c r="AX52" s="51" t="str">
        <f t="shared" si="29"/>
        <v/>
      </c>
      <c r="AY52" s="51" t="str">
        <f t="shared" si="30"/>
        <v/>
      </c>
      <c r="AZ52" s="51" t="str">
        <f t="shared" si="31"/>
        <v/>
      </c>
      <c r="BA52" s="51" t="str">
        <f t="shared" si="32"/>
        <v/>
      </c>
      <c r="BB52" s="51" t="str">
        <f t="shared" si="33"/>
        <v/>
      </c>
      <c r="BC52" s="51" t="str">
        <f t="shared" si="34"/>
        <v/>
      </c>
      <c r="BD52" s="51" t="str">
        <f t="shared" si="35"/>
        <v/>
      </c>
      <c r="BE52" s="51" t="str">
        <f t="shared" si="36"/>
        <v/>
      </c>
      <c r="BF52" s="51" t="str">
        <f t="shared" si="37"/>
        <v/>
      </c>
      <c r="BG52" s="51" t="str">
        <f t="shared" si="38"/>
        <v/>
      </c>
      <c r="BH52" s="51" t="b">
        <f t="shared" si="39"/>
        <v>0</v>
      </c>
      <c r="BI52" s="51" t="str">
        <f t="shared" si="40"/>
        <v/>
      </c>
      <c r="BJ52" s="51" t="str">
        <f t="shared" si="41"/>
        <v/>
      </c>
      <c r="BK52" s="51" t="b">
        <f t="shared" si="42"/>
        <v>0</v>
      </c>
      <c r="BL52" s="192"/>
    </row>
    <row r="53" spans="1:64" ht="13.5" thickBot="1" x14ac:dyDescent="0.25">
      <c r="A53" s="185" t="s">
        <v>745</v>
      </c>
      <c r="B53" s="193" t="s">
        <v>694</v>
      </c>
      <c r="C53" s="193" t="s">
        <v>694</v>
      </c>
      <c r="D53" s="194" t="s">
        <v>695</v>
      </c>
      <c r="E53" s="193" t="s">
        <v>694</v>
      </c>
      <c r="F53" s="160" t="s">
        <v>20</v>
      </c>
      <c r="G53" s="161"/>
      <c r="H53" s="186" t="str">
        <f t="shared" si="0"/>
        <v>Used?</v>
      </c>
      <c r="I53" s="186" t="b">
        <f t="shared" si="1"/>
        <v>0</v>
      </c>
      <c r="J53" s="186" t="str">
        <f t="shared" si="2"/>
        <v>Used?</v>
      </c>
      <c r="K53" s="186" t="b">
        <f t="shared" si="3"/>
        <v>0</v>
      </c>
      <c r="L53" s="186" t="str">
        <f t="shared" si="4"/>
        <v>N/A</v>
      </c>
      <c r="M53" s="186" t="b">
        <f t="shared" si="5"/>
        <v>1</v>
      </c>
      <c r="N53" s="186" t="str">
        <f t="shared" si="6"/>
        <v>Used?</v>
      </c>
      <c r="O53" s="186" t="b">
        <f t="shared" si="7"/>
        <v>0</v>
      </c>
      <c r="P53" s="26" t="s">
        <v>696</v>
      </c>
      <c r="Q53" s="160" t="s">
        <v>20</v>
      </c>
      <c r="R53" s="160" t="s">
        <v>20</v>
      </c>
      <c r="S53" s="26" t="s">
        <v>697</v>
      </c>
      <c r="T53" s="165" t="str">
        <f t="shared" si="8"/>
        <v>Not Used</v>
      </c>
      <c r="U53" s="162"/>
      <c r="V53" s="55"/>
      <c r="W53" s="51" t="b">
        <f t="shared" si="9"/>
        <v>1</v>
      </c>
      <c r="X53" s="51" t="str">
        <f t="shared" si="10"/>
        <v>Not Used</v>
      </c>
      <c r="Y53" s="51" t="str">
        <f t="shared" si="11"/>
        <v>Not Used</v>
      </c>
      <c r="Z53" s="51" t="str">
        <f t="shared" si="12"/>
        <v>Not Used</v>
      </c>
      <c r="AA53" s="51" t="str">
        <f t="shared" si="12"/>
        <v>Not Used</v>
      </c>
      <c r="AB53" s="51" t="str">
        <f t="shared" si="13"/>
        <v>Not Used</v>
      </c>
      <c r="AC53" s="51" t="b">
        <f t="shared" si="14"/>
        <v>1</v>
      </c>
      <c r="AD53" s="51">
        <f>COUNTIF($X$5:$X$53, "Not Used")</f>
        <v>49</v>
      </c>
      <c r="AE53" s="51">
        <f>COUNTIF($X$5:$X$53, "TRUE")</f>
        <v>0</v>
      </c>
      <c r="AF53" s="51" t="b">
        <f t="shared" si="15"/>
        <v>1</v>
      </c>
      <c r="AI53" s="51" t="b">
        <f t="shared" si="16"/>
        <v>0</v>
      </c>
      <c r="AJ53" s="51" t="b">
        <f t="shared" si="17"/>
        <v>0</v>
      </c>
      <c r="AK53" s="51" t="b">
        <f t="shared" si="18"/>
        <v>0</v>
      </c>
      <c r="AL53" s="51" t="b">
        <f t="shared" si="19"/>
        <v>0</v>
      </c>
      <c r="AM53" s="51" t="b">
        <f t="shared" si="20"/>
        <v>0</v>
      </c>
      <c r="AN53" s="51"/>
      <c r="AO53" s="51" t="b">
        <f t="shared" si="21"/>
        <v>0</v>
      </c>
      <c r="AP53" s="51" t="str">
        <f t="shared" si="43"/>
        <v>Tier 1 MMS, Tier 1 Sub MMS</v>
      </c>
      <c r="AQ53" s="51" t="b">
        <f t="shared" si="22"/>
        <v>0</v>
      </c>
      <c r="AR53" s="51" t="b">
        <f t="shared" si="23"/>
        <v>0</v>
      </c>
      <c r="AS53" s="51" t="b">
        <f t="shared" si="24"/>
        <v>0</v>
      </c>
      <c r="AT53" s="51" t="b">
        <f t="shared" si="25"/>
        <v>0</v>
      </c>
      <c r="AU53" s="51" t="b">
        <f t="shared" si="26"/>
        <v>0</v>
      </c>
      <c r="AV53" s="51" t="str">
        <f t="shared" si="27"/>
        <v/>
      </c>
      <c r="AW53" s="51" t="str">
        <f t="shared" si="28"/>
        <v/>
      </c>
      <c r="AX53" s="51" t="str">
        <f t="shared" si="29"/>
        <v/>
      </c>
      <c r="AY53" s="51" t="str">
        <f t="shared" si="30"/>
        <v/>
      </c>
      <c r="AZ53" s="51" t="str">
        <f t="shared" si="31"/>
        <v/>
      </c>
      <c r="BA53" s="51" t="str">
        <f t="shared" si="32"/>
        <v/>
      </c>
      <c r="BB53" s="51" t="str">
        <f t="shared" si="33"/>
        <v/>
      </c>
      <c r="BC53" s="51" t="str">
        <f t="shared" si="34"/>
        <v/>
      </c>
      <c r="BD53" s="51" t="str">
        <f t="shared" si="35"/>
        <v/>
      </c>
      <c r="BE53" s="51" t="str">
        <f t="shared" si="36"/>
        <v/>
      </c>
      <c r="BF53" s="51" t="str">
        <f t="shared" si="37"/>
        <v/>
      </c>
      <c r="BG53" s="51" t="str">
        <f t="shared" si="38"/>
        <v/>
      </c>
      <c r="BH53" s="51" t="b">
        <f t="shared" si="39"/>
        <v>0</v>
      </c>
      <c r="BI53" s="51" t="str">
        <f t="shared" si="40"/>
        <v/>
      </c>
      <c r="BJ53" s="51" t="str">
        <f t="shared" si="41"/>
        <v/>
      </c>
      <c r="BK53" s="51" t="b">
        <f t="shared" si="42"/>
        <v>0</v>
      </c>
      <c r="BL53" s="192"/>
    </row>
    <row r="54" spans="1:64" ht="13.5" thickBot="1" x14ac:dyDescent="0.25">
      <c r="A54" s="185" t="s">
        <v>746</v>
      </c>
      <c r="B54" s="193" t="s">
        <v>694</v>
      </c>
      <c r="C54" s="193" t="s">
        <v>694</v>
      </c>
      <c r="D54" s="194" t="s">
        <v>695</v>
      </c>
      <c r="E54" s="193" t="s">
        <v>694</v>
      </c>
      <c r="F54" s="160" t="s">
        <v>20</v>
      </c>
      <c r="G54" s="161"/>
      <c r="H54" s="186" t="str">
        <f t="shared" si="0"/>
        <v>Used?</v>
      </c>
      <c r="I54" s="186" t="b">
        <f t="shared" si="1"/>
        <v>0</v>
      </c>
      <c r="J54" s="186" t="str">
        <f t="shared" si="2"/>
        <v>Used?</v>
      </c>
      <c r="K54" s="186" t="b">
        <f t="shared" si="3"/>
        <v>0</v>
      </c>
      <c r="L54" s="186" t="str">
        <f t="shared" si="4"/>
        <v>N/A</v>
      </c>
      <c r="M54" s="186" t="b">
        <f t="shared" si="5"/>
        <v>1</v>
      </c>
      <c r="N54" s="186" t="str">
        <f t="shared" si="6"/>
        <v>Used?</v>
      </c>
      <c r="O54" s="186" t="b">
        <f t="shared" si="7"/>
        <v>0</v>
      </c>
      <c r="P54" s="26" t="s">
        <v>696</v>
      </c>
      <c r="Q54" s="160" t="s">
        <v>20</v>
      </c>
      <c r="R54" s="160" t="s">
        <v>20</v>
      </c>
      <c r="S54" s="26" t="s">
        <v>697</v>
      </c>
      <c r="T54" s="165" t="str">
        <f t="shared" si="8"/>
        <v>Not Used</v>
      </c>
      <c r="U54" s="162"/>
      <c r="V54" s="55"/>
      <c r="W54" s="51" t="b">
        <f t="shared" si="9"/>
        <v>1</v>
      </c>
      <c r="X54" s="51" t="str">
        <f t="shared" si="10"/>
        <v>Not Used</v>
      </c>
      <c r="Y54" s="51" t="str">
        <f t="shared" si="11"/>
        <v>Not Used</v>
      </c>
      <c r="Z54" s="51" t="str">
        <f t="shared" si="12"/>
        <v>Not Used</v>
      </c>
      <c r="AA54" s="51" t="str">
        <f t="shared" si="12"/>
        <v>Not Used</v>
      </c>
      <c r="AB54" s="51" t="str">
        <f t="shared" si="13"/>
        <v>Not Used</v>
      </c>
      <c r="AC54" s="51" t="b">
        <f t="shared" si="14"/>
        <v>1</v>
      </c>
      <c r="AD54" s="51">
        <f>COUNTIF($X$5:$X$54, "Not Used")</f>
        <v>50</v>
      </c>
      <c r="AE54" s="51">
        <f>COUNTIF($X$5:$X$54, "TRUE")</f>
        <v>0</v>
      </c>
      <c r="AF54" s="51" t="b">
        <f t="shared" si="15"/>
        <v>1</v>
      </c>
      <c r="AI54" s="51" t="b">
        <f t="shared" si="16"/>
        <v>0</v>
      </c>
      <c r="AJ54" s="51" t="b">
        <f t="shared" si="17"/>
        <v>0</v>
      </c>
      <c r="AK54" s="51" t="b">
        <f t="shared" si="18"/>
        <v>0</v>
      </c>
      <c r="AL54" s="51" t="b">
        <f t="shared" si="19"/>
        <v>0</v>
      </c>
      <c r="AM54" s="51" t="b">
        <f t="shared" si="20"/>
        <v>0</v>
      </c>
      <c r="AN54" s="51"/>
      <c r="AO54" s="51" t="b">
        <f t="shared" si="21"/>
        <v>0</v>
      </c>
      <c r="AP54" s="51" t="str">
        <f t="shared" si="43"/>
        <v>Tier 1 MMS, Tier 1 Sub MMS</v>
      </c>
      <c r="AQ54" s="51" t="b">
        <f t="shared" si="22"/>
        <v>0</v>
      </c>
      <c r="AR54" s="51" t="b">
        <f t="shared" si="23"/>
        <v>0</v>
      </c>
      <c r="AS54" s="51" t="b">
        <f t="shared" si="24"/>
        <v>0</v>
      </c>
      <c r="AT54" s="51" t="b">
        <f t="shared" si="25"/>
        <v>0</v>
      </c>
      <c r="AU54" s="51" t="b">
        <f t="shared" si="26"/>
        <v>0</v>
      </c>
      <c r="AV54" s="51" t="str">
        <f t="shared" si="27"/>
        <v/>
      </c>
      <c r="AW54" s="51" t="str">
        <f t="shared" si="28"/>
        <v/>
      </c>
      <c r="AX54" s="51" t="str">
        <f t="shared" si="29"/>
        <v/>
      </c>
      <c r="AY54" s="51" t="str">
        <f t="shared" si="30"/>
        <v/>
      </c>
      <c r="AZ54" s="51" t="str">
        <f t="shared" si="31"/>
        <v/>
      </c>
      <c r="BA54" s="51" t="str">
        <f t="shared" si="32"/>
        <v/>
      </c>
      <c r="BB54" s="51" t="str">
        <f t="shared" si="33"/>
        <v/>
      </c>
      <c r="BC54" s="51" t="str">
        <f t="shared" si="34"/>
        <v/>
      </c>
      <c r="BD54" s="51" t="str">
        <f t="shared" si="35"/>
        <v/>
      </c>
      <c r="BE54" s="51" t="str">
        <f t="shared" si="36"/>
        <v/>
      </c>
      <c r="BF54" s="51" t="str">
        <f t="shared" si="37"/>
        <v/>
      </c>
      <c r="BG54" s="51" t="str">
        <f t="shared" si="38"/>
        <v/>
      </c>
      <c r="BH54" s="51" t="b">
        <f t="shared" si="39"/>
        <v>0</v>
      </c>
      <c r="BI54" s="51" t="str">
        <f t="shared" si="40"/>
        <v/>
      </c>
      <c r="BJ54" s="51" t="str">
        <f t="shared" si="41"/>
        <v/>
      </c>
      <c r="BK54" s="51" t="b">
        <f t="shared" si="42"/>
        <v>0</v>
      </c>
      <c r="BL54" s="192"/>
    </row>
    <row r="55" spans="1:64" ht="13.5" thickBot="1" x14ac:dyDescent="0.25">
      <c r="A55" s="185" t="s">
        <v>747</v>
      </c>
      <c r="B55" s="193" t="s">
        <v>694</v>
      </c>
      <c r="C55" s="193" t="s">
        <v>694</v>
      </c>
      <c r="D55" s="194" t="s">
        <v>695</v>
      </c>
      <c r="E55" s="193" t="s">
        <v>694</v>
      </c>
      <c r="F55" s="160" t="s">
        <v>20</v>
      </c>
      <c r="G55" s="161"/>
      <c r="H55" s="186" t="str">
        <f t="shared" si="0"/>
        <v>Used?</v>
      </c>
      <c r="I55" s="186" t="b">
        <f t="shared" si="1"/>
        <v>0</v>
      </c>
      <c r="J55" s="186" t="str">
        <f t="shared" si="2"/>
        <v>Used?</v>
      </c>
      <c r="K55" s="186" t="b">
        <f t="shared" si="3"/>
        <v>0</v>
      </c>
      <c r="L55" s="186" t="str">
        <f t="shared" si="4"/>
        <v>N/A</v>
      </c>
      <c r="M55" s="186" t="b">
        <f t="shared" si="5"/>
        <v>1</v>
      </c>
      <c r="N55" s="186" t="str">
        <f t="shared" si="6"/>
        <v>Used?</v>
      </c>
      <c r="O55" s="186" t="b">
        <f t="shared" si="7"/>
        <v>0</v>
      </c>
      <c r="P55" s="26" t="s">
        <v>696</v>
      </c>
      <c r="Q55" s="160" t="s">
        <v>20</v>
      </c>
      <c r="R55" s="160" t="s">
        <v>20</v>
      </c>
      <c r="S55" s="26" t="s">
        <v>697</v>
      </c>
      <c r="T55" s="165" t="str">
        <f t="shared" si="8"/>
        <v>Not Used</v>
      </c>
      <c r="U55" s="162"/>
      <c r="V55" s="55"/>
      <c r="W55" s="51" t="b">
        <f t="shared" si="9"/>
        <v>1</v>
      </c>
      <c r="X55" s="51" t="str">
        <f t="shared" si="10"/>
        <v>Not Used</v>
      </c>
      <c r="Y55" s="51" t="str">
        <f t="shared" si="11"/>
        <v>Not Used</v>
      </c>
      <c r="Z55" s="51" t="str">
        <f t="shared" si="12"/>
        <v>Not Used</v>
      </c>
      <c r="AA55" s="51" t="str">
        <f t="shared" si="12"/>
        <v>Not Used</v>
      </c>
      <c r="AB55" s="51" t="str">
        <f t="shared" si="13"/>
        <v>Not Used</v>
      </c>
      <c r="AC55" s="51" t="b">
        <f t="shared" si="14"/>
        <v>1</v>
      </c>
      <c r="AD55" s="51">
        <f>COUNTIF($X$5:$X$55, "Not Used")</f>
        <v>51</v>
      </c>
      <c r="AE55" s="51">
        <f>COUNTIF($X$5:$X$55, "TRUE")</f>
        <v>0</v>
      </c>
      <c r="AF55" s="51" t="b">
        <f t="shared" si="15"/>
        <v>1</v>
      </c>
      <c r="AI55" s="51" t="b">
        <f t="shared" si="16"/>
        <v>0</v>
      </c>
      <c r="AJ55" s="51" t="b">
        <f t="shared" si="17"/>
        <v>0</v>
      </c>
      <c r="AK55" s="51" t="b">
        <f t="shared" si="18"/>
        <v>0</v>
      </c>
      <c r="AL55" s="51" t="b">
        <f t="shared" si="19"/>
        <v>0</v>
      </c>
      <c r="AM55" s="51" t="b">
        <f t="shared" si="20"/>
        <v>0</v>
      </c>
      <c r="AN55" s="51"/>
      <c r="AO55" s="51" t="b">
        <f t="shared" si="21"/>
        <v>0</v>
      </c>
      <c r="AP55" s="51" t="str">
        <f t="shared" si="43"/>
        <v>Tier 1 MMS, Tier 1 Sub MMS</v>
      </c>
      <c r="AQ55" s="51" t="b">
        <f t="shared" si="22"/>
        <v>0</v>
      </c>
      <c r="AR55" s="51" t="b">
        <f t="shared" si="23"/>
        <v>0</v>
      </c>
      <c r="AS55" s="51" t="b">
        <f t="shared" si="24"/>
        <v>0</v>
      </c>
      <c r="AT55" s="51" t="b">
        <f t="shared" si="25"/>
        <v>0</v>
      </c>
      <c r="AU55" s="51" t="b">
        <f t="shared" si="26"/>
        <v>0</v>
      </c>
      <c r="AV55" s="51" t="str">
        <f t="shared" si="27"/>
        <v/>
      </c>
      <c r="AW55" s="51" t="str">
        <f t="shared" si="28"/>
        <v/>
      </c>
      <c r="AX55" s="51" t="str">
        <f t="shared" si="29"/>
        <v/>
      </c>
      <c r="AY55" s="51" t="str">
        <f t="shared" si="30"/>
        <v/>
      </c>
      <c r="AZ55" s="51" t="str">
        <f t="shared" si="31"/>
        <v/>
      </c>
      <c r="BA55" s="51" t="str">
        <f t="shared" si="32"/>
        <v/>
      </c>
      <c r="BB55" s="51" t="str">
        <f t="shared" si="33"/>
        <v/>
      </c>
      <c r="BC55" s="51" t="str">
        <f t="shared" si="34"/>
        <v/>
      </c>
      <c r="BD55" s="51" t="str">
        <f t="shared" si="35"/>
        <v/>
      </c>
      <c r="BE55" s="51" t="str">
        <f t="shared" si="36"/>
        <v/>
      </c>
      <c r="BF55" s="51" t="str">
        <f t="shared" si="37"/>
        <v/>
      </c>
      <c r="BG55" s="51" t="str">
        <f t="shared" si="38"/>
        <v/>
      </c>
      <c r="BH55" s="51" t="b">
        <f t="shared" si="39"/>
        <v>0</v>
      </c>
      <c r="BI55" s="51" t="str">
        <f t="shared" si="40"/>
        <v/>
      </c>
      <c r="BJ55" s="51" t="str">
        <f t="shared" si="41"/>
        <v/>
      </c>
      <c r="BK55" s="51" t="b">
        <f t="shared" si="42"/>
        <v>0</v>
      </c>
      <c r="BL55" s="192"/>
    </row>
    <row r="56" spans="1:64" ht="13.5" thickBot="1" x14ac:dyDescent="0.25">
      <c r="A56" s="185" t="s">
        <v>748</v>
      </c>
      <c r="B56" s="193" t="s">
        <v>694</v>
      </c>
      <c r="C56" s="193" t="s">
        <v>694</v>
      </c>
      <c r="D56" s="194" t="s">
        <v>695</v>
      </c>
      <c r="E56" s="193" t="s">
        <v>694</v>
      </c>
      <c r="F56" s="160" t="s">
        <v>20</v>
      </c>
      <c r="G56" s="161"/>
      <c r="H56" s="186" t="str">
        <f t="shared" si="0"/>
        <v>Used?</v>
      </c>
      <c r="I56" s="186" t="b">
        <f t="shared" si="1"/>
        <v>0</v>
      </c>
      <c r="J56" s="186" t="str">
        <f t="shared" si="2"/>
        <v>Used?</v>
      </c>
      <c r="K56" s="186" t="b">
        <f t="shared" si="3"/>
        <v>0</v>
      </c>
      <c r="L56" s="186" t="str">
        <f t="shared" si="4"/>
        <v>N/A</v>
      </c>
      <c r="M56" s="186" t="b">
        <f t="shared" si="5"/>
        <v>1</v>
      </c>
      <c r="N56" s="186" t="str">
        <f t="shared" si="6"/>
        <v>Used?</v>
      </c>
      <c r="O56" s="186" t="b">
        <f t="shared" si="7"/>
        <v>0</v>
      </c>
      <c r="P56" s="26" t="s">
        <v>696</v>
      </c>
      <c r="Q56" s="160" t="s">
        <v>20</v>
      </c>
      <c r="R56" s="160" t="s">
        <v>20</v>
      </c>
      <c r="S56" s="26" t="s">
        <v>697</v>
      </c>
      <c r="T56" s="165" t="str">
        <f t="shared" si="8"/>
        <v>Not Used</v>
      </c>
      <c r="U56" s="162"/>
      <c r="V56" s="55"/>
      <c r="W56" s="51" t="b">
        <f t="shared" si="9"/>
        <v>1</v>
      </c>
      <c r="X56" s="51" t="str">
        <f t="shared" si="10"/>
        <v>Not Used</v>
      </c>
      <c r="Y56" s="51" t="str">
        <f t="shared" si="11"/>
        <v>Not Used</v>
      </c>
      <c r="Z56" s="51" t="str">
        <f t="shared" si="12"/>
        <v>Not Used</v>
      </c>
      <c r="AA56" s="51" t="str">
        <f t="shared" si="12"/>
        <v>Not Used</v>
      </c>
      <c r="AB56" s="51" t="str">
        <f t="shared" si="13"/>
        <v>Not Used</v>
      </c>
      <c r="AC56" s="51" t="b">
        <f t="shared" si="14"/>
        <v>1</v>
      </c>
      <c r="AD56" s="51">
        <f>COUNTIF($X$5:$X$56, "Not Used")</f>
        <v>52</v>
      </c>
      <c r="AE56" s="51">
        <f>COUNTIF($X$5:$X$56, "TRUE")</f>
        <v>0</v>
      </c>
      <c r="AF56" s="51" t="b">
        <f t="shared" si="15"/>
        <v>1</v>
      </c>
      <c r="AI56" s="51" t="b">
        <f t="shared" si="16"/>
        <v>0</v>
      </c>
      <c r="AJ56" s="51" t="b">
        <f t="shared" si="17"/>
        <v>0</v>
      </c>
      <c r="AK56" s="51" t="b">
        <f t="shared" si="18"/>
        <v>0</v>
      </c>
      <c r="AL56" s="51" t="b">
        <f t="shared" si="19"/>
        <v>0</v>
      </c>
      <c r="AM56" s="51" t="b">
        <f t="shared" si="20"/>
        <v>0</v>
      </c>
      <c r="AN56" s="51"/>
      <c r="AO56" s="51" t="b">
        <f t="shared" si="21"/>
        <v>0</v>
      </c>
      <c r="AP56" s="51" t="str">
        <f t="shared" si="43"/>
        <v>Tier 1 MMS, Tier 1 Sub MMS</v>
      </c>
      <c r="AQ56" s="51" t="b">
        <f t="shared" si="22"/>
        <v>0</v>
      </c>
      <c r="AR56" s="51" t="b">
        <f t="shared" si="23"/>
        <v>0</v>
      </c>
      <c r="AS56" s="51" t="b">
        <f t="shared" si="24"/>
        <v>0</v>
      </c>
      <c r="AT56" s="51" t="b">
        <f t="shared" si="25"/>
        <v>0</v>
      </c>
      <c r="AU56" s="51" t="b">
        <f t="shared" si="26"/>
        <v>0</v>
      </c>
      <c r="AV56" s="51" t="str">
        <f t="shared" si="27"/>
        <v/>
      </c>
      <c r="AW56" s="51" t="str">
        <f t="shared" si="28"/>
        <v/>
      </c>
      <c r="AX56" s="51" t="str">
        <f t="shared" si="29"/>
        <v/>
      </c>
      <c r="AY56" s="51" t="str">
        <f t="shared" si="30"/>
        <v/>
      </c>
      <c r="AZ56" s="51" t="str">
        <f t="shared" si="31"/>
        <v/>
      </c>
      <c r="BA56" s="51" t="str">
        <f t="shared" si="32"/>
        <v/>
      </c>
      <c r="BB56" s="51" t="str">
        <f t="shared" si="33"/>
        <v/>
      </c>
      <c r="BC56" s="51" t="str">
        <f t="shared" si="34"/>
        <v/>
      </c>
      <c r="BD56" s="51" t="str">
        <f t="shared" si="35"/>
        <v/>
      </c>
      <c r="BE56" s="51" t="str">
        <f t="shared" si="36"/>
        <v/>
      </c>
      <c r="BF56" s="51" t="str">
        <f t="shared" si="37"/>
        <v/>
      </c>
      <c r="BG56" s="51" t="str">
        <f t="shared" si="38"/>
        <v/>
      </c>
      <c r="BH56" s="51" t="b">
        <f t="shared" si="39"/>
        <v>0</v>
      </c>
      <c r="BI56" s="51" t="str">
        <f t="shared" si="40"/>
        <v/>
      </c>
      <c r="BJ56" s="51" t="str">
        <f t="shared" si="41"/>
        <v/>
      </c>
      <c r="BK56" s="51" t="b">
        <f t="shared" si="42"/>
        <v>0</v>
      </c>
      <c r="BL56" s="192"/>
    </row>
    <row r="57" spans="1:64" ht="13.5" thickBot="1" x14ac:dyDescent="0.25">
      <c r="A57" s="185" t="s">
        <v>749</v>
      </c>
      <c r="B57" s="193" t="s">
        <v>694</v>
      </c>
      <c r="C57" s="193" t="s">
        <v>694</v>
      </c>
      <c r="D57" s="194" t="s">
        <v>695</v>
      </c>
      <c r="E57" s="193" t="s">
        <v>694</v>
      </c>
      <c r="F57" s="160" t="s">
        <v>20</v>
      </c>
      <c r="G57" s="161"/>
      <c r="H57" s="186" t="str">
        <f t="shared" si="0"/>
        <v>Used?</v>
      </c>
      <c r="I57" s="186" t="b">
        <f t="shared" si="1"/>
        <v>0</v>
      </c>
      <c r="J57" s="186" t="str">
        <f t="shared" si="2"/>
        <v>Used?</v>
      </c>
      <c r="K57" s="186" t="b">
        <f t="shared" si="3"/>
        <v>0</v>
      </c>
      <c r="L57" s="186" t="str">
        <f t="shared" si="4"/>
        <v>N/A</v>
      </c>
      <c r="M57" s="186" t="b">
        <f t="shared" si="5"/>
        <v>1</v>
      </c>
      <c r="N57" s="186" t="str">
        <f t="shared" si="6"/>
        <v>Used?</v>
      </c>
      <c r="O57" s="186" t="b">
        <f t="shared" si="7"/>
        <v>0</v>
      </c>
      <c r="P57" s="26" t="s">
        <v>696</v>
      </c>
      <c r="Q57" s="160" t="s">
        <v>20</v>
      </c>
      <c r="R57" s="160" t="s">
        <v>20</v>
      </c>
      <c r="S57" s="26" t="s">
        <v>697</v>
      </c>
      <c r="T57" s="165" t="str">
        <f t="shared" si="8"/>
        <v>Not Used</v>
      </c>
      <c r="U57" s="162"/>
      <c r="V57" s="55"/>
      <c r="W57" s="51" t="b">
        <f t="shared" si="9"/>
        <v>1</v>
      </c>
      <c r="X57" s="51" t="str">
        <f t="shared" si="10"/>
        <v>Not Used</v>
      </c>
      <c r="Y57" s="51" t="str">
        <f t="shared" si="11"/>
        <v>Not Used</v>
      </c>
      <c r="Z57" s="51" t="str">
        <f t="shared" si="12"/>
        <v>Not Used</v>
      </c>
      <c r="AA57" s="51" t="str">
        <f t="shared" si="12"/>
        <v>Not Used</v>
      </c>
      <c r="AB57" s="51" t="str">
        <f t="shared" si="13"/>
        <v>Not Used</v>
      </c>
      <c r="AC57" s="51" t="b">
        <f t="shared" si="14"/>
        <v>1</v>
      </c>
      <c r="AD57" s="51">
        <f>COUNTIF($X$5:$X$57, "Not Used")</f>
        <v>53</v>
      </c>
      <c r="AE57" s="51">
        <f>COUNTIF($X$5:$X$57, "TRUE")</f>
        <v>0</v>
      </c>
      <c r="AF57" s="51" t="b">
        <f t="shared" si="15"/>
        <v>1</v>
      </c>
      <c r="AI57" s="51" t="b">
        <f t="shared" si="16"/>
        <v>0</v>
      </c>
      <c r="AJ57" s="51" t="b">
        <f t="shared" si="17"/>
        <v>0</v>
      </c>
      <c r="AK57" s="51" t="b">
        <f t="shared" si="18"/>
        <v>0</v>
      </c>
      <c r="AL57" s="51" t="b">
        <f t="shared" si="19"/>
        <v>0</v>
      </c>
      <c r="AM57" s="51" t="b">
        <f t="shared" si="20"/>
        <v>0</v>
      </c>
      <c r="AN57" s="51"/>
      <c r="AO57" s="51" t="b">
        <f t="shared" si="21"/>
        <v>0</v>
      </c>
      <c r="AP57" s="51" t="str">
        <f t="shared" si="43"/>
        <v>Tier 1 MMS, Tier 1 Sub MMS</v>
      </c>
      <c r="AQ57" s="51" t="b">
        <f t="shared" si="22"/>
        <v>0</v>
      </c>
      <c r="AR57" s="51" t="b">
        <f t="shared" si="23"/>
        <v>0</v>
      </c>
      <c r="AS57" s="51" t="b">
        <f t="shared" si="24"/>
        <v>0</v>
      </c>
      <c r="AT57" s="51" t="b">
        <f t="shared" si="25"/>
        <v>0</v>
      </c>
      <c r="AU57" s="51" t="b">
        <f t="shared" si="26"/>
        <v>0</v>
      </c>
      <c r="AV57" s="51" t="str">
        <f t="shared" si="27"/>
        <v/>
      </c>
      <c r="AW57" s="51" t="str">
        <f t="shared" si="28"/>
        <v/>
      </c>
      <c r="AX57" s="51" t="str">
        <f t="shared" si="29"/>
        <v/>
      </c>
      <c r="AY57" s="51" t="str">
        <f t="shared" si="30"/>
        <v/>
      </c>
      <c r="AZ57" s="51" t="str">
        <f t="shared" si="31"/>
        <v/>
      </c>
      <c r="BA57" s="51" t="str">
        <f t="shared" si="32"/>
        <v/>
      </c>
      <c r="BB57" s="51" t="str">
        <f t="shared" si="33"/>
        <v/>
      </c>
      <c r="BC57" s="51" t="str">
        <f t="shared" si="34"/>
        <v/>
      </c>
      <c r="BD57" s="51" t="str">
        <f t="shared" si="35"/>
        <v/>
      </c>
      <c r="BE57" s="51" t="str">
        <f t="shared" si="36"/>
        <v/>
      </c>
      <c r="BF57" s="51" t="str">
        <f t="shared" si="37"/>
        <v/>
      </c>
      <c r="BG57" s="51" t="str">
        <f t="shared" si="38"/>
        <v/>
      </c>
      <c r="BH57" s="51" t="b">
        <f t="shared" si="39"/>
        <v>0</v>
      </c>
      <c r="BI57" s="51" t="str">
        <f t="shared" si="40"/>
        <v/>
      </c>
      <c r="BJ57" s="51" t="str">
        <f t="shared" si="41"/>
        <v/>
      </c>
      <c r="BK57" s="51" t="b">
        <f t="shared" si="42"/>
        <v>0</v>
      </c>
      <c r="BL57" s="192"/>
    </row>
    <row r="58" spans="1:64" ht="13.5" thickBot="1" x14ac:dyDescent="0.25">
      <c r="A58" s="185" t="s">
        <v>750</v>
      </c>
      <c r="B58" s="193" t="s">
        <v>694</v>
      </c>
      <c r="C58" s="194" t="s">
        <v>695</v>
      </c>
      <c r="D58" s="194" t="s">
        <v>695</v>
      </c>
      <c r="E58" s="193" t="s">
        <v>694</v>
      </c>
      <c r="F58" s="160" t="s">
        <v>20</v>
      </c>
      <c r="G58" s="161"/>
      <c r="H58" s="186" t="str">
        <f t="shared" si="0"/>
        <v>Used?</v>
      </c>
      <c r="I58" s="186" t="b">
        <f t="shared" si="1"/>
        <v>0</v>
      </c>
      <c r="J58" s="186" t="str">
        <f t="shared" si="2"/>
        <v>N/A</v>
      </c>
      <c r="K58" s="186" t="b">
        <f t="shared" si="3"/>
        <v>1</v>
      </c>
      <c r="L58" s="186" t="str">
        <f t="shared" si="4"/>
        <v>N/A</v>
      </c>
      <c r="M58" s="186" t="b">
        <f t="shared" si="5"/>
        <v>1</v>
      </c>
      <c r="N58" s="186" t="str">
        <f t="shared" si="6"/>
        <v>Used?</v>
      </c>
      <c r="O58" s="186" t="b">
        <f t="shared" si="7"/>
        <v>0</v>
      </c>
      <c r="P58" s="26" t="s">
        <v>696</v>
      </c>
      <c r="Q58" s="160" t="s">
        <v>20</v>
      </c>
      <c r="R58" s="160" t="s">
        <v>20</v>
      </c>
      <c r="S58" s="26" t="s">
        <v>697</v>
      </c>
      <c r="T58" s="165" t="str">
        <f t="shared" si="8"/>
        <v>Not Used</v>
      </c>
      <c r="U58" s="162"/>
      <c r="V58" s="55"/>
      <c r="W58" s="51" t="b">
        <f t="shared" si="9"/>
        <v>1</v>
      </c>
      <c r="X58" s="51" t="str">
        <f t="shared" si="10"/>
        <v>Not Used</v>
      </c>
      <c r="Y58" s="51" t="str">
        <f t="shared" si="11"/>
        <v>Not Used</v>
      </c>
      <c r="Z58" s="51" t="str">
        <f t="shared" si="12"/>
        <v>Not Used</v>
      </c>
      <c r="AA58" s="51" t="str">
        <f t="shared" si="12"/>
        <v>Not Used</v>
      </c>
      <c r="AB58" s="51" t="str">
        <f t="shared" si="13"/>
        <v>Not Used</v>
      </c>
      <c r="AC58" s="51" t="b">
        <f t="shared" si="14"/>
        <v>1</v>
      </c>
      <c r="AD58" s="51">
        <f>COUNTIF($X$5:$X$58, "Not Used")</f>
        <v>54</v>
      </c>
      <c r="AE58" s="51">
        <f>COUNTIF($X$5:$X$58, "TRUE")</f>
        <v>0</v>
      </c>
      <c r="AF58" s="51" t="b">
        <f t="shared" si="15"/>
        <v>1</v>
      </c>
      <c r="AI58" s="51" t="b">
        <f t="shared" si="16"/>
        <v>0</v>
      </c>
      <c r="AJ58" s="51" t="b">
        <f t="shared" si="17"/>
        <v>0</v>
      </c>
      <c r="AK58" s="51" t="b">
        <f t="shared" si="18"/>
        <v>0</v>
      </c>
      <c r="AL58" s="51" t="b">
        <f t="shared" si="19"/>
        <v>0</v>
      </c>
      <c r="AM58" s="51" t="b">
        <f t="shared" si="20"/>
        <v>0</v>
      </c>
      <c r="AN58" s="51"/>
      <c r="AO58" s="51" t="b">
        <f t="shared" si="21"/>
        <v>0</v>
      </c>
      <c r="AP58" s="51" t="str">
        <f t="shared" si="43"/>
        <v>Tier 1 MMS</v>
      </c>
      <c r="AQ58" s="51" t="b">
        <f t="shared" si="22"/>
        <v>0</v>
      </c>
      <c r="AR58" s="51" t="b">
        <f t="shared" si="23"/>
        <v>0</v>
      </c>
      <c r="AS58" s="51" t="str">
        <f t="shared" si="24"/>
        <v/>
      </c>
      <c r="AT58" s="51" t="b">
        <f t="shared" si="25"/>
        <v>0</v>
      </c>
      <c r="AU58" s="51" t="b">
        <f t="shared" si="26"/>
        <v>0</v>
      </c>
      <c r="AV58" s="51" t="str">
        <f t="shared" si="27"/>
        <v/>
      </c>
      <c r="AW58" s="51" t="str">
        <f t="shared" si="28"/>
        <v/>
      </c>
      <c r="AX58" s="51" t="str">
        <f t="shared" si="29"/>
        <v/>
      </c>
      <c r="AY58" s="51" t="str">
        <f t="shared" si="30"/>
        <v/>
      </c>
      <c r="AZ58" s="51" t="str">
        <f t="shared" si="31"/>
        <v/>
      </c>
      <c r="BA58" s="51" t="str">
        <f t="shared" si="32"/>
        <v/>
      </c>
      <c r="BB58" s="51" t="str">
        <f t="shared" si="33"/>
        <v/>
      </c>
      <c r="BC58" s="51" t="str">
        <f t="shared" si="34"/>
        <v/>
      </c>
      <c r="BD58" s="51" t="str">
        <f t="shared" si="35"/>
        <v/>
      </c>
      <c r="BE58" s="51" t="str">
        <f t="shared" si="36"/>
        <v/>
      </c>
      <c r="BF58" s="51" t="str">
        <f t="shared" si="37"/>
        <v/>
      </c>
      <c r="BG58" s="51" t="str">
        <f t="shared" si="38"/>
        <v/>
      </c>
      <c r="BH58" s="51" t="b">
        <f t="shared" si="39"/>
        <v>0</v>
      </c>
      <c r="BI58" s="51" t="str">
        <f t="shared" si="40"/>
        <v/>
      </c>
      <c r="BJ58" s="51" t="str">
        <f t="shared" si="41"/>
        <v/>
      </c>
      <c r="BK58" s="51" t="b">
        <f t="shared" si="42"/>
        <v>0</v>
      </c>
      <c r="BL58" s="192"/>
    </row>
    <row r="59" spans="1:64" ht="13.5" thickBot="1" x14ac:dyDescent="0.25">
      <c r="A59" s="185" t="s">
        <v>751</v>
      </c>
      <c r="B59" s="193" t="s">
        <v>694</v>
      </c>
      <c r="C59" s="194" t="s">
        <v>695</v>
      </c>
      <c r="D59" s="194" t="s">
        <v>695</v>
      </c>
      <c r="E59" s="193" t="s">
        <v>694</v>
      </c>
      <c r="F59" s="160" t="s">
        <v>20</v>
      </c>
      <c r="G59" s="161"/>
      <c r="H59" s="186" t="str">
        <f t="shared" si="0"/>
        <v>Used?</v>
      </c>
      <c r="I59" s="186" t="b">
        <f t="shared" si="1"/>
        <v>0</v>
      </c>
      <c r="J59" s="186" t="str">
        <f t="shared" si="2"/>
        <v>N/A</v>
      </c>
      <c r="K59" s="186" t="b">
        <f t="shared" si="3"/>
        <v>1</v>
      </c>
      <c r="L59" s="186" t="str">
        <f t="shared" si="4"/>
        <v>N/A</v>
      </c>
      <c r="M59" s="186" t="b">
        <f t="shared" si="5"/>
        <v>1</v>
      </c>
      <c r="N59" s="186" t="str">
        <f t="shared" si="6"/>
        <v>Used?</v>
      </c>
      <c r="O59" s="186" t="b">
        <f t="shared" si="7"/>
        <v>0</v>
      </c>
      <c r="P59" s="26" t="s">
        <v>696</v>
      </c>
      <c r="Q59" s="160" t="s">
        <v>20</v>
      </c>
      <c r="R59" s="160" t="s">
        <v>20</v>
      </c>
      <c r="S59" s="26" t="s">
        <v>697</v>
      </c>
      <c r="T59" s="165" t="str">
        <f t="shared" si="8"/>
        <v>Not Used</v>
      </c>
      <c r="U59" s="162"/>
      <c r="V59" s="55"/>
      <c r="W59" s="51" t="b">
        <f t="shared" si="9"/>
        <v>1</v>
      </c>
      <c r="X59" s="51" t="str">
        <f t="shared" si="10"/>
        <v>Not Used</v>
      </c>
      <c r="Y59" s="51" t="str">
        <f t="shared" si="11"/>
        <v>Not Used</v>
      </c>
      <c r="Z59" s="51" t="str">
        <f t="shared" si="12"/>
        <v>Not Used</v>
      </c>
      <c r="AA59" s="51" t="str">
        <f t="shared" si="12"/>
        <v>Not Used</v>
      </c>
      <c r="AB59" s="51" t="str">
        <f t="shared" si="13"/>
        <v>Not Used</v>
      </c>
      <c r="AC59" s="51" t="b">
        <f t="shared" si="14"/>
        <v>1</v>
      </c>
      <c r="AD59" s="51">
        <f>COUNTIF($X$5:$X$59, "Not Used")</f>
        <v>55</v>
      </c>
      <c r="AE59" s="51">
        <f>COUNTIF($X$5:$X$59, "TRUE")</f>
        <v>0</v>
      </c>
      <c r="AF59" s="51" t="b">
        <f t="shared" si="15"/>
        <v>1</v>
      </c>
      <c r="AI59" s="51" t="b">
        <f t="shared" si="16"/>
        <v>0</v>
      </c>
      <c r="AJ59" s="51" t="b">
        <f t="shared" si="17"/>
        <v>0</v>
      </c>
      <c r="AK59" s="51" t="b">
        <f t="shared" si="18"/>
        <v>0</v>
      </c>
      <c r="AL59" s="51" t="b">
        <f t="shared" si="19"/>
        <v>0</v>
      </c>
      <c r="AM59" s="51" t="b">
        <f t="shared" si="20"/>
        <v>0</v>
      </c>
      <c r="AN59" s="51"/>
      <c r="AO59" s="51" t="b">
        <f t="shared" si="21"/>
        <v>0</v>
      </c>
      <c r="AP59" s="51" t="str">
        <f t="shared" si="43"/>
        <v>Tier 1 MMS</v>
      </c>
      <c r="AQ59" s="51" t="b">
        <f t="shared" si="22"/>
        <v>0</v>
      </c>
      <c r="AR59" s="51" t="b">
        <f t="shared" si="23"/>
        <v>0</v>
      </c>
      <c r="AS59" s="51" t="str">
        <f t="shared" si="24"/>
        <v/>
      </c>
      <c r="AT59" s="51" t="b">
        <f t="shared" si="25"/>
        <v>0</v>
      </c>
      <c r="AU59" s="51" t="b">
        <f t="shared" si="26"/>
        <v>0</v>
      </c>
      <c r="AV59" s="51" t="str">
        <f t="shared" si="27"/>
        <v/>
      </c>
      <c r="AW59" s="51" t="str">
        <f t="shared" si="28"/>
        <v/>
      </c>
      <c r="AX59" s="51" t="str">
        <f t="shared" si="29"/>
        <v/>
      </c>
      <c r="AY59" s="51" t="str">
        <f t="shared" si="30"/>
        <v/>
      </c>
      <c r="AZ59" s="51" t="str">
        <f t="shared" si="31"/>
        <v/>
      </c>
      <c r="BA59" s="51" t="str">
        <f t="shared" si="32"/>
        <v/>
      </c>
      <c r="BB59" s="51" t="str">
        <f t="shared" si="33"/>
        <v/>
      </c>
      <c r="BC59" s="51" t="str">
        <f t="shared" si="34"/>
        <v/>
      </c>
      <c r="BD59" s="51" t="str">
        <f t="shared" si="35"/>
        <v/>
      </c>
      <c r="BE59" s="51" t="str">
        <f t="shared" si="36"/>
        <v/>
      </c>
      <c r="BF59" s="51" t="str">
        <f t="shared" si="37"/>
        <v/>
      </c>
      <c r="BG59" s="51" t="str">
        <f t="shared" si="38"/>
        <v/>
      </c>
      <c r="BH59" s="51" t="b">
        <f t="shared" si="39"/>
        <v>0</v>
      </c>
      <c r="BI59" s="51" t="str">
        <f t="shared" si="40"/>
        <v/>
      </c>
      <c r="BJ59" s="51" t="str">
        <f t="shared" si="41"/>
        <v/>
      </c>
      <c r="BK59" s="51" t="b">
        <f t="shared" si="42"/>
        <v>0</v>
      </c>
      <c r="BL59" s="192"/>
    </row>
    <row r="60" spans="1:64" ht="13.5" thickBot="1" x14ac:dyDescent="0.25">
      <c r="A60" s="185" t="s">
        <v>752</v>
      </c>
      <c r="B60" s="193" t="s">
        <v>694</v>
      </c>
      <c r="C60" s="194" t="s">
        <v>695</v>
      </c>
      <c r="D60" s="194" t="s">
        <v>695</v>
      </c>
      <c r="E60" s="193" t="s">
        <v>694</v>
      </c>
      <c r="F60" s="160" t="s">
        <v>20</v>
      </c>
      <c r="G60" s="161"/>
      <c r="H60" s="186" t="str">
        <f t="shared" si="0"/>
        <v>Used?</v>
      </c>
      <c r="I60" s="186" t="b">
        <f t="shared" si="1"/>
        <v>0</v>
      </c>
      <c r="J60" s="186" t="str">
        <f t="shared" si="2"/>
        <v>N/A</v>
      </c>
      <c r="K60" s="186" t="b">
        <f t="shared" si="3"/>
        <v>1</v>
      </c>
      <c r="L60" s="186" t="str">
        <f t="shared" si="4"/>
        <v>N/A</v>
      </c>
      <c r="M60" s="186" t="b">
        <f t="shared" si="5"/>
        <v>1</v>
      </c>
      <c r="N60" s="186" t="str">
        <f t="shared" si="6"/>
        <v>Used?</v>
      </c>
      <c r="O60" s="186" t="b">
        <f t="shared" si="7"/>
        <v>0</v>
      </c>
      <c r="P60" s="26" t="s">
        <v>696</v>
      </c>
      <c r="Q60" s="160" t="s">
        <v>20</v>
      </c>
      <c r="R60" s="160" t="s">
        <v>20</v>
      </c>
      <c r="S60" s="26" t="s">
        <v>697</v>
      </c>
      <c r="T60" s="165" t="str">
        <f t="shared" si="8"/>
        <v>Not Used</v>
      </c>
      <c r="U60" s="162"/>
      <c r="V60" s="55"/>
      <c r="W60" s="51" t="b">
        <f t="shared" si="9"/>
        <v>1</v>
      </c>
      <c r="X60" s="51" t="str">
        <f t="shared" si="10"/>
        <v>Not Used</v>
      </c>
      <c r="Y60" s="51" t="str">
        <f t="shared" si="11"/>
        <v>Not Used</v>
      </c>
      <c r="Z60" s="51" t="str">
        <f t="shared" si="12"/>
        <v>Not Used</v>
      </c>
      <c r="AA60" s="51" t="str">
        <f t="shared" si="12"/>
        <v>Not Used</v>
      </c>
      <c r="AB60" s="51" t="str">
        <f t="shared" si="13"/>
        <v>Not Used</v>
      </c>
      <c r="AC60" s="51" t="b">
        <f t="shared" si="14"/>
        <v>1</v>
      </c>
      <c r="AD60" s="51">
        <f>COUNTIF($X$5:$X$60, "Not Used")</f>
        <v>56</v>
      </c>
      <c r="AE60" s="51">
        <f>COUNTIF($X$5:$X$60, "TRUE")</f>
        <v>0</v>
      </c>
      <c r="AF60" s="51" t="b">
        <f t="shared" si="15"/>
        <v>1</v>
      </c>
      <c r="AI60" s="51" t="b">
        <f t="shared" si="16"/>
        <v>0</v>
      </c>
      <c r="AJ60" s="51" t="b">
        <f t="shared" si="17"/>
        <v>0</v>
      </c>
      <c r="AK60" s="51" t="b">
        <f t="shared" si="18"/>
        <v>0</v>
      </c>
      <c r="AL60" s="51" t="b">
        <f t="shared" si="19"/>
        <v>0</v>
      </c>
      <c r="AM60" s="51" t="b">
        <f t="shared" si="20"/>
        <v>0</v>
      </c>
      <c r="AN60" s="51"/>
      <c r="AO60" s="51" t="b">
        <f t="shared" si="21"/>
        <v>0</v>
      </c>
      <c r="AP60" s="51" t="str">
        <f t="shared" si="43"/>
        <v>Tier 1 MMS</v>
      </c>
      <c r="AQ60" s="51" t="b">
        <f t="shared" si="22"/>
        <v>0</v>
      </c>
      <c r="AR60" s="51" t="b">
        <f t="shared" si="23"/>
        <v>0</v>
      </c>
      <c r="AS60" s="51" t="str">
        <f t="shared" si="24"/>
        <v/>
      </c>
      <c r="AT60" s="51" t="b">
        <f t="shared" si="25"/>
        <v>0</v>
      </c>
      <c r="AU60" s="51" t="b">
        <f t="shared" si="26"/>
        <v>0</v>
      </c>
      <c r="AV60" s="51" t="str">
        <f t="shared" si="27"/>
        <v/>
      </c>
      <c r="AW60" s="51" t="str">
        <f t="shared" si="28"/>
        <v/>
      </c>
      <c r="AX60" s="51" t="str">
        <f t="shared" si="29"/>
        <v/>
      </c>
      <c r="AY60" s="51" t="str">
        <f t="shared" si="30"/>
        <v/>
      </c>
      <c r="AZ60" s="51" t="str">
        <f t="shared" si="31"/>
        <v/>
      </c>
      <c r="BA60" s="51" t="str">
        <f t="shared" si="32"/>
        <v/>
      </c>
      <c r="BB60" s="51" t="str">
        <f t="shared" si="33"/>
        <v/>
      </c>
      <c r="BC60" s="51" t="str">
        <f t="shared" si="34"/>
        <v/>
      </c>
      <c r="BD60" s="51" t="str">
        <f t="shared" si="35"/>
        <v/>
      </c>
      <c r="BE60" s="51" t="str">
        <f t="shared" si="36"/>
        <v/>
      </c>
      <c r="BF60" s="51" t="str">
        <f t="shared" si="37"/>
        <v/>
      </c>
      <c r="BG60" s="51" t="str">
        <f t="shared" si="38"/>
        <v/>
      </c>
      <c r="BH60" s="51" t="b">
        <f t="shared" si="39"/>
        <v>0</v>
      </c>
      <c r="BI60" s="51" t="str">
        <f t="shared" si="40"/>
        <v/>
      </c>
      <c r="BJ60" s="51" t="str">
        <f t="shared" si="41"/>
        <v/>
      </c>
      <c r="BK60" s="51" t="b">
        <f t="shared" si="42"/>
        <v>0</v>
      </c>
      <c r="BL60" s="192"/>
    </row>
    <row r="61" spans="1:64" ht="13.5" thickBot="1" x14ac:dyDescent="0.25">
      <c r="A61" s="185" t="s">
        <v>753</v>
      </c>
      <c r="B61" s="193" t="s">
        <v>694</v>
      </c>
      <c r="C61" s="194" t="s">
        <v>695</v>
      </c>
      <c r="D61" s="194" t="s">
        <v>695</v>
      </c>
      <c r="E61" s="193" t="s">
        <v>694</v>
      </c>
      <c r="F61" s="160" t="s">
        <v>20</v>
      </c>
      <c r="G61" s="161"/>
      <c r="H61" s="186" t="str">
        <f t="shared" si="0"/>
        <v>Used?</v>
      </c>
      <c r="I61" s="186" t="b">
        <f t="shared" si="1"/>
        <v>0</v>
      </c>
      <c r="J61" s="186" t="str">
        <f t="shared" si="2"/>
        <v>N/A</v>
      </c>
      <c r="K61" s="186" t="b">
        <f t="shared" si="3"/>
        <v>1</v>
      </c>
      <c r="L61" s="186" t="str">
        <f t="shared" si="4"/>
        <v>N/A</v>
      </c>
      <c r="M61" s="186" t="b">
        <f t="shared" si="5"/>
        <v>1</v>
      </c>
      <c r="N61" s="186" t="str">
        <f t="shared" si="6"/>
        <v>Used?</v>
      </c>
      <c r="O61" s="186" t="b">
        <f t="shared" si="7"/>
        <v>0</v>
      </c>
      <c r="P61" s="26" t="s">
        <v>696</v>
      </c>
      <c r="Q61" s="160" t="s">
        <v>20</v>
      </c>
      <c r="R61" s="160" t="s">
        <v>20</v>
      </c>
      <c r="S61" s="26" t="s">
        <v>697</v>
      </c>
      <c r="T61" s="165" t="str">
        <f t="shared" si="8"/>
        <v>Not Used</v>
      </c>
      <c r="U61" s="162"/>
      <c r="V61" s="55"/>
      <c r="W61" s="51" t="b">
        <f t="shared" si="9"/>
        <v>1</v>
      </c>
      <c r="X61" s="51" t="str">
        <f t="shared" si="10"/>
        <v>Not Used</v>
      </c>
      <c r="Y61" s="51" t="str">
        <f t="shared" si="11"/>
        <v>Not Used</v>
      </c>
      <c r="Z61" s="51" t="str">
        <f t="shared" si="12"/>
        <v>Not Used</v>
      </c>
      <c r="AA61" s="51" t="str">
        <f t="shared" si="12"/>
        <v>Not Used</v>
      </c>
      <c r="AB61" s="51" t="str">
        <f t="shared" si="13"/>
        <v>Not Used</v>
      </c>
      <c r="AC61" s="51" t="b">
        <f t="shared" si="14"/>
        <v>1</v>
      </c>
      <c r="AD61" s="51">
        <f>COUNTIF($X$5:$X$61, "Not Used")</f>
        <v>57</v>
      </c>
      <c r="AE61" s="51">
        <f>COUNTIF($X$5:$X$61, "TRUE")</f>
        <v>0</v>
      </c>
      <c r="AF61" s="51" t="b">
        <f t="shared" si="15"/>
        <v>1</v>
      </c>
      <c r="AI61" s="51" t="b">
        <f t="shared" si="16"/>
        <v>0</v>
      </c>
      <c r="AJ61" s="51" t="b">
        <f t="shared" si="17"/>
        <v>0</v>
      </c>
      <c r="AK61" s="51" t="b">
        <f t="shared" si="18"/>
        <v>0</v>
      </c>
      <c r="AL61" s="51" t="b">
        <f t="shared" si="19"/>
        <v>0</v>
      </c>
      <c r="AM61" s="51" t="b">
        <f t="shared" si="20"/>
        <v>0</v>
      </c>
      <c r="AN61" s="51"/>
      <c r="AO61" s="51" t="b">
        <f t="shared" si="21"/>
        <v>0</v>
      </c>
      <c r="AP61" s="51" t="str">
        <f t="shared" si="43"/>
        <v>Tier 1 MMS</v>
      </c>
      <c r="AQ61" s="51" t="b">
        <f t="shared" si="22"/>
        <v>0</v>
      </c>
      <c r="AR61" s="51" t="b">
        <f t="shared" si="23"/>
        <v>0</v>
      </c>
      <c r="AS61" s="51" t="str">
        <f t="shared" si="24"/>
        <v/>
      </c>
      <c r="AT61" s="51" t="b">
        <f t="shared" si="25"/>
        <v>0</v>
      </c>
      <c r="AU61" s="51" t="b">
        <f t="shared" si="26"/>
        <v>0</v>
      </c>
      <c r="AV61" s="51" t="str">
        <f t="shared" si="27"/>
        <v/>
      </c>
      <c r="AW61" s="51" t="str">
        <f t="shared" si="28"/>
        <v/>
      </c>
      <c r="AX61" s="51" t="str">
        <f t="shared" si="29"/>
        <v/>
      </c>
      <c r="AY61" s="51" t="str">
        <f t="shared" si="30"/>
        <v/>
      </c>
      <c r="AZ61" s="51" t="str">
        <f t="shared" si="31"/>
        <v/>
      </c>
      <c r="BA61" s="51" t="str">
        <f t="shared" si="32"/>
        <v/>
      </c>
      <c r="BB61" s="51" t="str">
        <f t="shared" si="33"/>
        <v/>
      </c>
      <c r="BC61" s="51" t="str">
        <f t="shared" si="34"/>
        <v/>
      </c>
      <c r="BD61" s="51" t="str">
        <f t="shared" si="35"/>
        <v/>
      </c>
      <c r="BE61" s="51" t="str">
        <f t="shared" si="36"/>
        <v/>
      </c>
      <c r="BF61" s="51" t="str">
        <f t="shared" si="37"/>
        <v/>
      </c>
      <c r="BG61" s="51" t="str">
        <f t="shared" si="38"/>
        <v/>
      </c>
      <c r="BH61" s="51" t="b">
        <f t="shared" si="39"/>
        <v>0</v>
      </c>
      <c r="BI61" s="51" t="str">
        <f t="shared" si="40"/>
        <v/>
      </c>
      <c r="BJ61" s="51" t="str">
        <f t="shared" si="41"/>
        <v/>
      </c>
      <c r="BK61" s="51" t="b">
        <f t="shared" si="42"/>
        <v>0</v>
      </c>
      <c r="BL61" s="192"/>
    </row>
    <row r="62" spans="1:64" ht="13.5" thickBot="1" x14ac:dyDescent="0.25">
      <c r="A62" s="185" t="s">
        <v>754</v>
      </c>
      <c r="B62" s="193" t="s">
        <v>694</v>
      </c>
      <c r="C62" s="194" t="s">
        <v>695</v>
      </c>
      <c r="D62" s="194" t="s">
        <v>695</v>
      </c>
      <c r="E62" s="193" t="s">
        <v>694</v>
      </c>
      <c r="F62" s="160" t="s">
        <v>20</v>
      </c>
      <c r="G62" s="161"/>
      <c r="H62" s="186" t="str">
        <f t="shared" si="0"/>
        <v>Used?</v>
      </c>
      <c r="I62" s="186" t="b">
        <f t="shared" si="1"/>
        <v>0</v>
      </c>
      <c r="J62" s="186" t="str">
        <f t="shared" si="2"/>
        <v>N/A</v>
      </c>
      <c r="K62" s="186" t="b">
        <f t="shared" si="3"/>
        <v>1</v>
      </c>
      <c r="L62" s="186" t="str">
        <f t="shared" si="4"/>
        <v>N/A</v>
      </c>
      <c r="M62" s="186" t="b">
        <f t="shared" si="5"/>
        <v>1</v>
      </c>
      <c r="N62" s="186" t="str">
        <f t="shared" si="6"/>
        <v>Used?</v>
      </c>
      <c r="O62" s="186" t="b">
        <f t="shared" si="7"/>
        <v>0</v>
      </c>
      <c r="P62" s="26" t="s">
        <v>696</v>
      </c>
      <c r="Q62" s="160" t="s">
        <v>20</v>
      </c>
      <c r="R62" s="160" t="s">
        <v>20</v>
      </c>
      <c r="S62" s="26" t="s">
        <v>697</v>
      </c>
      <c r="T62" s="165" t="str">
        <f t="shared" si="8"/>
        <v>Not Used</v>
      </c>
      <c r="U62" s="162"/>
      <c r="V62" s="55"/>
      <c r="W62" s="51" t="b">
        <f t="shared" si="9"/>
        <v>1</v>
      </c>
      <c r="X62" s="51" t="str">
        <f t="shared" si="10"/>
        <v>Not Used</v>
      </c>
      <c r="Y62" s="51" t="str">
        <f t="shared" si="11"/>
        <v>Not Used</v>
      </c>
      <c r="Z62" s="51" t="str">
        <f t="shared" si="12"/>
        <v>Not Used</v>
      </c>
      <c r="AA62" s="51" t="str">
        <f t="shared" si="12"/>
        <v>Not Used</v>
      </c>
      <c r="AB62" s="51" t="str">
        <f t="shared" si="13"/>
        <v>Not Used</v>
      </c>
      <c r="AC62" s="51" t="b">
        <f t="shared" si="14"/>
        <v>1</v>
      </c>
      <c r="AD62" s="51">
        <f>COUNTIF($X$5:$X$62, "Not Used")</f>
        <v>58</v>
      </c>
      <c r="AE62" s="51">
        <f>COUNTIF($X$5:$X$62, "TRUE")</f>
        <v>0</v>
      </c>
      <c r="AF62" s="51" t="b">
        <f t="shared" si="15"/>
        <v>1</v>
      </c>
      <c r="AI62" s="51" t="b">
        <f t="shared" si="16"/>
        <v>0</v>
      </c>
      <c r="AJ62" s="51" t="b">
        <f t="shared" si="17"/>
        <v>0</v>
      </c>
      <c r="AK62" s="51" t="b">
        <f t="shared" si="18"/>
        <v>0</v>
      </c>
      <c r="AL62" s="51" t="b">
        <f t="shared" si="19"/>
        <v>0</v>
      </c>
      <c r="AM62" s="51" t="b">
        <f t="shared" si="20"/>
        <v>0</v>
      </c>
      <c r="AN62" s="51"/>
      <c r="AO62" s="51" t="b">
        <f t="shared" si="21"/>
        <v>0</v>
      </c>
      <c r="AP62" s="51" t="str">
        <f t="shared" si="43"/>
        <v>Tier 1 MMS</v>
      </c>
      <c r="AQ62" s="51" t="b">
        <f t="shared" si="22"/>
        <v>0</v>
      </c>
      <c r="AR62" s="51" t="b">
        <f t="shared" si="23"/>
        <v>0</v>
      </c>
      <c r="AS62" s="51" t="str">
        <f t="shared" si="24"/>
        <v/>
      </c>
      <c r="AT62" s="51" t="b">
        <f t="shared" si="25"/>
        <v>0</v>
      </c>
      <c r="AU62" s="51" t="b">
        <f t="shared" si="26"/>
        <v>0</v>
      </c>
      <c r="AV62" s="51" t="str">
        <f t="shared" si="27"/>
        <v/>
      </c>
      <c r="AW62" s="51" t="str">
        <f t="shared" si="28"/>
        <v/>
      </c>
      <c r="AX62" s="51" t="str">
        <f t="shared" si="29"/>
        <v/>
      </c>
      <c r="AY62" s="51" t="str">
        <f t="shared" si="30"/>
        <v/>
      </c>
      <c r="AZ62" s="51" t="str">
        <f t="shared" si="31"/>
        <v/>
      </c>
      <c r="BA62" s="51" t="str">
        <f t="shared" si="32"/>
        <v/>
      </c>
      <c r="BB62" s="51" t="str">
        <f t="shared" si="33"/>
        <v/>
      </c>
      <c r="BC62" s="51" t="str">
        <f t="shared" si="34"/>
        <v/>
      </c>
      <c r="BD62" s="51" t="str">
        <f t="shared" si="35"/>
        <v/>
      </c>
      <c r="BE62" s="51" t="str">
        <f t="shared" si="36"/>
        <v/>
      </c>
      <c r="BF62" s="51" t="str">
        <f t="shared" si="37"/>
        <v/>
      </c>
      <c r="BG62" s="51" t="str">
        <f t="shared" si="38"/>
        <v/>
      </c>
      <c r="BH62" s="51" t="b">
        <f t="shared" si="39"/>
        <v>0</v>
      </c>
      <c r="BI62" s="51" t="str">
        <f t="shared" si="40"/>
        <v/>
      </c>
      <c r="BJ62" s="51" t="str">
        <f t="shared" si="41"/>
        <v/>
      </c>
      <c r="BK62" s="51" t="b">
        <f t="shared" si="42"/>
        <v>0</v>
      </c>
      <c r="BL62" s="192"/>
    </row>
    <row r="63" spans="1:64" ht="13.5" thickBot="1" x14ac:dyDescent="0.25">
      <c r="A63" s="185" t="s">
        <v>755</v>
      </c>
      <c r="B63" s="193" t="s">
        <v>694</v>
      </c>
      <c r="C63" s="193" t="s">
        <v>694</v>
      </c>
      <c r="D63" s="194" t="s">
        <v>695</v>
      </c>
      <c r="E63" s="193" t="s">
        <v>694</v>
      </c>
      <c r="F63" s="160" t="s">
        <v>20</v>
      </c>
      <c r="G63" s="161"/>
      <c r="H63" s="186" t="str">
        <f t="shared" si="0"/>
        <v>Used?</v>
      </c>
      <c r="I63" s="186" t="b">
        <f t="shared" si="1"/>
        <v>0</v>
      </c>
      <c r="J63" s="186" t="str">
        <f t="shared" si="2"/>
        <v>Used?</v>
      </c>
      <c r="K63" s="186" t="b">
        <f t="shared" si="3"/>
        <v>0</v>
      </c>
      <c r="L63" s="186" t="str">
        <f t="shared" si="4"/>
        <v>N/A</v>
      </c>
      <c r="M63" s="186" t="b">
        <f t="shared" si="5"/>
        <v>1</v>
      </c>
      <c r="N63" s="186" t="str">
        <f t="shared" si="6"/>
        <v>Used?</v>
      </c>
      <c r="O63" s="186" t="b">
        <f t="shared" si="7"/>
        <v>0</v>
      </c>
      <c r="P63" s="26" t="s">
        <v>696</v>
      </c>
      <c r="Q63" s="160" t="s">
        <v>20</v>
      </c>
      <c r="R63" s="160" t="s">
        <v>20</v>
      </c>
      <c r="S63" s="26" t="s">
        <v>697</v>
      </c>
      <c r="T63" s="165" t="str">
        <f t="shared" si="8"/>
        <v>Not Used</v>
      </c>
      <c r="U63" s="162"/>
      <c r="V63" s="55"/>
      <c r="W63" s="51" t="b">
        <f t="shared" si="9"/>
        <v>1</v>
      </c>
      <c r="X63" s="51" t="str">
        <f t="shared" si="10"/>
        <v>Not Used</v>
      </c>
      <c r="Y63" s="51" t="str">
        <f t="shared" si="11"/>
        <v>Not Used</v>
      </c>
      <c r="Z63" s="51" t="str">
        <f t="shared" si="12"/>
        <v>Not Used</v>
      </c>
      <c r="AA63" s="51" t="str">
        <f t="shared" si="12"/>
        <v>Not Used</v>
      </c>
      <c r="AB63" s="51" t="str">
        <f t="shared" si="13"/>
        <v>Not Used</v>
      </c>
      <c r="AC63" s="51" t="b">
        <f t="shared" si="14"/>
        <v>1</v>
      </c>
      <c r="AD63" s="51">
        <f>COUNTIF($X$5:$X$63, "Not Used")</f>
        <v>59</v>
      </c>
      <c r="AE63" s="51">
        <f>COUNTIF($X$5:$X$63, "TRUE")</f>
        <v>0</v>
      </c>
      <c r="AF63" s="51" t="b">
        <f t="shared" si="15"/>
        <v>1</v>
      </c>
      <c r="AI63" s="51" t="b">
        <f t="shared" si="16"/>
        <v>0</v>
      </c>
      <c r="AJ63" s="51" t="b">
        <f t="shared" si="17"/>
        <v>0</v>
      </c>
      <c r="AK63" s="51" t="b">
        <f t="shared" si="18"/>
        <v>0</v>
      </c>
      <c r="AL63" s="51" t="b">
        <f t="shared" si="19"/>
        <v>0</v>
      </c>
      <c r="AM63" s="51" t="b">
        <f t="shared" si="20"/>
        <v>0</v>
      </c>
      <c r="AN63" s="51"/>
      <c r="AO63" s="51" t="b">
        <f t="shared" si="21"/>
        <v>0</v>
      </c>
      <c r="AP63" s="51" t="str">
        <f t="shared" si="43"/>
        <v>Tier 1 MMS, Tier 1 Sub MMS</v>
      </c>
      <c r="AQ63" s="51" t="b">
        <f t="shared" si="22"/>
        <v>0</v>
      </c>
      <c r="AR63" s="51" t="b">
        <f t="shared" si="23"/>
        <v>0</v>
      </c>
      <c r="AS63" s="51" t="b">
        <f t="shared" si="24"/>
        <v>0</v>
      </c>
      <c r="AT63" s="51" t="b">
        <f t="shared" si="25"/>
        <v>0</v>
      </c>
      <c r="AU63" s="51" t="b">
        <f t="shared" si="26"/>
        <v>0</v>
      </c>
      <c r="AV63" s="51" t="str">
        <f t="shared" si="27"/>
        <v/>
      </c>
      <c r="AW63" s="51" t="str">
        <f t="shared" si="28"/>
        <v/>
      </c>
      <c r="AX63" s="51" t="str">
        <f t="shared" si="29"/>
        <v/>
      </c>
      <c r="AY63" s="51" t="str">
        <f t="shared" si="30"/>
        <v/>
      </c>
      <c r="AZ63" s="51" t="str">
        <f t="shared" si="31"/>
        <v/>
      </c>
      <c r="BA63" s="51" t="str">
        <f t="shared" si="32"/>
        <v/>
      </c>
      <c r="BB63" s="51" t="str">
        <f t="shared" si="33"/>
        <v/>
      </c>
      <c r="BC63" s="51" t="str">
        <f t="shared" si="34"/>
        <v/>
      </c>
      <c r="BD63" s="51" t="str">
        <f t="shared" si="35"/>
        <v/>
      </c>
      <c r="BE63" s="51" t="str">
        <f t="shared" si="36"/>
        <v/>
      </c>
      <c r="BF63" s="51" t="str">
        <f t="shared" si="37"/>
        <v/>
      </c>
      <c r="BG63" s="51" t="str">
        <f t="shared" si="38"/>
        <v/>
      </c>
      <c r="BH63" s="51" t="b">
        <f t="shared" si="39"/>
        <v>0</v>
      </c>
      <c r="BI63" s="51" t="str">
        <f t="shared" si="40"/>
        <v/>
      </c>
      <c r="BJ63" s="51" t="str">
        <f t="shared" si="41"/>
        <v/>
      </c>
      <c r="BK63" s="51" t="b">
        <f t="shared" si="42"/>
        <v>0</v>
      </c>
      <c r="BL63" s="192"/>
    </row>
    <row r="64" spans="1:64" ht="13.5" thickBot="1" x14ac:dyDescent="0.25">
      <c r="A64" s="185" t="s">
        <v>756</v>
      </c>
      <c r="B64" s="193" t="s">
        <v>694</v>
      </c>
      <c r="C64" s="193" t="s">
        <v>694</v>
      </c>
      <c r="D64" s="194" t="s">
        <v>695</v>
      </c>
      <c r="E64" s="193" t="s">
        <v>694</v>
      </c>
      <c r="F64" s="160" t="s">
        <v>20</v>
      </c>
      <c r="G64" s="161"/>
      <c r="H64" s="186" t="str">
        <f t="shared" si="0"/>
        <v>Used?</v>
      </c>
      <c r="I64" s="186" t="b">
        <f t="shared" si="1"/>
        <v>0</v>
      </c>
      <c r="J64" s="186" t="str">
        <f t="shared" si="2"/>
        <v>Used?</v>
      </c>
      <c r="K64" s="186" t="b">
        <f t="shared" si="3"/>
        <v>0</v>
      </c>
      <c r="L64" s="186" t="str">
        <f t="shared" si="4"/>
        <v>N/A</v>
      </c>
      <c r="M64" s="186" t="b">
        <f t="shared" si="5"/>
        <v>1</v>
      </c>
      <c r="N64" s="186" t="str">
        <f t="shared" si="6"/>
        <v>Used?</v>
      </c>
      <c r="O64" s="186" t="b">
        <f t="shared" si="7"/>
        <v>0</v>
      </c>
      <c r="P64" s="26" t="s">
        <v>696</v>
      </c>
      <c r="Q64" s="160" t="s">
        <v>20</v>
      </c>
      <c r="R64" s="160" t="s">
        <v>20</v>
      </c>
      <c r="S64" s="26" t="s">
        <v>697</v>
      </c>
      <c r="T64" s="165" t="str">
        <f t="shared" si="8"/>
        <v>Not Used</v>
      </c>
      <c r="U64" s="162"/>
      <c r="V64" s="55"/>
      <c r="W64" s="51" t="b">
        <f t="shared" si="9"/>
        <v>1</v>
      </c>
      <c r="X64" s="51" t="str">
        <f t="shared" si="10"/>
        <v>Not Used</v>
      </c>
      <c r="Y64" s="51" t="str">
        <f t="shared" si="11"/>
        <v>Not Used</v>
      </c>
      <c r="Z64" s="51" t="str">
        <f t="shared" si="12"/>
        <v>Not Used</v>
      </c>
      <c r="AA64" s="51" t="str">
        <f t="shared" si="12"/>
        <v>Not Used</v>
      </c>
      <c r="AB64" s="51" t="str">
        <f t="shared" si="13"/>
        <v>Not Used</v>
      </c>
      <c r="AC64" s="51" t="b">
        <f t="shared" si="14"/>
        <v>1</v>
      </c>
      <c r="AD64" s="51">
        <f>COUNTIF($X$5:$X$64, "Not Used")</f>
        <v>60</v>
      </c>
      <c r="AE64" s="51">
        <f>COUNTIF($X$5:$X$64, "TRUE")</f>
        <v>0</v>
      </c>
      <c r="AF64" s="51" t="b">
        <f t="shared" si="15"/>
        <v>1</v>
      </c>
      <c r="AI64" s="51" t="b">
        <f t="shared" si="16"/>
        <v>0</v>
      </c>
      <c r="AJ64" s="51" t="b">
        <f t="shared" si="17"/>
        <v>0</v>
      </c>
      <c r="AK64" s="51" t="b">
        <f t="shared" si="18"/>
        <v>0</v>
      </c>
      <c r="AL64" s="51" t="b">
        <f t="shared" si="19"/>
        <v>0</v>
      </c>
      <c r="AM64" s="51" t="b">
        <f t="shared" si="20"/>
        <v>0</v>
      </c>
      <c r="AN64" s="51"/>
      <c r="AO64" s="51" t="b">
        <f t="shared" si="21"/>
        <v>0</v>
      </c>
      <c r="AP64" s="51" t="str">
        <f t="shared" si="43"/>
        <v>Tier 1 MMS, Tier 1 Sub MMS</v>
      </c>
      <c r="AQ64" s="51" t="b">
        <f t="shared" si="22"/>
        <v>0</v>
      </c>
      <c r="AR64" s="51" t="b">
        <f t="shared" si="23"/>
        <v>0</v>
      </c>
      <c r="AS64" s="51" t="b">
        <f t="shared" si="24"/>
        <v>0</v>
      </c>
      <c r="AT64" s="51" t="b">
        <f t="shared" si="25"/>
        <v>0</v>
      </c>
      <c r="AU64" s="51" t="b">
        <f t="shared" si="26"/>
        <v>0</v>
      </c>
      <c r="AV64" s="51" t="str">
        <f t="shared" si="27"/>
        <v/>
      </c>
      <c r="AW64" s="51" t="str">
        <f t="shared" si="28"/>
        <v/>
      </c>
      <c r="AX64" s="51" t="str">
        <f t="shared" si="29"/>
        <v/>
      </c>
      <c r="AY64" s="51" t="str">
        <f t="shared" si="30"/>
        <v/>
      </c>
      <c r="AZ64" s="51" t="str">
        <f t="shared" si="31"/>
        <v/>
      </c>
      <c r="BA64" s="51" t="str">
        <f t="shared" si="32"/>
        <v/>
      </c>
      <c r="BB64" s="51" t="str">
        <f t="shared" si="33"/>
        <v/>
      </c>
      <c r="BC64" s="51" t="str">
        <f t="shared" si="34"/>
        <v/>
      </c>
      <c r="BD64" s="51" t="str">
        <f t="shared" si="35"/>
        <v/>
      </c>
      <c r="BE64" s="51" t="str">
        <f t="shared" si="36"/>
        <v/>
      </c>
      <c r="BF64" s="51" t="str">
        <f t="shared" si="37"/>
        <v/>
      </c>
      <c r="BG64" s="51" t="str">
        <f t="shared" si="38"/>
        <v/>
      </c>
      <c r="BH64" s="51" t="b">
        <f t="shared" si="39"/>
        <v>0</v>
      </c>
      <c r="BI64" s="51" t="str">
        <f t="shared" si="40"/>
        <v/>
      </c>
      <c r="BJ64" s="51" t="str">
        <f t="shared" si="41"/>
        <v/>
      </c>
      <c r="BK64" s="51" t="b">
        <f t="shared" si="42"/>
        <v>0</v>
      </c>
      <c r="BL64" s="192"/>
    </row>
    <row r="65" spans="1:64" ht="13.5" thickBot="1" x14ac:dyDescent="0.25">
      <c r="A65" s="185" t="s">
        <v>757</v>
      </c>
      <c r="B65" s="193" t="s">
        <v>694</v>
      </c>
      <c r="C65" s="193" t="s">
        <v>694</v>
      </c>
      <c r="D65" s="194" t="s">
        <v>695</v>
      </c>
      <c r="E65" s="193" t="s">
        <v>694</v>
      </c>
      <c r="F65" s="160" t="s">
        <v>20</v>
      </c>
      <c r="G65" s="161"/>
      <c r="H65" s="186" t="str">
        <f t="shared" si="0"/>
        <v>Used?</v>
      </c>
      <c r="I65" s="186" t="b">
        <f t="shared" si="1"/>
        <v>0</v>
      </c>
      <c r="J65" s="186" t="str">
        <f t="shared" si="2"/>
        <v>Used?</v>
      </c>
      <c r="K65" s="186" t="b">
        <f t="shared" si="3"/>
        <v>0</v>
      </c>
      <c r="L65" s="186" t="str">
        <f t="shared" si="4"/>
        <v>N/A</v>
      </c>
      <c r="M65" s="186" t="b">
        <f t="shared" si="5"/>
        <v>1</v>
      </c>
      <c r="N65" s="186" t="str">
        <f t="shared" si="6"/>
        <v>Used?</v>
      </c>
      <c r="O65" s="186" t="b">
        <f t="shared" si="7"/>
        <v>0</v>
      </c>
      <c r="P65" s="26" t="s">
        <v>696</v>
      </c>
      <c r="Q65" s="160" t="s">
        <v>20</v>
      </c>
      <c r="R65" s="160" t="s">
        <v>20</v>
      </c>
      <c r="S65" s="26" t="s">
        <v>697</v>
      </c>
      <c r="T65" s="165" t="str">
        <f t="shared" si="8"/>
        <v>Not Used</v>
      </c>
      <c r="U65" s="162"/>
      <c r="V65" s="55"/>
      <c r="W65" s="51" t="b">
        <f t="shared" si="9"/>
        <v>1</v>
      </c>
      <c r="X65" s="51" t="str">
        <f t="shared" si="10"/>
        <v>Not Used</v>
      </c>
      <c r="Y65" s="51" t="str">
        <f t="shared" si="11"/>
        <v>Not Used</v>
      </c>
      <c r="Z65" s="51" t="str">
        <f t="shared" si="12"/>
        <v>Not Used</v>
      </c>
      <c r="AA65" s="51" t="str">
        <f t="shared" si="12"/>
        <v>Not Used</v>
      </c>
      <c r="AB65" s="51" t="str">
        <f t="shared" si="13"/>
        <v>Not Used</v>
      </c>
      <c r="AC65" s="51" t="b">
        <f t="shared" si="14"/>
        <v>1</v>
      </c>
      <c r="AD65" s="51">
        <f>COUNTIF($X$5:$X$65, "Not Used")</f>
        <v>61</v>
      </c>
      <c r="AE65" s="51">
        <f>COUNTIF($X$5:$X$65, "TRUE")</f>
        <v>0</v>
      </c>
      <c r="AF65" s="51" t="b">
        <f t="shared" si="15"/>
        <v>1</v>
      </c>
      <c r="AI65" s="51" t="b">
        <f t="shared" si="16"/>
        <v>0</v>
      </c>
      <c r="AJ65" s="51" t="b">
        <f t="shared" si="17"/>
        <v>0</v>
      </c>
      <c r="AK65" s="51" t="b">
        <f t="shared" si="18"/>
        <v>0</v>
      </c>
      <c r="AL65" s="51" t="b">
        <f t="shared" si="19"/>
        <v>0</v>
      </c>
      <c r="AM65" s="51" t="b">
        <f t="shared" si="20"/>
        <v>0</v>
      </c>
      <c r="AN65" s="51"/>
      <c r="AO65" s="51" t="b">
        <f t="shared" si="21"/>
        <v>0</v>
      </c>
      <c r="AP65" s="51" t="str">
        <f t="shared" si="43"/>
        <v>Tier 1 MMS, Tier 1 Sub MMS</v>
      </c>
      <c r="AQ65" s="51" t="b">
        <f t="shared" si="22"/>
        <v>0</v>
      </c>
      <c r="AR65" s="51" t="b">
        <f t="shared" si="23"/>
        <v>0</v>
      </c>
      <c r="AS65" s="51" t="b">
        <f t="shared" si="24"/>
        <v>0</v>
      </c>
      <c r="AT65" s="51" t="b">
        <f t="shared" si="25"/>
        <v>0</v>
      </c>
      <c r="AU65" s="51" t="b">
        <f t="shared" si="26"/>
        <v>0</v>
      </c>
      <c r="AV65" s="51" t="str">
        <f t="shared" si="27"/>
        <v/>
      </c>
      <c r="AW65" s="51" t="str">
        <f t="shared" si="28"/>
        <v/>
      </c>
      <c r="AX65" s="51" t="str">
        <f t="shared" si="29"/>
        <v/>
      </c>
      <c r="AY65" s="51" t="str">
        <f t="shared" si="30"/>
        <v/>
      </c>
      <c r="AZ65" s="51" t="str">
        <f t="shared" si="31"/>
        <v/>
      </c>
      <c r="BA65" s="51" t="str">
        <f t="shared" si="32"/>
        <v/>
      </c>
      <c r="BB65" s="51" t="str">
        <f t="shared" si="33"/>
        <v/>
      </c>
      <c r="BC65" s="51" t="str">
        <f t="shared" si="34"/>
        <v/>
      </c>
      <c r="BD65" s="51" t="str">
        <f t="shared" si="35"/>
        <v/>
      </c>
      <c r="BE65" s="51" t="str">
        <f t="shared" si="36"/>
        <v/>
      </c>
      <c r="BF65" s="51" t="str">
        <f t="shared" si="37"/>
        <v/>
      </c>
      <c r="BG65" s="51" t="str">
        <f t="shared" si="38"/>
        <v/>
      </c>
      <c r="BH65" s="51" t="b">
        <f t="shared" si="39"/>
        <v>0</v>
      </c>
      <c r="BI65" s="51" t="str">
        <f t="shared" si="40"/>
        <v/>
      </c>
      <c r="BJ65" s="51" t="str">
        <f t="shared" si="41"/>
        <v/>
      </c>
      <c r="BK65" s="51" t="b">
        <f t="shared" si="42"/>
        <v>0</v>
      </c>
      <c r="BL65" s="192"/>
    </row>
    <row r="66" spans="1:64" ht="13.5" thickBot="1" x14ac:dyDescent="0.25">
      <c r="A66" s="185" t="s">
        <v>758</v>
      </c>
      <c r="B66" s="193" t="s">
        <v>694</v>
      </c>
      <c r="C66" s="193" t="s">
        <v>694</v>
      </c>
      <c r="D66" s="194" t="s">
        <v>695</v>
      </c>
      <c r="E66" s="193" t="s">
        <v>694</v>
      </c>
      <c r="F66" s="160" t="s">
        <v>20</v>
      </c>
      <c r="G66" s="161"/>
      <c r="H66" s="186" t="str">
        <f t="shared" si="0"/>
        <v>Used?</v>
      </c>
      <c r="I66" s="186" t="b">
        <f t="shared" si="1"/>
        <v>0</v>
      </c>
      <c r="J66" s="186" t="str">
        <f t="shared" si="2"/>
        <v>Used?</v>
      </c>
      <c r="K66" s="186" t="b">
        <f t="shared" si="3"/>
        <v>0</v>
      </c>
      <c r="L66" s="186" t="str">
        <f t="shared" si="4"/>
        <v>N/A</v>
      </c>
      <c r="M66" s="186" t="b">
        <f t="shared" si="5"/>
        <v>1</v>
      </c>
      <c r="N66" s="186" t="str">
        <f t="shared" si="6"/>
        <v>Used?</v>
      </c>
      <c r="O66" s="186" t="b">
        <f t="shared" si="7"/>
        <v>0</v>
      </c>
      <c r="P66" s="26" t="s">
        <v>696</v>
      </c>
      <c r="Q66" s="160" t="s">
        <v>20</v>
      </c>
      <c r="R66" s="160" t="s">
        <v>20</v>
      </c>
      <c r="S66" s="26" t="s">
        <v>697</v>
      </c>
      <c r="T66" s="165" t="str">
        <f t="shared" si="8"/>
        <v>Not Used</v>
      </c>
      <c r="U66" s="162"/>
      <c r="V66" s="55"/>
      <c r="W66" s="51" t="b">
        <f t="shared" si="9"/>
        <v>1</v>
      </c>
      <c r="X66" s="51" t="str">
        <f t="shared" si="10"/>
        <v>Not Used</v>
      </c>
      <c r="Y66" s="51" t="str">
        <f t="shared" si="11"/>
        <v>Not Used</v>
      </c>
      <c r="Z66" s="51" t="str">
        <f t="shared" si="12"/>
        <v>Not Used</v>
      </c>
      <c r="AA66" s="51" t="str">
        <f t="shared" si="12"/>
        <v>Not Used</v>
      </c>
      <c r="AB66" s="51" t="str">
        <f t="shared" si="13"/>
        <v>Not Used</v>
      </c>
      <c r="AC66" s="51" t="b">
        <f t="shared" si="14"/>
        <v>1</v>
      </c>
      <c r="AD66" s="51">
        <f>COUNTIF($X$5:$X$66, "Not Used")</f>
        <v>62</v>
      </c>
      <c r="AE66" s="51">
        <f>COUNTIF($X$5:$X$66, "TRUE")</f>
        <v>0</v>
      </c>
      <c r="AF66" s="51" t="b">
        <f t="shared" si="15"/>
        <v>1</v>
      </c>
      <c r="AI66" s="51" t="b">
        <f t="shared" si="16"/>
        <v>0</v>
      </c>
      <c r="AJ66" s="51" t="b">
        <f t="shared" si="17"/>
        <v>0</v>
      </c>
      <c r="AK66" s="51" t="b">
        <f t="shared" si="18"/>
        <v>0</v>
      </c>
      <c r="AL66" s="51" t="b">
        <f t="shared" si="19"/>
        <v>0</v>
      </c>
      <c r="AM66" s="51" t="b">
        <f t="shared" si="20"/>
        <v>0</v>
      </c>
      <c r="AN66" s="51"/>
      <c r="AO66" s="51" t="b">
        <f t="shared" si="21"/>
        <v>0</v>
      </c>
      <c r="AP66" s="51" t="str">
        <f t="shared" si="43"/>
        <v>Tier 1 MMS, Tier 1 Sub MMS</v>
      </c>
      <c r="AQ66" s="51" t="b">
        <f t="shared" si="22"/>
        <v>0</v>
      </c>
      <c r="AR66" s="51" t="b">
        <f t="shared" si="23"/>
        <v>0</v>
      </c>
      <c r="AS66" s="51" t="b">
        <f t="shared" si="24"/>
        <v>0</v>
      </c>
      <c r="AT66" s="51" t="b">
        <f t="shared" si="25"/>
        <v>0</v>
      </c>
      <c r="AU66" s="51" t="b">
        <f t="shared" si="26"/>
        <v>0</v>
      </c>
      <c r="AV66" s="51" t="str">
        <f t="shared" si="27"/>
        <v/>
      </c>
      <c r="AW66" s="51" t="str">
        <f t="shared" si="28"/>
        <v/>
      </c>
      <c r="AX66" s="51" t="str">
        <f t="shared" si="29"/>
        <v/>
      </c>
      <c r="AY66" s="51" t="str">
        <f t="shared" si="30"/>
        <v/>
      </c>
      <c r="AZ66" s="51" t="str">
        <f t="shared" si="31"/>
        <v/>
      </c>
      <c r="BA66" s="51" t="str">
        <f t="shared" si="32"/>
        <v/>
      </c>
      <c r="BB66" s="51" t="str">
        <f t="shared" si="33"/>
        <v/>
      </c>
      <c r="BC66" s="51" t="str">
        <f t="shared" si="34"/>
        <v/>
      </c>
      <c r="BD66" s="51" t="str">
        <f t="shared" si="35"/>
        <v/>
      </c>
      <c r="BE66" s="51" t="str">
        <f t="shared" si="36"/>
        <v/>
      </c>
      <c r="BF66" s="51" t="str">
        <f t="shared" si="37"/>
        <v/>
      </c>
      <c r="BG66" s="51" t="str">
        <f t="shared" si="38"/>
        <v/>
      </c>
      <c r="BH66" s="51" t="b">
        <f t="shared" si="39"/>
        <v>0</v>
      </c>
      <c r="BI66" s="51" t="str">
        <f t="shared" si="40"/>
        <v/>
      </c>
      <c r="BJ66" s="51" t="str">
        <f t="shared" si="41"/>
        <v/>
      </c>
      <c r="BK66" s="51" t="b">
        <f t="shared" si="42"/>
        <v>0</v>
      </c>
      <c r="BL66" s="192"/>
    </row>
    <row r="67" spans="1:64" ht="13.5" thickBot="1" x14ac:dyDescent="0.25">
      <c r="A67" s="185" t="s">
        <v>759</v>
      </c>
      <c r="B67" s="193" t="s">
        <v>694</v>
      </c>
      <c r="C67" s="193" t="s">
        <v>694</v>
      </c>
      <c r="D67" s="194" t="s">
        <v>695</v>
      </c>
      <c r="E67" s="193" t="s">
        <v>694</v>
      </c>
      <c r="F67" s="160" t="s">
        <v>20</v>
      </c>
      <c r="G67" s="161"/>
      <c r="H67" s="186" t="str">
        <f t="shared" si="0"/>
        <v>Used?</v>
      </c>
      <c r="I67" s="186" t="b">
        <f t="shared" si="1"/>
        <v>0</v>
      </c>
      <c r="J67" s="186" t="str">
        <f t="shared" si="2"/>
        <v>Used?</v>
      </c>
      <c r="K67" s="186" t="b">
        <f t="shared" si="3"/>
        <v>0</v>
      </c>
      <c r="L67" s="186" t="str">
        <f t="shared" si="4"/>
        <v>N/A</v>
      </c>
      <c r="M67" s="186" t="b">
        <f t="shared" si="5"/>
        <v>1</v>
      </c>
      <c r="N67" s="186" t="str">
        <f t="shared" si="6"/>
        <v>Used?</v>
      </c>
      <c r="O67" s="186" t="b">
        <f t="shared" si="7"/>
        <v>0</v>
      </c>
      <c r="P67" s="26" t="s">
        <v>696</v>
      </c>
      <c r="Q67" s="160" t="s">
        <v>20</v>
      </c>
      <c r="R67" s="160" t="s">
        <v>20</v>
      </c>
      <c r="S67" s="26" t="s">
        <v>697</v>
      </c>
      <c r="T67" s="165" t="str">
        <f t="shared" si="8"/>
        <v>Not Used</v>
      </c>
      <c r="U67" s="162"/>
      <c r="V67" s="55"/>
      <c r="W67" s="51" t="b">
        <f t="shared" si="9"/>
        <v>1</v>
      </c>
      <c r="X67" s="51" t="str">
        <f t="shared" si="10"/>
        <v>Not Used</v>
      </c>
      <c r="Y67" s="51" t="str">
        <f t="shared" si="11"/>
        <v>Not Used</v>
      </c>
      <c r="Z67" s="51" t="str">
        <f t="shared" si="12"/>
        <v>Not Used</v>
      </c>
      <c r="AA67" s="51" t="str">
        <f t="shared" si="12"/>
        <v>Not Used</v>
      </c>
      <c r="AB67" s="51" t="str">
        <f t="shared" si="13"/>
        <v>Not Used</v>
      </c>
      <c r="AC67" s="51" t="b">
        <f t="shared" si="14"/>
        <v>1</v>
      </c>
      <c r="AD67" s="51">
        <f>COUNTIF($X$5:$X$67, "Not Used")</f>
        <v>63</v>
      </c>
      <c r="AE67" s="51">
        <f>COUNTIF($X$5:$X$67, "TRUE")</f>
        <v>0</v>
      </c>
      <c r="AF67" s="51" t="b">
        <f t="shared" si="15"/>
        <v>1</v>
      </c>
      <c r="AI67" s="51" t="b">
        <f t="shared" si="16"/>
        <v>0</v>
      </c>
      <c r="AJ67" s="51" t="b">
        <f t="shared" si="17"/>
        <v>0</v>
      </c>
      <c r="AK67" s="51" t="b">
        <f t="shared" si="18"/>
        <v>0</v>
      </c>
      <c r="AL67" s="51" t="b">
        <f t="shared" si="19"/>
        <v>0</v>
      </c>
      <c r="AM67" s="51" t="b">
        <f t="shared" si="20"/>
        <v>0</v>
      </c>
      <c r="AN67" s="51"/>
      <c r="AO67" s="51" t="b">
        <f t="shared" si="21"/>
        <v>0</v>
      </c>
      <c r="AP67" s="51" t="str">
        <f t="shared" si="43"/>
        <v>Tier 1 MMS, Tier 1 Sub MMS</v>
      </c>
      <c r="AQ67" s="51" t="b">
        <f t="shared" si="22"/>
        <v>0</v>
      </c>
      <c r="AR67" s="51" t="b">
        <f t="shared" si="23"/>
        <v>0</v>
      </c>
      <c r="AS67" s="51" t="b">
        <f t="shared" si="24"/>
        <v>0</v>
      </c>
      <c r="AT67" s="51" t="b">
        <f t="shared" si="25"/>
        <v>0</v>
      </c>
      <c r="AU67" s="51" t="b">
        <f t="shared" si="26"/>
        <v>0</v>
      </c>
      <c r="AV67" s="51" t="str">
        <f t="shared" si="27"/>
        <v/>
      </c>
      <c r="AW67" s="51" t="str">
        <f t="shared" si="28"/>
        <v/>
      </c>
      <c r="AX67" s="51" t="str">
        <f t="shared" si="29"/>
        <v/>
      </c>
      <c r="AY67" s="51" t="str">
        <f t="shared" si="30"/>
        <v/>
      </c>
      <c r="AZ67" s="51" t="str">
        <f t="shared" si="31"/>
        <v/>
      </c>
      <c r="BA67" s="51" t="str">
        <f t="shared" si="32"/>
        <v/>
      </c>
      <c r="BB67" s="51" t="str">
        <f t="shared" si="33"/>
        <v/>
      </c>
      <c r="BC67" s="51" t="str">
        <f t="shared" si="34"/>
        <v/>
      </c>
      <c r="BD67" s="51" t="str">
        <f t="shared" si="35"/>
        <v/>
      </c>
      <c r="BE67" s="51" t="str">
        <f t="shared" si="36"/>
        <v/>
      </c>
      <c r="BF67" s="51" t="str">
        <f t="shared" si="37"/>
        <v/>
      </c>
      <c r="BG67" s="51" t="str">
        <f t="shared" si="38"/>
        <v/>
      </c>
      <c r="BH67" s="51" t="b">
        <f t="shared" si="39"/>
        <v>0</v>
      </c>
      <c r="BI67" s="51" t="str">
        <f t="shared" si="40"/>
        <v/>
      </c>
      <c r="BJ67" s="51" t="str">
        <f t="shared" si="41"/>
        <v/>
      </c>
      <c r="BK67" s="51" t="b">
        <f t="shared" si="42"/>
        <v>0</v>
      </c>
      <c r="BL67" s="192"/>
    </row>
    <row r="68" spans="1:64" ht="13.5" thickBot="1" x14ac:dyDescent="0.25">
      <c r="A68" s="185" t="s">
        <v>760</v>
      </c>
      <c r="B68" s="193" t="s">
        <v>694</v>
      </c>
      <c r="C68" s="194" t="s">
        <v>695</v>
      </c>
      <c r="D68" s="194" t="s">
        <v>695</v>
      </c>
      <c r="E68" s="193" t="s">
        <v>694</v>
      </c>
      <c r="F68" s="160" t="s">
        <v>20</v>
      </c>
      <c r="G68" s="161"/>
      <c r="H68" s="186" t="str">
        <f t="shared" si="0"/>
        <v>Used?</v>
      </c>
      <c r="I68" s="186" t="b">
        <f t="shared" si="1"/>
        <v>0</v>
      </c>
      <c r="J68" s="186" t="str">
        <f t="shared" si="2"/>
        <v>N/A</v>
      </c>
      <c r="K68" s="186" t="b">
        <f t="shared" si="3"/>
        <v>1</v>
      </c>
      <c r="L68" s="186" t="str">
        <f t="shared" si="4"/>
        <v>N/A</v>
      </c>
      <c r="M68" s="186" t="b">
        <f t="shared" si="5"/>
        <v>1</v>
      </c>
      <c r="N68" s="186" t="str">
        <f t="shared" si="6"/>
        <v>Used?</v>
      </c>
      <c r="O68" s="186" t="b">
        <f t="shared" si="7"/>
        <v>0</v>
      </c>
      <c r="P68" s="26" t="s">
        <v>696</v>
      </c>
      <c r="Q68" s="160" t="s">
        <v>20</v>
      </c>
      <c r="R68" s="160" t="s">
        <v>20</v>
      </c>
      <c r="S68" s="26" t="s">
        <v>697</v>
      </c>
      <c r="T68" s="165" t="str">
        <f t="shared" si="8"/>
        <v>Not Used</v>
      </c>
      <c r="U68" s="162"/>
      <c r="V68" s="55"/>
      <c r="W68" s="51" t="b">
        <f t="shared" si="9"/>
        <v>1</v>
      </c>
      <c r="X68" s="51" t="str">
        <f t="shared" si="10"/>
        <v>Not Used</v>
      </c>
      <c r="Y68" s="51" t="str">
        <f t="shared" si="11"/>
        <v>Not Used</v>
      </c>
      <c r="Z68" s="51" t="str">
        <f t="shared" si="12"/>
        <v>Not Used</v>
      </c>
      <c r="AA68" s="51" t="str">
        <f t="shared" si="12"/>
        <v>Not Used</v>
      </c>
      <c r="AB68" s="51" t="str">
        <f t="shared" si="13"/>
        <v>Not Used</v>
      </c>
      <c r="AC68" s="51" t="b">
        <f t="shared" si="14"/>
        <v>1</v>
      </c>
      <c r="AD68" s="51">
        <f>COUNTIF($X$5:$X$68, "Not Used")</f>
        <v>64</v>
      </c>
      <c r="AE68" s="51">
        <f>COUNTIF($X$5:$X$68, "TRUE")</f>
        <v>0</v>
      </c>
      <c r="AF68" s="51" t="b">
        <f t="shared" si="15"/>
        <v>1</v>
      </c>
      <c r="AI68" s="51" t="b">
        <f t="shared" si="16"/>
        <v>0</v>
      </c>
      <c r="AJ68" s="51" t="b">
        <f t="shared" si="17"/>
        <v>0</v>
      </c>
      <c r="AK68" s="51" t="b">
        <f t="shared" si="18"/>
        <v>0</v>
      </c>
      <c r="AL68" s="51" t="b">
        <f t="shared" si="19"/>
        <v>0</v>
      </c>
      <c r="AM68" s="51" t="b">
        <f t="shared" si="20"/>
        <v>0</v>
      </c>
      <c r="AN68" s="51"/>
      <c r="AO68" s="51" t="b">
        <f t="shared" si="21"/>
        <v>0</v>
      </c>
      <c r="AP68" s="51" t="str">
        <f t="shared" si="43"/>
        <v>Tier 1 MMS</v>
      </c>
      <c r="AQ68" s="51" t="b">
        <f t="shared" si="22"/>
        <v>0</v>
      </c>
      <c r="AR68" s="51" t="b">
        <f t="shared" si="23"/>
        <v>0</v>
      </c>
      <c r="AS68" s="51" t="str">
        <f t="shared" si="24"/>
        <v/>
      </c>
      <c r="AT68" s="51" t="b">
        <f t="shared" si="25"/>
        <v>0</v>
      </c>
      <c r="AU68" s="51" t="b">
        <f t="shared" si="26"/>
        <v>0</v>
      </c>
      <c r="AV68" s="51" t="str">
        <f t="shared" si="27"/>
        <v/>
      </c>
      <c r="AW68" s="51" t="str">
        <f t="shared" si="28"/>
        <v/>
      </c>
      <c r="AX68" s="51" t="str">
        <f t="shared" si="29"/>
        <v/>
      </c>
      <c r="AY68" s="51" t="str">
        <f t="shared" si="30"/>
        <v/>
      </c>
      <c r="AZ68" s="51" t="str">
        <f t="shared" si="31"/>
        <v/>
      </c>
      <c r="BA68" s="51" t="str">
        <f t="shared" si="32"/>
        <v/>
      </c>
      <c r="BB68" s="51" t="str">
        <f t="shared" si="33"/>
        <v/>
      </c>
      <c r="BC68" s="51" t="str">
        <f t="shared" si="34"/>
        <v/>
      </c>
      <c r="BD68" s="51" t="str">
        <f t="shared" si="35"/>
        <v/>
      </c>
      <c r="BE68" s="51" t="str">
        <f t="shared" si="36"/>
        <v/>
      </c>
      <c r="BF68" s="51" t="str">
        <f t="shared" si="37"/>
        <v/>
      </c>
      <c r="BG68" s="51" t="str">
        <f t="shared" si="38"/>
        <v/>
      </c>
      <c r="BH68" s="51" t="b">
        <f t="shared" si="39"/>
        <v>0</v>
      </c>
      <c r="BI68" s="51" t="str">
        <f t="shared" si="40"/>
        <v/>
      </c>
      <c r="BJ68" s="51" t="str">
        <f t="shared" si="41"/>
        <v/>
      </c>
      <c r="BK68" s="51" t="b">
        <f t="shared" si="42"/>
        <v>0</v>
      </c>
      <c r="BL68" s="192"/>
    </row>
    <row r="69" spans="1:64" ht="13.5" thickBot="1" x14ac:dyDescent="0.25">
      <c r="A69" s="185" t="s">
        <v>761</v>
      </c>
      <c r="B69" s="193" t="s">
        <v>694</v>
      </c>
      <c r="C69" s="194" t="s">
        <v>695</v>
      </c>
      <c r="D69" s="194" t="s">
        <v>695</v>
      </c>
      <c r="E69" s="193" t="s">
        <v>694</v>
      </c>
      <c r="F69" s="160" t="s">
        <v>20</v>
      </c>
      <c r="G69" s="161"/>
      <c r="H69" s="186" t="str">
        <f t="shared" ref="H69:H132" si="44">IF(B69="YES",(IF(F69="Yes",TRUE,(IF(F69="YES WITH MODIFICATION",(IF((NOT(ISBLANK(U69))),"Used with modification","Change Request?")),(IF(F69="N/A",(IF((NOT(ISBLANK(G69))),"Not Used","Rationale?")),(IF(F69="&lt;Select&gt;","Used?",FALSE)))))))),"N/A")</f>
        <v>Used?</v>
      </c>
      <c r="I69" s="186" t="b">
        <f t="shared" ref="I69:I132" si="45">IF(B69="YES",OR(IF(F69="YES",TRUE,FALSE),IF(AND(F69="YES WITH MODIFICATION",NOT(ISBLANK(U69))),TRUE,FALSE),(IF(F69="N/A",NOT(ISBLANK(G69))))),TRUE)</f>
        <v>0</v>
      </c>
      <c r="J69" s="186" t="str">
        <f t="shared" ref="J69:J132" si="46">IF(C69="YES",(IF(F69="YES",TRUE,(IF(F69="YES WITH MODIFICATION",(IF((NOT(ISBLANK(U69))),"Used with modification","Change Request?")),(IF(F69="N/A",(IF((NOT(ISBLANK(G69))),"Not Used","Rationale?")),(IF(F69="&lt;Select&gt;","Used?",FALSE)))))))),"N/A")</f>
        <v>N/A</v>
      </c>
      <c r="K69" s="186" t="b">
        <f t="shared" ref="K69:K132" si="47">IF(C69="YES",OR(IF(F69="YES",TRUE,FALSE),IF(AND(F69="YES WITH MODIFICATION",NOT(ISBLANK(U69))),TRUE,FALSE),(IF(F69="N/A",NOT(ISBLANK(G69))))),TRUE)</f>
        <v>1</v>
      </c>
      <c r="L69" s="186" t="str">
        <f t="shared" ref="L69:L132" si="48">IF(D69="YES",(IF(F69="YES",TRUE,(IF(F69="YES WITH MODIFICATION",(IF((NOT(ISBLANK(U69))),"Used with modification","Change Request?")),(IF(F69="N/A",(IF((NOT(ISBLANK(G69))),"Not Used","Rationale?")),(IF(F69="&lt;Select&gt;","Used?",FALSE)))))))),"N/A")</f>
        <v>N/A</v>
      </c>
      <c r="M69" s="186" t="b">
        <f t="shared" ref="M69:M132" si="49">IF(D69="YES",OR(IF(F69="YES",TRUE,FALSE),IF(AND(F69="YES WITH MODIFICATION",NOT(ISBLANK(U69))),TRUE,FALSE),(IF(F69="N/A",NOT(ISBLANK(G69))))),TRUE)</f>
        <v>1</v>
      </c>
      <c r="N69" s="186" t="str">
        <f t="shared" ref="N69:N132" si="50">IF(E69="YES",(IF(F69="YES",TRUE,(IF(F69="YES WITH MODIFICATION",(IF((NOT(ISBLANK(U69))),"Used with modification","Change Request?")),(IF(F69="N/A",(IF((NOT(ISBLANK(G69))),"Not Used","Rationale?")),(IF(F69="&lt;Select&gt;","Used?",FALSE)))))))),"N/A")</f>
        <v>Used?</v>
      </c>
      <c r="O69" s="186" t="b">
        <f t="shared" ref="O69:O132" si="51">IF(E69="YES",OR(IF(F69="YES",TRUE,FALSE),IF(AND(F69="YES WITH MODIFICATION",NOT(ISBLANK(U69))),TRUE,FALSE),(IF(F69="N/A",NOT(ISBLANK(G69))))),TRUE)</f>
        <v>0</v>
      </c>
      <c r="P69" s="26" t="s">
        <v>696</v>
      </c>
      <c r="Q69" s="160" t="s">
        <v>20</v>
      </c>
      <c r="R69" s="160" t="s">
        <v>20</v>
      </c>
      <c r="S69" s="26" t="s">
        <v>697</v>
      </c>
      <c r="T69" s="165" t="str">
        <f t="shared" ref="T69:T132" si="52">IF(NOT(OR(F69="Yes",F69="YES WITH MODIFICATION")),"Not Used",(AND(X69=Y69,X69=(OR(Z69=TRUE,AA69=TRUE)), X69=AB69, X69=AC69)))</f>
        <v>Not Used</v>
      </c>
      <c r="U69" s="162"/>
      <c r="V69" s="55"/>
      <c r="W69" s="51" t="b">
        <f t="shared" ref="W69:W132" si="53">IF(T69=TRUE,TRUE,(IF(T69="Not Used", TRUE,FALSE)))</f>
        <v>1</v>
      </c>
      <c r="X69" s="51" t="str">
        <f t="shared" ref="X69:X132" si="54">IF(OR(F69="YES",F69="YES WITH MODIFICATION"),TRUE,"Not Used")</f>
        <v>Not Used</v>
      </c>
      <c r="Y69" s="51" t="str">
        <f t="shared" ref="Y69:Y132" si="55">IF(OR(P69="SC §3.X.X.X", ISBLANK(P69)),"Not Used", TRUE)</f>
        <v>Not Used</v>
      </c>
      <c r="Z69" s="51" t="str">
        <f t="shared" ref="Z69:AA132" si="56">IF(OR(Q69="&lt;Select&gt;",(ISBLANK(Q69))),"Not Used",TRUE)</f>
        <v>Not Used</v>
      </c>
      <c r="AA69" s="51" t="str">
        <f t="shared" si="56"/>
        <v>Not Used</v>
      </c>
      <c r="AB69" s="51" t="str">
        <f t="shared" ref="AB69:AB132" si="57">IF(OR(S69="&lt;enter location here&gt;",(ISBLANK(S69))),"Not Used",TRUE)</f>
        <v>Not Used</v>
      </c>
      <c r="AC69" s="51" t="b">
        <f t="shared" ref="AC69:AC132" si="58">IF(F69="YES WITH MODIFICATION",IF(NOT(ISBLANK(U69)),TRUE,FALSE),TRUE)</f>
        <v>1</v>
      </c>
      <c r="AD69" s="51">
        <f>COUNTIF($X$5:$X$69, "Not Used")</f>
        <v>65</v>
      </c>
      <c r="AE69" s="51">
        <f>COUNTIF($X$5:$X$69, "TRUE")</f>
        <v>0</v>
      </c>
      <c r="AF69" s="51" t="b">
        <f t="shared" ref="AF69:AF132" si="59">IF(F69="&lt;Select&gt;", TRUE,FALSE)</f>
        <v>1</v>
      </c>
      <c r="AI69" s="51" t="b">
        <f t="shared" ref="AI69:AI132" si="60">IF(F69="N/A", TRUE, FALSE)</f>
        <v>0</v>
      </c>
      <c r="AJ69" s="51" t="b">
        <f t="shared" ref="AJ69:AJ132" si="61">IF(AI69=TRUE, IF(NOT(ISBLANK(G69)), TRUE, FALSE))</f>
        <v>0</v>
      </c>
      <c r="AK69" s="51" t="b">
        <f t="shared" ref="AK69:AK132" si="62">IF(F69="YES WITH MODIFICATION", TRUE, FALSE)</f>
        <v>0</v>
      </c>
      <c r="AL69" s="51" t="b">
        <f t="shared" ref="AL69:AL132" si="63">IF(ISBLANK(U69), FALSE, TRUE)</f>
        <v>0</v>
      </c>
      <c r="AM69" s="51" t="b">
        <f t="shared" ref="AM69:AM132" si="64">IF(AND(AK69=TRUE, AL69=TRUE), TRUE, FALSE)</f>
        <v>0</v>
      </c>
      <c r="AN69" s="51"/>
      <c r="AO69" s="51" t="b">
        <f t="shared" ref="AO69:AO132" si="65">IF(AND(F69="YES WITH MODIFICATION", NOT(ISBLANK(U69))), TRUE, FALSE)</f>
        <v>0</v>
      </c>
      <c r="AP69" s="51" t="str">
        <f t="shared" si="43"/>
        <v>Tier 1 MMS</v>
      </c>
      <c r="AQ69" s="51" t="b">
        <f t="shared" ref="AQ69:AQ132" si="66">IF(S69="&lt;enter location here&gt;", FALSE, TRUE)</f>
        <v>0</v>
      </c>
      <c r="AR69" s="51" t="b">
        <f t="shared" ref="AR69:AR132" si="67">IF(F69="&lt;Select&gt;", FALSE, IF(T69=FALSE, FALSE, TRUE))</f>
        <v>0</v>
      </c>
      <c r="AS69" s="51" t="str">
        <f t="shared" ref="AS69:AS132" si="68">IF(ISNUMBER(SEARCH("Tier 1 Sub MMS",AP69)), IF(F69="&lt;Select&gt;", FALSE, IF(AND(F69="N/A", J69="Rationale?"), FALSE, TRUE)), "")</f>
        <v/>
      </c>
      <c r="AT69" s="51" t="b">
        <f t="shared" ref="AT69:AT132" si="69">IF(ISNUMBER(SEARCH("Tier 1 MMS",AP69)), IF(F69="&lt;Select&gt;", FALSE, IF(AND(F69="N/A", H69="Rationale?"), FALSE, TRUE)), "")</f>
        <v>0</v>
      </c>
      <c r="AU69" s="51" t="b">
        <f t="shared" ref="AU69:AU132" si="70">IF(ISNUMBER(SEARCH("Tier 1 MMS",AP69)), IF(F69="&lt;Select&gt;", FALSE, IF(AND(F69="YES WITH MODIFICATION", H69="Change Request?"), FALSE, TRUE)), "")</f>
        <v>0</v>
      </c>
      <c r="AV69" s="51" t="str">
        <f t="shared" ref="AV69:AV132" si="71">IF(ISNUMBER(SEARCH("Tier 1 MMS",AP69)), IF(AK69=TRUE, TRUE, ""),"")</f>
        <v/>
      </c>
      <c r="AW69" s="51" t="str">
        <f t="shared" ref="AW69:AW132" si="72">IF(ISNUMBER(SEARCH("Tier 1 MMS",AP69)), IF(AL69=TRUE, TRUE, ""),"")</f>
        <v/>
      </c>
      <c r="AX69" s="51" t="str">
        <f t="shared" ref="AX69:AX132" si="73">IF(ISNUMBER(SEARCH("Tier 1 MMS",AP69)), IF(AI69=TRUE, TRUE, ""),"")</f>
        <v/>
      </c>
      <c r="AY69" s="51" t="str">
        <f t="shared" ref="AY69:AY132" si="74">IF(ISNUMBER(SEARCH("Tier 1 MMS",AP69)), IF(AJ69=TRUE, TRUE, ""),"")</f>
        <v/>
      </c>
      <c r="AZ69" s="51" t="str">
        <f t="shared" ref="AZ69:AZ132" si="75">IF(ISNUMBER(SEARCH("Tier 1 Sub MMS",AP69)), IF(AK69=TRUE, TRUE, ""),"")</f>
        <v/>
      </c>
      <c r="BA69" s="51" t="str">
        <f t="shared" ref="BA69:BA132" si="76">IF(ISNUMBER(SEARCH("Tier 1 Sub MMS",AP69)), IF(AL69=TRUE, TRUE, ""),"")</f>
        <v/>
      </c>
      <c r="BB69" s="51" t="str">
        <f t="shared" ref="BB69:BB132" si="77">IF(ISNUMBER(SEARCH("Tier 1 Sub MMS",AP69)), IF(AI69=TRUE, TRUE, ""),"")</f>
        <v/>
      </c>
      <c r="BC69" s="51" t="str">
        <f t="shared" ref="BC69:BC132" si="78">IF(ISNUMBER(SEARCH("Tier 1 Sub MMS",AP69)), IF(AJ69=TRUE, TRUE, ""),"")</f>
        <v/>
      </c>
      <c r="BD69" s="51" t="str">
        <f t="shared" ref="BD69:BD132" si="79">IF(ISNUMBER(SEARCH("Tier 2 MMS",AP69)), IF(AK69=TRUE, TRUE, ""),"")</f>
        <v/>
      </c>
      <c r="BE69" s="51" t="str">
        <f t="shared" ref="BE69:BE132" si="80">IF(ISNUMBER(SEARCH("Tier 2 MMS",AP69)), IF(AL69=TRUE, TRUE, ""),"")</f>
        <v/>
      </c>
      <c r="BF69" s="51" t="str">
        <f t="shared" ref="BF69:BF132" si="81">IF(ISNUMBER(SEARCH("Tier 2 MMS",AP69)), IF(AI69=TRUE, TRUE, ""),"")</f>
        <v/>
      </c>
      <c r="BG69" s="51" t="str">
        <f t="shared" ref="BG69:BG132" si="82">IF(ISNUMBER(SEARCH("Tier 2 MMS",AP69)), IF(AJ69=TRUE, TRUE, ""),"")</f>
        <v/>
      </c>
      <c r="BH69" s="51" t="b">
        <f t="shared" ref="BH69:BH132" si="83" xml:space="preserve"> IF(OR(F69="&lt;Select&gt;", AQ69=FALSE), FALSE, TRUE)</f>
        <v>0</v>
      </c>
      <c r="BI69" s="51" t="str">
        <f t="shared" ref="BI69:BI132" si="84">IF(E69="YES", "", IF(E69="NO", IF(F69="N/A",TRUE,IF(F69="YES",FALSE))))</f>
        <v/>
      </c>
      <c r="BJ69" s="51" t="str">
        <f t="shared" ref="BJ69:BJ132" si="85">IF(E69="YES", "", IF(E69="NO", IF(AND(F69="N/A", NOT(ISBLANK(G69))), TRUE, IF(AND(F69="YES",AL69=TRUE),TRUE,FALSE))))</f>
        <v/>
      </c>
      <c r="BK69" s="51" t="b">
        <f t="shared" ref="BK69:BK132" si="86" xml:space="preserve"> IF(OR(F69="&lt;Select&gt;", T69=FALSE), FALSE, TRUE)</f>
        <v>0</v>
      </c>
      <c r="BL69" s="192"/>
    </row>
    <row r="70" spans="1:64" ht="13.5" thickBot="1" x14ac:dyDescent="0.25">
      <c r="A70" s="185" t="s">
        <v>762</v>
      </c>
      <c r="B70" s="193" t="s">
        <v>694</v>
      </c>
      <c r="C70" s="193" t="s">
        <v>694</v>
      </c>
      <c r="D70" s="194" t="s">
        <v>695</v>
      </c>
      <c r="E70" s="193" t="s">
        <v>694</v>
      </c>
      <c r="F70" s="160" t="s">
        <v>20</v>
      </c>
      <c r="G70" s="161"/>
      <c r="H70" s="186" t="str">
        <f t="shared" si="44"/>
        <v>Used?</v>
      </c>
      <c r="I70" s="186" t="b">
        <f t="shared" si="45"/>
        <v>0</v>
      </c>
      <c r="J70" s="186" t="str">
        <f t="shared" si="46"/>
        <v>Used?</v>
      </c>
      <c r="K70" s="186" t="b">
        <f t="shared" si="47"/>
        <v>0</v>
      </c>
      <c r="L70" s="186" t="str">
        <f t="shared" si="48"/>
        <v>N/A</v>
      </c>
      <c r="M70" s="186" t="b">
        <f t="shared" si="49"/>
        <v>1</v>
      </c>
      <c r="N70" s="186" t="str">
        <f t="shared" si="50"/>
        <v>Used?</v>
      </c>
      <c r="O70" s="186" t="b">
        <f t="shared" si="51"/>
        <v>0</v>
      </c>
      <c r="P70" s="26" t="s">
        <v>696</v>
      </c>
      <c r="Q70" s="160" t="s">
        <v>20</v>
      </c>
      <c r="R70" s="160" t="s">
        <v>20</v>
      </c>
      <c r="S70" s="26" t="s">
        <v>697</v>
      </c>
      <c r="T70" s="165" t="str">
        <f t="shared" si="52"/>
        <v>Not Used</v>
      </c>
      <c r="U70" s="162"/>
      <c r="V70" s="55"/>
      <c r="W70" s="51" t="b">
        <f t="shared" si="53"/>
        <v>1</v>
      </c>
      <c r="X70" s="51" t="str">
        <f t="shared" si="54"/>
        <v>Not Used</v>
      </c>
      <c r="Y70" s="51" t="str">
        <f t="shared" si="55"/>
        <v>Not Used</v>
      </c>
      <c r="Z70" s="51" t="str">
        <f t="shared" si="56"/>
        <v>Not Used</v>
      </c>
      <c r="AA70" s="51" t="str">
        <f t="shared" si="56"/>
        <v>Not Used</v>
      </c>
      <c r="AB70" s="51" t="str">
        <f t="shared" si="57"/>
        <v>Not Used</v>
      </c>
      <c r="AC70" s="51" t="b">
        <f t="shared" si="58"/>
        <v>1</v>
      </c>
      <c r="AD70" s="51">
        <f>COUNTIF($X$5:$X$70, "Not Used")</f>
        <v>66</v>
      </c>
      <c r="AE70" s="51">
        <f>COUNTIF($X$5:$X$70, "TRUE")</f>
        <v>0</v>
      </c>
      <c r="AF70" s="51" t="b">
        <f t="shared" si="59"/>
        <v>1</v>
      </c>
      <c r="AI70" s="51" t="b">
        <f t="shared" si="60"/>
        <v>0</v>
      </c>
      <c r="AJ70" s="51" t="b">
        <f t="shared" si="61"/>
        <v>0</v>
      </c>
      <c r="AK70" s="51" t="b">
        <f t="shared" si="62"/>
        <v>0</v>
      </c>
      <c r="AL70" s="51" t="b">
        <f t="shared" si="63"/>
        <v>0</v>
      </c>
      <c r="AM70" s="51" t="b">
        <f t="shared" si="64"/>
        <v>0</v>
      </c>
      <c r="AN70" s="51"/>
      <c r="AO70" s="51" t="b">
        <f t="shared" si="65"/>
        <v>0</v>
      </c>
      <c r="AP70" s="51" t="str">
        <f t="shared" ref="AP70:AP133" si="87">IF(AND(B70="YES", C70="YES", D70="YES"), "Tier 1 MMS, Tier 1 Sub MMS, Tier 2 MMS", IF(AND(B70="YES", C70="YES"), "Tier 1 MMS, Tier 1 Sub MMS", IF(AND(B70="YES", D70="YES"), "Tier 1 MMS, Tier 2 MMS", IF(AND(C70="YES", D70="YES"), "Tier 1 Sub MMS, Tier 2 MMS", IF(B70="YES", "Tier 1 MMS", IF(C70="YES", "Tier 1 Sub MMS", IF(D70="YES", "Tier 2 MMS", "Not in MMS")))))))</f>
        <v>Tier 1 MMS, Tier 1 Sub MMS</v>
      </c>
      <c r="AQ70" s="51" t="b">
        <f t="shared" si="66"/>
        <v>0</v>
      </c>
      <c r="AR70" s="51" t="b">
        <f t="shared" si="67"/>
        <v>0</v>
      </c>
      <c r="AS70" s="51" t="b">
        <f t="shared" si="68"/>
        <v>0</v>
      </c>
      <c r="AT70" s="51" t="b">
        <f t="shared" si="69"/>
        <v>0</v>
      </c>
      <c r="AU70" s="51" t="b">
        <f t="shared" si="70"/>
        <v>0</v>
      </c>
      <c r="AV70" s="51" t="str">
        <f t="shared" si="71"/>
        <v/>
      </c>
      <c r="AW70" s="51" t="str">
        <f t="shared" si="72"/>
        <v/>
      </c>
      <c r="AX70" s="51" t="str">
        <f t="shared" si="73"/>
        <v/>
      </c>
      <c r="AY70" s="51" t="str">
        <f t="shared" si="74"/>
        <v/>
      </c>
      <c r="AZ70" s="51" t="str">
        <f t="shared" si="75"/>
        <v/>
      </c>
      <c r="BA70" s="51" t="str">
        <f t="shared" si="76"/>
        <v/>
      </c>
      <c r="BB70" s="51" t="str">
        <f t="shared" si="77"/>
        <v/>
      </c>
      <c r="BC70" s="51" t="str">
        <f t="shared" si="78"/>
        <v/>
      </c>
      <c r="BD70" s="51" t="str">
        <f t="shared" si="79"/>
        <v/>
      </c>
      <c r="BE70" s="51" t="str">
        <f t="shared" si="80"/>
        <v/>
      </c>
      <c r="BF70" s="51" t="str">
        <f t="shared" si="81"/>
        <v/>
      </c>
      <c r="BG70" s="51" t="str">
        <f t="shared" si="82"/>
        <v/>
      </c>
      <c r="BH70" s="51" t="b">
        <f t="shared" si="83"/>
        <v>0</v>
      </c>
      <c r="BI70" s="51" t="str">
        <f t="shared" si="84"/>
        <v/>
      </c>
      <c r="BJ70" s="51" t="str">
        <f t="shared" si="85"/>
        <v/>
      </c>
      <c r="BK70" s="51" t="b">
        <f t="shared" si="86"/>
        <v>0</v>
      </c>
      <c r="BL70" s="192"/>
    </row>
    <row r="71" spans="1:64" ht="13.5" thickBot="1" x14ac:dyDescent="0.25">
      <c r="A71" s="185" t="s">
        <v>763</v>
      </c>
      <c r="B71" s="193" t="s">
        <v>694</v>
      </c>
      <c r="C71" s="193" t="s">
        <v>694</v>
      </c>
      <c r="D71" s="194" t="s">
        <v>695</v>
      </c>
      <c r="E71" s="193" t="s">
        <v>694</v>
      </c>
      <c r="F71" s="160" t="s">
        <v>20</v>
      </c>
      <c r="G71" s="161"/>
      <c r="H71" s="186" t="str">
        <f t="shared" si="44"/>
        <v>Used?</v>
      </c>
      <c r="I71" s="186" t="b">
        <f t="shared" si="45"/>
        <v>0</v>
      </c>
      <c r="J71" s="186" t="str">
        <f t="shared" si="46"/>
        <v>Used?</v>
      </c>
      <c r="K71" s="186" t="b">
        <f t="shared" si="47"/>
        <v>0</v>
      </c>
      <c r="L71" s="186" t="str">
        <f t="shared" si="48"/>
        <v>N/A</v>
      </c>
      <c r="M71" s="186" t="b">
        <f t="shared" si="49"/>
        <v>1</v>
      </c>
      <c r="N71" s="186" t="str">
        <f t="shared" si="50"/>
        <v>Used?</v>
      </c>
      <c r="O71" s="186" t="b">
        <f t="shared" si="51"/>
        <v>0</v>
      </c>
      <c r="P71" s="26" t="s">
        <v>696</v>
      </c>
      <c r="Q71" s="160" t="s">
        <v>20</v>
      </c>
      <c r="R71" s="160" t="s">
        <v>20</v>
      </c>
      <c r="S71" s="26" t="s">
        <v>697</v>
      </c>
      <c r="T71" s="165" t="str">
        <f t="shared" si="52"/>
        <v>Not Used</v>
      </c>
      <c r="U71" s="162"/>
      <c r="V71" s="55"/>
      <c r="W71" s="51" t="b">
        <f t="shared" si="53"/>
        <v>1</v>
      </c>
      <c r="X71" s="51" t="str">
        <f t="shared" si="54"/>
        <v>Not Used</v>
      </c>
      <c r="Y71" s="51" t="str">
        <f t="shared" si="55"/>
        <v>Not Used</v>
      </c>
      <c r="Z71" s="51" t="str">
        <f t="shared" si="56"/>
        <v>Not Used</v>
      </c>
      <c r="AA71" s="51" t="str">
        <f t="shared" si="56"/>
        <v>Not Used</v>
      </c>
      <c r="AB71" s="51" t="str">
        <f t="shared" si="57"/>
        <v>Not Used</v>
      </c>
      <c r="AC71" s="51" t="b">
        <f t="shared" si="58"/>
        <v>1</v>
      </c>
      <c r="AD71" s="51">
        <f>COUNTIF($X$5:$X$71, "Not Used")</f>
        <v>67</v>
      </c>
      <c r="AE71" s="51">
        <f>COUNTIF($X$5:$X$71, "TRUE")</f>
        <v>0</v>
      </c>
      <c r="AF71" s="51" t="b">
        <f t="shared" si="59"/>
        <v>1</v>
      </c>
      <c r="AI71" s="51" t="b">
        <f t="shared" si="60"/>
        <v>0</v>
      </c>
      <c r="AJ71" s="51" t="b">
        <f t="shared" si="61"/>
        <v>0</v>
      </c>
      <c r="AK71" s="51" t="b">
        <f t="shared" si="62"/>
        <v>0</v>
      </c>
      <c r="AL71" s="51" t="b">
        <f t="shared" si="63"/>
        <v>0</v>
      </c>
      <c r="AM71" s="51" t="b">
        <f t="shared" si="64"/>
        <v>0</v>
      </c>
      <c r="AN71" s="51"/>
      <c r="AO71" s="51" t="b">
        <f t="shared" si="65"/>
        <v>0</v>
      </c>
      <c r="AP71" s="51" t="str">
        <f t="shared" si="87"/>
        <v>Tier 1 MMS, Tier 1 Sub MMS</v>
      </c>
      <c r="AQ71" s="51" t="b">
        <f t="shared" si="66"/>
        <v>0</v>
      </c>
      <c r="AR71" s="51" t="b">
        <f t="shared" si="67"/>
        <v>0</v>
      </c>
      <c r="AS71" s="51" t="b">
        <f t="shared" si="68"/>
        <v>0</v>
      </c>
      <c r="AT71" s="51" t="b">
        <f t="shared" si="69"/>
        <v>0</v>
      </c>
      <c r="AU71" s="51" t="b">
        <f t="shared" si="70"/>
        <v>0</v>
      </c>
      <c r="AV71" s="51" t="str">
        <f t="shared" si="71"/>
        <v/>
      </c>
      <c r="AW71" s="51" t="str">
        <f t="shared" si="72"/>
        <v/>
      </c>
      <c r="AX71" s="51" t="str">
        <f t="shared" si="73"/>
        <v/>
      </c>
      <c r="AY71" s="51" t="str">
        <f t="shared" si="74"/>
        <v/>
      </c>
      <c r="AZ71" s="51" t="str">
        <f t="shared" si="75"/>
        <v/>
      </c>
      <c r="BA71" s="51" t="str">
        <f t="shared" si="76"/>
        <v/>
      </c>
      <c r="BB71" s="51" t="str">
        <f t="shared" si="77"/>
        <v/>
      </c>
      <c r="BC71" s="51" t="str">
        <f t="shared" si="78"/>
        <v/>
      </c>
      <c r="BD71" s="51" t="str">
        <f t="shared" si="79"/>
        <v/>
      </c>
      <c r="BE71" s="51" t="str">
        <f t="shared" si="80"/>
        <v/>
      </c>
      <c r="BF71" s="51" t="str">
        <f t="shared" si="81"/>
        <v/>
      </c>
      <c r="BG71" s="51" t="str">
        <f t="shared" si="82"/>
        <v/>
      </c>
      <c r="BH71" s="51" t="b">
        <f t="shared" si="83"/>
        <v>0</v>
      </c>
      <c r="BI71" s="51" t="str">
        <f t="shared" si="84"/>
        <v/>
      </c>
      <c r="BJ71" s="51" t="str">
        <f t="shared" si="85"/>
        <v/>
      </c>
      <c r="BK71" s="51" t="b">
        <f t="shared" si="86"/>
        <v>0</v>
      </c>
      <c r="BL71" s="192"/>
    </row>
    <row r="72" spans="1:64" ht="13.5" thickBot="1" x14ac:dyDescent="0.25">
      <c r="A72" s="185" t="s">
        <v>764</v>
      </c>
      <c r="B72" s="193" t="s">
        <v>694</v>
      </c>
      <c r="C72" s="193" t="s">
        <v>694</v>
      </c>
      <c r="D72" s="194" t="s">
        <v>695</v>
      </c>
      <c r="E72" s="193" t="s">
        <v>694</v>
      </c>
      <c r="F72" s="160" t="s">
        <v>20</v>
      </c>
      <c r="G72" s="161"/>
      <c r="H72" s="186" t="str">
        <f t="shared" si="44"/>
        <v>Used?</v>
      </c>
      <c r="I72" s="186" t="b">
        <f t="shared" si="45"/>
        <v>0</v>
      </c>
      <c r="J72" s="186" t="str">
        <f t="shared" si="46"/>
        <v>Used?</v>
      </c>
      <c r="K72" s="186" t="b">
        <f t="shared" si="47"/>
        <v>0</v>
      </c>
      <c r="L72" s="186" t="str">
        <f t="shared" si="48"/>
        <v>N/A</v>
      </c>
      <c r="M72" s="186" t="b">
        <f t="shared" si="49"/>
        <v>1</v>
      </c>
      <c r="N72" s="186" t="str">
        <f t="shared" si="50"/>
        <v>Used?</v>
      </c>
      <c r="O72" s="186" t="b">
        <f t="shared" si="51"/>
        <v>0</v>
      </c>
      <c r="P72" s="26" t="s">
        <v>696</v>
      </c>
      <c r="Q72" s="160" t="s">
        <v>20</v>
      </c>
      <c r="R72" s="160" t="s">
        <v>20</v>
      </c>
      <c r="S72" s="26" t="s">
        <v>697</v>
      </c>
      <c r="T72" s="165" t="str">
        <f t="shared" si="52"/>
        <v>Not Used</v>
      </c>
      <c r="U72" s="162"/>
      <c r="V72" s="55"/>
      <c r="W72" s="51" t="b">
        <f t="shared" si="53"/>
        <v>1</v>
      </c>
      <c r="X72" s="51" t="str">
        <f t="shared" si="54"/>
        <v>Not Used</v>
      </c>
      <c r="Y72" s="51" t="str">
        <f t="shared" si="55"/>
        <v>Not Used</v>
      </c>
      <c r="Z72" s="51" t="str">
        <f t="shared" si="56"/>
        <v>Not Used</v>
      </c>
      <c r="AA72" s="51" t="str">
        <f t="shared" si="56"/>
        <v>Not Used</v>
      </c>
      <c r="AB72" s="51" t="str">
        <f t="shared" si="57"/>
        <v>Not Used</v>
      </c>
      <c r="AC72" s="51" t="b">
        <f t="shared" si="58"/>
        <v>1</v>
      </c>
      <c r="AD72" s="51">
        <f>COUNTIF($X$5:$X$72, "Not Used")</f>
        <v>68</v>
      </c>
      <c r="AE72" s="51">
        <f>COUNTIF($X$5:$X$72, "TRUE")</f>
        <v>0</v>
      </c>
      <c r="AF72" s="51" t="b">
        <f t="shared" si="59"/>
        <v>1</v>
      </c>
      <c r="AI72" s="51" t="b">
        <f t="shared" si="60"/>
        <v>0</v>
      </c>
      <c r="AJ72" s="51" t="b">
        <f t="shared" si="61"/>
        <v>0</v>
      </c>
      <c r="AK72" s="51" t="b">
        <f t="shared" si="62"/>
        <v>0</v>
      </c>
      <c r="AL72" s="51" t="b">
        <f t="shared" si="63"/>
        <v>0</v>
      </c>
      <c r="AM72" s="51" t="b">
        <f t="shared" si="64"/>
        <v>0</v>
      </c>
      <c r="AN72" s="51"/>
      <c r="AO72" s="51" t="b">
        <f t="shared" si="65"/>
        <v>0</v>
      </c>
      <c r="AP72" s="51" t="str">
        <f t="shared" si="87"/>
        <v>Tier 1 MMS, Tier 1 Sub MMS</v>
      </c>
      <c r="AQ72" s="51" t="b">
        <f t="shared" si="66"/>
        <v>0</v>
      </c>
      <c r="AR72" s="51" t="b">
        <f t="shared" si="67"/>
        <v>0</v>
      </c>
      <c r="AS72" s="51" t="b">
        <f t="shared" si="68"/>
        <v>0</v>
      </c>
      <c r="AT72" s="51" t="b">
        <f t="shared" si="69"/>
        <v>0</v>
      </c>
      <c r="AU72" s="51" t="b">
        <f t="shared" si="70"/>
        <v>0</v>
      </c>
      <c r="AV72" s="51" t="str">
        <f t="shared" si="71"/>
        <v/>
      </c>
      <c r="AW72" s="51" t="str">
        <f t="shared" si="72"/>
        <v/>
      </c>
      <c r="AX72" s="51" t="str">
        <f t="shared" si="73"/>
        <v/>
      </c>
      <c r="AY72" s="51" t="str">
        <f t="shared" si="74"/>
        <v/>
      </c>
      <c r="AZ72" s="51" t="str">
        <f t="shared" si="75"/>
        <v/>
      </c>
      <c r="BA72" s="51" t="str">
        <f t="shared" si="76"/>
        <v/>
      </c>
      <c r="BB72" s="51" t="str">
        <f t="shared" si="77"/>
        <v/>
      </c>
      <c r="BC72" s="51" t="str">
        <f t="shared" si="78"/>
        <v/>
      </c>
      <c r="BD72" s="51" t="str">
        <f t="shared" si="79"/>
        <v/>
      </c>
      <c r="BE72" s="51" t="str">
        <f t="shared" si="80"/>
        <v/>
      </c>
      <c r="BF72" s="51" t="str">
        <f t="shared" si="81"/>
        <v/>
      </c>
      <c r="BG72" s="51" t="str">
        <f t="shared" si="82"/>
        <v/>
      </c>
      <c r="BH72" s="51" t="b">
        <f t="shared" si="83"/>
        <v>0</v>
      </c>
      <c r="BI72" s="51" t="str">
        <f t="shared" si="84"/>
        <v/>
      </c>
      <c r="BJ72" s="51" t="str">
        <f t="shared" si="85"/>
        <v/>
      </c>
      <c r="BK72" s="51" t="b">
        <f t="shared" si="86"/>
        <v>0</v>
      </c>
      <c r="BL72" s="192"/>
    </row>
    <row r="73" spans="1:64" ht="13.5" thickBot="1" x14ac:dyDescent="0.25">
      <c r="A73" s="185" t="s">
        <v>765</v>
      </c>
      <c r="B73" s="193" t="s">
        <v>694</v>
      </c>
      <c r="C73" s="193" t="s">
        <v>694</v>
      </c>
      <c r="D73" s="194" t="s">
        <v>695</v>
      </c>
      <c r="E73" s="193" t="s">
        <v>694</v>
      </c>
      <c r="F73" s="160" t="s">
        <v>20</v>
      </c>
      <c r="G73" s="161"/>
      <c r="H73" s="186" t="str">
        <f t="shared" si="44"/>
        <v>Used?</v>
      </c>
      <c r="I73" s="186" t="b">
        <f t="shared" si="45"/>
        <v>0</v>
      </c>
      <c r="J73" s="186" t="str">
        <f t="shared" si="46"/>
        <v>Used?</v>
      </c>
      <c r="K73" s="186" t="b">
        <f t="shared" si="47"/>
        <v>0</v>
      </c>
      <c r="L73" s="186" t="str">
        <f t="shared" si="48"/>
        <v>N/A</v>
      </c>
      <c r="M73" s="186" t="b">
        <f t="shared" si="49"/>
        <v>1</v>
      </c>
      <c r="N73" s="186" t="str">
        <f t="shared" si="50"/>
        <v>Used?</v>
      </c>
      <c r="O73" s="186" t="b">
        <f t="shared" si="51"/>
        <v>0</v>
      </c>
      <c r="P73" s="26" t="s">
        <v>696</v>
      </c>
      <c r="Q73" s="160" t="s">
        <v>20</v>
      </c>
      <c r="R73" s="160" t="s">
        <v>20</v>
      </c>
      <c r="S73" s="26" t="s">
        <v>697</v>
      </c>
      <c r="T73" s="165" t="str">
        <f t="shared" si="52"/>
        <v>Not Used</v>
      </c>
      <c r="U73" s="162"/>
      <c r="V73" s="55"/>
      <c r="W73" s="51" t="b">
        <f t="shared" si="53"/>
        <v>1</v>
      </c>
      <c r="X73" s="51" t="str">
        <f t="shared" si="54"/>
        <v>Not Used</v>
      </c>
      <c r="Y73" s="51" t="str">
        <f t="shared" si="55"/>
        <v>Not Used</v>
      </c>
      <c r="Z73" s="51" t="str">
        <f t="shared" si="56"/>
        <v>Not Used</v>
      </c>
      <c r="AA73" s="51" t="str">
        <f t="shared" si="56"/>
        <v>Not Used</v>
      </c>
      <c r="AB73" s="51" t="str">
        <f t="shared" si="57"/>
        <v>Not Used</v>
      </c>
      <c r="AC73" s="51" t="b">
        <f t="shared" si="58"/>
        <v>1</v>
      </c>
      <c r="AD73" s="51">
        <f>COUNTIF($X$5:$X$73, "Not Used")</f>
        <v>69</v>
      </c>
      <c r="AE73" s="51">
        <f>COUNTIF($X$5:$X$73, "TRUE")</f>
        <v>0</v>
      </c>
      <c r="AF73" s="51" t="b">
        <f t="shared" si="59"/>
        <v>1</v>
      </c>
      <c r="AI73" s="51" t="b">
        <f t="shared" si="60"/>
        <v>0</v>
      </c>
      <c r="AJ73" s="51" t="b">
        <f t="shared" si="61"/>
        <v>0</v>
      </c>
      <c r="AK73" s="51" t="b">
        <f t="shared" si="62"/>
        <v>0</v>
      </c>
      <c r="AL73" s="51" t="b">
        <f t="shared" si="63"/>
        <v>0</v>
      </c>
      <c r="AM73" s="51" t="b">
        <f t="shared" si="64"/>
        <v>0</v>
      </c>
      <c r="AN73" s="51"/>
      <c r="AO73" s="51" t="b">
        <f t="shared" si="65"/>
        <v>0</v>
      </c>
      <c r="AP73" s="51" t="str">
        <f t="shared" si="87"/>
        <v>Tier 1 MMS, Tier 1 Sub MMS</v>
      </c>
      <c r="AQ73" s="51" t="b">
        <f t="shared" si="66"/>
        <v>0</v>
      </c>
      <c r="AR73" s="51" t="b">
        <f t="shared" si="67"/>
        <v>0</v>
      </c>
      <c r="AS73" s="51" t="b">
        <f t="shared" si="68"/>
        <v>0</v>
      </c>
      <c r="AT73" s="51" t="b">
        <f t="shared" si="69"/>
        <v>0</v>
      </c>
      <c r="AU73" s="51" t="b">
        <f t="shared" si="70"/>
        <v>0</v>
      </c>
      <c r="AV73" s="51" t="str">
        <f t="shared" si="71"/>
        <v/>
      </c>
      <c r="AW73" s="51" t="str">
        <f t="shared" si="72"/>
        <v/>
      </c>
      <c r="AX73" s="51" t="str">
        <f t="shared" si="73"/>
        <v/>
      </c>
      <c r="AY73" s="51" t="str">
        <f t="shared" si="74"/>
        <v/>
      </c>
      <c r="AZ73" s="51" t="str">
        <f t="shared" si="75"/>
        <v/>
      </c>
      <c r="BA73" s="51" t="str">
        <f t="shared" si="76"/>
        <v/>
      </c>
      <c r="BB73" s="51" t="str">
        <f t="shared" si="77"/>
        <v/>
      </c>
      <c r="BC73" s="51" t="str">
        <f t="shared" si="78"/>
        <v/>
      </c>
      <c r="BD73" s="51" t="str">
        <f t="shared" si="79"/>
        <v/>
      </c>
      <c r="BE73" s="51" t="str">
        <f t="shared" si="80"/>
        <v/>
      </c>
      <c r="BF73" s="51" t="str">
        <f t="shared" si="81"/>
        <v/>
      </c>
      <c r="BG73" s="51" t="str">
        <f t="shared" si="82"/>
        <v/>
      </c>
      <c r="BH73" s="51" t="b">
        <f t="shared" si="83"/>
        <v>0</v>
      </c>
      <c r="BI73" s="51" t="str">
        <f t="shared" si="84"/>
        <v/>
      </c>
      <c r="BJ73" s="51" t="str">
        <f t="shared" si="85"/>
        <v/>
      </c>
      <c r="BK73" s="51" t="b">
        <f t="shared" si="86"/>
        <v>0</v>
      </c>
      <c r="BL73" s="192"/>
    </row>
    <row r="74" spans="1:64" ht="13.5" thickBot="1" x14ac:dyDescent="0.25">
      <c r="A74" s="185" t="s">
        <v>766</v>
      </c>
      <c r="B74" s="193" t="s">
        <v>694</v>
      </c>
      <c r="C74" s="193" t="s">
        <v>694</v>
      </c>
      <c r="D74" s="194" t="s">
        <v>695</v>
      </c>
      <c r="E74" s="193" t="s">
        <v>694</v>
      </c>
      <c r="F74" s="160" t="s">
        <v>20</v>
      </c>
      <c r="G74" s="161"/>
      <c r="H74" s="186" t="str">
        <f t="shared" si="44"/>
        <v>Used?</v>
      </c>
      <c r="I74" s="186" t="b">
        <f t="shared" si="45"/>
        <v>0</v>
      </c>
      <c r="J74" s="186" t="str">
        <f t="shared" si="46"/>
        <v>Used?</v>
      </c>
      <c r="K74" s="186" t="b">
        <f t="shared" si="47"/>
        <v>0</v>
      </c>
      <c r="L74" s="186" t="str">
        <f t="shared" si="48"/>
        <v>N/A</v>
      </c>
      <c r="M74" s="186" t="b">
        <f t="shared" si="49"/>
        <v>1</v>
      </c>
      <c r="N74" s="186" t="str">
        <f t="shared" si="50"/>
        <v>Used?</v>
      </c>
      <c r="O74" s="186" t="b">
        <f t="shared" si="51"/>
        <v>0</v>
      </c>
      <c r="P74" s="26" t="s">
        <v>696</v>
      </c>
      <c r="Q74" s="160" t="s">
        <v>20</v>
      </c>
      <c r="R74" s="160" t="s">
        <v>20</v>
      </c>
      <c r="S74" s="26" t="s">
        <v>697</v>
      </c>
      <c r="T74" s="165" t="str">
        <f t="shared" si="52"/>
        <v>Not Used</v>
      </c>
      <c r="U74" s="162"/>
      <c r="V74" s="55"/>
      <c r="W74" s="51" t="b">
        <f t="shared" si="53"/>
        <v>1</v>
      </c>
      <c r="X74" s="51" t="str">
        <f t="shared" si="54"/>
        <v>Not Used</v>
      </c>
      <c r="Y74" s="51" t="str">
        <f t="shared" si="55"/>
        <v>Not Used</v>
      </c>
      <c r="Z74" s="51" t="str">
        <f t="shared" si="56"/>
        <v>Not Used</v>
      </c>
      <c r="AA74" s="51" t="str">
        <f t="shared" si="56"/>
        <v>Not Used</v>
      </c>
      <c r="AB74" s="51" t="str">
        <f t="shared" si="57"/>
        <v>Not Used</v>
      </c>
      <c r="AC74" s="51" t="b">
        <f t="shared" si="58"/>
        <v>1</v>
      </c>
      <c r="AD74" s="51">
        <f>COUNTIF($X$5:$X$74, "Not Used")</f>
        <v>70</v>
      </c>
      <c r="AE74" s="51">
        <f>COUNTIF($X$5:$X$74, "TRUE")</f>
        <v>0</v>
      </c>
      <c r="AF74" s="51" t="b">
        <f t="shared" si="59"/>
        <v>1</v>
      </c>
      <c r="AI74" s="51" t="b">
        <f t="shared" si="60"/>
        <v>0</v>
      </c>
      <c r="AJ74" s="51" t="b">
        <f t="shared" si="61"/>
        <v>0</v>
      </c>
      <c r="AK74" s="51" t="b">
        <f t="shared" si="62"/>
        <v>0</v>
      </c>
      <c r="AL74" s="51" t="b">
        <f t="shared" si="63"/>
        <v>0</v>
      </c>
      <c r="AM74" s="51" t="b">
        <f t="shared" si="64"/>
        <v>0</v>
      </c>
      <c r="AN74" s="51"/>
      <c r="AO74" s="51" t="b">
        <f t="shared" si="65"/>
        <v>0</v>
      </c>
      <c r="AP74" s="51" t="str">
        <f t="shared" si="87"/>
        <v>Tier 1 MMS, Tier 1 Sub MMS</v>
      </c>
      <c r="AQ74" s="51" t="b">
        <f t="shared" si="66"/>
        <v>0</v>
      </c>
      <c r="AR74" s="51" t="b">
        <f t="shared" si="67"/>
        <v>0</v>
      </c>
      <c r="AS74" s="51" t="b">
        <f t="shared" si="68"/>
        <v>0</v>
      </c>
      <c r="AT74" s="51" t="b">
        <f t="shared" si="69"/>
        <v>0</v>
      </c>
      <c r="AU74" s="51" t="b">
        <f t="shared" si="70"/>
        <v>0</v>
      </c>
      <c r="AV74" s="51" t="str">
        <f t="shared" si="71"/>
        <v/>
      </c>
      <c r="AW74" s="51" t="str">
        <f t="shared" si="72"/>
        <v/>
      </c>
      <c r="AX74" s="51" t="str">
        <f t="shared" si="73"/>
        <v/>
      </c>
      <c r="AY74" s="51" t="str">
        <f t="shared" si="74"/>
        <v/>
      </c>
      <c r="AZ74" s="51" t="str">
        <f t="shared" si="75"/>
        <v/>
      </c>
      <c r="BA74" s="51" t="str">
        <f t="shared" si="76"/>
        <v/>
      </c>
      <c r="BB74" s="51" t="str">
        <f t="shared" si="77"/>
        <v/>
      </c>
      <c r="BC74" s="51" t="str">
        <f t="shared" si="78"/>
        <v/>
      </c>
      <c r="BD74" s="51" t="str">
        <f t="shared" si="79"/>
        <v/>
      </c>
      <c r="BE74" s="51" t="str">
        <f t="shared" si="80"/>
        <v/>
      </c>
      <c r="BF74" s="51" t="str">
        <f t="shared" si="81"/>
        <v/>
      </c>
      <c r="BG74" s="51" t="str">
        <f t="shared" si="82"/>
        <v/>
      </c>
      <c r="BH74" s="51" t="b">
        <f t="shared" si="83"/>
        <v>0</v>
      </c>
      <c r="BI74" s="51" t="str">
        <f t="shared" si="84"/>
        <v/>
      </c>
      <c r="BJ74" s="51" t="str">
        <f t="shared" si="85"/>
        <v/>
      </c>
      <c r="BK74" s="51" t="b">
        <f t="shared" si="86"/>
        <v>0</v>
      </c>
      <c r="BL74" s="192"/>
    </row>
    <row r="75" spans="1:64" ht="13.5" thickBot="1" x14ac:dyDescent="0.25">
      <c r="A75" s="185" t="s">
        <v>767</v>
      </c>
      <c r="B75" s="193" t="s">
        <v>694</v>
      </c>
      <c r="C75" s="194" t="s">
        <v>695</v>
      </c>
      <c r="D75" s="194" t="s">
        <v>695</v>
      </c>
      <c r="E75" s="193" t="s">
        <v>694</v>
      </c>
      <c r="F75" s="160" t="s">
        <v>20</v>
      </c>
      <c r="G75" s="161"/>
      <c r="H75" s="186" t="str">
        <f t="shared" si="44"/>
        <v>Used?</v>
      </c>
      <c r="I75" s="186" t="b">
        <f t="shared" si="45"/>
        <v>0</v>
      </c>
      <c r="J75" s="186" t="str">
        <f t="shared" si="46"/>
        <v>N/A</v>
      </c>
      <c r="K75" s="186" t="b">
        <f t="shared" si="47"/>
        <v>1</v>
      </c>
      <c r="L75" s="186" t="str">
        <f t="shared" si="48"/>
        <v>N/A</v>
      </c>
      <c r="M75" s="186" t="b">
        <f t="shared" si="49"/>
        <v>1</v>
      </c>
      <c r="N75" s="186" t="str">
        <f t="shared" si="50"/>
        <v>Used?</v>
      </c>
      <c r="O75" s="186" t="b">
        <f t="shared" si="51"/>
        <v>0</v>
      </c>
      <c r="P75" s="26" t="s">
        <v>696</v>
      </c>
      <c r="Q75" s="160" t="s">
        <v>20</v>
      </c>
      <c r="R75" s="160" t="s">
        <v>20</v>
      </c>
      <c r="S75" s="26" t="s">
        <v>697</v>
      </c>
      <c r="T75" s="165" t="str">
        <f t="shared" si="52"/>
        <v>Not Used</v>
      </c>
      <c r="U75" s="162"/>
      <c r="V75" s="55"/>
      <c r="W75" s="51" t="b">
        <f t="shared" si="53"/>
        <v>1</v>
      </c>
      <c r="X75" s="51" t="str">
        <f t="shared" si="54"/>
        <v>Not Used</v>
      </c>
      <c r="Y75" s="51" t="str">
        <f t="shared" si="55"/>
        <v>Not Used</v>
      </c>
      <c r="Z75" s="51" t="str">
        <f t="shared" si="56"/>
        <v>Not Used</v>
      </c>
      <c r="AA75" s="51" t="str">
        <f t="shared" si="56"/>
        <v>Not Used</v>
      </c>
      <c r="AB75" s="51" t="str">
        <f t="shared" si="57"/>
        <v>Not Used</v>
      </c>
      <c r="AC75" s="51" t="b">
        <f t="shared" si="58"/>
        <v>1</v>
      </c>
      <c r="AD75" s="51">
        <f>COUNTIF($X$5:$X$75, "Not Used")</f>
        <v>71</v>
      </c>
      <c r="AE75" s="51">
        <f>COUNTIF($X$5:$X$75, "TRUE")</f>
        <v>0</v>
      </c>
      <c r="AF75" s="51" t="b">
        <f t="shared" si="59"/>
        <v>1</v>
      </c>
      <c r="AI75" s="51" t="b">
        <f t="shared" si="60"/>
        <v>0</v>
      </c>
      <c r="AJ75" s="51" t="b">
        <f t="shared" si="61"/>
        <v>0</v>
      </c>
      <c r="AK75" s="51" t="b">
        <f t="shared" si="62"/>
        <v>0</v>
      </c>
      <c r="AL75" s="51" t="b">
        <f t="shared" si="63"/>
        <v>0</v>
      </c>
      <c r="AM75" s="51" t="b">
        <f t="shared" si="64"/>
        <v>0</v>
      </c>
      <c r="AN75" s="51"/>
      <c r="AO75" s="51" t="b">
        <f t="shared" si="65"/>
        <v>0</v>
      </c>
      <c r="AP75" s="51" t="str">
        <f t="shared" si="87"/>
        <v>Tier 1 MMS</v>
      </c>
      <c r="AQ75" s="51" t="b">
        <f t="shared" si="66"/>
        <v>0</v>
      </c>
      <c r="AR75" s="51" t="b">
        <f t="shared" si="67"/>
        <v>0</v>
      </c>
      <c r="AS75" s="51" t="str">
        <f t="shared" si="68"/>
        <v/>
      </c>
      <c r="AT75" s="51" t="b">
        <f t="shared" si="69"/>
        <v>0</v>
      </c>
      <c r="AU75" s="51" t="b">
        <f t="shared" si="70"/>
        <v>0</v>
      </c>
      <c r="AV75" s="51" t="str">
        <f t="shared" si="71"/>
        <v/>
      </c>
      <c r="AW75" s="51" t="str">
        <f t="shared" si="72"/>
        <v/>
      </c>
      <c r="AX75" s="51" t="str">
        <f t="shared" si="73"/>
        <v/>
      </c>
      <c r="AY75" s="51" t="str">
        <f t="shared" si="74"/>
        <v/>
      </c>
      <c r="AZ75" s="51" t="str">
        <f t="shared" si="75"/>
        <v/>
      </c>
      <c r="BA75" s="51" t="str">
        <f t="shared" si="76"/>
        <v/>
      </c>
      <c r="BB75" s="51" t="str">
        <f t="shared" si="77"/>
        <v/>
      </c>
      <c r="BC75" s="51" t="str">
        <f t="shared" si="78"/>
        <v/>
      </c>
      <c r="BD75" s="51" t="str">
        <f t="shared" si="79"/>
        <v/>
      </c>
      <c r="BE75" s="51" t="str">
        <f t="shared" si="80"/>
        <v/>
      </c>
      <c r="BF75" s="51" t="str">
        <f t="shared" si="81"/>
        <v/>
      </c>
      <c r="BG75" s="51" t="str">
        <f t="shared" si="82"/>
        <v/>
      </c>
      <c r="BH75" s="51" t="b">
        <f t="shared" si="83"/>
        <v>0</v>
      </c>
      <c r="BI75" s="51" t="str">
        <f t="shared" si="84"/>
        <v/>
      </c>
      <c r="BJ75" s="51" t="str">
        <f t="shared" si="85"/>
        <v/>
      </c>
      <c r="BK75" s="51" t="b">
        <f t="shared" si="86"/>
        <v>0</v>
      </c>
      <c r="BL75" s="192"/>
    </row>
    <row r="76" spans="1:64" ht="13.5" thickBot="1" x14ac:dyDescent="0.25">
      <c r="A76" s="185" t="s">
        <v>768</v>
      </c>
      <c r="B76" s="193" t="s">
        <v>694</v>
      </c>
      <c r="C76" s="194" t="s">
        <v>695</v>
      </c>
      <c r="D76" s="194" t="s">
        <v>695</v>
      </c>
      <c r="E76" s="193" t="s">
        <v>694</v>
      </c>
      <c r="F76" s="160" t="s">
        <v>20</v>
      </c>
      <c r="G76" s="161"/>
      <c r="H76" s="186" t="str">
        <f t="shared" si="44"/>
        <v>Used?</v>
      </c>
      <c r="I76" s="186" t="b">
        <f t="shared" si="45"/>
        <v>0</v>
      </c>
      <c r="J76" s="186" t="str">
        <f t="shared" si="46"/>
        <v>N/A</v>
      </c>
      <c r="K76" s="186" t="b">
        <f t="shared" si="47"/>
        <v>1</v>
      </c>
      <c r="L76" s="186" t="str">
        <f t="shared" si="48"/>
        <v>N/A</v>
      </c>
      <c r="M76" s="186" t="b">
        <f t="shared" si="49"/>
        <v>1</v>
      </c>
      <c r="N76" s="186" t="str">
        <f t="shared" si="50"/>
        <v>Used?</v>
      </c>
      <c r="O76" s="186" t="b">
        <f t="shared" si="51"/>
        <v>0</v>
      </c>
      <c r="P76" s="26" t="s">
        <v>696</v>
      </c>
      <c r="Q76" s="160" t="s">
        <v>20</v>
      </c>
      <c r="R76" s="160" t="s">
        <v>20</v>
      </c>
      <c r="S76" s="26" t="s">
        <v>697</v>
      </c>
      <c r="T76" s="165" t="str">
        <f t="shared" si="52"/>
        <v>Not Used</v>
      </c>
      <c r="U76" s="162"/>
      <c r="V76" s="55"/>
      <c r="W76" s="51" t="b">
        <f t="shared" si="53"/>
        <v>1</v>
      </c>
      <c r="X76" s="51" t="str">
        <f t="shared" si="54"/>
        <v>Not Used</v>
      </c>
      <c r="Y76" s="51" t="str">
        <f t="shared" si="55"/>
        <v>Not Used</v>
      </c>
      <c r="Z76" s="51" t="str">
        <f t="shared" si="56"/>
        <v>Not Used</v>
      </c>
      <c r="AA76" s="51" t="str">
        <f t="shared" si="56"/>
        <v>Not Used</v>
      </c>
      <c r="AB76" s="51" t="str">
        <f t="shared" si="57"/>
        <v>Not Used</v>
      </c>
      <c r="AC76" s="51" t="b">
        <f t="shared" si="58"/>
        <v>1</v>
      </c>
      <c r="AD76" s="51">
        <f>COUNTIF($X$5:$X$76, "Not Used")</f>
        <v>72</v>
      </c>
      <c r="AE76" s="51">
        <f>COUNTIF($X$5:$X$76, "TRUE")</f>
        <v>0</v>
      </c>
      <c r="AF76" s="51" t="b">
        <f t="shared" si="59"/>
        <v>1</v>
      </c>
      <c r="AI76" s="51" t="b">
        <f t="shared" si="60"/>
        <v>0</v>
      </c>
      <c r="AJ76" s="51" t="b">
        <f t="shared" si="61"/>
        <v>0</v>
      </c>
      <c r="AK76" s="51" t="b">
        <f t="shared" si="62"/>
        <v>0</v>
      </c>
      <c r="AL76" s="51" t="b">
        <f t="shared" si="63"/>
        <v>0</v>
      </c>
      <c r="AM76" s="51" t="b">
        <f t="shared" si="64"/>
        <v>0</v>
      </c>
      <c r="AN76" s="51"/>
      <c r="AO76" s="51" t="b">
        <f t="shared" si="65"/>
        <v>0</v>
      </c>
      <c r="AP76" s="51" t="str">
        <f t="shared" si="87"/>
        <v>Tier 1 MMS</v>
      </c>
      <c r="AQ76" s="51" t="b">
        <f t="shared" si="66"/>
        <v>0</v>
      </c>
      <c r="AR76" s="51" t="b">
        <f t="shared" si="67"/>
        <v>0</v>
      </c>
      <c r="AS76" s="51" t="str">
        <f t="shared" si="68"/>
        <v/>
      </c>
      <c r="AT76" s="51" t="b">
        <f t="shared" si="69"/>
        <v>0</v>
      </c>
      <c r="AU76" s="51" t="b">
        <f t="shared" si="70"/>
        <v>0</v>
      </c>
      <c r="AV76" s="51" t="str">
        <f t="shared" si="71"/>
        <v/>
      </c>
      <c r="AW76" s="51" t="str">
        <f t="shared" si="72"/>
        <v/>
      </c>
      <c r="AX76" s="51" t="str">
        <f t="shared" si="73"/>
        <v/>
      </c>
      <c r="AY76" s="51" t="str">
        <f t="shared" si="74"/>
        <v/>
      </c>
      <c r="AZ76" s="51" t="str">
        <f t="shared" si="75"/>
        <v/>
      </c>
      <c r="BA76" s="51" t="str">
        <f t="shared" si="76"/>
        <v/>
      </c>
      <c r="BB76" s="51" t="str">
        <f t="shared" si="77"/>
        <v/>
      </c>
      <c r="BC76" s="51" t="str">
        <f t="shared" si="78"/>
        <v/>
      </c>
      <c r="BD76" s="51" t="str">
        <f t="shared" si="79"/>
        <v/>
      </c>
      <c r="BE76" s="51" t="str">
        <f t="shared" si="80"/>
        <v/>
      </c>
      <c r="BF76" s="51" t="str">
        <f t="shared" si="81"/>
        <v/>
      </c>
      <c r="BG76" s="51" t="str">
        <f t="shared" si="82"/>
        <v/>
      </c>
      <c r="BH76" s="51" t="b">
        <f t="shared" si="83"/>
        <v>0</v>
      </c>
      <c r="BI76" s="51" t="str">
        <f t="shared" si="84"/>
        <v/>
      </c>
      <c r="BJ76" s="51" t="str">
        <f t="shared" si="85"/>
        <v/>
      </c>
      <c r="BK76" s="51" t="b">
        <f t="shared" si="86"/>
        <v>0</v>
      </c>
      <c r="BL76" s="192"/>
    </row>
    <row r="77" spans="1:64" ht="13.5" thickBot="1" x14ac:dyDescent="0.25">
      <c r="A77" s="185" t="s">
        <v>769</v>
      </c>
      <c r="B77" s="193" t="s">
        <v>694</v>
      </c>
      <c r="C77" s="194" t="s">
        <v>695</v>
      </c>
      <c r="D77" s="194" t="s">
        <v>695</v>
      </c>
      <c r="E77" s="193" t="s">
        <v>694</v>
      </c>
      <c r="F77" s="160" t="s">
        <v>20</v>
      </c>
      <c r="G77" s="161"/>
      <c r="H77" s="186" t="str">
        <f t="shared" si="44"/>
        <v>Used?</v>
      </c>
      <c r="I77" s="186" t="b">
        <f t="shared" si="45"/>
        <v>0</v>
      </c>
      <c r="J77" s="186" t="str">
        <f t="shared" si="46"/>
        <v>N/A</v>
      </c>
      <c r="K77" s="186" t="b">
        <f t="shared" si="47"/>
        <v>1</v>
      </c>
      <c r="L77" s="186" t="str">
        <f t="shared" si="48"/>
        <v>N/A</v>
      </c>
      <c r="M77" s="186" t="b">
        <f t="shared" si="49"/>
        <v>1</v>
      </c>
      <c r="N77" s="186" t="str">
        <f t="shared" si="50"/>
        <v>Used?</v>
      </c>
      <c r="O77" s="186" t="b">
        <f t="shared" si="51"/>
        <v>0</v>
      </c>
      <c r="P77" s="26" t="s">
        <v>696</v>
      </c>
      <c r="Q77" s="160" t="s">
        <v>20</v>
      </c>
      <c r="R77" s="160" t="s">
        <v>20</v>
      </c>
      <c r="S77" s="26" t="s">
        <v>697</v>
      </c>
      <c r="T77" s="165" t="str">
        <f t="shared" si="52"/>
        <v>Not Used</v>
      </c>
      <c r="U77" s="162"/>
      <c r="V77" s="55"/>
      <c r="W77" s="51" t="b">
        <f t="shared" si="53"/>
        <v>1</v>
      </c>
      <c r="X77" s="51" t="str">
        <f t="shared" si="54"/>
        <v>Not Used</v>
      </c>
      <c r="Y77" s="51" t="str">
        <f t="shared" si="55"/>
        <v>Not Used</v>
      </c>
      <c r="Z77" s="51" t="str">
        <f t="shared" si="56"/>
        <v>Not Used</v>
      </c>
      <c r="AA77" s="51" t="str">
        <f t="shared" si="56"/>
        <v>Not Used</v>
      </c>
      <c r="AB77" s="51" t="str">
        <f t="shared" si="57"/>
        <v>Not Used</v>
      </c>
      <c r="AC77" s="51" t="b">
        <f t="shared" si="58"/>
        <v>1</v>
      </c>
      <c r="AD77" s="51">
        <f>COUNTIF($X$5:$X$77, "Not Used")</f>
        <v>73</v>
      </c>
      <c r="AE77" s="51">
        <f>COUNTIF($X$5:$X$77, "TRUE")</f>
        <v>0</v>
      </c>
      <c r="AF77" s="51" t="b">
        <f t="shared" si="59"/>
        <v>1</v>
      </c>
      <c r="AI77" s="51" t="b">
        <f t="shared" si="60"/>
        <v>0</v>
      </c>
      <c r="AJ77" s="51" t="b">
        <f t="shared" si="61"/>
        <v>0</v>
      </c>
      <c r="AK77" s="51" t="b">
        <f t="shared" si="62"/>
        <v>0</v>
      </c>
      <c r="AL77" s="51" t="b">
        <f t="shared" si="63"/>
        <v>0</v>
      </c>
      <c r="AM77" s="51" t="b">
        <f t="shared" si="64"/>
        <v>0</v>
      </c>
      <c r="AN77" s="51"/>
      <c r="AO77" s="51" t="b">
        <f t="shared" si="65"/>
        <v>0</v>
      </c>
      <c r="AP77" s="51" t="str">
        <f t="shared" si="87"/>
        <v>Tier 1 MMS</v>
      </c>
      <c r="AQ77" s="51" t="b">
        <f t="shared" si="66"/>
        <v>0</v>
      </c>
      <c r="AR77" s="51" t="b">
        <f t="shared" si="67"/>
        <v>0</v>
      </c>
      <c r="AS77" s="51" t="str">
        <f t="shared" si="68"/>
        <v/>
      </c>
      <c r="AT77" s="51" t="b">
        <f t="shared" si="69"/>
        <v>0</v>
      </c>
      <c r="AU77" s="51" t="b">
        <f t="shared" si="70"/>
        <v>0</v>
      </c>
      <c r="AV77" s="51" t="str">
        <f t="shared" si="71"/>
        <v/>
      </c>
      <c r="AW77" s="51" t="str">
        <f t="shared" si="72"/>
        <v/>
      </c>
      <c r="AX77" s="51" t="str">
        <f t="shared" si="73"/>
        <v/>
      </c>
      <c r="AY77" s="51" t="str">
        <f t="shared" si="74"/>
        <v/>
      </c>
      <c r="AZ77" s="51" t="str">
        <f t="shared" si="75"/>
        <v/>
      </c>
      <c r="BA77" s="51" t="str">
        <f t="shared" si="76"/>
        <v/>
      </c>
      <c r="BB77" s="51" t="str">
        <f t="shared" si="77"/>
        <v/>
      </c>
      <c r="BC77" s="51" t="str">
        <f t="shared" si="78"/>
        <v/>
      </c>
      <c r="BD77" s="51" t="str">
        <f t="shared" si="79"/>
        <v/>
      </c>
      <c r="BE77" s="51" t="str">
        <f t="shared" si="80"/>
        <v/>
      </c>
      <c r="BF77" s="51" t="str">
        <f t="shared" si="81"/>
        <v/>
      </c>
      <c r="BG77" s="51" t="str">
        <f t="shared" si="82"/>
        <v/>
      </c>
      <c r="BH77" s="51" t="b">
        <f t="shared" si="83"/>
        <v>0</v>
      </c>
      <c r="BI77" s="51" t="str">
        <f t="shared" si="84"/>
        <v/>
      </c>
      <c r="BJ77" s="51" t="str">
        <f t="shared" si="85"/>
        <v/>
      </c>
      <c r="BK77" s="51" t="b">
        <f t="shared" si="86"/>
        <v>0</v>
      </c>
      <c r="BL77" s="192"/>
    </row>
    <row r="78" spans="1:64" ht="13.5" thickBot="1" x14ac:dyDescent="0.25">
      <c r="A78" s="185" t="s">
        <v>770</v>
      </c>
      <c r="B78" s="193" t="s">
        <v>694</v>
      </c>
      <c r="C78" s="194" t="s">
        <v>695</v>
      </c>
      <c r="D78" s="194" t="s">
        <v>695</v>
      </c>
      <c r="E78" s="193" t="s">
        <v>694</v>
      </c>
      <c r="F78" s="160" t="s">
        <v>20</v>
      </c>
      <c r="G78" s="161"/>
      <c r="H78" s="186" t="str">
        <f t="shared" si="44"/>
        <v>Used?</v>
      </c>
      <c r="I78" s="186" t="b">
        <f t="shared" si="45"/>
        <v>0</v>
      </c>
      <c r="J78" s="186" t="str">
        <f t="shared" si="46"/>
        <v>N/A</v>
      </c>
      <c r="K78" s="186" t="b">
        <f t="shared" si="47"/>
        <v>1</v>
      </c>
      <c r="L78" s="186" t="str">
        <f t="shared" si="48"/>
        <v>N/A</v>
      </c>
      <c r="M78" s="186" t="b">
        <f t="shared" si="49"/>
        <v>1</v>
      </c>
      <c r="N78" s="186" t="str">
        <f t="shared" si="50"/>
        <v>Used?</v>
      </c>
      <c r="O78" s="186" t="b">
        <f t="shared" si="51"/>
        <v>0</v>
      </c>
      <c r="P78" s="26" t="s">
        <v>696</v>
      </c>
      <c r="Q78" s="160" t="s">
        <v>20</v>
      </c>
      <c r="R78" s="160" t="s">
        <v>20</v>
      </c>
      <c r="S78" s="26" t="s">
        <v>697</v>
      </c>
      <c r="T78" s="165" t="str">
        <f t="shared" si="52"/>
        <v>Not Used</v>
      </c>
      <c r="U78" s="162"/>
      <c r="V78" s="55"/>
      <c r="W78" s="51" t="b">
        <f t="shared" si="53"/>
        <v>1</v>
      </c>
      <c r="X78" s="51" t="str">
        <f t="shared" si="54"/>
        <v>Not Used</v>
      </c>
      <c r="Y78" s="51" t="str">
        <f t="shared" si="55"/>
        <v>Not Used</v>
      </c>
      <c r="Z78" s="51" t="str">
        <f t="shared" si="56"/>
        <v>Not Used</v>
      </c>
      <c r="AA78" s="51" t="str">
        <f t="shared" si="56"/>
        <v>Not Used</v>
      </c>
      <c r="AB78" s="51" t="str">
        <f t="shared" si="57"/>
        <v>Not Used</v>
      </c>
      <c r="AC78" s="51" t="b">
        <f t="shared" si="58"/>
        <v>1</v>
      </c>
      <c r="AD78" s="51">
        <f>COUNTIF($X$5:$X$78, "Not Used")</f>
        <v>74</v>
      </c>
      <c r="AE78" s="51">
        <f>COUNTIF($X$5:$X$78, "TRUE")</f>
        <v>0</v>
      </c>
      <c r="AF78" s="51" t="b">
        <f t="shared" si="59"/>
        <v>1</v>
      </c>
      <c r="AI78" s="51" t="b">
        <f t="shared" si="60"/>
        <v>0</v>
      </c>
      <c r="AJ78" s="51" t="b">
        <f t="shared" si="61"/>
        <v>0</v>
      </c>
      <c r="AK78" s="51" t="b">
        <f t="shared" si="62"/>
        <v>0</v>
      </c>
      <c r="AL78" s="51" t="b">
        <f t="shared" si="63"/>
        <v>0</v>
      </c>
      <c r="AM78" s="51" t="b">
        <f t="shared" si="64"/>
        <v>0</v>
      </c>
      <c r="AN78" s="51"/>
      <c r="AO78" s="51" t="b">
        <f t="shared" si="65"/>
        <v>0</v>
      </c>
      <c r="AP78" s="51" t="str">
        <f t="shared" si="87"/>
        <v>Tier 1 MMS</v>
      </c>
      <c r="AQ78" s="51" t="b">
        <f t="shared" si="66"/>
        <v>0</v>
      </c>
      <c r="AR78" s="51" t="b">
        <f t="shared" si="67"/>
        <v>0</v>
      </c>
      <c r="AS78" s="51" t="str">
        <f t="shared" si="68"/>
        <v/>
      </c>
      <c r="AT78" s="51" t="b">
        <f t="shared" si="69"/>
        <v>0</v>
      </c>
      <c r="AU78" s="51" t="b">
        <f t="shared" si="70"/>
        <v>0</v>
      </c>
      <c r="AV78" s="51" t="str">
        <f t="shared" si="71"/>
        <v/>
      </c>
      <c r="AW78" s="51" t="str">
        <f t="shared" si="72"/>
        <v/>
      </c>
      <c r="AX78" s="51" t="str">
        <f t="shared" si="73"/>
        <v/>
      </c>
      <c r="AY78" s="51" t="str">
        <f t="shared" si="74"/>
        <v/>
      </c>
      <c r="AZ78" s="51" t="str">
        <f t="shared" si="75"/>
        <v/>
      </c>
      <c r="BA78" s="51" t="str">
        <f t="shared" si="76"/>
        <v/>
      </c>
      <c r="BB78" s="51" t="str">
        <f t="shared" si="77"/>
        <v/>
      </c>
      <c r="BC78" s="51" t="str">
        <f t="shared" si="78"/>
        <v/>
      </c>
      <c r="BD78" s="51" t="str">
        <f t="shared" si="79"/>
        <v/>
      </c>
      <c r="BE78" s="51" t="str">
        <f t="shared" si="80"/>
        <v/>
      </c>
      <c r="BF78" s="51" t="str">
        <f t="shared" si="81"/>
        <v/>
      </c>
      <c r="BG78" s="51" t="str">
        <f t="shared" si="82"/>
        <v/>
      </c>
      <c r="BH78" s="51" t="b">
        <f t="shared" si="83"/>
        <v>0</v>
      </c>
      <c r="BI78" s="51" t="str">
        <f t="shared" si="84"/>
        <v/>
      </c>
      <c r="BJ78" s="51" t="str">
        <f t="shared" si="85"/>
        <v/>
      </c>
      <c r="BK78" s="51" t="b">
        <f t="shared" si="86"/>
        <v>0</v>
      </c>
      <c r="BL78" s="192"/>
    </row>
    <row r="79" spans="1:64" ht="13.5" thickBot="1" x14ac:dyDescent="0.25">
      <c r="A79" s="185" t="s">
        <v>771</v>
      </c>
      <c r="B79" s="193" t="s">
        <v>694</v>
      </c>
      <c r="C79" s="194" t="s">
        <v>695</v>
      </c>
      <c r="D79" s="194" t="s">
        <v>695</v>
      </c>
      <c r="E79" s="193" t="s">
        <v>694</v>
      </c>
      <c r="F79" s="160" t="s">
        <v>20</v>
      </c>
      <c r="G79" s="161"/>
      <c r="H79" s="186" t="str">
        <f t="shared" si="44"/>
        <v>Used?</v>
      </c>
      <c r="I79" s="186" t="b">
        <f t="shared" si="45"/>
        <v>0</v>
      </c>
      <c r="J79" s="186" t="str">
        <f t="shared" si="46"/>
        <v>N/A</v>
      </c>
      <c r="K79" s="186" t="b">
        <f t="shared" si="47"/>
        <v>1</v>
      </c>
      <c r="L79" s="186" t="str">
        <f t="shared" si="48"/>
        <v>N/A</v>
      </c>
      <c r="M79" s="186" t="b">
        <f t="shared" si="49"/>
        <v>1</v>
      </c>
      <c r="N79" s="186" t="str">
        <f t="shared" si="50"/>
        <v>Used?</v>
      </c>
      <c r="O79" s="186" t="b">
        <f t="shared" si="51"/>
        <v>0</v>
      </c>
      <c r="P79" s="26" t="s">
        <v>696</v>
      </c>
      <c r="Q79" s="160" t="s">
        <v>20</v>
      </c>
      <c r="R79" s="160" t="s">
        <v>20</v>
      </c>
      <c r="S79" s="26" t="s">
        <v>697</v>
      </c>
      <c r="T79" s="165" t="str">
        <f t="shared" si="52"/>
        <v>Not Used</v>
      </c>
      <c r="U79" s="162"/>
      <c r="V79" s="55"/>
      <c r="W79" s="51" t="b">
        <f t="shared" si="53"/>
        <v>1</v>
      </c>
      <c r="X79" s="51" t="str">
        <f t="shared" si="54"/>
        <v>Not Used</v>
      </c>
      <c r="Y79" s="51" t="str">
        <f t="shared" si="55"/>
        <v>Not Used</v>
      </c>
      <c r="Z79" s="51" t="str">
        <f t="shared" si="56"/>
        <v>Not Used</v>
      </c>
      <c r="AA79" s="51" t="str">
        <f t="shared" si="56"/>
        <v>Not Used</v>
      </c>
      <c r="AB79" s="51" t="str">
        <f t="shared" si="57"/>
        <v>Not Used</v>
      </c>
      <c r="AC79" s="51" t="b">
        <f t="shared" si="58"/>
        <v>1</v>
      </c>
      <c r="AD79" s="51">
        <f>COUNTIF($X$5:$X$79, "Not Used")</f>
        <v>75</v>
      </c>
      <c r="AE79" s="51">
        <f>COUNTIF($X$5:$X$79, "TRUE")</f>
        <v>0</v>
      </c>
      <c r="AF79" s="51" t="b">
        <f t="shared" si="59"/>
        <v>1</v>
      </c>
      <c r="AI79" s="51" t="b">
        <f t="shared" si="60"/>
        <v>0</v>
      </c>
      <c r="AJ79" s="51" t="b">
        <f t="shared" si="61"/>
        <v>0</v>
      </c>
      <c r="AK79" s="51" t="b">
        <f t="shared" si="62"/>
        <v>0</v>
      </c>
      <c r="AL79" s="51" t="b">
        <f t="shared" si="63"/>
        <v>0</v>
      </c>
      <c r="AM79" s="51" t="b">
        <f t="shared" si="64"/>
        <v>0</v>
      </c>
      <c r="AN79" s="51"/>
      <c r="AO79" s="51" t="b">
        <f t="shared" si="65"/>
        <v>0</v>
      </c>
      <c r="AP79" s="51" t="str">
        <f t="shared" si="87"/>
        <v>Tier 1 MMS</v>
      </c>
      <c r="AQ79" s="51" t="b">
        <f t="shared" si="66"/>
        <v>0</v>
      </c>
      <c r="AR79" s="51" t="b">
        <f t="shared" si="67"/>
        <v>0</v>
      </c>
      <c r="AS79" s="51" t="str">
        <f t="shared" si="68"/>
        <v/>
      </c>
      <c r="AT79" s="51" t="b">
        <f t="shared" si="69"/>
        <v>0</v>
      </c>
      <c r="AU79" s="51" t="b">
        <f t="shared" si="70"/>
        <v>0</v>
      </c>
      <c r="AV79" s="51" t="str">
        <f t="shared" si="71"/>
        <v/>
      </c>
      <c r="AW79" s="51" t="str">
        <f t="shared" si="72"/>
        <v/>
      </c>
      <c r="AX79" s="51" t="str">
        <f t="shared" si="73"/>
        <v/>
      </c>
      <c r="AY79" s="51" t="str">
        <f t="shared" si="74"/>
        <v/>
      </c>
      <c r="AZ79" s="51" t="str">
        <f t="shared" si="75"/>
        <v/>
      </c>
      <c r="BA79" s="51" t="str">
        <f t="shared" si="76"/>
        <v/>
      </c>
      <c r="BB79" s="51" t="str">
        <f t="shared" si="77"/>
        <v/>
      </c>
      <c r="BC79" s="51" t="str">
        <f t="shared" si="78"/>
        <v/>
      </c>
      <c r="BD79" s="51" t="str">
        <f t="shared" si="79"/>
        <v/>
      </c>
      <c r="BE79" s="51" t="str">
        <f t="shared" si="80"/>
        <v/>
      </c>
      <c r="BF79" s="51" t="str">
        <f t="shared" si="81"/>
        <v/>
      </c>
      <c r="BG79" s="51" t="str">
        <f t="shared" si="82"/>
        <v/>
      </c>
      <c r="BH79" s="51" t="b">
        <f t="shared" si="83"/>
        <v>0</v>
      </c>
      <c r="BI79" s="51" t="str">
        <f t="shared" si="84"/>
        <v/>
      </c>
      <c r="BJ79" s="51" t="str">
        <f t="shared" si="85"/>
        <v/>
      </c>
      <c r="BK79" s="51" t="b">
        <f t="shared" si="86"/>
        <v>0</v>
      </c>
      <c r="BL79" s="192"/>
    </row>
    <row r="80" spans="1:64" ht="13.5" thickBot="1" x14ac:dyDescent="0.25">
      <c r="A80" s="185" t="s">
        <v>772</v>
      </c>
      <c r="B80" s="193" t="s">
        <v>694</v>
      </c>
      <c r="C80" s="194" t="s">
        <v>695</v>
      </c>
      <c r="D80" s="194" t="s">
        <v>695</v>
      </c>
      <c r="E80" s="193" t="s">
        <v>694</v>
      </c>
      <c r="F80" s="160" t="s">
        <v>20</v>
      </c>
      <c r="G80" s="161"/>
      <c r="H80" s="186" t="str">
        <f t="shared" si="44"/>
        <v>Used?</v>
      </c>
      <c r="I80" s="186" t="b">
        <f t="shared" si="45"/>
        <v>0</v>
      </c>
      <c r="J80" s="186" t="str">
        <f t="shared" si="46"/>
        <v>N/A</v>
      </c>
      <c r="K80" s="186" t="b">
        <f t="shared" si="47"/>
        <v>1</v>
      </c>
      <c r="L80" s="186" t="str">
        <f t="shared" si="48"/>
        <v>N/A</v>
      </c>
      <c r="M80" s="186" t="b">
        <f t="shared" si="49"/>
        <v>1</v>
      </c>
      <c r="N80" s="186" t="str">
        <f t="shared" si="50"/>
        <v>Used?</v>
      </c>
      <c r="O80" s="186" t="b">
        <f t="shared" si="51"/>
        <v>0</v>
      </c>
      <c r="P80" s="26" t="s">
        <v>696</v>
      </c>
      <c r="Q80" s="160" t="s">
        <v>20</v>
      </c>
      <c r="R80" s="160" t="s">
        <v>20</v>
      </c>
      <c r="S80" s="26" t="s">
        <v>697</v>
      </c>
      <c r="T80" s="165" t="str">
        <f t="shared" si="52"/>
        <v>Not Used</v>
      </c>
      <c r="U80" s="162"/>
      <c r="V80" s="55"/>
      <c r="W80" s="51" t="b">
        <f t="shared" si="53"/>
        <v>1</v>
      </c>
      <c r="X80" s="51" t="str">
        <f t="shared" si="54"/>
        <v>Not Used</v>
      </c>
      <c r="Y80" s="51" t="str">
        <f t="shared" si="55"/>
        <v>Not Used</v>
      </c>
      <c r="Z80" s="51" t="str">
        <f t="shared" si="56"/>
        <v>Not Used</v>
      </c>
      <c r="AA80" s="51" t="str">
        <f t="shared" si="56"/>
        <v>Not Used</v>
      </c>
      <c r="AB80" s="51" t="str">
        <f t="shared" si="57"/>
        <v>Not Used</v>
      </c>
      <c r="AC80" s="51" t="b">
        <f t="shared" si="58"/>
        <v>1</v>
      </c>
      <c r="AD80" s="51">
        <f>COUNTIF($X$5:$X$80, "Not Used")</f>
        <v>76</v>
      </c>
      <c r="AE80" s="51">
        <f>COUNTIF($X$5:$X$80, "TRUE")</f>
        <v>0</v>
      </c>
      <c r="AF80" s="51" t="b">
        <f t="shared" si="59"/>
        <v>1</v>
      </c>
      <c r="AI80" s="51" t="b">
        <f t="shared" si="60"/>
        <v>0</v>
      </c>
      <c r="AJ80" s="51" t="b">
        <f t="shared" si="61"/>
        <v>0</v>
      </c>
      <c r="AK80" s="51" t="b">
        <f t="shared" si="62"/>
        <v>0</v>
      </c>
      <c r="AL80" s="51" t="b">
        <f t="shared" si="63"/>
        <v>0</v>
      </c>
      <c r="AM80" s="51" t="b">
        <f t="shared" si="64"/>
        <v>0</v>
      </c>
      <c r="AN80" s="51"/>
      <c r="AO80" s="51" t="b">
        <f t="shared" si="65"/>
        <v>0</v>
      </c>
      <c r="AP80" s="51" t="str">
        <f t="shared" si="87"/>
        <v>Tier 1 MMS</v>
      </c>
      <c r="AQ80" s="51" t="b">
        <f t="shared" si="66"/>
        <v>0</v>
      </c>
      <c r="AR80" s="51" t="b">
        <f t="shared" si="67"/>
        <v>0</v>
      </c>
      <c r="AS80" s="51" t="str">
        <f t="shared" si="68"/>
        <v/>
      </c>
      <c r="AT80" s="51" t="b">
        <f t="shared" si="69"/>
        <v>0</v>
      </c>
      <c r="AU80" s="51" t="b">
        <f t="shared" si="70"/>
        <v>0</v>
      </c>
      <c r="AV80" s="51" t="str">
        <f t="shared" si="71"/>
        <v/>
      </c>
      <c r="AW80" s="51" t="str">
        <f t="shared" si="72"/>
        <v/>
      </c>
      <c r="AX80" s="51" t="str">
        <f t="shared" si="73"/>
        <v/>
      </c>
      <c r="AY80" s="51" t="str">
        <f t="shared" si="74"/>
        <v/>
      </c>
      <c r="AZ80" s="51" t="str">
        <f t="shared" si="75"/>
        <v/>
      </c>
      <c r="BA80" s="51" t="str">
        <f t="shared" si="76"/>
        <v/>
      </c>
      <c r="BB80" s="51" t="str">
        <f t="shared" si="77"/>
        <v/>
      </c>
      <c r="BC80" s="51" t="str">
        <f t="shared" si="78"/>
        <v/>
      </c>
      <c r="BD80" s="51" t="str">
        <f t="shared" si="79"/>
        <v/>
      </c>
      <c r="BE80" s="51" t="str">
        <f t="shared" si="80"/>
        <v/>
      </c>
      <c r="BF80" s="51" t="str">
        <f t="shared" si="81"/>
        <v/>
      </c>
      <c r="BG80" s="51" t="str">
        <f t="shared" si="82"/>
        <v/>
      </c>
      <c r="BH80" s="51" t="b">
        <f t="shared" si="83"/>
        <v>0</v>
      </c>
      <c r="BI80" s="51" t="str">
        <f t="shared" si="84"/>
        <v/>
      </c>
      <c r="BJ80" s="51" t="str">
        <f t="shared" si="85"/>
        <v/>
      </c>
      <c r="BK80" s="51" t="b">
        <f t="shared" si="86"/>
        <v>0</v>
      </c>
      <c r="BL80" s="192"/>
    </row>
    <row r="81" spans="1:64" ht="13.5" thickBot="1" x14ac:dyDescent="0.25">
      <c r="A81" s="185" t="s">
        <v>773</v>
      </c>
      <c r="B81" s="193" t="s">
        <v>694</v>
      </c>
      <c r="C81" s="194" t="s">
        <v>695</v>
      </c>
      <c r="D81" s="194" t="s">
        <v>695</v>
      </c>
      <c r="E81" s="193" t="s">
        <v>694</v>
      </c>
      <c r="F81" s="160" t="s">
        <v>20</v>
      </c>
      <c r="G81" s="161"/>
      <c r="H81" s="186" t="str">
        <f t="shared" si="44"/>
        <v>Used?</v>
      </c>
      <c r="I81" s="186" t="b">
        <f t="shared" si="45"/>
        <v>0</v>
      </c>
      <c r="J81" s="186" t="str">
        <f t="shared" si="46"/>
        <v>N/A</v>
      </c>
      <c r="K81" s="186" t="b">
        <f t="shared" si="47"/>
        <v>1</v>
      </c>
      <c r="L81" s="186" t="str">
        <f t="shared" si="48"/>
        <v>N/A</v>
      </c>
      <c r="M81" s="186" t="b">
        <f t="shared" si="49"/>
        <v>1</v>
      </c>
      <c r="N81" s="186" t="str">
        <f t="shared" si="50"/>
        <v>Used?</v>
      </c>
      <c r="O81" s="186" t="b">
        <f t="shared" si="51"/>
        <v>0</v>
      </c>
      <c r="P81" s="26" t="s">
        <v>696</v>
      </c>
      <c r="Q81" s="160" t="s">
        <v>20</v>
      </c>
      <c r="R81" s="160" t="s">
        <v>20</v>
      </c>
      <c r="S81" s="26" t="s">
        <v>697</v>
      </c>
      <c r="T81" s="165" t="str">
        <f t="shared" si="52"/>
        <v>Not Used</v>
      </c>
      <c r="U81" s="162"/>
      <c r="V81" s="55"/>
      <c r="W81" s="51" t="b">
        <f t="shared" si="53"/>
        <v>1</v>
      </c>
      <c r="X81" s="51" t="str">
        <f t="shared" si="54"/>
        <v>Not Used</v>
      </c>
      <c r="Y81" s="51" t="str">
        <f t="shared" si="55"/>
        <v>Not Used</v>
      </c>
      <c r="Z81" s="51" t="str">
        <f t="shared" si="56"/>
        <v>Not Used</v>
      </c>
      <c r="AA81" s="51" t="str">
        <f t="shared" si="56"/>
        <v>Not Used</v>
      </c>
      <c r="AB81" s="51" t="str">
        <f t="shared" si="57"/>
        <v>Not Used</v>
      </c>
      <c r="AC81" s="51" t="b">
        <f t="shared" si="58"/>
        <v>1</v>
      </c>
      <c r="AD81" s="51">
        <f>COUNTIF($X$5:$X$81, "Not Used")</f>
        <v>77</v>
      </c>
      <c r="AE81" s="51">
        <f>COUNTIF($X$5:$X$81, "TRUE")</f>
        <v>0</v>
      </c>
      <c r="AF81" s="51" t="b">
        <f t="shared" si="59"/>
        <v>1</v>
      </c>
      <c r="AI81" s="51" t="b">
        <f t="shared" si="60"/>
        <v>0</v>
      </c>
      <c r="AJ81" s="51" t="b">
        <f t="shared" si="61"/>
        <v>0</v>
      </c>
      <c r="AK81" s="51" t="b">
        <f t="shared" si="62"/>
        <v>0</v>
      </c>
      <c r="AL81" s="51" t="b">
        <f t="shared" si="63"/>
        <v>0</v>
      </c>
      <c r="AM81" s="51" t="b">
        <f t="shared" si="64"/>
        <v>0</v>
      </c>
      <c r="AN81" s="51"/>
      <c r="AO81" s="51" t="b">
        <f t="shared" si="65"/>
        <v>0</v>
      </c>
      <c r="AP81" s="51" t="str">
        <f t="shared" si="87"/>
        <v>Tier 1 MMS</v>
      </c>
      <c r="AQ81" s="51" t="b">
        <f t="shared" si="66"/>
        <v>0</v>
      </c>
      <c r="AR81" s="51" t="b">
        <f t="shared" si="67"/>
        <v>0</v>
      </c>
      <c r="AS81" s="51" t="str">
        <f t="shared" si="68"/>
        <v/>
      </c>
      <c r="AT81" s="51" t="b">
        <f t="shared" si="69"/>
        <v>0</v>
      </c>
      <c r="AU81" s="51" t="b">
        <f t="shared" si="70"/>
        <v>0</v>
      </c>
      <c r="AV81" s="51" t="str">
        <f t="shared" si="71"/>
        <v/>
      </c>
      <c r="AW81" s="51" t="str">
        <f t="shared" si="72"/>
        <v/>
      </c>
      <c r="AX81" s="51" t="str">
        <f t="shared" si="73"/>
        <v/>
      </c>
      <c r="AY81" s="51" t="str">
        <f t="shared" si="74"/>
        <v/>
      </c>
      <c r="AZ81" s="51" t="str">
        <f t="shared" si="75"/>
        <v/>
      </c>
      <c r="BA81" s="51" t="str">
        <f t="shared" si="76"/>
        <v/>
      </c>
      <c r="BB81" s="51" t="str">
        <f t="shared" si="77"/>
        <v/>
      </c>
      <c r="BC81" s="51" t="str">
        <f t="shared" si="78"/>
        <v/>
      </c>
      <c r="BD81" s="51" t="str">
        <f t="shared" si="79"/>
        <v/>
      </c>
      <c r="BE81" s="51" t="str">
        <f t="shared" si="80"/>
        <v/>
      </c>
      <c r="BF81" s="51" t="str">
        <f t="shared" si="81"/>
        <v/>
      </c>
      <c r="BG81" s="51" t="str">
        <f t="shared" si="82"/>
        <v/>
      </c>
      <c r="BH81" s="51" t="b">
        <f t="shared" si="83"/>
        <v>0</v>
      </c>
      <c r="BI81" s="51" t="str">
        <f t="shared" si="84"/>
        <v/>
      </c>
      <c r="BJ81" s="51" t="str">
        <f t="shared" si="85"/>
        <v/>
      </c>
      <c r="BK81" s="51" t="b">
        <f t="shared" si="86"/>
        <v>0</v>
      </c>
      <c r="BL81" s="192"/>
    </row>
    <row r="82" spans="1:64" ht="13.5" thickBot="1" x14ac:dyDescent="0.25">
      <c r="A82" s="185" t="s">
        <v>774</v>
      </c>
      <c r="B82" s="193" t="s">
        <v>694</v>
      </c>
      <c r="C82" s="194" t="s">
        <v>695</v>
      </c>
      <c r="D82" s="194" t="s">
        <v>695</v>
      </c>
      <c r="E82" s="193" t="s">
        <v>694</v>
      </c>
      <c r="F82" s="160" t="s">
        <v>20</v>
      </c>
      <c r="G82" s="161"/>
      <c r="H82" s="186" t="str">
        <f t="shared" si="44"/>
        <v>Used?</v>
      </c>
      <c r="I82" s="186" t="b">
        <f t="shared" si="45"/>
        <v>0</v>
      </c>
      <c r="J82" s="186" t="str">
        <f t="shared" si="46"/>
        <v>N/A</v>
      </c>
      <c r="K82" s="186" t="b">
        <f t="shared" si="47"/>
        <v>1</v>
      </c>
      <c r="L82" s="186" t="str">
        <f t="shared" si="48"/>
        <v>N/A</v>
      </c>
      <c r="M82" s="186" t="b">
        <f t="shared" si="49"/>
        <v>1</v>
      </c>
      <c r="N82" s="186" t="str">
        <f t="shared" si="50"/>
        <v>Used?</v>
      </c>
      <c r="O82" s="186" t="b">
        <f t="shared" si="51"/>
        <v>0</v>
      </c>
      <c r="P82" s="26" t="s">
        <v>696</v>
      </c>
      <c r="Q82" s="160" t="s">
        <v>20</v>
      </c>
      <c r="R82" s="160" t="s">
        <v>20</v>
      </c>
      <c r="S82" s="26" t="s">
        <v>697</v>
      </c>
      <c r="T82" s="165" t="str">
        <f t="shared" si="52"/>
        <v>Not Used</v>
      </c>
      <c r="U82" s="162"/>
      <c r="V82" s="55"/>
      <c r="W82" s="51" t="b">
        <f t="shared" si="53"/>
        <v>1</v>
      </c>
      <c r="X82" s="51" t="str">
        <f t="shared" si="54"/>
        <v>Not Used</v>
      </c>
      <c r="Y82" s="51" t="str">
        <f t="shared" si="55"/>
        <v>Not Used</v>
      </c>
      <c r="Z82" s="51" t="str">
        <f t="shared" si="56"/>
        <v>Not Used</v>
      </c>
      <c r="AA82" s="51" t="str">
        <f t="shared" si="56"/>
        <v>Not Used</v>
      </c>
      <c r="AB82" s="51" t="str">
        <f t="shared" si="57"/>
        <v>Not Used</v>
      </c>
      <c r="AC82" s="51" t="b">
        <f t="shared" si="58"/>
        <v>1</v>
      </c>
      <c r="AD82" s="51">
        <f>COUNTIF($X$5:$X$82, "Not Used")</f>
        <v>78</v>
      </c>
      <c r="AE82" s="51">
        <f>COUNTIF($X$5:$X$82, "TRUE")</f>
        <v>0</v>
      </c>
      <c r="AF82" s="51" t="b">
        <f t="shared" si="59"/>
        <v>1</v>
      </c>
      <c r="AI82" s="51" t="b">
        <f t="shared" si="60"/>
        <v>0</v>
      </c>
      <c r="AJ82" s="51" t="b">
        <f t="shared" si="61"/>
        <v>0</v>
      </c>
      <c r="AK82" s="51" t="b">
        <f t="shared" si="62"/>
        <v>0</v>
      </c>
      <c r="AL82" s="51" t="b">
        <f t="shared" si="63"/>
        <v>0</v>
      </c>
      <c r="AM82" s="51" t="b">
        <f t="shared" si="64"/>
        <v>0</v>
      </c>
      <c r="AN82" s="51"/>
      <c r="AO82" s="51" t="b">
        <f t="shared" si="65"/>
        <v>0</v>
      </c>
      <c r="AP82" s="51" t="str">
        <f t="shared" si="87"/>
        <v>Tier 1 MMS</v>
      </c>
      <c r="AQ82" s="51" t="b">
        <f t="shared" si="66"/>
        <v>0</v>
      </c>
      <c r="AR82" s="51" t="b">
        <f t="shared" si="67"/>
        <v>0</v>
      </c>
      <c r="AS82" s="51" t="str">
        <f t="shared" si="68"/>
        <v/>
      </c>
      <c r="AT82" s="51" t="b">
        <f t="shared" si="69"/>
        <v>0</v>
      </c>
      <c r="AU82" s="51" t="b">
        <f t="shared" si="70"/>
        <v>0</v>
      </c>
      <c r="AV82" s="51" t="str">
        <f t="shared" si="71"/>
        <v/>
      </c>
      <c r="AW82" s="51" t="str">
        <f t="shared" si="72"/>
        <v/>
      </c>
      <c r="AX82" s="51" t="str">
        <f t="shared" si="73"/>
        <v/>
      </c>
      <c r="AY82" s="51" t="str">
        <f t="shared" si="74"/>
        <v/>
      </c>
      <c r="AZ82" s="51" t="str">
        <f t="shared" si="75"/>
        <v/>
      </c>
      <c r="BA82" s="51" t="str">
        <f t="shared" si="76"/>
        <v/>
      </c>
      <c r="BB82" s="51" t="str">
        <f t="shared" si="77"/>
        <v/>
      </c>
      <c r="BC82" s="51" t="str">
        <f t="shared" si="78"/>
        <v/>
      </c>
      <c r="BD82" s="51" t="str">
        <f t="shared" si="79"/>
        <v/>
      </c>
      <c r="BE82" s="51" t="str">
        <f t="shared" si="80"/>
        <v/>
      </c>
      <c r="BF82" s="51" t="str">
        <f t="shared" si="81"/>
        <v/>
      </c>
      <c r="BG82" s="51" t="str">
        <f t="shared" si="82"/>
        <v/>
      </c>
      <c r="BH82" s="51" t="b">
        <f t="shared" si="83"/>
        <v>0</v>
      </c>
      <c r="BI82" s="51" t="str">
        <f t="shared" si="84"/>
        <v/>
      </c>
      <c r="BJ82" s="51" t="str">
        <f t="shared" si="85"/>
        <v/>
      </c>
      <c r="BK82" s="51" t="b">
        <f t="shared" si="86"/>
        <v>0</v>
      </c>
      <c r="BL82" s="192"/>
    </row>
    <row r="83" spans="1:64" ht="13.5" thickBot="1" x14ac:dyDescent="0.25">
      <c r="A83" s="185" t="s">
        <v>775</v>
      </c>
      <c r="B83" s="193" t="s">
        <v>694</v>
      </c>
      <c r="C83" s="194" t="s">
        <v>695</v>
      </c>
      <c r="D83" s="194" t="s">
        <v>695</v>
      </c>
      <c r="E83" s="193" t="s">
        <v>694</v>
      </c>
      <c r="F83" s="160" t="s">
        <v>20</v>
      </c>
      <c r="G83" s="161"/>
      <c r="H83" s="186" t="str">
        <f t="shared" si="44"/>
        <v>Used?</v>
      </c>
      <c r="I83" s="186" t="b">
        <f t="shared" si="45"/>
        <v>0</v>
      </c>
      <c r="J83" s="186" t="str">
        <f t="shared" si="46"/>
        <v>N/A</v>
      </c>
      <c r="K83" s="186" t="b">
        <f t="shared" si="47"/>
        <v>1</v>
      </c>
      <c r="L83" s="186" t="str">
        <f t="shared" si="48"/>
        <v>N/A</v>
      </c>
      <c r="M83" s="186" t="b">
        <f t="shared" si="49"/>
        <v>1</v>
      </c>
      <c r="N83" s="186" t="str">
        <f t="shared" si="50"/>
        <v>Used?</v>
      </c>
      <c r="O83" s="186" t="b">
        <f t="shared" si="51"/>
        <v>0</v>
      </c>
      <c r="P83" s="26" t="s">
        <v>696</v>
      </c>
      <c r="Q83" s="160" t="s">
        <v>20</v>
      </c>
      <c r="R83" s="160" t="s">
        <v>20</v>
      </c>
      <c r="S83" s="26" t="s">
        <v>697</v>
      </c>
      <c r="T83" s="165" t="str">
        <f t="shared" si="52"/>
        <v>Not Used</v>
      </c>
      <c r="U83" s="162"/>
      <c r="V83" s="55"/>
      <c r="W83" s="51" t="b">
        <f t="shared" si="53"/>
        <v>1</v>
      </c>
      <c r="X83" s="51" t="str">
        <f t="shared" si="54"/>
        <v>Not Used</v>
      </c>
      <c r="Y83" s="51" t="str">
        <f t="shared" si="55"/>
        <v>Not Used</v>
      </c>
      <c r="Z83" s="51" t="str">
        <f t="shared" si="56"/>
        <v>Not Used</v>
      </c>
      <c r="AA83" s="51" t="str">
        <f t="shared" si="56"/>
        <v>Not Used</v>
      </c>
      <c r="AB83" s="51" t="str">
        <f t="shared" si="57"/>
        <v>Not Used</v>
      </c>
      <c r="AC83" s="51" t="b">
        <f t="shared" si="58"/>
        <v>1</v>
      </c>
      <c r="AD83" s="51">
        <f>COUNTIF($X$5:$X$83, "Not Used")</f>
        <v>79</v>
      </c>
      <c r="AE83" s="51">
        <f>COUNTIF($X$5:$X$83, "TRUE")</f>
        <v>0</v>
      </c>
      <c r="AF83" s="51" t="b">
        <f t="shared" si="59"/>
        <v>1</v>
      </c>
      <c r="AI83" s="51" t="b">
        <f t="shared" si="60"/>
        <v>0</v>
      </c>
      <c r="AJ83" s="51" t="b">
        <f t="shared" si="61"/>
        <v>0</v>
      </c>
      <c r="AK83" s="51" t="b">
        <f t="shared" si="62"/>
        <v>0</v>
      </c>
      <c r="AL83" s="51" t="b">
        <f t="shared" si="63"/>
        <v>0</v>
      </c>
      <c r="AM83" s="51" t="b">
        <f t="shared" si="64"/>
        <v>0</v>
      </c>
      <c r="AN83" s="51"/>
      <c r="AO83" s="51" t="b">
        <f t="shared" si="65"/>
        <v>0</v>
      </c>
      <c r="AP83" s="51" t="str">
        <f t="shared" si="87"/>
        <v>Tier 1 MMS</v>
      </c>
      <c r="AQ83" s="51" t="b">
        <f t="shared" si="66"/>
        <v>0</v>
      </c>
      <c r="AR83" s="51" t="b">
        <f t="shared" si="67"/>
        <v>0</v>
      </c>
      <c r="AS83" s="51" t="str">
        <f t="shared" si="68"/>
        <v/>
      </c>
      <c r="AT83" s="51" t="b">
        <f t="shared" si="69"/>
        <v>0</v>
      </c>
      <c r="AU83" s="51" t="b">
        <f t="shared" si="70"/>
        <v>0</v>
      </c>
      <c r="AV83" s="51" t="str">
        <f t="shared" si="71"/>
        <v/>
      </c>
      <c r="AW83" s="51" t="str">
        <f t="shared" si="72"/>
        <v/>
      </c>
      <c r="AX83" s="51" t="str">
        <f t="shared" si="73"/>
        <v/>
      </c>
      <c r="AY83" s="51" t="str">
        <f t="shared" si="74"/>
        <v/>
      </c>
      <c r="AZ83" s="51" t="str">
        <f t="shared" si="75"/>
        <v/>
      </c>
      <c r="BA83" s="51" t="str">
        <f t="shared" si="76"/>
        <v/>
      </c>
      <c r="BB83" s="51" t="str">
        <f t="shared" si="77"/>
        <v/>
      </c>
      <c r="BC83" s="51" t="str">
        <f t="shared" si="78"/>
        <v/>
      </c>
      <c r="BD83" s="51" t="str">
        <f t="shared" si="79"/>
        <v/>
      </c>
      <c r="BE83" s="51" t="str">
        <f t="shared" si="80"/>
        <v/>
      </c>
      <c r="BF83" s="51" t="str">
        <f t="shared" si="81"/>
        <v/>
      </c>
      <c r="BG83" s="51" t="str">
        <f t="shared" si="82"/>
        <v/>
      </c>
      <c r="BH83" s="51" t="b">
        <f t="shared" si="83"/>
        <v>0</v>
      </c>
      <c r="BI83" s="51" t="str">
        <f t="shared" si="84"/>
        <v/>
      </c>
      <c r="BJ83" s="51" t="str">
        <f t="shared" si="85"/>
        <v/>
      </c>
      <c r="BK83" s="51" t="b">
        <f t="shared" si="86"/>
        <v>0</v>
      </c>
      <c r="BL83" s="192"/>
    </row>
    <row r="84" spans="1:64" ht="13.5" thickBot="1" x14ac:dyDescent="0.25">
      <c r="A84" s="185" t="s">
        <v>776</v>
      </c>
      <c r="B84" s="193" t="s">
        <v>694</v>
      </c>
      <c r="C84" s="194" t="s">
        <v>695</v>
      </c>
      <c r="D84" s="194" t="s">
        <v>695</v>
      </c>
      <c r="E84" s="193" t="s">
        <v>694</v>
      </c>
      <c r="F84" s="160" t="s">
        <v>20</v>
      </c>
      <c r="G84" s="161"/>
      <c r="H84" s="186" t="str">
        <f t="shared" si="44"/>
        <v>Used?</v>
      </c>
      <c r="I84" s="186" t="b">
        <f t="shared" si="45"/>
        <v>0</v>
      </c>
      <c r="J84" s="186" t="str">
        <f t="shared" si="46"/>
        <v>N/A</v>
      </c>
      <c r="K84" s="186" t="b">
        <f t="shared" si="47"/>
        <v>1</v>
      </c>
      <c r="L84" s="186" t="str">
        <f t="shared" si="48"/>
        <v>N/A</v>
      </c>
      <c r="M84" s="186" t="b">
        <f t="shared" si="49"/>
        <v>1</v>
      </c>
      <c r="N84" s="186" t="str">
        <f t="shared" si="50"/>
        <v>Used?</v>
      </c>
      <c r="O84" s="186" t="b">
        <f t="shared" si="51"/>
        <v>0</v>
      </c>
      <c r="P84" s="26" t="s">
        <v>696</v>
      </c>
      <c r="Q84" s="160" t="s">
        <v>20</v>
      </c>
      <c r="R84" s="160" t="s">
        <v>20</v>
      </c>
      <c r="S84" s="26" t="s">
        <v>697</v>
      </c>
      <c r="T84" s="165" t="str">
        <f t="shared" si="52"/>
        <v>Not Used</v>
      </c>
      <c r="U84" s="162"/>
      <c r="V84" s="55"/>
      <c r="W84" s="51" t="b">
        <f t="shared" si="53"/>
        <v>1</v>
      </c>
      <c r="X84" s="51" t="str">
        <f t="shared" si="54"/>
        <v>Not Used</v>
      </c>
      <c r="Y84" s="51" t="str">
        <f t="shared" si="55"/>
        <v>Not Used</v>
      </c>
      <c r="Z84" s="51" t="str">
        <f t="shared" si="56"/>
        <v>Not Used</v>
      </c>
      <c r="AA84" s="51" t="str">
        <f t="shared" si="56"/>
        <v>Not Used</v>
      </c>
      <c r="AB84" s="51" t="str">
        <f t="shared" si="57"/>
        <v>Not Used</v>
      </c>
      <c r="AC84" s="51" t="b">
        <f t="shared" si="58"/>
        <v>1</v>
      </c>
      <c r="AD84" s="51">
        <f>COUNTIF($X$5:$X$84, "Not Used")</f>
        <v>80</v>
      </c>
      <c r="AE84" s="51">
        <f>COUNTIF($X$5:$X$84, "TRUE")</f>
        <v>0</v>
      </c>
      <c r="AF84" s="51" t="b">
        <f t="shared" si="59"/>
        <v>1</v>
      </c>
      <c r="AI84" s="51" t="b">
        <f t="shared" si="60"/>
        <v>0</v>
      </c>
      <c r="AJ84" s="51" t="b">
        <f t="shared" si="61"/>
        <v>0</v>
      </c>
      <c r="AK84" s="51" t="b">
        <f t="shared" si="62"/>
        <v>0</v>
      </c>
      <c r="AL84" s="51" t="b">
        <f t="shared" si="63"/>
        <v>0</v>
      </c>
      <c r="AM84" s="51" t="b">
        <f t="shared" si="64"/>
        <v>0</v>
      </c>
      <c r="AN84" s="51"/>
      <c r="AO84" s="51" t="b">
        <f t="shared" si="65"/>
        <v>0</v>
      </c>
      <c r="AP84" s="51" t="str">
        <f t="shared" si="87"/>
        <v>Tier 1 MMS</v>
      </c>
      <c r="AQ84" s="51" t="b">
        <f t="shared" si="66"/>
        <v>0</v>
      </c>
      <c r="AR84" s="51" t="b">
        <f t="shared" si="67"/>
        <v>0</v>
      </c>
      <c r="AS84" s="51" t="str">
        <f t="shared" si="68"/>
        <v/>
      </c>
      <c r="AT84" s="51" t="b">
        <f t="shared" si="69"/>
        <v>0</v>
      </c>
      <c r="AU84" s="51" t="b">
        <f t="shared" si="70"/>
        <v>0</v>
      </c>
      <c r="AV84" s="51" t="str">
        <f t="shared" si="71"/>
        <v/>
      </c>
      <c r="AW84" s="51" t="str">
        <f t="shared" si="72"/>
        <v/>
      </c>
      <c r="AX84" s="51" t="str">
        <f t="shared" si="73"/>
        <v/>
      </c>
      <c r="AY84" s="51" t="str">
        <f t="shared" si="74"/>
        <v/>
      </c>
      <c r="AZ84" s="51" t="str">
        <f t="shared" si="75"/>
        <v/>
      </c>
      <c r="BA84" s="51" t="str">
        <f t="shared" si="76"/>
        <v/>
      </c>
      <c r="BB84" s="51" t="str">
        <f t="shared" si="77"/>
        <v/>
      </c>
      <c r="BC84" s="51" t="str">
        <f t="shared" si="78"/>
        <v/>
      </c>
      <c r="BD84" s="51" t="str">
        <f t="shared" si="79"/>
        <v/>
      </c>
      <c r="BE84" s="51" t="str">
        <f t="shared" si="80"/>
        <v/>
      </c>
      <c r="BF84" s="51" t="str">
        <f t="shared" si="81"/>
        <v/>
      </c>
      <c r="BG84" s="51" t="str">
        <f t="shared" si="82"/>
        <v/>
      </c>
      <c r="BH84" s="51" t="b">
        <f t="shared" si="83"/>
        <v>0</v>
      </c>
      <c r="BI84" s="51" t="str">
        <f t="shared" si="84"/>
        <v/>
      </c>
      <c r="BJ84" s="51" t="str">
        <f t="shared" si="85"/>
        <v/>
      </c>
      <c r="BK84" s="51" t="b">
        <f t="shared" si="86"/>
        <v>0</v>
      </c>
      <c r="BL84" s="192"/>
    </row>
    <row r="85" spans="1:64" ht="13.5" thickBot="1" x14ac:dyDescent="0.25">
      <c r="A85" s="185" t="s">
        <v>777</v>
      </c>
      <c r="B85" s="193" t="s">
        <v>694</v>
      </c>
      <c r="C85" s="193" t="s">
        <v>694</v>
      </c>
      <c r="D85" s="194" t="s">
        <v>695</v>
      </c>
      <c r="E85" s="193" t="s">
        <v>694</v>
      </c>
      <c r="F85" s="160" t="s">
        <v>20</v>
      </c>
      <c r="G85" s="161"/>
      <c r="H85" s="186" t="str">
        <f t="shared" si="44"/>
        <v>Used?</v>
      </c>
      <c r="I85" s="186" t="b">
        <f t="shared" si="45"/>
        <v>0</v>
      </c>
      <c r="J85" s="186" t="str">
        <f t="shared" si="46"/>
        <v>Used?</v>
      </c>
      <c r="K85" s="186" t="b">
        <f t="shared" si="47"/>
        <v>0</v>
      </c>
      <c r="L85" s="186" t="str">
        <f t="shared" si="48"/>
        <v>N/A</v>
      </c>
      <c r="M85" s="186" t="b">
        <f t="shared" si="49"/>
        <v>1</v>
      </c>
      <c r="N85" s="186" t="str">
        <f t="shared" si="50"/>
        <v>Used?</v>
      </c>
      <c r="O85" s="186" t="b">
        <f t="shared" si="51"/>
        <v>0</v>
      </c>
      <c r="P85" s="26" t="s">
        <v>696</v>
      </c>
      <c r="Q85" s="160" t="s">
        <v>20</v>
      </c>
      <c r="R85" s="160" t="s">
        <v>20</v>
      </c>
      <c r="S85" s="26" t="s">
        <v>697</v>
      </c>
      <c r="T85" s="165" t="str">
        <f t="shared" si="52"/>
        <v>Not Used</v>
      </c>
      <c r="U85" s="162"/>
      <c r="V85" s="55"/>
      <c r="W85" s="51" t="b">
        <f t="shared" si="53"/>
        <v>1</v>
      </c>
      <c r="X85" s="51" t="str">
        <f t="shared" si="54"/>
        <v>Not Used</v>
      </c>
      <c r="Y85" s="51" t="str">
        <f t="shared" si="55"/>
        <v>Not Used</v>
      </c>
      <c r="Z85" s="51" t="str">
        <f t="shared" si="56"/>
        <v>Not Used</v>
      </c>
      <c r="AA85" s="51" t="str">
        <f t="shared" si="56"/>
        <v>Not Used</v>
      </c>
      <c r="AB85" s="51" t="str">
        <f t="shared" si="57"/>
        <v>Not Used</v>
      </c>
      <c r="AC85" s="51" t="b">
        <f t="shared" si="58"/>
        <v>1</v>
      </c>
      <c r="AD85" s="51">
        <f>COUNTIF($X$5:$X$85, "Not Used")</f>
        <v>81</v>
      </c>
      <c r="AE85" s="51">
        <f>COUNTIF($X$5:$X$85, "TRUE")</f>
        <v>0</v>
      </c>
      <c r="AF85" s="51" t="b">
        <f t="shared" si="59"/>
        <v>1</v>
      </c>
      <c r="AI85" s="51" t="b">
        <f t="shared" si="60"/>
        <v>0</v>
      </c>
      <c r="AJ85" s="51" t="b">
        <f t="shared" si="61"/>
        <v>0</v>
      </c>
      <c r="AK85" s="51" t="b">
        <f t="shared" si="62"/>
        <v>0</v>
      </c>
      <c r="AL85" s="51" t="b">
        <f t="shared" si="63"/>
        <v>0</v>
      </c>
      <c r="AM85" s="51" t="b">
        <f t="shared" si="64"/>
        <v>0</v>
      </c>
      <c r="AN85" s="51"/>
      <c r="AO85" s="51" t="b">
        <f t="shared" si="65"/>
        <v>0</v>
      </c>
      <c r="AP85" s="51" t="str">
        <f t="shared" si="87"/>
        <v>Tier 1 MMS, Tier 1 Sub MMS</v>
      </c>
      <c r="AQ85" s="51" t="b">
        <f t="shared" si="66"/>
        <v>0</v>
      </c>
      <c r="AR85" s="51" t="b">
        <f t="shared" si="67"/>
        <v>0</v>
      </c>
      <c r="AS85" s="51" t="b">
        <f t="shared" si="68"/>
        <v>0</v>
      </c>
      <c r="AT85" s="51" t="b">
        <f t="shared" si="69"/>
        <v>0</v>
      </c>
      <c r="AU85" s="51" t="b">
        <f t="shared" si="70"/>
        <v>0</v>
      </c>
      <c r="AV85" s="51" t="str">
        <f t="shared" si="71"/>
        <v/>
      </c>
      <c r="AW85" s="51" t="str">
        <f t="shared" si="72"/>
        <v/>
      </c>
      <c r="AX85" s="51" t="str">
        <f t="shared" si="73"/>
        <v/>
      </c>
      <c r="AY85" s="51" t="str">
        <f t="shared" si="74"/>
        <v/>
      </c>
      <c r="AZ85" s="51" t="str">
        <f t="shared" si="75"/>
        <v/>
      </c>
      <c r="BA85" s="51" t="str">
        <f t="shared" si="76"/>
        <v/>
      </c>
      <c r="BB85" s="51" t="str">
        <f t="shared" si="77"/>
        <v/>
      </c>
      <c r="BC85" s="51" t="str">
        <f t="shared" si="78"/>
        <v/>
      </c>
      <c r="BD85" s="51" t="str">
        <f t="shared" si="79"/>
        <v/>
      </c>
      <c r="BE85" s="51" t="str">
        <f t="shared" si="80"/>
        <v/>
      </c>
      <c r="BF85" s="51" t="str">
        <f t="shared" si="81"/>
        <v/>
      </c>
      <c r="BG85" s="51" t="str">
        <f t="shared" si="82"/>
        <v/>
      </c>
      <c r="BH85" s="51" t="b">
        <f t="shared" si="83"/>
        <v>0</v>
      </c>
      <c r="BI85" s="51" t="str">
        <f t="shared" si="84"/>
        <v/>
      </c>
      <c r="BJ85" s="51" t="str">
        <f t="shared" si="85"/>
        <v/>
      </c>
      <c r="BK85" s="51" t="b">
        <f t="shared" si="86"/>
        <v>0</v>
      </c>
      <c r="BL85" s="192"/>
    </row>
    <row r="86" spans="1:64" ht="13.5" thickBot="1" x14ac:dyDescent="0.25">
      <c r="A86" s="185" t="s">
        <v>778</v>
      </c>
      <c r="B86" s="193" t="s">
        <v>694</v>
      </c>
      <c r="C86" s="194" t="s">
        <v>695</v>
      </c>
      <c r="D86" s="194" t="s">
        <v>695</v>
      </c>
      <c r="E86" s="193" t="s">
        <v>694</v>
      </c>
      <c r="F86" s="160" t="s">
        <v>20</v>
      </c>
      <c r="G86" s="161"/>
      <c r="H86" s="186" t="str">
        <f t="shared" si="44"/>
        <v>Used?</v>
      </c>
      <c r="I86" s="186" t="b">
        <f t="shared" si="45"/>
        <v>0</v>
      </c>
      <c r="J86" s="186" t="str">
        <f t="shared" si="46"/>
        <v>N/A</v>
      </c>
      <c r="K86" s="186" t="b">
        <f t="shared" si="47"/>
        <v>1</v>
      </c>
      <c r="L86" s="186" t="str">
        <f t="shared" si="48"/>
        <v>N/A</v>
      </c>
      <c r="M86" s="186" t="b">
        <f t="shared" si="49"/>
        <v>1</v>
      </c>
      <c r="N86" s="186" t="str">
        <f t="shared" si="50"/>
        <v>Used?</v>
      </c>
      <c r="O86" s="186" t="b">
        <f t="shared" si="51"/>
        <v>0</v>
      </c>
      <c r="P86" s="26" t="s">
        <v>696</v>
      </c>
      <c r="Q86" s="160" t="s">
        <v>20</v>
      </c>
      <c r="R86" s="160" t="s">
        <v>20</v>
      </c>
      <c r="S86" s="26" t="s">
        <v>697</v>
      </c>
      <c r="T86" s="165" t="str">
        <f t="shared" si="52"/>
        <v>Not Used</v>
      </c>
      <c r="U86" s="162"/>
      <c r="V86" s="55"/>
      <c r="W86" s="51" t="b">
        <f t="shared" si="53"/>
        <v>1</v>
      </c>
      <c r="X86" s="51" t="str">
        <f t="shared" si="54"/>
        <v>Not Used</v>
      </c>
      <c r="Y86" s="51" t="str">
        <f t="shared" si="55"/>
        <v>Not Used</v>
      </c>
      <c r="Z86" s="51" t="str">
        <f t="shared" si="56"/>
        <v>Not Used</v>
      </c>
      <c r="AA86" s="51" t="str">
        <f t="shared" si="56"/>
        <v>Not Used</v>
      </c>
      <c r="AB86" s="51" t="str">
        <f t="shared" si="57"/>
        <v>Not Used</v>
      </c>
      <c r="AC86" s="51" t="b">
        <f t="shared" si="58"/>
        <v>1</v>
      </c>
      <c r="AD86" s="51">
        <f>COUNTIF($X$5:$X$86, "Not Used")</f>
        <v>82</v>
      </c>
      <c r="AE86" s="51">
        <f>COUNTIF($X$5:$X$86, "TRUE")</f>
        <v>0</v>
      </c>
      <c r="AF86" s="51" t="b">
        <f t="shared" si="59"/>
        <v>1</v>
      </c>
      <c r="AI86" s="51" t="b">
        <f t="shared" si="60"/>
        <v>0</v>
      </c>
      <c r="AJ86" s="51" t="b">
        <f t="shared" si="61"/>
        <v>0</v>
      </c>
      <c r="AK86" s="51" t="b">
        <f t="shared" si="62"/>
        <v>0</v>
      </c>
      <c r="AL86" s="51" t="b">
        <f t="shared" si="63"/>
        <v>0</v>
      </c>
      <c r="AM86" s="51" t="b">
        <f t="shared" si="64"/>
        <v>0</v>
      </c>
      <c r="AN86" s="51"/>
      <c r="AO86" s="51" t="b">
        <f t="shared" si="65"/>
        <v>0</v>
      </c>
      <c r="AP86" s="51" t="str">
        <f t="shared" si="87"/>
        <v>Tier 1 MMS</v>
      </c>
      <c r="AQ86" s="51" t="b">
        <f t="shared" si="66"/>
        <v>0</v>
      </c>
      <c r="AR86" s="51" t="b">
        <f t="shared" si="67"/>
        <v>0</v>
      </c>
      <c r="AS86" s="51" t="str">
        <f t="shared" si="68"/>
        <v/>
      </c>
      <c r="AT86" s="51" t="b">
        <f t="shared" si="69"/>
        <v>0</v>
      </c>
      <c r="AU86" s="51" t="b">
        <f t="shared" si="70"/>
        <v>0</v>
      </c>
      <c r="AV86" s="51" t="str">
        <f t="shared" si="71"/>
        <v/>
      </c>
      <c r="AW86" s="51" t="str">
        <f t="shared" si="72"/>
        <v/>
      </c>
      <c r="AX86" s="51" t="str">
        <f t="shared" si="73"/>
        <v/>
      </c>
      <c r="AY86" s="51" t="str">
        <f t="shared" si="74"/>
        <v/>
      </c>
      <c r="AZ86" s="51" t="str">
        <f t="shared" si="75"/>
        <v/>
      </c>
      <c r="BA86" s="51" t="str">
        <f t="shared" si="76"/>
        <v/>
      </c>
      <c r="BB86" s="51" t="str">
        <f t="shared" si="77"/>
        <v/>
      </c>
      <c r="BC86" s="51" t="str">
        <f t="shared" si="78"/>
        <v/>
      </c>
      <c r="BD86" s="51" t="str">
        <f t="shared" si="79"/>
        <v/>
      </c>
      <c r="BE86" s="51" t="str">
        <f t="shared" si="80"/>
        <v/>
      </c>
      <c r="BF86" s="51" t="str">
        <f t="shared" si="81"/>
        <v/>
      </c>
      <c r="BG86" s="51" t="str">
        <f t="shared" si="82"/>
        <v/>
      </c>
      <c r="BH86" s="51" t="b">
        <f t="shared" si="83"/>
        <v>0</v>
      </c>
      <c r="BI86" s="51" t="str">
        <f t="shared" si="84"/>
        <v/>
      </c>
      <c r="BJ86" s="51" t="str">
        <f t="shared" si="85"/>
        <v/>
      </c>
      <c r="BK86" s="51" t="b">
        <f t="shared" si="86"/>
        <v>0</v>
      </c>
      <c r="BL86" s="192"/>
    </row>
    <row r="87" spans="1:64" ht="13.5" thickBot="1" x14ac:dyDescent="0.25">
      <c r="A87" s="185" t="s">
        <v>779</v>
      </c>
      <c r="B87" s="193" t="s">
        <v>694</v>
      </c>
      <c r="C87" s="194" t="s">
        <v>695</v>
      </c>
      <c r="D87" s="194" t="s">
        <v>695</v>
      </c>
      <c r="E87" s="193" t="s">
        <v>694</v>
      </c>
      <c r="F87" s="160" t="s">
        <v>20</v>
      </c>
      <c r="G87" s="161"/>
      <c r="H87" s="186" t="str">
        <f t="shared" si="44"/>
        <v>Used?</v>
      </c>
      <c r="I87" s="186" t="b">
        <f t="shared" si="45"/>
        <v>0</v>
      </c>
      <c r="J87" s="186" t="str">
        <f t="shared" si="46"/>
        <v>N/A</v>
      </c>
      <c r="K87" s="186" t="b">
        <f t="shared" si="47"/>
        <v>1</v>
      </c>
      <c r="L87" s="186" t="str">
        <f t="shared" si="48"/>
        <v>N/A</v>
      </c>
      <c r="M87" s="186" t="b">
        <f t="shared" si="49"/>
        <v>1</v>
      </c>
      <c r="N87" s="186" t="str">
        <f t="shared" si="50"/>
        <v>Used?</v>
      </c>
      <c r="O87" s="186" t="b">
        <f t="shared" si="51"/>
        <v>0</v>
      </c>
      <c r="P87" s="26" t="s">
        <v>696</v>
      </c>
      <c r="Q87" s="160" t="s">
        <v>20</v>
      </c>
      <c r="R87" s="160" t="s">
        <v>20</v>
      </c>
      <c r="S87" s="26" t="s">
        <v>697</v>
      </c>
      <c r="T87" s="165" t="str">
        <f t="shared" si="52"/>
        <v>Not Used</v>
      </c>
      <c r="U87" s="162"/>
      <c r="V87" s="55"/>
      <c r="W87" s="51" t="b">
        <f t="shared" si="53"/>
        <v>1</v>
      </c>
      <c r="X87" s="51" t="str">
        <f t="shared" si="54"/>
        <v>Not Used</v>
      </c>
      <c r="Y87" s="51" t="str">
        <f t="shared" si="55"/>
        <v>Not Used</v>
      </c>
      <c r="Z87" s="51" t="str">
        <f t="shared" si="56"/>
        <v>Not Used</v>
      </c>
      <c r="AA87" s="51" t="str">
        <f t="shared" si="56"/>
        <v>Not Used</v>
      </c>
      <c r="AB87" s="51" t="str">
        <f t="shared" si="57"/>
        <v>Not Used</v>
      </c>
      <c r="AC87" s="51" t="b">
        <f t="shared" si="58"/>
        <v>1</v>
      </c>
      <c r="AD87" s="51">
        <f>COUNTIF($X$5:$X$87, "Not Used")</f>
        <v>83</v>
      </c>
      <c r="AE87" s="51">
        <f>COUNTIF($X$5:$X$87, "TRUE")</f>
        <v>0</v>
      </c>
      <c r="AF87" s="51" t="b">
        <f t="shared" si="59"/>
        <v>1</v>
      </c>
      <c r="AI87" s="51" t="b">
        <f t="shared" si="60"/>
        <v>0</v>
      </c>
      <c r="AJ87" s="51" t="b">
        <f t="shared" si="61"/>
        <v>0</v>
      </c>
      <c r="AK87" s="51" t="b">
        <f t="shared" si="62"/>
        <v>0</v>
      </c>
      <c r="AL87" s="51" t="b">
        <f t="shared" si="63"/>
        <v>0</v>
      </c>
      <c r="AM87" s="51" t="b">
        <f t="shared" si="64"/>
        <v>0</v>
      </c>
      <c r="AN87" s="51"/>
      <c r="AO87" s="51" t="b">
        <f t="shared" si="65"/>
        <v>0</v>
      </c>
      <c r="AP87" s="51" t="str">
        <f t="shared" si="87"/>
        <v>Tier 1 MMS</v>
      </c>
      <c r="AQ87" s="51" t="b">
        <f t="shared" si="66"/>
        <v>0</v>
      </c>
      <c r="AR87" s="51" t="b">
        <f t="shared" si="67"/>
        <v>0</v>
      </c>
      <c r="AS87" s="51" t="str">
        <f t="shared" si="68"/>
        <v/>
      </c>
      <c r="AT87" s="51" t="b">
        <f t="shared" si="69"/>
        <v>0</v>
      </c>
      <c r="AU87" s="51" t="b">
        <f t="shared" si="70"/>
        <v>0</v>
      </c>
      <c r="AV87" s="51" t="str">
        <f t="shared" si="71"/>
        <v/>
      </c>
      <c r="AW87" s="51" t="str">
        <f t="shared" si="72"/>
        <v/>
      </c>
      <c r="AX87" s="51" t="str">
        <f t="shared" si="73"/>
        <v/>
      </c>
      <c r="AY87" s="51" t="str">
        <f t="shared" si="74"/>
        <v/>
      </c>
      <c r="AZ87" s="51" t="str">
        <f t="shared" si="75"/>
        <v/>
      </c>
      <c r="BA87" s="51" t="str">
        <f t="shared" si="76"/>
        <v/>
      </c>
      <c r="BB87" s="51" t="str">
        <f t="shared" si="77"/>
        <v/>
      </c>
      <c r="BC87" s="51" t="str">
        <f t="shared" si="78"/>
        <v/>
      </c>
      <c r="BD87" s="51" t="str">
        <f t="shared" si="79"/>
        <v/>
      </c>
      <c r="BE87" s="51" t="str">
        <f t="shared" si="80"/>
        <v/>
      </c>
      <c r="BF87" s="51" t="str">
        <f t="shared" si="81"/>
        <v/>
      </c>
      <c r="BG87" s="51" t="str">
        <f t="shared" si="82"/>
        <v/>
      </c>
      <c r="BH87" s="51" t="b">
        <f t="shared" si="83"/>
        <v>0</v>
      </c>
      <c r="BI87" s="51" t="str">
        <f t="shared" si="84"/>
        <v/>
      </c>
      <c r="BJ87" s="51" t="str">
        <f t="shared" si="85"/>
        <v/>
      </c>
      <c r="BK87" s="51" t="b">
        <f t="shared" si="86"/>
        <v>0</v>
      </c>
      <c r="BL87" s="192"/>
    </row>
    <row r="88" spans="1:64" ht="13.5" thickBot="1" x14ac:dyDescent="0.25">
      <c r="A88" s="185" t="s">
        <v>780</v>
      </c>
      <c r="B88" s="193" t="s">
        <v>694</v>
      </c>
      <c r="C88" s="194" t="s">
        <v>695</v>
      </c>
      <c r="D88" s="194" t="s">
        <v>695</v>
      </c>
      <c r="E88" s="193" t="s">
        <v>694</v>
      </c>
      <c r="F88" s="160" t="s">
        <v>20</v>
      </c>
      <c r="G88" s="161"/>
      <c r="H88" s="186" t="str">
        <f t="shared" si="44"/>
        <v>Used?</v>
      </c>
      <c r="I88" s="186" t="b">
        <f t="shared" si="45"/>
        <v>0</v>
      </c>
      <c r="J88" s="186" t="str">
        <f t="shared" si="46"/>
        <v>N/A</v>
      </c>
      <c r="K88" s="186" t="b">
        <f t="shared" si="47"/>
        <v>1</v>
      </c>
      <c r="L88" s="186" t="str">
        <f t="shared" si="48"/>
        <v>N/A</v>
      </c>
      <c r="M88" s="186" t="b">
        <f t="shared" si="49"/>
        <v>1</v>
      </c>
      <c r="N88" s="186" t="str">
        <f t="shared" si="50"/>
        <v>Used?</v>
      </c>
      <c r="O88" s="186" t="b">
        <f t="shared" si="51"/>
        <v>0</v>
      </c>
      <c r="P88" s="26" t="s">
        <v>696</v>
      </c>
      <c r="Q88" s="160" t="s">
        <v>20</v>
      </c>
      <c r="R88" s="160" t="s">
        <v>20</v>
      </c>
      <c r="S88" s="26" t="s">
        <v>697</v>
      </c>
      <c r="T88" s="165" t="str">
        <f t="shared" si="52"/>
        <v>Not Used</v>
      </c>
      <c r="U88" s="162"/>
      <c r="V88" s="55"/>
      <c r="W88" s="51" t="b">
        <f t="shared" si="53"/>
        <v>1</v>
      </c>
      <c r="X88" s="51" t="str">
        <f t="shared" si="54"/>
        <v>Not Used</v>
      </c>
      <c r="Y88" s="51" t="str">
        <f t="shared" si="55"/>
        <v>Not Used</v>
      </c>
      <c r="Z88" s="51" t="str">
        <f t="shared" si="56"/>
        <v>Not Used</v>
      </c>
      <c r="AA88" s="51" t="str">
        <f t="shared" si="56"/>
        <v>Not Used</v>
      </c>
      <c r="AB88" s="51" t="str">
        <f t="shared" si="57"/>
        <v>Not Used</v>
      </c>
      <c r="AC88" s="51" t="b">
        <f t="shared" si="58"/>
        <v>1</v>
      </c>
      <c r="AD88" s="51">
        <f>COUNTIF($X$5:$X$88, "Not Used")</f>
        <v>84</v>
      </c>
      <c r="AE88" s="51">
        <f>COUNTIF($X$5:$X$88, "TRUE")</f>
        <v>0</v>
      </c>
      <c r="AF88" s="51" t="b">
        <f t="shared" si="59"/>
        <v>1</v>
      </c>
      <c r="AI88" s="51" t="b">
        <f t="shared" si="60"/>
        <v>0</v>
      </c>
      <c r="AJ88" s="51" t="b">
        <f t="shared" si="61"/>
        <v>0</v>
      </c>
      <c r="AK88" s="51" t="b">
        <f t="shared" si="62"/>
        <v>0</v>
      </c>
      <c r="AL88" s="51" t="b">
        <f t="shared" si="63"/>
        <v>0</v>
      </c>
      <c r="AM88" s="51" t="b">
        <f t="shared" si="64"/>
        <v>0</v>
      </c>
      <c r="AN88" s="51"/>
      <c r="AO88" s="51" t="b">
        <f t="shared" si="65"/>
        <v>0</v>
      </c>
      <c r="AP88" s="51" t="str">
        <f t="shared" si="87"/>
        <v>Tier 1 MMS</v>
      </c>
      <c r="AQ88" s="51" t="b">
        <f t="shared" si="66"/>
        <v>0</v>
      </c>
      <c r="AR88" s="51" t="b">
        <f t="shared" si="67"/>
        <v>0</v>
      </c>
      <c r="AS88" s="51" t="str">
        <f t="shared" si="68"/>
        <v/>
      </c>
      <c r="AT88" s="51" t="b">
        <f t="shared" si="69"/>
        <v>0</v>
      </c>
      <c r="AU88" s="51" t="b">
        <f t="shared" si="70"/>
        <v>0</v>
      </c>
      <c r="AV88" s="51" t="str">
        <f t="shared" si="71"/>
        <v/>
      </c>
      <c r="AW88" s="51" t="str">
        <f t="shared" si="72"/>
        <v/>
      </c>
      <c r="AX88" s="51" t="str">
        <f t="shared" si="73"/>
        <v/>
      </c>
      <c r="AY88" s="51" t="str">
        <f t="shared" si="74"/>
        <v/>
      </c>
      <c r="AZ88" s="51" t="str">
        <f t="shared" si="75"/>
        <v/>
      </c>
      <c r="BA88" s="51" t="str">
        <f t="shared" si="76"/>
        <v/>
      </c>
      <c r="BB88" s="51" t="str">
        <f t="shared" si="77"/>
        <v/>
      </c>
      <c r="BC88" s="51" t="str">
        <f t="shared" si="78"/>
        <v/>
      </c>
      <c r="BD88" s="51" t="str">
        <f t="shared" si="79"/>
        <v/>
      </c>
      <c r="BE88" s="51" t="str">
        <f t="shared" si="80"/>
        <v/>
      </c>
      <c r="BF88" s="51" t="str">
        <f t="shared" si="81"/>
        <v/>
      </c>
      <c r="BG88" s="51" t="str">
        <f t="shared" si="82"/>
        <v/>
      </c>
      <c r="BH88" s="51" t="b">
        <f t="shared" si="83"/>
        <v>0</v>
      </c>
      <c r="BI88" s="51" t="str">
        <f t="shared" si="84"/>
        <v/>
      </c>
      <c r="BJ88" s="51" t="str">
        <f t="shared" si="85"/>
        <v/>
      </c>
      <c r="BK88" s="51" t="b">
        <f t="shared" si="86"/>
        <v>0</v>
      </c>
      <c r="BL88" s="192"/>
    </row>
    <row r="89" spans="1:64" ht="13.5" thickBot="1" x14ac:dyDescent="0.25">
      <c r="A89" s="185" t="s">
        <v>781</v>
      </c>
      <c r="B89" s="193" t="s">
        <v>694</v>
      </c>
      <c r="C89" s="194" t="s">
        <v>695</v>
      </c>
      <c r="D89" s="194" t="s">
        <v>695</v>
      </c>
      <c r="E89" s="193" t="s">
        <v>694</v>
      </c>
      <c r="F89" s="160" t="s">
        <v>20</v>
      </c>
      <c r="G89" s="161"/>
      <c r="H89" s="186" t="str">
        <f t="shared" si="44"/>
        <v>Used?</v>
      </c>
      <c r="I89" s="186" t="b">
        <f t="shared" si="45"/>
        <v>0</v>
      </c>
      <c r="J89" s="186" t="str">
        <f t="shared" si="46"/>
        <v>N/A</v>
      </c>
      <c r="K89" s="186" t="b">
        <f t="shared" si="47"/>
        <v>1</v>
      </c>
      <c r="L89" s="186" t="str">
        <f t="shared" si="48"/>
        <v>N/A</v>
      </c>
      <c r="M89" s="186" t="b">
        <f t="shared" si="49"/>
        <v>1</v>
      </c>
      <c r="N89" s="186" t="str">
        <f t="shared" si="50"/>
        <v>Used?</v>
      </c>
      <c r="O89" s="186" t="b">
        <f t="shared" si="51"/>
        <v>0</v>
      </c>
      <c r="P89" s="26" t="s">
        <v>696</v>
      </c>
      <c r="Q89" s="160" t="s">
        <v>20</v>
      </c>
      <c r="R89" s="160" t="s">
        <v>20</v>
      </c>
      <c r="S89" s="26" t="s">
        <v>697</v>
      </c>
      <c r="T89" s="165" t="str">
        <f t="shared" si="52"/>
        <v>Not Used</v>
      </c>
      <c r="U89" s="162"/>
      <c r="V89" s="55"/>
      <c r="W89" s="51" t="b">
        <f t="shared" si="53"/>
        <v>1</v>
      </c>
      <c r="X89" s="51" t="str">
        <f t="shared" si="54"/>
        <v>Not Used</v>
      </c>
      <c r="Y89" s="51" t="str">
        <f t="shared" si="55"/>
        <v>Not Used</v>
      </c>
      <c r="Z89" s="51" t="str">
        <f t="shared" si="56"/>
        <v>Not Used</v>
      </c>
      <c r="AA89" s="51" t="str">
        <f t="shared" si="56"/>
        <v>Not Used</v>
      </c>
      <c r="AB89" s="51" t="str">
        <f t="shared" si="57"/>
        <v>Not Used</v>
      </c>
      <c r="AC89" s="51" t="b">
        <f t="shared" si="58"/>
        <v>1</v>
      </c>
      <c r="AD89" s="51">
        <f>COUNTIF($X$5:$X$89, "Not Used")</f>
        <v>85</v>
      </c>
      <c r="AE89" s="51">
        <f>COUNTIF($X$5:$X$89, "TRUE")</f>
        <v>0</v>
      </c>
      <c r="AF89" s="51" t="b">
        <f t="shared" si="59"/>
        <v>1</v>
      </c>
      <c r="AI89" s="51" t="b">
        <f t="shared" si="60"/>
        <v>0</v>
      </c>
      <c r="AJ89" s="51" t="b">
        <f t="shared" si="61"/>
        <v>0</v>
      </c>
      <c r="AK89" s="51" t="b">
        <f t="shared" si="62"/>
        <v>0</v>
      </c>
      <c r="AL89" s="51" t="b">
        <f t="shared" si="63"/>
        <v>0</v>
      </c>
      <c r="AM89" s="51" t="b">
        <f t="shared" si="64"/>
        <v>0</v>
      </c>
      <c r="AN89" s="51"/>
      <c r="AO89" s="51" t="b">
        <f t="shared" si="65"/>
        <v>0</v>
      </c>
      <c r="AP89" s="51" t="str">
        <f t="shared" si="87"/>
        <v>Tier 1 MMS</v>
      </c>
      <c r="AQ89" s="51" t="b">
        <f t="shared" si="66"/>
        <v>0</v>
      </c>
      <c r="AR89" s="51" t="b">
        <f t="shared" si="67"/>
        <v>0</v>
      </c>
      <c r="AS89" s="51" t="str">
        <f t="shared" si="68"/>
        <v/>
      </c>
      <c r="AT89" s="51" t="b">
        <f t="shared" si="69"/>
        <v>0</v>
      </c>
      <c r="AU89" s="51" t="b">
        <f t="shared" si="70"/>
        <v>0</v>
      </c>
      <c r="AV89" s="51" t="str">
        <f t="shared" si="71"/>
        <v/>
      </c>
      <c r="AW89" s="51" t="str">
        <f t="shared" si="72"/>
        <v/>
      </c>
      <c r="AX89" s="51" t="str">
        <f t="shared" si="73"/>
        <v/>
      </c>
      <c r="AY89" s="51" t="str">
        <f t="shared" si="74"/>
        <v/>
      </c>
      <c r="AZ89" s="51" t="str">
        <f t="shared" si="75"/>
        <v/>
      </c>
      <c r="BA89" s="51" t="str">
        <f t="shared" si="76"/>
        <v/>
      </c>
      <c r="BB89" s="51" t="str">
        <f t="shared" si="77"/>
        <v/>
      </c>
      <c r="BC89" s="51" t="str">
        <f t="shared" si="78"/>
        <v/>
      </c>
      <c r="BD89" s="51" t="str">
        <f t="shared" si="79"/>
        <v/>
      </c>
      <c r="BE89" s="51" t="str">
        <f t="shared" si="80"/>
        <v/>
      </c>
      <c r="BF89" s="51" t="str">
        <f t="shared" si="81"/>
        <v/>
      </c>
      <c r="BG89" s="51" t="str">
        <f t="shared" si="82"/>
        <v/>
      </c>
      <c r="BH89" s="51" t="b">
        <f t="shared" si="83"/>
        <v>0</v>
      </c>
      <c r="BI89" s="51" t="str">
        <f t="shared" si="84"/>
        <v/>
      </c>
      <c r="BJ89" s="51" t="str">
        <f t="shared" si="85"/>
        <v/>
      </c>
      <c r="BK89" s="51" t="b">
        <f t="shared" si="86"/>
        <v>0</v>
      </c>
      <c r="BL89" s="192"/>
    </row>
    <row r="90" spans="1:64" ht="13.5" thickBot="1" x14ac:dyDescent="0.25">
      <c r="A90" s="185" t="s">
        <v>782</v>
      </c>
      <c r="B90" s="193" t="s">
        <v>694</v>
      </c>
      <c r="C90" s="194" t="s">
        <v>695</v>
      </c>
      <c r="D90" s="194" t="s">
        <v>695</v>
      </c>
      <c r="E90" s="193" t="s">
        <v>694</v>
      </c>
      <c r="F90" s="160" t="s">
        <v>20</v>
      </c>
      <c r="G90" s="161"/>
      <c r="H90" s="186" t="str">
        <f t="shared" si="44"/>
        <v>Used?</v>
      </c>
      <c r="I90" s="186" t="b">
        <f t="shared" si="45"/>
        <v>0</v>
      </c>
      <c r="J90" s="186" t="str">
        <f t="shared" si="46"/>
        <v>N/A</v>
      </c>
      <c r="K90" s="186" t="b">
        <f t="shared" si="47"/>
        <v>1</v>
      </c>
      <c r="L90" s="186" t="str">
        <f t="shared" si="48"/>
        <v>N/A</v>
      </c>
      <c r="M90" s="186" t="b">
        <f t="shared" si="49"/>
        <v>1</v>
      </c>
      <c r="N90" s="186" t="str">
        <f t="shared" si="50"/>
        <v>Used?</v>
      </c>
      <c r="O90" s="186" t="b">
        <f t="shared" si="51"/>
        <v>0</v>
      </c>
      <c r="P90" s="26" t="s">
        <v>696</v>
      </c>
      <c r="Q90" s="160" t="s">
        <v>20</v>
      </c>
      <c r="R90" s="160" t="s">
        <v>20</v>
      </c>
      <c r="S90" s="26" t="s">
        <v>697</v>
      </c>
      <c r="T90" s="165" t="str">
        <f t="shared" si="52"/>
        <v>Not Used</v>
      </c>
      <c r="U90" s="162"/>
      <c r="V90" s="55"/>
      <c r="W90" s="51" t="b">
        <f t="shared" si="53"/>
        <v>1</v>
      </c>
      <c r="X90" s="51" t="str">
        <f t="shared" si="54"/>
        <v>Not Used</v>
      </c>
      <c r="Y90" s="51" t="str">
        <f t="shared" si="55"/>
        <v>Not Used</v>
      </c>
      <c r="Z90" s="51" t="str">
        <f t="shared" si="56"/>
        <v>Not Used</v>
      </c>
      <c r="AA90" s="51" t="str">
        <f t="shared" si="56"/>
        <v>Not Used</v>
      </c>
      <c r="AB90" s="51" t="str">
        <f t="shared" si="57"/>
        <v>Not Used</v>
      </c>
      <c r="AC90" s="51" t="b">
        <f t="shared" si="58"/>
        <v>1</v>
      </c>
      <c r="AD90" s="51">
        <f>COUNTIF($X$5:$X$90, "Not Used")</f>
        <v>86</v>
      </c>
      <c r="AE90" s="51">
        <f>COUNTIF($X$5:$X$90, "TRUE")</f>
        <v>0</v>
      </c>
      <c r="AF90" s="51" t="b">
        <f t="shared" si="59"/>
        <v>1</v>
      </c>
      <c r="AI90" s="51" t="b">
        <f t="shared" si="60"/>
        <v>0</v>
      </c>
      <c r="AJ90" s="51" t="b">
        <f t="shared" si="61"/>
        <v>0</v>
      </c>
      <c r="AK90" s="51" t="b">
        <f t="shared" si="62"/>
        <v>0</v>
      </c>
      <c r="AL90" s="51" t="b">
        <f t="shared" si="63"/>
        <v>0</v>
      </c>
      <c r="AM90" s="51" t="b">
        <f t="shared" si="64"/>
        <v>0</v>
      </c>
      <c r="AN90" s="51"/>
      <c r="AO90" s="51" t="b">
        <f t="shared" si="65"/>
        <v>0</v>
      </c>
      <c r="AP90" s="51" t="str">
        <f t="shared" si="87"/>
        <v>Tier 1 MMS</v>
      </c>
      <c r="AQ90" s="51" t="b">
        <f t="shared" si="66"/>
        <v>0</v>
      </c>
      <c r="AR90" s="51" t="b">
        <f t="shared" si="67"/>
        <v>0</v>
      </c>
      <c r="AS90" s="51" t="str">
        <f t="shared" si="68"/>
        <v/>
      </c>
      <c r="AT90" s="51" t="b">
        <f t="shared" si="69"/>
        <v>0</v>
      </c>
      <c r="AU90" s="51" t="b">
        <f t="shared" si="70"/>
        <v>0</v>
      </c>
      <c r="AV90" s="51" t="str">
        <f t="shared" si="71"/>
        <v/>
      </c>
      <c r="AW90" s="51" t="str">
        <f t="shared" si="72"/>
        <v/>
      </c>
      <c r="AX90" s="51" t="str">
        <f t="shared" si="73"/>
        <v/>
      </c>
      <c r="AY90" s="51" t="str">
        <f t="shared" si="74"/>
        <v/>
      </c>
      <c r="AZ90" s="51" t="str">
        <f t="shared" si="75"/>
        <v/>
      </c>
      <c r="BA90" s="51" t="str">
        <f t="shared" si="76"/>
        <v/>
      </c>
      <c r="BB90" s="51" t="str">
        <f t="shared" si="77"/>
        <v/>
      </c>
      <c r="BC90" s="51" t="str">
        <f t="shared" si="78"/>
        <v/>
      </c>
      <c r="BD90" s="51" t="str">
        <f t="shared" si="79"/>
        <v/>
      </c>
      <c r="BE90" s="51" t="str">
        <f t="shared" si="80"/>
        <v/>
      </c>
      <c r="BF90" s="51" t="str">
        <f t="shared" si="81"/>
        <v/>
      </c>
      <c r="BG90" s="51" t="str">
        <f t="shared" si="82"/>
        <v/>
      </c>
      <c r="BH90" s="51" t="b">
        <f t="shared" si="83"/>
        <v>0</v>
      </c>
      <c r="BI90" s="51" t="str">
        <f t="shared" si="84"/>
        <v/>
      </c>
      <c r="BJ90" s="51" t="str">
        <f t="shared" si="85"/>
        <v/>
      </c>
      <c r="BK90" s="51" t="b">
        <f t="shared" si="86"/>
        <v>0</v>
      </c>
      <c r="BL90" s="192"/>
    </row>
    <row r="91" spans="1:64" ht="13.5" thickBot="1" x14ac:dyDescent="0.25">
      <c r="A91" s="185" t="s">
        <v>783</v>
      </c>
      <c r="B91" s="193" t="s">
        <v>694</v>
      </c>
      <c r="C91" s="194" t="s">
        <v>695</v>
      </c>
      <c r="D91" s="194" t="s">
        <v>695</v>
      </c>
      <c r="E91" s="193" t="s">
        <v>694</v>
      </c>
      <c r="F91" s="160" t="s">
        <v>20</v>
      </c>
      <c r="G91" s="161"/>
      <c r="H91" s="186" t="str">
        <f t="shared" si="44"/>
        <v>Used?</v>
      </c>
      <c r="I91" s="186" t="b">
        <f t="shared" si="45"/>
        <v>0</v>
      </c>
      <c r="J91" s="186" t="str">
        <f t="shared" si="46"/>
        <v>N/A</v>
      </c>
      <c r="K91" s="186" t="b">
        <f t="shared" si="47"/>
        <v>1</v>
      </c>
      <c r="L91" s="186" t="str">
        <f t="shared" si="48"/>
        <v>N/A</v>
      </c>
      <c r="M91" s="186" t="b">
        <f t="shared" si="49"/>
        <v>1</v>
      </c>
      <c r="N91" s="186" t="str">
        <f t="shared" si="50"/>
        <v>Used?</v>
      </c>
      <c r="O91" s="186" t="b">
        <f t="shared" si="51"/>
        <v>0</v>
      </c>
      <c r="P91" s="26" t="s">
        <v>696</v>
      </c>
      <c r="Q91" s="160" t="s">
        <v>20</v>
      </c>
      <c r="R91" s="160" t="s">
        <v>20</v>
      </c>
      <c r="S91" s="26" t="s">
        <v>697</v>
      </c>
      <c r="T91" s="165" t="str">
        <f t="shared" si="52"/>
        <v>Not Used</v>
      </c>
      <c r="U91" s="162"/>
      <c r="V91" s="55"/>
      <c r="W91" s="51" t="b">
        <f t="shared" si="53"/>
        <v>1</v>
      </c>
      <c r="X91" s="51" t="str">
        <f t="shared" si="54"/>
        <v>Not Used</v>
      </c>
      <c r="Y91" s="51" t="str">
        <f t="shared" si="55"/>
        <v>Not Used</v>
      </c>
      <c r="Z91" s="51" t="str">
        <f t="shared" si="56"/>
        <v>Not Used</v>
      </c>
      <c r="AA91" s="51" t="str">
        <f t="shared" si="56"/>
        <v>Not Used</v>
      </c>
      <c r="AB91" s="51" t="str">
        <f t="shared" si="57"/>
        <v>Not Used</v>
      </c>
      <c r="AC91" s="51" t="b">
        <f t="shared" si="58"/>
        <v>1</v>
      </c>
      <c r="AD91" s="51">
        <f>COUNTIF($X$5:$X$91, "Not Used")</f>
        <v>87</v>
      </c>
      <c r="AE91" s="51">
        <f>COUNTIF($X$5:$X$91, "TRUE")</f>
        <v>0</v>
      </c>
      <c r="AF91" s="51" t="b">
        <f t="shared" si="59"/>
        <v>1</v>
      </c>
      <c r="AI91" s="51" t="b">
        <f t="shared" si="60"/>
        <v>0</v>
      </c>
      <c r="AJ91" s="51" t="b">
        <f t="shared" si="61"/>
        <v>0</v>
      </c>
      <c r="AK91" s="51" t="b">
        <f t="shared" si="62"/>
        <v>0</v>
      </c>
      <c r="AL91" s="51" t="b">
        <f t="shared" si="63"/>
        <v>0</v>
      </c>
      <c r="AM91" s="51" t="b">
        <f t="shared" si="64"/>
        <v>0</v>
      </c>
      <c r="AN91" s="51"/>
      <c r="AO91" s="51" t="b">
        <f t="shared" si="65"/>
        <v>0</v>
      </c>
      <c r="AP91" s="51" t="str">
        <f t="shared" si="87"/>
        <v>Tier 1 MMS</v>
      </c>
      <c r="AQ91" s="51" t="b">
        <f t="shared" si="66"/>
        <v>0</v>
      </c>
      <c r="AR91" s="51" t="b">
        <f t="shared" si="67"/>
        <v>0</v>
      </c>
      <c r="AS91" s="51" t="str">
        <f t="shared" si="68"/>
        <v/>
      </c>
      <c r="AT91" s="51" t="b">
        <f t="shared" si="69"/>
        <v>0</v>
      </c>
      <c r="AU91" s="51" t="b">
        <f t="shared" si="70"/>
        <v>0</v>
      </c>
      <c r="AV91" s="51" t="str">
        <f t="shared" si="71"/>
        <v/>
      </c>
      <c r="AW91" s="51" t="str">
        <f t="shared" si="72"/>
        <v/>
      </c>
      <c r="AX91" s="51" t="str">
        <f t="shared" si="73"/>
        <v/>
      </c>
      <c r="AY91" s="51" t="str">
        <f t="shared" si="74"/>
        <v/>
      </c>
      <c r="AZ91" s="51" t="str">
        <f t="shared" si="75"/>
        <v/>
      </c>
      <c r="BA91" s="51" t="str">
        <f t="shared" si="76"/>
        <v/>
      </c>
      <c r="BB91" s="51" t="str">
        <f t="shared" si="77"/>
        <v/>
      </c>
      <c r="BC91" s="51" t="str">
        <f t="shared" si="78"/>
        <v/>
      </c>
      <c r="BD91" s="51" t="str">
        <f t="shared" si="79"/>
        <v/>
      </c>
      <c r="BE91" s="51" t="str">
        <f t="shared" si="80"/>
        <v/>
      </c>
      <c r="BF91" s="51" t="str">
        <f t="shared" si="81"/>
        <v/>
      </c>
      <c r="BG91" s="51" t="str">
        <f t="shared" si="82"/>
        <v/>
      </c>
      <c r="BH91" s="51" t="b">
        <f t="shared" si="83"/>
        <v>0</v>
      </c>
      <c r="BI91" s="51" t="str">
        <f t="shared" si="84"/>
        <v/>
      </c>
      <c r="BJ91" s="51" t="str">
        <f t="shared" si="85"/>
        <v/>
      </c>
      <c r="BK91" s="51" t="b">
        <f t="shared" si="86"/>
        <v>0</v>
      </c>
      <c r="BL91" s="192"/>
    </row>
    <row r="92" spans="1:64" ht="13.5" thickBot="1" x14ac:dyDescent="0.25">
      <c r="A92" s="185" t="s">
        <v>784</v>
      </c>
      <c r="B92" s="193" t="s">
        <v>694</v>
      </c>
      <c r="C92" s="194" t="s">
        <v>695</v>
      </c>
      <c r="D92" s="194" t="s">
        <v>695</v>
      </c>
      <c r="E92" s="193" t="s">
        <v>694</v>
      </c>
      <c r="F92" s="160" t="s">
        <v>20</v>
      </c>
      <c r="G92" s="161"/>
      <c r="H92" s="186" t="str">
        <f t="shared" si="44"/>
        <v>Used?</v>
      </c>
      <c r="I92" s="186" t="b">
        <f t="shared" si="45"/>
        <v>0</v>
      </c>
      <c r="J92" s="186" t="str">
        <f t="shared" si="46"/>
        <v>N/A</v>
      </c>
      <c r="K92" s="186" t="b">
        <f t="shared" si="47"/>
        <v>1</v>
      </c>
      <c r="L92" s="186" t="str">
        <f t="shared" si="48"/>
        <v>N/A</v>
      </c>
      <c r="M92" s="186" t="b">
        <f t="shared" si="49"/>
        <v>1</v>
      </c>
      <c r="N92" s="186" t="str">
        <f t="shared" si="50"/>
        <v>Used?</v>
      </c>
      <c r="O92" s="186" t="b">
        <f t="shared" si="51"/>
        <v>0</v>
      </c>
      <c r="P92" s="26" t="s">
        <v>696</v>
      </c>
      <c r="Q92" s="160" t="s">
        <v>20</v>
      </c>
      <c r="R92" s="160" t="s">
        <v>20</v>
      </c>
      <c r="S92" s="26" t="s">
        <v>697</v>
      </c>
      <c r="T92" s="165" t="str">
        <f t="shared" si="52"/>
        <v>Not Used</v>
      </c>
      <c r="U92" s="162"/>
      <c r="V92" s="55"/>
      <c r="W92" s="51" t="b">
        <f t="shared" si="53"/>
        <v>1</v>
      </c>
      <c r="X92" s="51" t="str">
        <f t="shared" si="54"/>
        <v>Not Used</v>
      </c>
      <c r="Y92" s="51" t="str">
        <f t="shared" si="55"/>
        <v>Not Used</v>
      </c>
      <c r="Z92" s="51" t="str">
        <f t="shared" si="56"/>
        <v>Not Used</v>
      </c>
      <c r="AA92" s="51" t="str">
        <f t="shared" si="56"/>
        <v>Not Used</v>
      </c>
      <c r="AB92" s="51" t="str">
        <f t="shared" si="57"/>
        <v>Not Used</v>
      </c>
      <c r="AC92" s="51" t="b">
        <f t="shared" si="58"/>
        <v>1</v>
      </c>
      <c r="AD92" s="51">
        <f>COUNTIF($X$5:$X$92, "Not Used")</f>
        <v>88</v>
      </c>
      <c r="AE92" s="51">
        <f>COUNTIF($X$5:$X$92, "TRUE")</f>
        <v>0</v>
      </c>
      <c r="AF92" s="51" t="b">
        <f t="shared" si="59"/>
        <v>1</v>
      </c>
      <c r="AI92" s="51" t="b">
        <f t="shared" si="60"/>
        <v>0</v>
      </c>
      <c r="AJ92" s="51" t="b">
        <f t="shared" si="61"/>
        <v>0</v>
      </c>
      <c r="AK92" s="51" t="b">
        <f t="shared" si="62"/>
        <v>0</v>
      </c>
      <c r="AL92" s="51" t="b">
        <f t="shared" si="63"/>
        <v>0</v>
      </c>
      <c r="AM92" s="51" t="b">
        <f t="shared" si="64"/>
        <v>0</v>
      </c>
      <c r="AN92" s="51"/>
      <c r="AO92" s="51" t="b">
        <f t="shared" si="65"/>
        <v>0</v>
      </c>
      <c r="AP92" s="51" t="str">
        <f t="shared" si="87"/>
        <v>Tier 1 MMS</v>
      </c>
      <c r="AQ92" s="51" t="b">
        <f t="shared" si="66"/>
        <v>0</v>
      </c>
      <c r="AR92" s="51" t="b">
        <f t="shared" si="67"/>
        <v>0</v>
      </c>
      <c r="AS92" s="51" t="str">
        <f t="shared" si="68"/>
        <v/>
      </c>
      <c r="AT92" s="51" t="b">
        <f t="shared" si="69"/>
        <v>0</v>
      </c>
      <c r="AU92" s="51" t="b">
        <f t="shared" si="70"/>
        <v>0</v>
      </c>
      <c r="AV92" s="51" t="str">
        <f t="shared" si="71"/>
        <v/>
      </c>
      <c r="AW92" s="51" t="str">
        <f t="shared" si="72"/>
        <v/>
      </c>
      <c r="AX92" s="51" t="str">
        <f t="shared" si="73"/>
        <v/>
      </c>
      <c r="AY92" s="51" t="str">
        <f t="shared" si="74"/>
        <v/>
      </c>
      <c r="AZ92" s="51" t="str">
        <f t="shared" si="75"/>
        <v/>
      </c>
      <c r="BA92" s="51" t="str">
        <f t="shared" si="76"/>
        <v/>
      </c>
      <c r="BB92" s="51" t="str">
        <f t="shared" si="77"/>
        <v/>
      </c>
      <c r="BC92" s="51" t="str">
        <f t="shared" si="78"/>
        <v/>
      </c>
      <c r="BD92" s="51" t="str">
        <f t="shared" si="79"/>
        <v/>
      </c>
      <c r="BE92" s="51" t="str">
        <f t="shared" si="80"/>
        <v/>
      </c>
      <c r="BF92" s="51" t="str">
        <f t="shared" si="81"/>
        <v/>
      </c>
      <c r="BG92" s="51" t="str">
        <f t="shared" si="82"/>
        <v/>
      </c>
      <c r="BH92" s="51" t="b">
        <f t="shared" si="83"/>
        <v>0</v>
      </c>
      <c r="BI92" s="51" t="str">
        <f t="shared" si="84"/>
        <v/>
      </c>
      <c r="BJ92" s="51" t="str">
        <f t="shared" si="85"/>
        <v/>
      </c>
      <c r="BK92" s="51" t="b">
        <f t="shared" si="86"/>
        <v>0</v>
      </c>
      <c r="BL92" s="192"/>
    </row>
    <row r="93" spans="1:64" ht="13.5" thickBot="1" x14ac:dyDescent="0.25">
      <c r="A93" s="185" t="s">
        <v>785</v>
      </c>
      <c r="B93" s="193" t="s">
        <v>694</v>
      </c>
      <c r="C93" s="194" t="s">
        <v>695</v>
      </c>
      <c r="D93" s="194" t="s">
        <v>695</v>
      </c>
      <c r="E93" s="193" t="s">
        <v>694</v>
      </c>
      <c r="F93" s="160" t="s">
        <v>20</v>
      </c>
      <c r="G93" s="161"/>
      <c r="H93" s="186" t="str">
        <f t="shared" si="44"/>
        <v>Used?</v>
      </c>
      <c r="I93" s="186" t="b">
        <f t="shared" si="45"/>
        <v>0</v>
      </c>
      <c r="J93" s="186" t="str">
        <f t="shared" si="46"/>
        <v>N/A</v>
      </c>
      <c r="K93" s="186" t="b">
        <f t="shared" si="47"/>
        <v>1</v>
      </c>
      <c r="L93" s="186" t="str">
        <f t="shared" si="48"/>
        <v>N/A</v>
      </c>
      <c r="M93" s="186" t="b">
        <f t="shared" si="49"/>
        <v>1</v>
      </c>
      <c r="N93" s="186" t="str">
        <f t="shared" si="50"/>
        <v>Used?</v>
      </c>
      <c r="O93" s="186" t="b">
        <f t="shared" si="51"/>
        <v>0</v>
      </c>
      <c r="P93" s="26" t="s">
        <v>696</v>
      </c>
      <c r="Q93" s="160" t="s">
        <v>20</v>
      </c>
      <c r="R93" s="160" t="s">
        <v>20</v>
      </c>
      <c r="S93" s="26" t="s">
        <v>697</v>
      </c>
      <c r="T93" s="165" t="str">
        <f t="shared" si="52"/>
        <v>Not Used</v>
      </c>
      <c r="U93" s="162"/>
      <c r="V93" s="55"/>
      <c r="W93" s="51" t="b">
        <f t="shared" si="53"/>
        <v>1</v>
      </c>
      <c r="X93" s="51" t="str">
        <f t="shared" si="54"/>
        <v>Not Used</v>
      </c>
      <c r="Y93" s="51" t="str">
        <f t="shared" si="55"/>
        <v>Not Used</v>
      </c>
      <c r="Z93" s="51" t="str">
        <f t="shared" si="56"/>
        <v>Not Used</v>
      </c>
      <c r="AA93" s="51" t="str">
        <f t="shared" si="56"/>
        <v>Not Used</v>
      </c>
      <c r="AB93" s="51" t="str">
        <f t="shared" si="57"/>
        <v>Not Used</v>
      </c>
      <c r="AC93" s="51" t="b">
        <f t="shared" si="58"/>
        <v>1</v>
      </c>
      <c r="AD93" s="51">
        <f>COUNTIF($X$5:$X$93, "Not Used")</f>
        <v>89</v>
      </c>
      <c r="AE93" s="51">
        <f>COUNTIF($X$5:$X$93, "TRUE")</f>
        <v>0</v>
      </c>
      <c r="AF93" s="51" t="b">
        <f t="shared" si="59"/>
        <v>1</v>
      </c>
      <c r="AI93" s="51" t="b">
        <f t="shared" si="60"/>
        <v>0</v>
      </c>
      <c r="AJ93" s="51" t="b">
        <f t="shared" si="61"/>
        <v>0</v>
      </c>
      <c r="AK93" s="51" t="b">
        <f t="shared" si="62"/>
        <v>0</v>
      </c>
      <c r="AL93" s="51" t="b">
        <f t="shared" si="63"/>
        <v>0</v>
      </c>
      <c r="AM93" s="51" t="b">
        <f t="shared" si="64"/>
        <v>0</v>
      </c>
      <c r="AN93" s="51"/>
      <c r="AO93" s="51" t="b">
        <f t="shared" si="65"/>
        <v>0</v>
      </c>
      <c r="AP93" s="51" t="str">
        <f t="shared" si="87"/>
        <v>Tier 1 MMS</v>
      </c>
      <c r="AQ93" s="51" t="b">
        <f t="shared" si="66"/>
        <v>0</v>
      </c>
      <c r="AR93" s="51" t="b">
        <f t="shared" si="67"/>
        <v>0</v>
      </c>
      <c r="AS93" s="51" t="str">
        <f t="shared" si="68"/>
        <v/>
      </c>
      <c r="AT93" s="51" t="b">
        <f t="shared" si="69"/>
        <v>0</v>
      </c>
      <c r="AU93" s="51" t="b">
        <f t="shared" si="70"/>
        <v>0</v>
      </c>
      <c r="AV93" s="51" t="str">
        <f t="shared" si="71"/>
        <v/>
      </c>
      <c r="AW93" s="51" t="str">
        <f t="shared" si="72"/>
        <v/>
      </c>
      <c r="AX93" s="51" t="str">
        <f t="shared" si="73"/>
        <v/>
      </c>
      <c r="AY93" s="51" t="str">
        <f t="shared" si="74"/>
        <v/>
      </c>
      <c r="AZ93" s="51" t="str">
        <f t="shared" si="75"/>
        <v/>
      </c>
      <c r="BA93" s="51" t="str">
        <f t="shared" si="76"/>
        <v/>
      </c>
      <c r="BB93" s="51" t="str">
        <f t="shared" si="77"/>
        <v/>
      </c>
      <c r="BC93" s="51" t="str">
        <f t="shared" si="78"/>
        <v/>
      </c>
      <c r="BD93" s="51" t="str">
        <f t="shared" si="79"/>
        <v/>
      </c>
      <c r="BE93" s="51" t="str">
        <f t="shared" si="80"/>
        <v/>
      </c>
      <c r="BF93" s="51" t="str">
        <f t="shared" si="81"/>
        <v/>
      </c>
      <c r="BG93" s="51" t="str">
        <f t="shared" si="82"/>
        <v/>
      </c>
      <c r="BH93" s="51" t="b">
        <f t="shared" si="83"/>
        <v>0</v>
      </c>
      <c r="BI93" s="51" t="str">
        <f t="shared" si="84"/>
        <v/>
      </c>
      <c r="BJ93" s="51" t="str">
        <f t="shared" si="85"/>
        <v/>
      </c>
      <c r="BK93" s="51" t="b">
        <f t="shared" si="86"/>
        <v>0</v>
      </c>
      <c r="BL93" s="192"/>
    </row>
    <row r="94" spans="1:64" ht="13.5" thickBot="1" x14ac:dyDescent="0.25">
      <c r="A94" s="185" t="s">
        <v>786</v>
      </c>
      <c r="B94" s="193" t="s">
        <v>694</v>
      </c>
      <c r="C94" s="194" t="s">
        <v>695</v>
      </c>
      <c r="D94" s="194" t="s">
        <v>695</v>
      </c>
      <c r="E94" s="193" t="s">
        <v>694</v>
      </c>
      <c r="F94" s="160" t="s">
        <v>20</v>
      </c>
      <c r="G94" s="161"/>
      <c r="H94" s="186" t="str">
        <f t="shared" si="44"/>
        <v>Used?</v>
      </c>
      <c r="I94" s="186" t="b">
        <f t="shared" si="45"/>
        <v>0</v>
      </c>
      <c r="J94" s="186" t="str">
        <f t="shared" si="46"/>
        <v>N/A</v>
      </c>
      <c r="K94" s="186" t="b">
        <f t="shared" si="47"/>
        <v>1</v>
      </c>
      <c r="L94" s="186" t="str">
        <f t="shared" si="48"/>
        <v>N/A</v>
      </c>
      <c r="M94" s="186" t="b">
        <f t="shared" si="49"/>
        <v>1</v>
      </c>
      <c r="N94" s="186" t="str">
        <f t="shared" si="50"/>
        <v>Used?</v>
      </c>
      <c r="O94" s="186" t="b">
        <f t="shared" si="51"/>
        <v>0</v>
      </c>
      <c r="P94" s="26" t="s">
        <v>696</v>
      </c>
      <c r="Q94" s="160" t="s">
        <v>20</v>
      </c>
      <c r="R94" s="160" t="s">
        <v>20</v>
      </c>
      <c r="S94" s="26" t="s">
        <v>697</v>
      </c>
      <c r="T94" s="165" t="str">
        <f t="shared" si="52"/>
        <v>Not Used</v>
      </c>
      <c r="U94" s="162"/>
      <c r="V94" s="55"/>
      <c r="W94" s="51" t="b">
        <f t="shared" si="53"/>
        <v>1</v>
      </c>
      <c r="X94" s="51" t="str">
        <f t="shared" si="54"/>
        <v>Not Used</v>
      </c>
      <c r="Y94" s="51" t="str">
        <f t="shared" si="55"/>
        <v>Not Used</v>
      </c>
      <c r="Z94" s="51" t="str">
        <f t="shared" si="56"/>
        <v>Not Used</v>
      </c>
      <c r="AA94" s="51" t="str">
        <f t="shared" si="56"/>
        <v>Not Used</v>
      </c>
      <c r="AB94" s="51" t="str">
        <f t="shared" si="57"/>
        <v>Not Used</v>
      </c>
      <c r="AC94" s="51" t="b">
        <f t="shared" si="58"/>
        <v>1</v>
      </c>
      <c r="AD94" s="51">
        <f>COUNTIF($X$5:$X$94, "Not Used")</f>
        <v>90</v>
      </c>
      <c r="AE94" s="51">
        <f>COUNTIF($X$5:$X$94, "TRUE")</f>
        <v>0</v>
      </c>
      <c r="AF94" s="51" t="b">
        <f t="shared" si="59"/>
        <v>1</v>
      </c>
      <c r="AI94" s="51" t="b">
        <f t="shared" si="60"/>
        <v>0</v>
      </c>
      <c r="AJ94" s="51" t="b">
        <f t="shared" si="61"/>
        <v>0</v>
      </c>
      <c r="AK94" s="51" t="b">
        <f t="shared" si="62"/>
        <v>0</v>
      </c>
      <c r="AL94" s="51" t="b">
        <f t="shared" si="63"/>
        <v>0</v>
      </c>
      <c r="AM94" s="51" t="b">
        <f t="shared" si="64"/>
        <v>0</v>
      </c>
      <c r="AN94" s="51"/>
      <c r="AO94" s="51" t="b">
        <f t="shared" si="65"/>
        <v>0</v>
      </c>
      <c r="AP94" s="51" t="str">
        <f t="shared" si="87"/>
        <v>Tier 1 MMS</v>
      </c>
      <c r="AQ94" s="51" t="b">
        <f t="shared" si="66"/>
        <v>0</v>
      </c>
      <c r="AR94" s="51" t="b">
        <f t="shared" si="67"/>
        <v>0</v>
      </c>
      <c r="AS94" s="51" t="str">
        <f t="shared" si="68"/>
        <v/>
      </c>
      <c r="AT94" s="51" t="b">
        <f t="shared" si="69"/>
        <v>0</v>
      </c>
      <c r="AU94" s="51" t="b">
        <f t="shared" si="70"/>
        <v>0</v>
      </c>
      <c r="AV94" s="51" t="str">
        <f t="shared" si="71"/>
        <v/>
      </c>
      <c r="AW94" s="51" t="str">
        <f t="shared" si="72"/>
        <v/>
      </c>
      <c r="AX94" s="51" t="str">
        <f t="shared" si="73"/>
        <v/>
      </c>
      <c r="AY94" s="51" t="str">
        <f t="shared" si="74"/>
        <v/>
      </c>
      <c r="AZ94" s="51" t="str">
        <f t="shared" si="75"/>
        <v/>
      </c>
      <c r="BA94" s="51" t="str">
        <f t="shared" si="76"/>
        <v/>
      </c>
      <c r="BB94" s="51" t="str">
        <f t="shared" si="77"/>
        <v/>
      </c>
      <c r="BC94" s="51" t="str">
        <f t="shared" si="78"/>
        <v/>
      </c>
      <c r="BD94" s="51" t="str">
        <f t="shared" si="79"/>
        <v/>
      </c>
      <c r="BE94" s="51" t="str">
        <f t="shared" si="80"/>
        <v/>
      </c>
      <c r="BF94" s="51" t="str">
        <f t="shared" si="81"/>
        <v/>
      </c>
      <c r="BG94" s="51" t="str">
        <f t="shared" si="82"/>
        <v/>
      </c>
      <c r="BH94" s="51" t="b">
        <f t="shared" si="83"/>
        <v>0</v>
      </c>
      <c r="BI94" s="51" t="str">
        <f t="shared" si="84"/>
        <v/>
      </c>
      <c r="BJ94" s="51" t="str">
        <f t="shared" si="85"/>
        <v/>
      </c>
      <c r="BK94" s="51" t="b">
        <f t="shared" si="86"/>
        <v>0</v>
      </c>
      <c r="BL94" s="192"/>
    </row>
    <row r="95" spans="1:64" ht="13.5" thickBot="1" x14ac:dyDescent="0.25">
      <c r="A95" s="185" t="s">
        <v>787</v>
      </c>
      <c r="B95" s="194" t="s">
        <v>695</v>
      </c>
      <c r="C95" s="193" t="s">
        <v>694</v>
      </c>
      <c r="D95" s="194" t="s">
        <v>695</v>
      </c>
      <c r="E95" s="193" t="s">
        <v>694</v>
      </c>
      <c r="F95" s="160" t="s">
        <v>20</v>
      </c>
      <c r="G95" s="161"/>
      <c r="H95" s="186" t="str">
        <f t="shared" si="44"/>
        <v>N/A</v>
      </c>
      <c r="I95" s="186" t="b">
        <f t="shared" si="45"/>
        <v>1</v>
      </c>
      <c r="J95" s="186" t="str">
        <f t="shared" si="46"/>
        <v>Used?</v>
      </c>
      <c r="K95" s="186" t="b">
        <f t="shared" si="47"/>
        <v>0</v>
      </c>
      <c r="L95" s="186" t="str">
        <f t="shared" si="48"/>
        <v>N/A</v>
      </c>
      <c r="M95" s="186" t="b">
        <f t="shared" si="49"/>
        <v>1</v>
      </c>
      <c r="N95" s="186" t="str">
        <f t="shared" si="50"/>
        <v>Used?</v>
      </c>
      <c r="O95" s="186" t="b">
        <f t="shared" si="51"/>
        <v>0</v>
      </c>
      <c r="P95" s="26" t="s">
        <v>696</v>
      </c>
      <c r="Q95" s="160" t="s">
        <v>20</v>
      </c>
      <c r="R95" s="160" t="s">
        <v>20</v>
      </c>
      <c r="S95" s="26" t="s">
        <v>697</v>
      </c>
      <c r="T95" s="165" t="str">
        <f t="shared" si="52"/>
        <v>Not Used</v>
      </c>
      <c r="U95" s="162"/>
      <c r="V95" s="55"/>
      <c r="W95" s="51" t="b">
        <f t="shared" si="53"/>
        <v>1</v>
      </c>
      <c r="X95" s="51" t="str">
        <f t="shared" si="54"/>
        <v>Not Used</v>
      </c>
      <c r="Y95" s="51" t="str">
        <f t="shared" si="55"/>
        <v>Not Used</v>
      </c>
      <c r="Z95" s="51" t="str">
        <f t="shared" si="56"/>
        <v>Not Used</v>
      </c>
      <c r="AA95" s="51" t="str">
        <f t="shared" si="56"/>
        <v>Not Used</v>
      </c>
      <c r="AB95" s="51" t="str">
        <f t="shared" si="57"/>
        <v>Not Used</v>
      </c>
      <c r="AC95" s="51" t="b">
        <f t="shared" si="58"/>
        <v>1</v>
      </c>
      <c r="AD95" s="51">
        <f>COUNTIF($X$5:$X$95, "Not Used")</f>
        <v>91</v>
      </c>
      <c r="AE95" s="51">
        <f>COUNTIF($X$5:$X$95, "TRUE")</f>
        <v>0</v>
      </c>
      <c r="AF95" s="51" t="b">
        <f t="shared" si="59"/>
        <v>1</v>
      </c>
      <c r="AI95" s="51" t="b">
        <f t="shared" si="60"/>
        <v>0</v>
      </c>
      <c r="AJ95" s="51" t="b">
        <f t="shared" si="61"/>
        <v>0</v>
      </c>
      <c r="AK95" s="51" t="b">
        <f t="shared" si="62"/>
        <v>0</v>
      </c>
      <c r="AL95" s="51" t="b">
        <f t="shared" si="63"/>
        <v>0</v>
      </c>
      <c r="AM95" s="51" t="b">
        <f t="shared" si="64"/>
        <v>0</v>
      </c>
      <c r="AN95" s="51"/>
      <c r="AO95" s="51" t="b">
        <f t="shared" si="65"/>
        <v>0</v>
      </c>
      <c r="AP95" s="51" t="str">
        <f t="shared" si="87"/>
        <v>Tier 1 Sub MMS</v>
      </c>
      <c r="AQ95" s="51" t="b">
        <f t="shared" si="66"/>
        <v>0</v>
      </c>
      <c r="AR95" s="51" t="b">
        <f t="shared" si="67"/>
        <v>0</v>
      </c>
      <c r="AS95" s="51" t="b">
        <f t="shared" si="68"/>
        <v>0</v>
      </c>
      <c r="AT95" s="51" t="str">
        <f t="shared" si="69"/>
        <v/>
      </c>
      <c r="AU95" s="51" t="str">
        <f t="shared" si="70"/>
        <v/>
      </c>
      <c r="AV95" s="51" t="str">
        <f t="shared" si="71"/>
        <v/>
      </c>
      <c r="AW95" s="51" t="str">
        <f t="shared" si="72"/>
        <v/>
      </c>
      <c r="AX95" s="51" t="str">
        <f t="shared" si="73"/>
        <v/>
      </c>
      <c r="AY95" s="51" t="str">
        <f t="shared" si="74"/>
        <v/>
      </c>
      <c r="AZ95" s="51" t="str">
        <f t="shared" si="75"/>
        <v/>
      </c>
      <c r="BA95" s="51" t="str">
        <f t="shared" si="76"/>
        <v/>
      </c>
      <c r="BB95" s="51" t="str">
        <f t="shared" si="77"/>
        <v/>
      </c>
      <c r="BC95" s="51" t="str">
        <f t="shared" si="78"/>
        <v/>
      </c>
      <c r="BD95" s="51" t="str">
        <f t="shared" si="79"/>
        <v/>
      </c>
      <c r="BE95" s="51" t="str">
        <f t="shared" si="80"/>
        <v/>
      </c>
      <c r="BF95" s="51" t="str">
        <f t="shared" si="81"/>
        <v/>
      </c>
      <c r="BG95" s="51" t="str">
        <f t="shared" si="82"/>
        <v/>
      </c>
      <c r="BH95" s="51" t="b">
        <f t="shared" si="83"/>
        <v>0</v>
      </c>
      <c r="BI95" s="51" t="str">
        <f t="shared" si="84"/>
        <v/>
      </c>
      <c r="BJ95" s="51" t="str">
        <f t="shared" si="85"/>
        <v/>
      </c>
      <c r="BK95" s="51" t="b">
        <f t="shared" si="86"/>
        <v>0</v>
      </c>
      <c r="BL95" s="192"/>
    </row>
    <row r="96" spans="1:64" ht="13.5" thickBot="1" x14ac:dyDescent="0.25">
      <c r="A96" s="185" t="s">
        <v>788</v>
      </c>
      <c r="B96" s="194" t="s">
        <v>695</v>
      </c>
      <c r="C96" s="193" t="s">
        <v>694</v>
      </c>
      <c r="D96" s="194" t="s">
        <v>695</v>
      </c>
      <c r="E96" s="193" t="s">
        <v>694</v>
      </c>
      <c r="F96" s="160" t="s">
        <v>20</v>
      </c>
      <c r="G96" s="161"/>
      <c r="H96" s="186" t="str">
        <f t="shared" si="44"/>
        <v>N/A</v>
      </c>
      <c r="I96" s="186" t="b">
        <f t="shared" si="45"/>
        <v>1</v>
      </c>
      <c r="J96" s="186" t="str">
        <f t="shared" si="46"/>
        <v>Used?</v>
      </c>
      <c r="K96" s="186" t="b">
        <f t="shared" si="47"/>
        <v>0</v>
      </c>
      <c r="L96" s="186" t="str">
        <f t="shared" si="48"/>
        <v>N/A</v>
      </c>
      <c r="M96" s="186" t="b">
        <f t="shared" si="49"/>
        <v>1</v>
      </c>
      <c r="N96" s="186" t="str">
        <f t="shared" si="50"/>
        <v>Used?</v>
      </c>
      <c r="O96" s="186" t="b">
        <f t="shared" si="51"/>
        <v>0</v>
      </c>
      <c r="P96" s="26" t="s">
        <v>696</v>
      </c>
      <c r="Q96" s="160" t="s">
        <v>20</v>
      </c>
      <c r="R96" s="160" t="s">
        <v>20</v>
      </c>
      <c r="S96" s="26" t="s">
        <v>697</v>
      </c>
      <c r="T96" s="165" t="str">
        <f t="shared" si="52"/>
        <v>Not Used</v>
      </c>
      <c r="U96" s="162"/>
      <c r="V96" s="55"/>
      <c r="W96" s="51" t="b">
        <f t="shared" si="53"/>
        <v>1</v>
      </c>
      <c r="X96" s="51" t="str">
        <f t="shared" si="54"/>
        <v>Not Used</v>
      </c>
      <c r="Y96" s="51" t="str">
        <f t="shared" si="55"/>
        <v>Not Used</v>
      </c>
      <c r="Z96" s="51" t="str">
        <f t="shared" si="56"/>
        <v>Not Used</v>
      </c>
      <c r="AA96" s="51" t="str">
        <f t="shared" si="56"/>
        <v>Not Used</v>
      </c>
      <c r="AB96" s="51" t="str">
        <f t="shared" si="57"/>
        <v>Not Used</v>
      </c>
      <c r="AC96" s="51" t="b">
        <f t="shared" si="58"/>
        <v>1</v>
      </c>
      <c r="AD96" s="51">
        <f>COUNTIF($X$5:$X$96, "Not Used")</f>
        <v>92</v>
      </c>
      <c r="AE96" s="51">
        <f>COUNTIF($X$5:$X$96, "TRUE")</f>
        <v>0</v>
      </c>
      <c r="AF96" s="51" t="b">
        <f t="shared" si="59"/>
        <v>1</v>
      </c>
      <c r="AI96" s="51" t="b">
        <f t="shared" si="60"/>
        <v>0</v>
      </c>
      <c r="AJ96" s="51" t="b">
        <f t="shared" si="61"/>
        <v>0</v>
      </c>
      <c r="AK96" s="51" t="b">
        <f t="shared" si="62"/>
        <v>0</v>
      </c>
      <c r="AL96" s="51" t="b">
        <f t="shared" si="63"/>
        <v>0</v>
      </c>
      <c r="AM96" s="51" t="b">
        <f t="shared" si="64"/>
        <v>0</v>
      </c>
      <c r="AN96" s="51"/>
      <c r="AO96" s="51" t="b">
        <f t="shared" si="65"/>
        <v>0</v>
      </c>
      <c r="AP96" s="51" t="str">
        <f t="shared" si="87"/>
        <v>Tier 1 Sub MMS</v>
      </c>
      <c r="AQ96" s="51" t="b">
        <f t="shared" si="66"/>
        <v>0</v>
      </c>
      <c r="AR96" s="51" t="b">
        <f t="shared" si="67"/>
        <v>0</v>
      </c>
      <c r="AS96" s="51" t="b">
        <f t="shared" si="68"/>
        <v>0</v>
      </c>
      <c r="AT96" s="51" t="str">
        <f t="shared" si="69"/>
        <v/>
      </c>
      <c r="AU96" s="51" t="str">
        <f t="shared" si="70"/>
        <v/>
      </c>
      <c r="AV96" s="51" t="str">
        <f t="shared" si="71"/>
        <v/>
      </c>
      <c r="AW96" s="51" t="str">
        <f t="shared" si="72"/>
        <v/>
      </c>
      <c r="AX96" s="51" t="str">
        <f t="shared" si="73"/>
        <v/>
      </c>
      <c r="AY96" s="51" t="str">
        <f t="shared" si="74"/>
        <v/>
      </c>
      <c r="AZ96" s="51" t="str">
        <f t="shared" si="75"/>
        <v/>
      </c>
      <c r="BA96" s="51" t="str">
        <f t="shared" si="76"/>
        <v/>
      </c>
      <c r="BB96" s="51" t="str">
        <f t="shared" si="77"/>
        <v/>
      </c>
      <c r="BC96" s="51" t="str">
        <f t="shared" si="78"/>
        <v/>
      </c>
      <c r="BD96" s="51" t="str">
        <f t="shared" si="79"/>
        <v/>
      </c>
      <c r="BE96" s="51" t="str">
        <f t="shared" si="80"/>
        <v/>
      </c>
      <c r="BF96" s="51" t="str">
        <f t="shared" si="81"/>
        <v/>
      </c>
      <c r="BG96" s="51" t="str">
        <f t="shared" si="82"/>
        <v/>
      </c>
      <c r="BH96" s="51" t="b">
        <f t="shared" si="83"/>
        <v>0</v>
      </c>
      <c r="BI96" s="51" t="str">
        <f t="shared" si="84"/>
        <v/>
      </c>
      <c r="BJ96" s="51" t="str">
        <f t="shared" si="85"/>
        <v/>
      </c>
      <c r="BK96" s="51" t="b">
        <f t="shared" si="86"/>
        <v>0</v>
      </c>
      <c r="BL96" s="192"/>
    </row>
    <row r="97" spans="1:64" ht="13.5" thickBot="1" x14ac:dyDescent="0.25">
      <c r="A97" s="185" t="s">
        <v>789</v>
      </c>
      <c r="B97" s="194" t="s">
        <v>695</v>
      </c>
      <c r="C97" s="193" t="s">
        <v>694</v>
      </c>
      <c r="D97" s="194" t="s">
        <v>695</v>
      </c>
      <c r="E97" s="193" t="s">
        <v>694</v>
      </c>
      <c r="F97" s="160" t="s">
        <v>20</v>
      </c>
      <c r="G97" s="161"/>
      <c r="H97" s="186" t="str">
        <f t="shared" si="44"/>
        <v>N/A</v>
      </c>
      <c r="I97" s="186" t="b">
        <f t="shared" si="45"/>
        <v>1</v>
      </c>
      <c r="J97" s="186" t="str">
        <f t="shared" si="46"/>
        <v>Used?</v>
      </c>
      <c r="K97" s="186" t="b">
        <f t="shared" si="47"/>
        <v>0</v>
      </c>
      <c r="L97" s="186" t="str">
        <f t="shared" si="48"/>
        <v>N/A</v>
      </c>
      <c r="M97" s="186" t="b">
        <f t="shared" si="49"/>
        <v>1</v>
      </c>
      <c r="N97" s="186" t="str">
        <f t="shared" si="50"/>
        <v>Used?</v>
      </c>
      <c r="O97" s="186" t="b">
        <f t="shared" si="51"/>
        <v>0</v>
      </c>
      <c r="P97" s="26" t="s">
        <v>696</v>
      </c>
      <c r="Q97" s="160" t="s">
        <v>20</v>
      </c>
      <c r="R97" s="160" t="s">
        <v>20</v>
      </c>
      <c r="S97" s="26" t="s">
        <v>697</v>
      </c>
      <c r="T97" s="165" t="str">
        <f t="shared" si="52"/>
        <v>Not Used</v>
      </c>
      <c r="U97" s="162"/>
      <c r="V97" s="55"/>
      <c r="W97" s="51" t="b">
        <f t="shared" si="53"/>
        <v>1</v>
      </c>
      <c r="X97" s="51" t="str">
        <f t="shared" si="54"/>
        <v>Not Used</v>
      </c>
      <c r="Y97" s="51" t="str">
        <f t="shared" si="55"/>
        <v>Not Used</v>
      </c>
      <c r="Z97" s="51" t="str">
        <f t="shared" si="56"/>
        <v>Not Used</v>
      </c>
      <c r="AA97" s="51" t="str">
        <f t="shared" si="56"/>
        <v>Not Used</v>
      </c>
      <c r="AB97" s="51" t="str">
        <f t="shared" si="57"/>
        <v>Not Used</v>
      </c>
      <c r="AC97" s="51" t="b">
        <f t="shared" si="58"/>
        <v>1</v>
      </c>
      <c r="AD97" s="51">
        <f>COUNTIF($X$5:$X$97, "Not Used")</f>
        <v>93</v>
      </c>
      <c r="AE97" s="51">
        <f>COUNTIF($X$5:$X$97, "TRUE")</f>
        <v>0</v>
      </c>
      <c r="AF97" s="51" t="b">
        <f t="shared" si="59"/>
        <v>1</v>
      </c>
      <c r="AI97" s="51" t="b">
        <f t="shared" si="60"/>
        <v>0</v>
      </c>
      <c r="AJ97" s="51" t="b">
        <f t="shared" si="61"/>
        <v>0</v>
      </c>
      <c r="AK97" s="51" t="b">
        <f t="shared" si="62"/>
        <v>0</v>
      </c>
      <c r="AL97" s="51" t="b">
        <f t="shared" si="63"/>
        <v>0</v>
      </c>
      <c r="AM97" s="51" t="b">
        <f t="shared" si="64"/>
        <v>0</v>
      </c>
      <c r="AN97" s="51"/>
      <c r="AO97" s="51" t="b">
        <f t="shared" si="65"/>
        <v>0</v>
      </c>
      <c r="AP97" s="51" t="str">
        <f t="shared" si="87"/>
        <v>Tier 1 Sub MMS</v>
      </c>
      <c r="AQ97" s="51" t="b">
        <f t="shared" si="66"/>
        <v>0</v>
      </c>
      <c r="AR97" s="51" t="b">
        <f t="shared" si="67"/>
        <v>0</v>
      </c>
      <c r="AS97" s="51" t="b">
        <f t="shared" si="68"/>
        <v>0</v>
      </c>
      <c r="AT97" s="51" t="str">
        <f t="shared" si="69"/>
        <v/>
      </c>
      <c r="AU97" s="51" t="str">
        <f t="shared" si="70"/>
        <v/>
      </c>
      <c r="AV97" s="51" t="str">
        <f t="shared" si="71"/>
        <v/>
      </c>
      <c r="AW97" s="51" t="str">
        <f t="shared" si="72"/>
        <v/>
      </c>
      <c r="AX97" s="51" t="str">
        <f t="shared" si="73"/>
        <v/>
      </c>
      <c r="AY97" s="51" t="str">
        <f t="shared" si="74"/>
        <v/>
      </c>
      <c r="AZ97" s="51" t="str">
        <f t="shared" si="75"/>
        <v/>
      </c>
      <c r="BA97" s="51" t="str">
        <f t="shared" si="76"/>
        <v/>
      </c>
      <c r="BB97" s="51" t="str">
        <f t="shared" si="77"/>
        <v/>
      </c>
      <c r="BC97" s="51" t="str">
        <f t="shared" si="78"/>
        <v/>
      </c>
      <c r="BD97" s="51" t="str">
        <f t="shared" si="79"/>
        <v/>
      </c>
      <c r="BE97" s="51" t="str">
        <f t="shared" si="80"/>
        <v/>
      </c>
      <c r="BF97" s="51" t="str">
        <f t="shared" si="81"/>
        <v/>
      </c>
      <c r="BG97" s="51" t="str">
        <f t="shared" si="82"/>
        <v/>
      </c>
      <c r="BH97" s="51" t="b">
        <f t="shared" si="83"/>
        <v>0</v>
      </c>
      <c r="BI97" s="51" t="str">
        <f t="shared" si="84"/>
        <v/>
      </c>
      <c r="BJ97" s="51" t="str">
        <f t="shared" si="85"/>
        <v/>
      </c>
      <c r="BK97" s="51" t="b">
        <f t="shared" si="86"/>
        <v>0</v>
      </c>
      <c r="BL97" s="192"/>
    </row>
    <row r="98" spans="1:64" ht="13.5" thickBot="1" x14ac:dyDescent="0.25">
      <c r="A98" s="185" t="s">
        <v>790</v>
      </c>
      <c r="B98" s="194" t="s">
        <v>695</v>
      </c>
      <c r="C98" s="193" t="s">
        <v>694</v>
      </c>
      <c r="D98" s="194" t="s">
        <v>695</v>
      </c>
      <c r="E98" s="193" t="s">
        <v>694</v>
      </c>
      <c r="F98" s="160" t="s">
        <v>20</v>
      </c>
      <c r="G98" s="161"/>
      <c r="H98" s="186" t="str">
        <f t="shared" si="44"/>
        <v>N/A</v>
      </c>
      <c r="I98" s="186" t="b">
        <f t="shared" si="45"/>
        <v>1</v>
      </c>
      <c r="J98" s="186" t="str">
        <f t="shared" si="46"/>
        <v>Used?</v>
      </c>
      <c r="K98" s="186" t="b">
        <f t="shared" si="47"/>
        <v>0</v>
      </c>
      <c r="L98" s="186" t="str">
        <f t="shared" si="48"/>
        <v>N/A</v>
      </c>
      <c r="M98" s="186" t="b">
        <f t="shared" si="49"/>
        <v>1</v>
      </c>
      <c r="N98" s="186" t="str">
        <f t="shared" si="50"/>
        <v>Used?</v>
      </c>
      <c r="O98" s="186" t="b">
        <f t="shared" si="51"/>
        <v>0</v>
      </c>
      <c r="P98" s="26" t="s">
        <v>696</v>
      </c>
      <c r="Q98" s="160" t="s">
        <v>20</v>
      </c>
      <c r="R98" s="160" t="s">
        <v>20</v>
      </c>
      <c r="S98" s="26" t="s">
        <v>697</v>
      </c>
      <c r="T98" s="165" t="str">
        <f t="shared" si="52"/>
        <v>Not Used</v>
      </c>
      <c r="U98" s="162"/>
      <c r="V98" s="55"/>
      <c r="W98" s="51" t="b">
        <f t="shared" si="53"/>
        <v>1</v>
      </c>
      <c r="X98" s="51" t="str">
        <f t="shared" si="54"/>
        <v>Not Used</v>
      </c>
      <c r="Y98" s="51" t="str">
        <f t="shared" si="55"/>
        <v>Not Used</v>
      </c>
      <c r="Z98" s="51" t="str">
        <f t="shared" si="56"/>
        <v>Not Used</v>
      </c>
      <c r="AA98" s="51" t="str">
        <f t="shared" si="56"/>
        <v>Not Used</v>
      </c>
      <c r="AB98" s="51" t="str">
        <f t="shared" si="57"/>
        <v>Not Used</v>
      </c>
      <c r="AC98" s="51" t="b">
        <f t="shared" si="58"/>
        <v>1</v>
      </c>
      <c r="AD98" s="51">
        <f>COUNTIF($X$5:$X$98, "Not Used")</f>
        <v>94</v>
      </c>
      <c r="AE98" s="51">
        <f>COUNTIF($X$5:$X$98, "TRUE")</f>
        <v>0</v>
      </c>
      <c r="AF98" s="51" t="b">
        <f t="shared" si="59"/>
        <v>1</v>
      </c>
      <c r="AI98" s="51" t="b">
        <f t="shared" si="60"/>
        <v>0</v>
      </c>
      <c r="AJ98" s="51" t="b">
        <f t="shared" si="61"/>
        <v>0</v>
      </c>
      <c r="AK98" s="51" t="b">
        <f t="shared" si="62"/>
        <v>0</v>
      </c>
      <c r="AL98" s="51" t="b">
        <f t="shared" si="63"/>
        <v>0</v>
      </c>
      <c r="AM98" s="51" t="b">
        <f t="shared" si="64"/>
        <v>0</v>
      </c>
      <c r="AN98" s="51"/>
      <c r="AO98" s="51" t="b">
        <f t="shared" si="65"/>
        <v>0</v>
      </c>
      <c r="AP98" s="51" t="str">
        <f t="shared" si="87"/>
        <v>Tier 1 Sub MMS</v>
      </c>
      <c r="AQ98" s="51" t="b">
        <f t="shared" si="66"/>
        <v>0</v>
      </c>
      <c r="AR98" s="51" t="b">
        <f t="shared" si="67"/>
        <v>0</v>
      </c>
      <c r="AS98" s="51" t="b">
        <f t="shared" si="68"/>
        <v>0</v>
      </c>
      <c r="AT98" s="51" t="str">
        <f t="shared" si="69"/>
        <v/>
      </c>
      <c r="AU98" s="51" t="str">
        <f t="shared" si="70"/>
        <v/>
      </c>
      <c r="AV98" s="51" t="str">
        <f t="shared" si="71"/>
        <v/>
      </c>
      <c r="AW98" s="51" t="str">
        <f t="shared" si="72"/>
        <v/>
      </c>
      <c r="AX98" s="51" t="str">
        <f t="shared" si="73"/>
        <v/>
      </c>
      <c r="AY98" s="51" t="str">
        <f t="shared" si="74"/>
        <v/>
      </c>
      <c r="AZ98" s="51" t="str">
        <f t="shared" si="75"/>
        <v/>
      </c>
      <c r="BA98" s="51" t="str">
        <f t="shared" si="76"/>
        <v/>
      </c>
      <c r="BB98" s="51" t="str">
        <f t="shared" si="77"/>
        <v/>
      </c>
      <c r="BC98" s="51" t="str">
        <f t="shared" si="78"/>
        <v/>
      </c>
      <c r="BD98" s="51" t="str">
        <f t="shared" si="79"/>
        <v/>
      </c>
      <c r="BE98" s="51" t="str">
        <f t="shared" si="80"/>
        <v/>
      </c>
      <c r="BF98" s="51" t="str">
        <f t="shared" si="81"/>
        <v/>
      </c>
      <c r="BG98" s="51" t="str">
        <f t="shared" si="82"/>
        <v/>
      </c>
      <c r="BH98" s="51" t="b">
        <f t="shared" si="83"/>
        <v>0</v>
      </c>
      <c r="BI98" s="51" t="str">
        <f t="shared" si="84"/>
        <v/>
      </c>
      <c r="BJ98" s="51" t="str">
        <f t="shared" si="85"/>
        <v/>
      </c>
      <c r="BK98" s="51" t="b">
        <f t="shared" si="86"/>
        <v>0</v>
      </c>
      <c r="BL98" s="192"/>
    </row>
    <row r="99" spans="1:64" ht="13.5" thickBot="1" x14ac:dyDescent="0.25">
      <c r="A99" s="185" t="s">
        <v>791</v>
      </c>
      <c r="B99" s="194" t="s">
        <v>695</v>
      </c>
      <c r="C99" s="193" t="s">
        <v>694</v>
      </c>
      <c r="D99" s="194" t="s">
        <v>695</v>
      </c>
      <c r="E99" s="193" t="s">
        <v>694</v>
      </c>
      <c r="F99" s="160" t="s">
        <v>20</v>
      </c>
      <c r="G99" s="161"/>
      <c r="H99" s="186" t="str">
        <f t="shared" si="44"/>
        <v>N/A</v>
      </c>
      <c r="I99" s="186" t="b">
        <f t="shared" si="45"/>
        <v>1</v>
      </c>
      <c r="J99" s="186" t="str">
        <f t="shared" si="46"/>
        <v>Used?</v>
      </c>
      <c r="K99" s="186" t="b">
        <f t="shared" si="47"/>
        <v>0</v>
      </c>
      <c r="L99" s="186" t="str">
        <f t="shared" si="48"/>
        <v>N/A</v>
      </c>
      <c r="M99" s="186" t="b">
        <f t="shared" si="49"/>
        <v>1</v>
      </c>
      <c r="N99" s="186" t="str">
        <f t="shared" si="50"/>
        <v>Used?</v>
      </c>
      <c r="O99" s="186" t="b">
        <f t="shared" si="51"/>
        <v>0</v>
      </c>
      <c r="P99" s="26" t="s">
        <v>696</v>
      </c>
      <c r="Q99" s="160" t="s">
        <v>20</v>
      </c>
      <c r="R99" s="160" t="s">
        <v>20</v>
      </c>
      <c r="S99" s="26" t="s">
        <v>697</v>
      </c>
      <c r="T99" s="165" t="str">
        <f t="shared" si="52"/>
        <v>Not Used</v>
      </c>
      <c r="U99" s="162"/>
      <c r="V99" s="55"/>
      <c r="W99" s="51" t="b">
        <f t="shared" si="53"/>
        <v>1</v>
      </c>
      <c r="X99" s="51" t="str">
        <f t="shared" si="54"/>
        <v>Not Used</v>
      </c>
      <c r="Y99" s="51" t="str">
        <f t="shared" si="55"/>
        <v>Not Used</v>
      </c>
      <c r="Z99" s="51" t="str">
        <f t="shared" si="56"/>
        <v>Not Used</v>
      </c>
      <c r="AA99" s="51" t="str">
        <f t="shared" si="56"/>
        <v>Not Used</v>
      </c>
      <c r="AB99" s="51" t="str">
        <f t="shared" si="57"/>
        <v>Not Used</v>
      </c>
      <c r="AC99" s="51" t="b">
        <f t="shared" si="58"/>
        <v>1</v>
      </c>
      <c r="AD99" s="51">
        <f>COUNTIF($X$5:$X$99, "Not Used")</f>
        <v>95</v>
      </c>
      <c r="AE99" s="51">
        <f>COUNTIF($X$5:$X$99, "TRUE")</f>
        <v>0</v>
      </c>
      <c r="AF99" s="51" t="b">
        <f t="shared" si="59"/>
        <v>1</v>
      </c>
      <c r="AI99" s="51" t="b">
        <f t="shared" si="60"/>
        <v>0</v>
      </c>
      <c r="AJ99" s="51" t="b">
        <f t="shared" si="61"/>
        <v>0</v>
      </c>
      <c r="AK99" s="51" t="b">
        <f t="shared" si="62"/>
        <v>0</v>
      </c>
      <c r="AL99" s="51" t="b">
        <f t="shared" si="63"/>
        <v>0</v>
      </c>
      <c r="AM99" s="51" t="b">
        <f t="shared" si="64"/>
        <v>0</v>
      </c>
      <c r="AN99" s="51"/>
      <c r="AO99" s="51" t="b">
        <f t="shared" si="65"/>
        <v>0</v>
      </c>
      <c r="AP99" s="51" t="str">
        <f t="shared" si="87"/>
        <v>Tier 1 Sub MMS</v>
      </c>
      <c r="AQ99" s="51" t="b">
        <f t="shared" si="66"/>
        <v>0</v>
      </c>
      <c r="AR99" s="51" t="b">
        <f t="shared" si="67"/>
        <v>0</v>
      </c>
      <c r="AS99" s="51" t="b">
        <f t="shared" si="68"/>
        <v>0</v>
      </c>
      <c r="AT99" s="51" t="str">
        <f t="shared" si="69"/>
        <v/>
      </c>
      <c r="AU99" s="51" t="str">
        <f t="shared" si="70"/>
        <v/>
      </c>
      <c r="AV99" s="51" t="str">
        <f t="shared" si="71"/>
        <v/>
      </c>
      <c r="AW99" s="51" t="str">
        <f t="shared" si="72"/>
        <v/>
      </c>
      <c r="AX99" s="51" t="str">
        <f t="shared" si="73"/>
        <v/>
      </c>
      <c r="AY99" s="51" t="str">
        <f t="shared" si="74"/>
        <v/>
      </c>
      <c r="AZ99" s="51" t="str">
        <f t="shared" si="75"/>
        <v/>
      </c>
      <c r="BA99" s="51" t="str">
        <f t="shared" si="76"/>
        <v/>
      </c>
      <c r="BB99" s="51" t="str">
        <f t="shared" si="77"/>
        <v/>
      </c>
      <c r="BC99" s="51" t="str">
        <f t="shared" si="78"/>
        <v/>
      </c>
      <c r="BD99" s="51" t="str">
        <f t="shared" si="79"/>
        <v/>
      </c>
      <c r="BE99" s="51" t="str">
        <f t="shared" si="80"/>
        <v/>
      </c>
      <c r="BF99" s="51" t="str">
        <f t="shared" si="81"/>
        <v/>
      </c>
      <c r="BG99" s="51" t="str">
        <f t="shared" si="82"/>
        <v/>
      </c>
      <c r="BH99" s="51" t="b">
        <f t="shared" si="83"/>
        <v>0</v>
      </c>
      <c r="BI99" s="51" t="str">
        <f t="shared" si="84"/>
        <v/>
      </c>
      <c r="BJ99" s="51" t="str">
        <f t="shared" si="85"/>
        <v/>
      </c>
      <c r="BK99" s="51" t="b">
        <f t="shared" si="86"/>
        <v>0</v>
      </c>
      <c r="BL99" s="192"/>
    </row>
    <row r="100" spans="1:64" ht="13.5" thickBot="1" x14ac:dyDescent="0.25">
      <c r="A100" s="185" t="s">
        <v>792</v>
      </c>
      <c r="B100" s="194" t="s">
        <v>695</v>
      </c>
      <c r="C100" s="194" t="s">
        <v>695</v>
      </c>
      <c r="D100" s="193" t="s">
        <v>694</v>
      </c>
      <c r="E100" s="193" t="s">
        <v>694</v>
      </c>
      <c r="F100" s="160" t="s">
        <v>20</v>
      </c>
      <c r="G100" s="161"/>
      <c r="H100" s="186" t="str">
        <f t="shared" si="44"/>
        <v>N/A</v>
      </c>
      <c r="I100" s="186" t="b">
        <f t="shared" si="45"/>
        <v>1</v>
      </c>
      <c r="J100" s="186" t="str">
        <f t="shared" si="46"/>
        <v>N/A</v>
      </c>
      <c r="K100" s="186" t="b">
        <f t="shared" si="47"/>
        <v>1</v>
      </c>
      <c r="L100" s="186" t="str">
        <f t="shared" si="48"/>
        <v>Used?</v>
      </c>
      <c r="M100" s="186" t="b">
        <f t="shared" si="49"/>
        <v>0</v>
      </c>
      <c r="N100" s="186" t="str">
        <f t="shared" si="50"/>
        <v>Used?</v>
      </c>
      <c r="O100" s="186" t="b">
        <f t="shared" si="51"/>
        <v>0</v>
      </c>
      <c r="P100" s="26" t="s">
        <v>696</v>
      </c>
      <c r="Q100" s="160" t="s">
        <v>20</v>
      </c>
      <c r="R100" s="160" t="s">
        <v>20</v>
      </c>
      <c r="S100" s="26" t="s">
        <v>697</v>
      </c>
      <c r="T100" s="165" t="str">
        <f t="shared" si="52"/>
        <v>Not Used</v>
      </c>
      <c r="U100" s="162"/>
      <c r="V100" s="55"/>
      <c r="W100" s="51" t="b">
        <f t="shared" si="53"/>
        <v>1</v>
      </c>
      <c r="X100" s="51" t="str">
        <f t="shared" si="54"/>
        <v>Not Used</v>
      </c>
      <c r="Y100" s="51" t="str">
        <f t="shared" si="55"/>
        <v>Not Used</v>
      </c>
      <c r="Z100" s="51" t="str">
        <f t="shared" si="56"/>
        <v>Not Used</v>
      </c>
      <c r="AA100" s="51" t="str">
        <f t="shared" si="56"/>
        <v>Not Used</v>
      </c>
      <c r="AB100" s="51" t="str">
        <f t="shared" si="57"/>
        <v>Not Used</v>
      </c>
      <c r="AC100" s="51" t="b">
        <f t="shared" si="58"/>
        <v>1</v>
      </c>
      <c r="AD100" s="51">
        <f>COUNTIF($X$5:$X$100, "Not Used")</f>
        <v>96</v>
      </c>
      <c r="AE100" s="51">
        <f>COUNTIF($X$5:$X$100, "TRUE")</f>
        <v>0</v>
      </c>
      <c r="AF100" s="51" t="b">
        <f t="shared" si="59"/>
        <v>1</v>
      </c>
      <c r="AI100" s="51" t="b">
        <f t="shared" si="60"/>
        <v>0</v>
      </c>
      <c r="AJ100" s="51" t="b">
        <f t="shared" si="61"/>
        <v>0</v>
      </c>
      <c r="AK100" s="51" t="b">
        <f t="shared" si="62"/>
        <v>0</v>
      </c>
      <c r="AL100" s="51" t="b">
        <f t="shared" si="63"/>
        <v>0</v>
      </c>
      <c r="AM100" s="51" t="b">
        <f t="shared" si="64"/>
        <v>0</v>
      </c>
      <c r="AN100" s="51"/>
      <c r="AO100" s="51" t="b">
        <f t="shared" si="65"/>
        <v>0</v>
      </c>
      <c r="AP100" s="51" t="str">
        <f t="shared" si="87"/>
        <v>Tier 2 MMS</v>
      </c>
      <c r="AQ100" s="51" t="b">
        <f t="shared" si="66"/>
        <v>0</v>
      </c>
      <c r="AR100" s="51" t="b">
        <f t="shared" si="67"/>
        <v>0</v>
      </c>
      <c r="AS100" s="51" t="str">
        <f t="shared" si="68"/>
        <v/>
      </c>
      <c r="AT100" s="51" t="str">
        <f t="shared" si="69"/>
        <v/>
      </c>
      <c r="AU100" s="51" t="str">
        <f t="shared" si="70"/>
        <v/>
      </c>
      <c r="AV100" s="51" t="str">
        <f t="shared" si="71"/>
        <v/>
      </c>
      <c r="AW100" s="51" t="str">
        <f t="shared" si="72"/>
        <v/>
      </c>
      <c r="AX100" s="51" t="str">
        <f t="shared" si="73"/>
        <v/>
      </c>
      <c r="AY100" s="51" t="str">
        <f t="shared" si="74"/>
        <v/>
      </c>
      <c r="AZ100" s="51" t="str">
        <f t="shared" si="75"/>
        <v/>
      </c>
      <c r="BA100" s="51" t="str">
        <f t="shared" si="76"/>
        <v/>
      </c>
      <c r="BB100" s="51" t="str">
        <f t="shared" si="77"/>
        <v/>
      </c>
      <c r="BC100" s="51" t="str">
        <f t="shared" si="78"/>
        <v/>
      </c>
      <c r="BD100" s="51" t="str">
        <f t="shared" si="79"/>
        <v/>
      </c>
      <c r="BE100" s="51" t="str">
        <f t="shared" si="80"/>
        <v/>
      </c>
      <c r="BF100" s="51" t="str">
        <f t="shared" si="81"/>
        <v/>
      </c>
      <c r="BG100" s="51" t="str">
        <f t="shared" si="82"/>
        <v/>
      </c>
      <c r="BH100" s="51" t="b">
        <f t="shared" si="83"/>
        <v>0</v>
      </c>
      <c r="BI100" s="51" t="str">
        <f t="shared" si="84"/>
        <v/>
      </c>
      <c r="BJ100" s="51" t="str">
        <f t="shared" si="85"/>
        <v/>
      </c>
      <c r="BK100" s="51" t="b">
        <f t="shared" si="86"/>
        <v>0</v>
      </c>
      <c r="BL100" s="192"/>
    </row>
    <row r="101" spans="1:64" ht="13.5" thickBot="1" x14ac:dyDescent="0.25">
      <c r="A101" s="185" t="s">
        <v>793</v>
      </c>
      <c r="B101" s="194" t="s">
        <v>695</v>
      </c>
      <c r="C101" s="194" t="s">
        <v>695</v>
      </c>
      <c r="D101" s="193" t="s">
        <v>694</v>
      </c>
      <c r="E101" s="193" t="s">
        <v>694</v>
      </c>
      <c r="F101" s="160" t="s">
        <v>20</v>
      </c>
      <c r="G101" s="161"/>
      <c r="H101" s="186" t="str">
        <f t="shared" si="44"/>
        <v>N/A</v>
      </c>
      <c r="I101" s="186" t="b">
        <f t="shared" si="45"/>
        <v>1</v>
      </c>
      <c r="J101" s="186" t="str">
        <f t="shared" si="46"/>
        <v>N/A</v>
      </c>
      <c r="K101" s="186" t="b">
        <f t="shared" si="47"/>
        <v>1</v>
      </c>
      <c r="L101" s="186" t="str">
        <f t="shared" si="48"/>
        <v>Used?</v>
      </c>
      <c r="M101" s="186" t="b">
        <f t="shared" si="49"/>
        <v>0</v>
      </c>
      <c r="N101" s="186" t="str">
        <f t="shared" si="50"/>
        <v>Used?</v>
      </c>
      <c r="O101" s="186" t="b">
        <f t="shared" si="51"/>
        <v>0</v>
      </c>
      <c r="P101" s="26" t="s">
        <v>696</v>
      </c>
      <c r="Q101" s="160" t="s">
        <v>20</v>
      </c>
      <c r="R101" s="160" t="s">
        <v>20</v>
      </c>
      <c r="S101" s="26" t="s">
        <v>697</v>
      </c>
      <c r="T101" s="165" t="str">
        <f t="shared" si="52"/>
        <v>Not Used</v>
      </c>
      <c r="U101" s="162"/>
      <c r="V101" s="55"/>
      <c r="W101" s="51" t="b">
        <f t="shared" si="53"/>
        <v>1</v>
      </c>
      <c r="X101" s="51" t="str">
        <f t="shared" si="54"/>
        <v>Not Used</v>
      </c>
      <c r="Y101" s="51" t="str">
        <f t="shared" si="55"/>
        <v>Not Used</v>
      </c>
      <c r="Z101" s="51" t="str">
        <f t="shared" si="56"/>
        <v>Not Used</v>
      </c>
      <c r="AA101" s="51" t="str">
        <f t="shared" si="56"/>
        <v>Not Used</v>
      </c>
      <c r="AB101" s="51" t="str">
        <f t="shared" si="57"/>
        <v>Not Used</v>
      </c>
      <c r="AC101" s="51" t="b">
        <f t="shared" si="58"/>
        <v>1</v>
      </c>
      <c r="AD101" s="51">
        <f>COUNTIF($X$5:$X$101, "Not Used")</f>
        <v>97</v>
      </c>
      <c r="AE101" s="51">
        <f>COUNTIF($X$5:$X$101, "TRUE")</f>
        <v>0</v>
      </c>
      <c r="AF101" s="51" t="b">
        <f t="shared" si="59"/>
        <v>1</v>
      </c>
      <c r="AI101" s="51" t="b">
        <f t="shared" si="60"/>
        <v>0</v>
      </c>
      <c r="AJ101" s="51" t="b">
        <f t="shared" si="61"/>
        <v>0</v>
      </c>
      <c r="AK101" s="51" t="b">
        <f t="shared" si="62"/>
        <v>0</v>
      </c>
      <c r="AL101" s="51" t="b">
        <f t="shared" si="63"/>
        <v>0</v>
      </c>
      <c r="AM101" s="51" t="b">
        <f t="shared" si="64"/>
        <v>0</v>
      </c>
      <c r="AN101" s="51"/>
      <c r="AO101" s="51" t="b">
        <f t="shared" si="65"/>
        <v>0</v>
      </c>
      <c r="AP101" s="51" t="str">
        <f t="shared" si="87"/>
        <v>Tier 2 MMS</v>
      </c>
      <c r="AQ101" s="51" t="b">
        <f t="shared" si="66"/>
        <v>0</v>
      </c>
      <c r="AR101" s="51" t="b">
        <f t="shared" si="67"/>
        <v>0</v>
      </c>
      <c r="AS101" s="51" t="str">
        <f t="shared" si="68"/>
        <v/>
      </c>
      <c r="AT101" s="51" t="str">
        <f t="shared" si="69"/>
        <v/>
      </c>
      <c r="AU101" s="51" t="str">
        <f t="shared" si="70"/>
        <v/>
      </c>
      <c r="AV101" s="51" t="str">
        <f t="shared" si="71"/>
        <v/>
      </c>
      <c r="AW101" s="51" t="str">
        <f t="shared" si="72"/>
        <v/>
      </c>
      <c r="AX101" s="51" t="str">
        <f t="shared" si="73"/>
        <v/>
      </c>
      <c r="AY101" s="51" t="str">
        <f t="shared" si="74"/>
        <v/>
      </c>
      <c r="AZ101" s="51" t="str">
        <f t="shared" si="75"/>
        <v/>
      </c>
      <c r="BA101" s="51" t="str">
        <f t="shared" si="76"/>
        <v/>
      </c>
      <c r="BB101" s="51" t="str">
        <f t="shared" si="77"/>
        <v/>
      </c>
      <c r="BC101" s="51" t="str">
        <f t="shared" si="78"/>
        <v/>
      </c>
      <c r="BD101" s="51" t="str">
        <f t="shared" si="79"/>
        <v/>
      </c>
      <c r="BE101" s="51" t="str">
        <f t="shared" si="80"/>
        <v/>
      </c>
      <c r="BF101" s="51" t="str">
        <f t="shared" si="81"/>
        <v/>
      </c>
      <c r="BG101" s="51" t="str">
        <f t="shared" si="82"/>
        <v/>
      </c>
      <c r="BH101" s="51" t="b">
        <f t="shared" si="83"/>
        <v>0</v>
      </c>
      <c r="BI101" s="51" t="str">
        <f t="shared" si="84"/>
        <v/>
      </c>
      <c r="BJ101" s="51" t="str">
        <f t="shared" si="85"/>
        <v/>
      </c>
      <c r="BK101" s="51" t="b">
        <f t="shared" si="86"/>
        <v>0</v>
      </c>
      <c r="BL101" s="192"/>
    </row>
    <row r="102" spans="1:64" ht="13.5" thickBot="1" x14ac:dyDescent="0.25">
      <c r="A102" s="185" t="s">
        <v>794</v>
      </c>
      <c r="B102" s="194" t="s">
        <v>695</v>
      </c>
      <c r="C102" s="194" t="s">
        <v>695</v>
      </c>
      <c r="D102" s="193" t="s">
        <v>694</v>
      </c>
      <c r="E102" s="193" t="s">
        <v>694</v>
      </c>
      <c r="F102" s="160" t="s">
        <v>20</v>
      </c>
      <c r="G102" s="161"/>
      <c r="H102" s="186" t="str">
        <f t="shared" si="44"/>
        <v>N/A</v>
      </c>
      <c r="I102" s="186" t="b">
        <f t="shared" si="45"/>
        <v>1</v>
      </c>
      <c r="J102" s="186" t="str">
        <f t="shared" si="46"/>
        <v>N/A</v>
      </c>
      <c r="K102" s="186" t="b">
        <f t="shared" si="47"/>
        <v>1</v>
      </c>
      <c r="L102" s="186" t="str">
        <f t="shared" si="48"/>
        <v>Used?</v>
      </c>
      <c r="M102" s="186" t="b">
        <f t="shared" si="49"/>
        <v>0</v>
      </c>
      <c r="N102" s="186" t="str">
        <f t="shared" si="50"/>
        <v>Used?</v>
      </c>
      <c r="O102" s="186" t="b">
        <f t="shared" si="51"/>
        <v>0</v>
      </c>
      <c r="P102" s="26" t="s">
        <v>696</v>
      </c>
      <c r="Q102" s="160" t="s">
        <v>20</v>
      </c>
      <c r="R102" s="160" t="s">
        <v>20</v>
      </c>
      <c r="S102" s="26" t="s">
        <v>697</v>
      </c>
      <c r="T102" s="165" t="str">
        <f t="shared" si="52"/>
        <v>Not Used</v>
      </c>
      <c r="U102" s="162"/>
      <c r="V102" s="55"/>
      <c r="W102" s="51" t="b">
        <f t="shared" si="53"/>
        <v>1</v>
      </c>
      <c r="X102" s="51" t="str">
        <f t="shared" si="54"/>
        <v>Not Used</v>
      </c>
      <c r="Y102" s="51" t="str">
        <f t="shared" si="55"/>
        <v>Not Used</v>
      </c>
      <c r="Z102" s="51" t="str">
        <f t="shared" si="56"/>
        <v>Not Used</v>
      </c>
      <c r="AA102" s="51" t="str">
        <f t="shared" si="56"/>
        <v>Not Used</v>
      </c>
      <c r="AB102" s="51" t="str">
        <f t="shared" si="57"/>
        <v>Not Used</v>
      </c>
      <c r="AC102" s="51" t="b">
        <f t="shared" si="58"/>
        <v>1</v>
      </c>
      <c r="AD102" s="51">
        <f>COUNTIF($X$5:$X$102, "Not Used")</f>
        <v>98</v>
      </c>
      <c r="AE102" s="51">
        <f>COUNTIF($X$5:$X$102, "TRUE")</f>
        <v>0</v>
      </c>
      <c r="AF102" s="51" t="b">
        <f t="shared" si="59"/>
        <v>1</v>
      </c>
      <c r="AI102" s="51" t="b">
        <f t="shared" si="60"/>
        <v>0</v>
      </c>
      <c r="AJ102" s="51" t="b">
        <f t="shared" si="61"/>
        <v>0</v>
      </c>
      <c r="AK102" s="51" t="b">
        <f t="shared" si="62"/>
        <v>0</v>
      </c>
      <c r="AL102" s="51" t="b">
        <f t="shared" si="63"/>
        <v>0</v>
      </c>
      <c r="AM102" s="51" t="b">
        <f t="shared" si="64"/>
        <v>0</v>
      </c>
      <c r="AN102" s="51"/>
      <c r="AO102" s="51" t="b">
        <f t="shared" si="65"/>
        <v>0</v>
      </c>
      <c r="AP102" s="51" t="str">
        <f t="shared" si="87"/>
        <v>Tier 2 MMS</v>
      </c>
      <c r="AQ102" s="51" t="b">
        <f t="shared" si="66"/>
        <v>0</v>
      </c>
      <c r="AR102" s="51" t="b">
        <f t="shared" si="67"/>
        <v>0</v>
      </c>
      <c r="AS102" s="51" t="str">
        <f t="shared" si="68"/>
        <v/>
      </c>
      <c r="AT102" s="51" t="str">
        <f t="shared" si="69"/>
        <v/>
      </c>
      <c r="AU102" s="51" t="str">
        <f t="shared" si="70"/>
        <v/>
      </c>
      <c r="AV102" s="51" t="str">
        <f t="shared" si="71"/>
        <v/>
      </c>
      <c r="AW102" s="51" t="str">
        <f t="shared" si="72"/>
        <v/>
      </c>
      <c r="AX102" s="51" t="str">
        <f t="shared" si="73"/>
        <v/>
      </c>
      <c r="AY102" s="51" t="str">
        <f t="shared" si="74"/>
        <v/>
      </c>
      <c r="AZ102" s="51" t="str">
        <f t="shared" si="75"/>
        <v/>
      </c>
      <c r="BA102" s="51" t="str">
        <f t="shared" si="76"/>
        <v/>
      </c>
      <c r="BB102" s="51" t="str">
        <f t="shared" si="77"/>
        <v/>
      </c>
      <c r="BC102" s="51" t="str">
        <f t="shared" si="78"/>
        <v/>
      </c>
      <c r="BD102" s="51" t="str">
        <f t="shared" si="79"/>
        <v/>
      </c>
      <c r="BE102" s="51" t="str">
        <f t="shared" si="80"/>
        <v/>
      </c>
      <c r="BF102" s="51" t="str">
        <f t="shared" si="81"/>
        <v/>
      </c>
      <c r="BG102" s="51" t="str">
        <f t="shared" si="82"/>
        <v/>
      </c>
      <c r="BH102" s="51" t="b">
        <f t="shared" si="83"/>
        <v>0</v>
      </c>
      <c r="BI102" s="51" t="str">
        <f t="shared" si="84"/>
        <v/>
      </c>
      <c r="BJ102" s="51" t="str">
        <f t="shared" si="85"/>
        <v/>
      </c>
      <c r="BK102" s="51" t="b">
        <f t="shared" si="86"/>
        <v>0</v>
      </c>
      <c r="BL102" s="192"/>
    </row>
    <row r="103" spans="1:64" ht="13.5" thickBot="1" x14ac:dyDescent="0.25">
      <c r="A103" s="185" t="s">
        <v>795</v>
      </c>
      <c r="B103" s="194" t="s">
        <v>695</v>
      </c>
      <c r="C103" s="194" t="s">
        <v>695</v>
      </c>
      <c r="D103" s="193" t="s">
        <v>694</v>
      </c>
      <c r="E103" s="193" t="s">
        <v>694</v>
      </c>
      <c r="F103" s="160" t="s">
        <v>20</v>
      </c>
      <c r="G103" s="161"/>
      <c r="H103" s="186" t="str">
        <f t="shared" si="44"/>
        <v>N/A</v>
      </c>
      <c r="I103" s="186" t="b">
        <f t="shared" si="45"/>
        <v>1</v>
      </c>
      <c r="J103" s="186" t="str">
        <f t="shared" si="46"/>
        <v>N/A</v>
      </c>
      <c r="K103" s="186" t="b">
        <f t="shared" si="47"/>
        <v>1</v>
      </c>
      <c r="L103" s="186" t="str">
        <f t="shared" si="48"/>
        <v>Used?</v>
      </c>
      <c r="M103" s="186" t="b">
        <f t="shared" si="49"/>
        <v>0</v>
      </c>
      <c r="N103" s="186" t="str">
        <f t="shared" si="50"/>
        <v>Used?</v>
      </c>
      <c r="O103" s="186" t="b">
        <f t="shared" si="51"/>
        <v>0</v>
      </c>
      <c r="P103" s="26" t="s">
        <v>696</v>
      </c>
      <c r="Q103" s="160" t="s">
        <v>20</v>
      </c>
      <c r="R103" s="160" t="s">
        <v>20</v>
      </c>
      <c r="S103" s="26" t="s">
        <v>697</v>
      </c>
      <c r="T103" s="165" t="str">
        <f t="shared" si="52"/>
        <v>Not Used</v>
      </c>
      <c r="U103" s="162"/>
      <c r="V103" s="55"/>
      <c r="W103" s="51" t="b">
        <f t="shared" si="53"/>
        <v>1</v>
      </c>
      <c r="X103" s="51" t="str">
        <f t="shared" si="54"/>
        <v>Not Used</v>
      </c>
      <c r="Y103" s="51" t="str">
        <f t="shared" si="55"/>
        <v>Not Used</v>
      </c>
      <c r="Z103" s="51" t="str">
        <f t="shared" si="56"/>
        <v>Not Used</v>
      </c>
      <c r="AA103" s="51" t="str">
        <f t="shared" si="56"/>
        <v>Not Used</v>
      </c>
      <c r="AB103" s="51" t="str">
        <f t="shared" si="57"/>
        <v>Not Used</v>
      </c>
      <c r="AC103" s="51" t="b">
        <f t="shared" si="58"/>
        <v>1</v>
      </c>
      <c r="AD103" s="51">
        <f>COUNTIF($X$5:$X$103, "Not Used")</f>
        <v>99</v>
      </c>
      <c r="AE103" s="51">
        <f>COUNTIF($X$5:$X$103, "TRUE")</f>
        <v>0</v>
      </c>
      <c r="AF103" s="51" t="b">
        <f t="shared" si="59"/>
        <v>1</v>
      </c>
      <c r="AI103" s="51" t="b">
        <f t="shared" si="60"/>
        <v>0</v>
      </c>
      <c r="AJ103" s="51" t="b">
        <f t="shared" si="61"/>
        <v>0</v>
      </c>
      <c r="AK103" s="51" t="b">
        <f t="shared" si="62"/>
        <v>0</v>
      </c>
      <c r="AL103" s="51" t="b">
        <f t="shared" si="63"/>
        <v>0</v>
      </c>
      <c r="AM103" s="51" t="b">
        <f t="shared" si="64"/>
        <v>0</v>
      </c>
      <c r="AN103" s="51"/>
      <c r="AO103" s="51" t="b">
        <f t="shared" si="65"/>
        <v>0</v>
      </c>
      <c r="AP103" s="51" t="str">
        <f t="shared" si="87"/>
        <v>Tier 2 MMS</v>
      </c>
      <c r="AQ103" s="51" t="b">
        <f t="shared" si="66"/>
        <v>0</v>
      </c>
      <c r="AR103" s="51" t="b">
        <f t="shared" si="67"/>
        <v>0</v>
      </c>
      <c r="AS103" s="51" t="str">
        <f t="shared" si="68"/>
        <v/>
      </c>
      <c r="AT103" s="51" t="str">
        <f t="shared" si="69"/>
        <v/>
      </c>
      <c r="AU103" s="51" t="str">
        <f t="shared" si="70"/>
        <v/>
      </c>
      <c r="AV103" s="51" t="str">
        <f t="shared" si="71"/>
        <v/>
      </c>
      <c r="AW103" s="51" t="str">
        <f t="shared" si="72"/>
        <v/>
      </c>
      <c r="AX103" s="51" t="str">
        <f t="shared" si="73"/>
        <v/>
      </c>
      <c r="AY103" s="51" t="str">
        <f t="shared" si="74"/>
        <v/>
      </c>
      <c r="AZ103" s="51" t="str">
        <f t="shared" si="75"/>
        <v/>
      </c>
      <c r="BA103" s="51" t="str">
        <f t="shared" si="76"/>
        <v/>
      </c>
      <c r="BB103" s="51" t="str">
        <f t="shared" si="77"/>
        <v/>
      </c>
      <c r="BC103" s="51" t="str">
        <f t="shared" si="78"/>
        <v/>
      </c>
      <c r="BD103" s="51" t="str">
        <f t="shared" si="79"/>
        <v/>
      </c>
      <c r="BE103" s="51" t="str">
        <f t="shared" si="80"/>
        <v/>
      </c>
      <c r="BF103" s="51" t="str">
        <f t="shared" si="81"/>
        <v/>
      </c>
      <c r="BG103" s="51" t="str">
        <f t="shared" si="82"/>
        <v/>
      </c>
      <c r="BH103" s="51" t="b">
        <f t="shared" si="83"/>
        <v>0</v>
      </c>
      <c r="BI103" s="51" t="str">
        <f t="shared" si="84"/>
        <v/>
      </c>
      <c r="BJ103" s="51" t="str">
        <f t="shared" si="85"/>
        <v/>
      </c>
      <c r="BK103" s="51" t="b">
        <f t="shared" si="86"/>
        <v>0</v>
      </c>
      <c r="BL103" s="192"/>
    </row>
    <row r="104" spans="1:64" ht="13.5" thickBot="1" x14ac:dyDescent="0.25">
      <c r="A104" s="185" t="s">
        <v>796</v>
      </c>
      <c r="B104" s="194" t="s">
        <v>695</v>
      </c>
      <c r="C104" s="194" t="s">
        <v>695</v>
      </c>
      <c r="D104" s="193" t="s">
        <v>694</v>
      </c>
      <c r="E104" s="193" t="s">
        <v>694</v>
      </c>
      <c r="F104" s="160" t="s">
        <v>20</v>
      </c>
      <c r="G104" s="161"/>
      <c r="H104" s="186" t="str">
        <f t="shared" si="44"/>
        <v>N/A</v>
      </c>
      <c r="I104" s="186" t="b">
        <f t="shared" si="45"/>
        <v>1</v>
      </c>
      <c r="J104" s="186" t="str">
        <f t="shared" si="46"/>
        <v>N/A</v>
      </c>
      <c r="K104" s="186" t="b">
        <f t="shared" si="47"/>
        <v>1</v>
      </c>
      <c r="L104" s="186" t="str">
        <f t="shared" si="48"/>
        <v>Used?</v>
      </c>
      <c r="M104" s="186" t="b">
        <f t="shared" si="49"/>
        <v>0</v>
      </c>
      <c r="N104" s="186" t="str">
        <f t="shared" si="50"/>
        <v>Used?</v>
      </c>
      <c r="O104" s="186" t="b">
        <f t="shared" si="51"/>
        <v>0</v>
      </c>
      <c r="P104" s="26" t="s">
        <v>696</v>
      </c>
      <c r="Q104" s="160" t="s">
        <v>20</v>
      </c>
      <c r="R104" s="160" t="s">
        <v>20</v>
      </c>
      <c r="S104" s="26" t="s">
        <v>697</v>
      </c>
      <c r="T104" s="165" t="str">
        <f t="shared" si="52"/>
        <v>Not Used</v>
      </c>
      <c r="U104" s="162"/>
      <c r="V104" s="55"/>
      <c r="W104" s="51" t="b">
        <f t="shared" si="53"/>
        <v>1</v>
      </c>
      <c r="X104" s="51" t="str">
        <f t="shared" si="54"/>
        <v>Not Used</v>
      </c>
      <c r="Y104" s="51" t="str">
        <f t="shared" si="55"/>
        <v>Not Used</v>
      </c>
      <c r="Z104" s="51" t="str">
        <f t="shared" si="56"/>
        <v>Not Used</v>
      </c>
      <c r="AA104" s="51" t="str">
        <f t="shared" si="56"/>
        <v>Not Used</v>
      </c>
      <c r="AB104" s="51" t="str">
        <f t="shared" si="57"/>
        <v>Not Used</v>
      </c>
      <c r="AC104" s="51" t="b">
        <f t="shared" si="58"/>
        <v>1</v>
      </c>
      <c r="AD104" s="51">
        <f>COUNTIF($X$5:$X$104, "Not Used")</f>
        <v>100</v>
      </c>
      <c r="AE104" s="51">
        <f>COUNTIF($X$5:$X$104, "TRUE")</f>
        <v>0</v>
      </c>
      <c r="AF104" s="51" t="b">
        <f t="shared" si="59"/>
        <v>1</v>
      </c>
      <c r="AI104" s="51" t="b">
        <f t="shared" si="60"/>
        <v>0</v>
      </c>
      <c r="AJ104" s="51" t="b">
        <f t="shared" si="61"/>
        <v>0</v>
      </c>
      <c r="AK104" s="51" t="b">
        <f t="shared" si="62"/>
        <v>0</v>
      </c>
      <c r="AL104" s="51" t="b">
        <f t="shared" si="63"/>
        <v>0</v>
      </c>
      <c r="AM104" s="51" t="b">
        <f t="shared" si="64"/>
        <v>0</v>
      </c>
      <c r="AN104" s="51"/>
      <c r="AO104" s="51" t="b">
        <f t="shared" si="65"/>
        <v>0</v>
      </c>
      <c r="AP104" s="51" t="str">
        <f t="shared" si="87"/>
        <v>Tier 2 MMS</v>
      </c>
      <c r="AQ104" s="51" t="b">
        <f t="shared" si="66"/>
        <v>0</v>
      </c>
      <c r="AR104" s="51" t="b">
        <f t="shared" si="67"/>
        <v>0</v>
      </c>
      <c r="AS104" s="51" t="str">
        <f t="shared" si="68"/>
        <v/>
      </c>
      <c r="AT104" s="51" t="str">
        <f t="shared" si="69"/>
        <v/>
      </c>
      <c r="AU104" s="51" t="str">
        <f t="shared" si="70"/>
        <v/>
      </c>
      <c r="AV104" s="51" t="str">
        <f t="shared" si="71"/>
        <v/>
      </c>
      <c r="AW104" s="51" t="str">
        <f t="shared" si="72"/>
        <v/>
      </c>
      <c r="AX104" s="51" t="str">
        <f t="shared" si="73"/>
        <v/>
      </c>
      <c r="AY104" s="51" t="str">
        <f t="shared" si="74"/>
        <v/>
      </c>
      <c r="AZ104" s="51" t="str">
        <f t="shared" si="75"/>
        <v/>
      </c>
      <c r="BA104" s="51" t="str">
        <f t="shared" si="76"/>
        <v/>
      </c>
      <c r="BB104" s="51" t="str">
        <f t="shared" si="77"/>
        <v/>
      </c>
      <c r="BC104" s="51" t="str">
        <f t="shared" si="78"/>
        <v/>
      </c>
      <c r="BD104" s="51" t="str">
        <f t="shared" si="79"/>
        <v/>
      </c>
      <c r="BE104" s="51" t="str">
        <f t="shared" si="80"/>
        <v/>
      </c>
      <c r="BF104" s="51" t="str">
        <f t="shared" si="81"/>
        <v/>
      </c>
      <c r="BG104" s="51" t="str">
        <f t="shared" si="82"/>
        <v/>
      </c>
      <c r="BH104" s="51" t="b">
        <f t="shared" si="83"/>
        <v>0</v>
      </c>
      <c r="BI104" s="51" t="str">
        <f t="shared" si="84"/>
        <v/>
      </c>
      <c r="BJ104" s="51" t="str">
        <f t="shared" si="85"/>
        <v/>
      </c>
      <c r="BK104" s="51" t="b">
        <f t="shared" si="86"/>
        <v>0</v>
      </c>
      <c r="BL104" s="192"/>
    </row>
    <row r="105" spans="1:64" ht="13.5" thickBot="1" x14ac:dyDescent="0.25">
      <c r="A105" s="185" t="s">
        <v>797</v>
      </c>
      <c r="B105" s="194" t="s">
        <v>695</v>
      </c>
      <c r="C105" s="194" t="s">
        <v>695</v>
      </c>
      <c r="D105" s="193" t="s">
        <v>694</v>
      </c>
      <c r="E105" s="193" t="s">
        <v>694</v>
      </c>
      <c r="F105" s="160" t="s">
        <v>20</v>
      </c>
      <c r="G105" s="161"/>
      <c r="H105" s="186" t="str">
        <f t="shared" si="44"/>
        <v>N/A</v>
      </c>
      <c r="I105" s="186" t="b">
        <f t="shared" si="45"/>
        <v>1</v>
      </c>
      <c r="J105" s="186" t="str">
        <f t="shared" si="46"/>
        <v>N/A</v>
      </c>
      <c r="K105" s="186" t="b">
        <f t="shared" si="47"/>
        <v>1</v>
      </c>
      <c r="L105" s="186" t="str">
        <f t="shared" si="48"/>
        <v>Used?</v>
      </c>
      <c r="M105" s="186" t="b">
        <f t="shared" si="49"/>
        <v>0</v>
      </c>
      <c r="N105" s="186" t="str">
        <f t="shared" si="50"/>
        <v>Used?</v>
      </c>
      <c r="O105" s="186" t="b">
        <f t="shared" si="51"/>
        <v>0</v>
      </c>
      <c r="P105" s="26" t="s">
        <v>696</v>
      </c>
      <c r="Q105" s="160" t="s">
        <v>20</v>
      </c>
      <c r="R105" s="160" t="s">
        <v>20</v>
      </c>
      <c r="S105" s="26" t="s">
        <v>697</v>
      </c>
      <c r="T105" s="165" t="str">
        <f t="shared" si="52"/>
        <v>Not Used</v>
      </c>
      <c r="U105" s="162"/>
      <c r="V105" s="55"/>
      <c r="W105" s="51" t="b">
        <f t="shared" si="53"/>
        <v>1</v>
      </c>
      <c r="X105" s="51" t="str">
        <f t="shared" si="54"/>
        <v>Not Used</v>
      </c>
      <c r="Y105" s="51" t="str">
        <f t="shared" si="55"/>
        <v>Not Used</v>
      </c>
      <c r="Z105" s="51" t="str">
        <f t="shared" si="56"/>
        <v>Not Used</v>
      </c>
      <c r="AA105" s="51" t="str">
        <f t="shared" si="56"/>
        <v>Not Used</v>
      </c>
      <c r="AB105" s="51" t="str">
        <f t="shared" si="57"/>
        <v>Not Used</v>
      </c>
      <c r="AC105" s="51" t="b">
        <f t="shared" si="58"/>
        <v>1</v>
      </c>
      <c r="AD105" s="51">
        <f>COUNTIF($X$5:$X$105, "Not Used")</f>
        <v>101</v>
      </c>
      <c r="AE105" s="51">
        <f>COUNTIF($X$5:$X$105, "TRUE")</f>
        <v>0</v>
      </c>
      <c r="AF105" s="51" t="b">
        <f t="shared" si="59"/>
        <v>1</v>
      </c>
      <c r="AI105" s="51" t="b">
        <f t="shared" si="60"/>
        <v>0</v>
      </c>
      <c r="AJ105" s="51" t="b">
        <f t="shared" si="61"/>
        <v>0</v>
      </c>
      <c r="AK105" s="51" t="b">
        <f t="shared" si="62"/>
        <v>0</v>
      </c>
      <c r="AL105" s="51" t="b">
        <f t="shared" si="63"/>
        <v>0</v>
      </c>
      <c r="AM105" s="51" t="b">
        <f t="shared" si="64"/>
        <v>0</v>
      </c>
      <c r="AN105" s="51"/>
      <c r="AO105" s="51" t="b">
        <f t="shared" si="65"/>
        <v>0</v>
      </c>
      <c r="AP105" s="51" t="str">
        <f t="shared" si="87"/>
        <v>Tier 2 MMS</v>
      </c>
      <c r="AQ105" s="51" t="b">
        <f t="shared" si="66"/>
        <v>0</v>
      </c>
      <c r="AR105" s="51" t="b">
        <f t="shared" si="67"/>
        <v>0</v>
      </c>
      <c r="AS105" s="51" t="str">
        <f t="shared" si="68"/>
        <v/>
      </c>
      <c r="AT105" s="51" t="str">
        <f t="shared" si="69"/>
        <v/>
      </c>
      <c r="AU105" s="51" t="str">
        <f t="shared" si="70"/>
        <v/>
      </c>
      <c r="AV105" s="51" t="str">
        <f t="shared" si="71"/>
        <v/>
      </c>
      <c r="AW105" s="51" t="str">
        <f t="shared" si="72"/>
        <v/>
      </c>
      <c r="AX105" s="51" t="str">
        <f t="shared" si="73"/>
        <v/>
      </c>
      <c r="AY105" s="51" t="str">
        <f t="shared" si="74"/>
        <v/>
      </c>
      <c r="AZ105" s="51" t="str">
        <f t="shared" si="75"/>
        <v/>
      </c>
      <c r="BA105" s="51" t="str">
        <f t="shared" si="76"/>
        <v/>
      </c>
      <c r="BB105" s="51" t="str">
        <f t="shared" si="77"/>
        <v/>
      </c>
      <c r="BC105" s="51" t="str">
        <f t="shared" si="78"/>
        <v/>
      </c>
      <c r="BD105" s="51" t="str">
        <f t="shared" si="79"/>
        <v/>
      </c>
      <c r="BE105" s="51" t="str">
        <f t="shared" si="80"/>
        <v/>
      </c>
      <c r="BF105" s="51" t="str">
        <f t="shared" si="81"/>
        <v/>
      </c>
      <c r="BG105" s="51" t="str">
        <f t="shared" si="82"/>
        <v/>
      </c>
      <c r="BH105" s="51" t="b">
        <f t="shared" si="83"/>
        <v>0</v>
      </c>
      <c r="BI105" s="51" t="str">
        <f t="shared" si="84"/>
        <v/>
      </c>
      <c r="BJ105" s="51" t="str">
        <f t="shared" si="85"/>
        <v/>
      </c>
      <c r="BK105" s="51" t="b">
        <f t="shared" si="86"/>
        <v>0</v>
      </c>
      <c r="BL105" s="192"/>
    </row>
    <row r="106" spans="1:64" ht="13.5" thickBot="1" x14ac:dyDescent="0.25">
      <c r="A106" s="185" t="s">
        <v>798</v>
      </c>
      <c r="B106" s="194" t="s">
        <v>695</v>
      </c>
      <c r="C106" s="194" t="s">
        <v>695</v>
      </c>
      <c r="D106" s="193" t="s">
        <v>694</v>
      </c>
      <c r="E106" s="193" t="s">
        <v>694</v>
      </c>
      <c r="F106" s="160" t="s">
        <v>20</v>
      </c>
      <c r="G106" s="161"/>
      <c r="H106" s="186" t="str">
        <f t="shared" si="44"/>
        <v>N/A</v>
      </c>
      <c r="I106" s="186" t="b">
        <f t="shared" si="45"/>
        <v>1</v>
      </c>
      <c r="J106" s="186" t="str">
        <f t="shared" si="46"/>
        <v>N/A</v>
      </c>
      <c r="K106" s="186" t="b">
        <f t="shared" si="47"/>
        <v>1</v>
      </c>
      <c r="L106" s="186" t="str">
        <f t="shared" si="48"/>
        <v>Used?</v>
      </c>
      <c r="M106" s="186" t="b">
        <f t="shared" si="49"/>
        <v>0</v>
      </c>
      <c r="N106" s="186" t="str">
        <f t="shared" si="50"/>
        <v>Used?</v>
      </c>
      <c r="O106" s="186" t="b">
        <f t="shared" si="51"/>
        <v>0</v>
      </c>
      <c r="P106" s="26" t="s">
        <v>696</v>
      </c>
      <c r="Q106" s="160" t="s">
        <v>20</v>
      </c>
      <c r="R106" s="160" t="s">
        <v>20</v>
      </c>
      <c r="S106" s="26" t="s">
        <v>697</v>
      </c>
      <c r="T106" s="165" t="str">
        <f t="shared" si="52"/>
        <v>Not Used</v>
      </c>
      <c r="U106" s="162"/>
      <c r="V106" s="55"/>
      <c r="W106" s="51" t="b">
        <f t="shared" si="53"/>
        <v>1</v>
      </c>
      <c r="X106" s="51" t="str">
        <f t="shared" si="54"/>
        <v>Not Used</v>
      </c>
      <c r="Y106" s="51" t="str">
        <f t="shared" si="55"/>
        <v>Not Used</v>
      </c>
      <c r="Z106" s="51" t="str">
        <f t="shared" si="56"/>
        <v>Not Used</v>
      </c>
      <c r="AA106" s="51" t="str">
        <f t="shared" si="56"/>
        <v>Not Used</v>
      </c>
      <c r="AB106" s="51" t="str">
        <f t="shared" si="57"/>
        <v>Not Used</v>
      </c>
      <c r="AC106" s="51" t="b">
        <f t="shared" si="58"/>
        <v>1</v>
      </c>
      <c r="AD106" s="51">
        <f>COUNTIF($X$5:$X$106, "Not Used")</f>
        <v>102</v>
      </c>
      <c r="AE106" s="51">
        <f>COUNTIF($X$5:$X$106, "TRUE")</f>
        <v>0</v>
      </c>
      <c r="AF106" s="51" t="b">
        <f t="shared" si="59"/>
        <v>1</v>
      </c>
      <c r="AI106" s="51" t="b">
        <f t="shared" si="60"/>
        <v>0</v>
      </c>
      <c r="AJ106" s="51" t="b">
        <f t="shared" si="61"/>
        <v>0</v>
      </c>
      <c r="AK106" s="51" t="b">
        <f t="shared" si="62"/>
        <v>0</v>
      </c>
      <c r="AL106" s="51" t="b">
        <f t="shared" si="63"/>
        <v>0</v>
      </c>
      <c r="AM106" s="51" t="b">
        <f t="shared" si="64"/>
        <v>0</v>
      </c>
      <c r="AN106" s="51"/>
      <c r="AO106" s="51" t="b">
        <f t="shared" si="65"/>
        <v>0</v>
      </c>
      <c r="AP106" s="51" t="str">
        <f t="shared" si="87"/>
        <v>Tier 2 MMS</v>
      </c>
      <c r="AQ106" s="51" t="b">
        <f t="shared" si="66"/>
        <v>0</v>
      </c>
      <c r="AR106" s="51" t="b">
        <f t="shared" si="67"/>
        <v>0</v>
      </c>
      <c r="AS106" s="51" t="str">
        <f t="shared" si="68"/>
        <v/>
      </c>
      <c r="AT106" s="51" t="str">
        <f t="shared" si="69"/>
        <v/>
      </c>
      <c r="AU106" s="51" t="str">
        <f t="shared" si="70"/>
        <v/>
      </c>
      <c r="AV106" s="51" t="str">
        <f t="shared" si="71"/>
        <v/>
      </c>
      <c r="AW106" s="51" t="str">
        <f t="shared" si="72"/>
        <v/>
      </c>
      <c r="AX106" s="51" t="str">
        <f t="shared" si="73"/>
        <v/>
      </c>
      <c r="AY106" s="51" t="str">
        <f t="shared" si="74"/>
        <v/>
      </c>
      <c r="AZ106" s="51" t="str">
        <f t="shared" si="75"/>
        <v/>
      </c>
      <c r="BA106" s="51" t="str">
        <f t="shared" si="76"/>
        <v/>
      </c>
      <c r="BB106" s="51" t="str">
        <f t="shared" si="77"/>
        <v/>
      </c>
      <c r="BC106" s="51" t="str">
        <f t="shared" si="78"/>
        <v/>
      </c>
      <c r="BD106" s="51" t="str">
        <f t="shared" si="79"/>
        <v/>
      </c>
      <c r="BE106" s="51" t="str">
        <f t="shared" si="80"/>
        <v/>
      </c>
      <c r="BF106" s="51" t="str">
        <f t="shared" si="81"/>
        <v/>
      </c>
      <c r="BG106" s="51" t="str">
        <f t="shared" si="82"/>
        <v/>
      </c>
      <c r="BH106" s="51" t="b">
        <f t="shared" si="83"/>
        <v>0</v>
      </c>
      <c r="BI106" s="51" t="str">
        <f t="shared" si="84"/>
        <v/>
      </c>
      <c r="BJ106" s="51" t="str">
        <f t="shared" si="85"/>
        <v/>
      </c>
      <c r="BK106" s="51" t="b">
        <f t="shared" si="86"/>
        <v>0</v>
      </c>
      <c r="BL106" s="192"/>
    </row>
    <row r="107" spans="1:64" ht="13.5" thickBot="1" x14ac:dyDescent="0.25">
      <c r="A107" s="185" t="s">
        <v>799</v>
      </c>
      <c r="B107" s="194" t="s">
        <v>695</v>
      </c>
      <c r="C107" s="194" t="s">
        <v>695</v>
      </c>
      <c r="D107" s="193" t="s">
        <v>694</v>
      </c>
      <c r="E107" s="193" t="s">
        <v>694</v>
      </c>
      <c r="F107" s="160" t="s">
        <v>20</v>
      </c>
      <c r="G107" s="161"/>
      <c r="H107" s="186" t="str">
        <f t="shared" si="44"/>
        <v>N/A</v>
      </c>
      <c r="I107" s="186" t="b">
        <f t="shared" si="45"/>
        <v>1</v>
      </c>
      <c r="J107" s="186" t="str">
        <f t="shared" si="46"/>
        <v>N/A</v>
      </c>
      <c r="K107" s="186" t="b">
        <f t="shared" si="47"/>
        <v>1</v>
      </c>
      <c r="L107" s="186" t="str">
        <f t="shared" si="48"/>
        <v>Used?</v>
      </c>
      <c r="M107" s="186" t="b">
        <f t="shared" si="49"/>
        <v>0</v>
      </c>
      <c r="N107" s="186" t="str">
        <f t="shared" si="50"/>
        <v>Used?</v>
      </c>
      <c r="O107" s="186" t="b">
        <f t="shared" si="51"/>
        <v>0</v>
      </c>
      <c r="P107" s="26" t="s">
        <v>696</v>
      </c>
      <c r="Q107" s="160" t="s">
        <v>20</v>
      </c>
      <c r="R107" s="160" t="s">
        <v>20</v>
      </c>
      <c r="S107" s="26" t="s">
        <v>697</v>
      </c>
      <c r="T107" s="165" t="str">
        <f t="shared" si="52"/>
        <v>Not Used</v>
      </c>
      <c r="U107" s="162"/>
      <c r="V107" s="55"/>
      <c r="W107" s="51" t="b">
        <f t="shared" si="53"/>
        <v>1</v>
      </c>
      <c r="X107" s="51" t="str">
        <f t="shared" si="54"/>
        <v>Not Used</v>
      </c>
      <c r="Y107" s="51" t="str">
        <f t="shared" si="55"/>
        <v>Not Used</v>
      </c>
      <c r="Z107" s="51" t="str">
        <f t="shared" si="56"/>
        <v>Not Used</v>
      </c>
      <c r="AA107" s="51" t="str">
        <f t="shared" si="56"/>
        <v>Not Used</v>
      </c>
      <c r="AB107" s="51" t="str">
        <f t="shared" si="57"/>
        <v>Not Used</v>
      </c>
      <c r="AC107" s="51" t="b">
        <f t="shared" si="58"/>
        <v>1</v>
      </c>
      <c r="AD107" s="51">
        <f>COUNTIF($X$5:$X$107, "Not Used")</f>
        <v>103</v>
      </c>
      <c r="AE107" s="51">
        <f>COUNTIF($X$5:$X$107, "TRUE")</f>
        <v>0</v>
      </c>
      <c r="AF107" s="51" t="b">
        <f t="shared" si="59"/>
        <v>1</v>
      </c>
      <c r="AI107" s="51" t="b">
        <f t="shared" si="60"/>
        <v>0</v>
      </c>
      <c r="AJ107" s="51" t="b">
        <f t="shared" si="61"/>
        <v>0</v>
      </c>
      <c r="AK107" s="51" t="b">
        <f t="shared" si="62"/>
        <v>0</v>
      </c>
      <c r="AL107" s="51" t="b">
        <f t="shared" si="63"/>
        <v>0</v>
      </c>
      <c r="AM107" s="51" t="b">
        <f t="shared" si="64"/>
        <v>0</v>
      </c>
      <c r="AN107" s="51"/>
      <c r="AO107" s="51" t="b">
        <f t="shared" si="65"/>
        <v>0</v>
      </c>
      <c r="AP107" s="51" t="str">
        <f t="shared" si="87"/>
        <v>Tier 2 MMS</v>
      </c>
      <c r="AQ107" s="51" t="b">
        <f t="shared" si="66"/>
        <v>0</v>
      </c>
      <c r="AR107" s="51" t="b">
        <f t="shared" si="67"/>
        <v>0</v>
      </c>
      <c r="AS107" s="51" t="str">
        <f t="shared" si="68"/>
        <v/>
      </c>
      <c r="AT107" s="51" t="str">
        <f t="shared" si="69"/>
        <v/>
      </c>
      <c r="AU107" s="51" t="str">
        <f t="shared" si="70"/>
        <v/>
      </c>
      <c r="AV107" s="51" t="str">
        <f t="shared" si="71"/>
        <v/>
      </c>
      <c r="AW107" s="51" t="str">
        <f t="shared" si="72"/>
        <v/>
      </c>
      <c r="AX107" s="51" t="str">
        <f t="shared" si="73"/>
        <v/>
      </c>
      <c r="AY107" s="51" t="str">
        <f t="shared" si="74"/>
        <v/>
      </c>
      <c r="AZ107" s="51" t="str">
        <f t="shared" si="75"/>
        <v/>
      </c>
      <c r="BA107" s="51" t="str">
        <f t="shared" si="76"/>
        <v/>
      </c>
      <c r="BB107" s="51" t="str">
        <f t="shared" si="77"/>
        <v/>
      </c>
      <c r="BC107" s="51" t="str">
        <f t="shared" si="78"/>
        <v/>
      </c>
      <c r="BD107" s="51" t="str">
        <f t="shared" si="79"/>
        <v/>
      </c>
      <c r="BE107" s="51" t="str">
        <f t="shared" si="80"/>
        <v/>
      </c>
      <c r="BF107" s="51" t="str">
        <f t="shared" si="81"/>
        <v/>
      </c>
      <c r="BG107" s="51" t="str">
        <f t="shared" si="82"/>
        <v/>
      </c>
      <c r="BH107" s="51" t="b">
        <f t="shared" si="83"/>
        <v>0</v>
      </c>
      <c r="BI107" s="51" t="str">
        <f t="shared" si="84"/>
        <v/>
      </c>
      <c r="BJ107" s="51" t="str">
        <f t="shared" si="85"/>
        <v/>
      </c>
      <c r="BK107" s="51" t="b">
        <f t="shared" si="86"/>
        <v>0</v>
      </c>
      <c r="BL107" s="192"/>
    </row>
    <row r="108" spans="1:64" ht="13.5" thickBot="1" x14ac:dyDescent="0.25">
      <c r="A108" s="185" t="s">
        <v>800</v>
      </c>
      <c r="B108" s="194" t="s">
        <v>695</v>
      </c>
      <c r="C108" s="194" t="s">
        <v>695</v>
      </c>
      <c r="D108" s="193" t="s">
        <v>694</v>
      </c>
      <c r="E108" s="193" t="s">
        <v>694</v>
      </c>
      <c r="F108" s="160" t="s">
        <v>20</v>
      </c>
      <c r="G108" s="161"/>
      <c r="H108" s="186" t="str">
        <f t="shared" si="44"/>
        <v>N/A</v>
      </c>
      <c r="I108" s="186" t="b">
        <f t="shared" si="45"/>
        <v>1</v>
      </c>
      <c r="J108" s="186" t="str">
        <f t="shared" si="46"/>
        <v>N/A</v>
      </c>
      <c r="K108" s="186" t="b">
        <f t="shared" si="47"/>
        <v>1</v>
      </c>
      <c r="L108" s="186" t="str">
        <f t="shared" si="48"/>
        <v>Used?</v>
      </c>
      <c r="M108" s="186" t="b">
        <f t="shared" si="49"/>
        <v>0</v>
      </c>
      <c r="N108" s="186" t="str">
        <f t="shared" si="50"/>
        <v>Used?</v>
      </c>
      <c r="O108" s="186" t="b">
        <f t="shared" si="51"/>
        <v>0</v>
      </c>
      <c r="P108" s="26" t="s">
        <v>696</v>
      </c>
      <c r="Q108" s="160" t="s">
        <v>20</v>
      </c>
      <c r="R108" s="160" t="s">
        <v>20</v>
      </c>
      <c r="S108" s="26" t="s">
        <v>697</v>
      </c>
      <c r="T108" s="165" t="str">
        <f t="shared" si="52"/>
        <v>Not Used</v>
      </c>
      <c r="U108" s="162"/>
      <c r="V108" s="55"/>
      <c r="W108" s="51" t="b">
        <f t="shared" si="53"/>
        <v>1</v>
      </c>
      <c r="X108" s="51" t="str">
        <f t="shared" si="54"/>
        <v>Not Used</v>
      </c>
      <c r="Y108" s="51" t="str">
        <f t="shared" si="55"/>
        <v>Not Used</v>
      </c>
      <c r="Z108" s="51" t="str">
        <f t="shared" si="56"/>
        <v>Not Used</v>
      </c>
      <c r="AA108" s="51" t="str">
        <f t="shared" si="56"/>
        <v>Not Used</v>
      </c>
      <c r="AB108" s="51" t="str">
        <f t="shared" si="57"/>
        <v>Not Used</v>
      </c>
      <c r="AC108" s="51" t="b">
        <f t="shared" si="58"/>
        <v>1</v>
      </c>
      <c r="AD108" s="51">
        <f>COUNTIF($X$5:$X$108, "Not Used")</f>
        <v>104</v>
      </c>
      <c r="AE108" s="51">
        <f>COUNTIF($X$5:$X$108, "TRUE")</f>
        <v>0</v>
      </c>
      <c r="AF108" s="51" t="b">
        <f t="shared" si="59"/>
        <v>1</v>
      </c>
      <c r="AI108" s="51" t="b">
        <f t="shared" si="60"/>
        <v>0</v>
      </c>
      <c r="AJ108" s="51" t="b">
        <f t="shared" si="61"/>
        <v>0</v>
      </c>
      <c r="AK108" s="51" t="b">
        <f t="shared" si="62"/>
        <v>0</v>
      </c>
      <c r="AL108" s="51" t="b">
        <f t="shared" si="63"/>
        <v>0</v>
      </c>
      <c r="AM108" s="51" t="b">
        <f t="shared" si="64"/>
        <v>0</v>
      </c>
      <c r="AN108" s="51"/>
      <c r="AO108" s="51" t="b">
        <f t="shared" si="65"/>
        <v>0</v>
      </c>
      <c r="AP108" s="51" t="str">
        <f t="shared" si="87"/>
        <v>Tier 2 MMS</v>
      </c>
      <c r="AQ108" s="51" t="b">
        <f t="shared" si="66"/>
        <v>0</v>
      </c>
      <c r="AR108" s="51" t="b">
        <f t="shared" si="67"/>
        <v>0</v>
      </c>
      <c r="AS108" s="51" t="str">
        <f t="shared" si="68"/>
        <v/>
      </c>
      <c r="AT108" s="51" t="str">
        <f t="shared" si="69"/>
        <v/>
      </c>
      <c r="AU108" s="51" t="str">
        <f t="shared" si="70"/>
        <v/>
      </c>
      <c r="AV108" s="51" t="str">
        <f t="shared" si="71"/>
        <v/>
      </c>
      <c r="AW108" s="51" t="str">
        <f t="shared" si="72"/>
        <v/>
      </c>
      <c r="AX108" s="51" t="str">
        <f t="shared" si="73"/>
        <v/>
      </c>
      <c r="AY108" s="51" t="str">
        <f t="shared" si="74"/>
        <v/>
      </c>
      <c r="AZ108" s="51" t="str">
        <f t="shared" si="75"/>
        <v/>
      </c>
      <c r="BA108" s="51" t="str">
        <f t="shared" si="76"/>
        <v/>
      </c>
      <c r="BB108" s="51" t="str">
        <f t="shared" si="77"/>
        <v/>
      </c>
      <c r="BC108" s="51" t="str">
        <f t="shared" si="78"/>
        <v/>
      </c>
      <c r="BD108" s="51" t="str">
        <f t="shared" si="79"/>
        <v/>
      </c>
      <c r="BE108" s="51" t="str">
        <f t="shared" si="80"/>
        <v/>
      </c>
      <c r="BF108" s="51" t="str">
        <f t="shared" si="81"/>
        <v/>
      </c>
      <c r="BG108" s="51" t="str">
        <f t="shared" si="82"/>
        <v/>
      </c>
      <c r="BH108" s="51" t="b">
        <f t="shared" si="83"/>
        <v>0</v>
      </c>
      <c r="BI108" s="51" t="str">
        <f t="shared" si="84"/>
        <v/>
      </c>
      <c r="BJ108" s="51" t="str">
        <f t="shared" si="85"/>
        <v/>
      </c>
      <c r="BK108" s="51" t="b">
        <f t="shared" si="86"/>
        <v>0</v>
      </c>
      <c r="BL108" s="192"/>
    </row>
    <row r="109" spans="1:64" ht="13.5" thickBot="1" x14ac:dyDescent="0.25">
      <c r="A109" s="185" t="s">
        <v>801</v>
      </c>
      <c r="B109" s="194" t="s">
        <v>695</v>
      </c>
      <c r="C109" s="194" t="s">
        <v>695</v>
      </c>
      <c r="D109" s="193" t="s">
        <v>694</v>
      </c>
      <c r="E109" s="193" t="s">
        <v>694</v>
      </c>
      <c r="F109" s="160" t="s">
        <v>20</v>
      </c>
      <c r="G109" s="161"/>
      <c r="H109" s="186" t="str">
        <f t="shared" si="44"/>
        <v>N/A</v>
      </c>
      <c r="I109" s="186" t="b">
        <f t="shared" si="45"/>
        <v>1</v>
      </c>
      <c r="J109" s="186" t="str">
        <f t="shared" si="46"/>
        <v>N/A</v>
      </c>
      <c r="K109" s="186" t="b">
        <f t="shared" si="47"/>
        <v>1</v>
      </c>
      <c r="L109" s="186" t="str">
        <f t="shared" si="48"/>
        <v>Used?</v>
      </c>
      <c r="M109" s="186" t="b">
        <f t="shared" si="49"/>
        <v>0</v>
      </c>
      <c r="N109" s="186" t="str">
        <f t="shared" si="50"/>
        <v>Used?</v>
      </c>
      <c r="O109" s="186" t="b">
        <f t="shared" si="51"/>
        <v>0</v>
      </c>
      <c r="P109" s="26" t="s">
        <v>696</v>
      </c>
      <c r="Q109" s="160" t="s">
        <v>20</v>
      </c>
      <c r="R109" s="160" t="s">
        <v>20</v>
      </c>
      <c r="S109" s="26" t="s">
        <v>697</v>
      </c>
      <c r="T109" s="165" t="str">
        <f t="shared" si="52"/>
        <v>Not Used</v>
      </c>
      <c r="U109" s="162"/>
      <c r="V109" s="55"/>
      <c r="W109" s="51" t="b">
        <f t="shared" si="53"/>
        <v>1</v>
      </c>
      <c r="X109" s="51" t="str">
        <f t="shared" si="54"/>
        <v>Not Used</v>
      </c>
      <c r="Y109" s="51" t="str">
        <f t="shared" si="55"/>
        <v>Not Used</v>
      </c>
      <c r="Z109" s="51" t="str">
        <f t="shared" si="56"/>
        <v>Not Used</v>
      </c>
      <c r="AA109" s="51" t="str">
        <f t="shared" si="56"/>
        <v>Not Used</v>
      </c>
      <c r="AB109" s="51" t="str">
        <f t="shared" si="57"/>
        <v>Not Used</v>
      </c>
      <c r="AC109" s="51" t="b">
        <f t="shared" si="58"/>
        <v>1</v>
      </c>
      <c r="AD109" s="51">
        <f>COUNTIF($X$5:$X$109, "Not Used")</f>
        <v>105</v>
      </c>
      <c r="AE109" s="51">
        <f>COUNTIF($X$5:$X$109, "TRUE")</f>
        <v>0</v>
      </c>
      <c r="AF109" s="51" t="b">
        <f t="shared" si="59"/>
        <v>1</v>
      </c>
      <c r="AI109" s="51" t="b">
        <f t="shared" si="60"/>
        <v>0</v>
      </c>
      <c r="AJ109" s="51" t="b">
        <f t="shared" si="61"/>
        <v>0</v>
      </c>
      <c r="AK109" s="51" t="b">
        <f t="shared" si="62"/>
        <v>0</v>
      </c>
      <c r="AL109" s="51" t="b">
        <f t="shared" si="63"/>
        <v>0</v>
      </c>
      <c r="AM109" s="51" t="b">
        <f t="shared" si="64"/>
        <v>0</v>
      </c>
      <c r="AN109" s="51"/>
      <c r="AO109" s="51" t="b">
        <f t="shared" si="65"/>
        <v>0</v>
      </c>
      <c r="AP109" s="51" t="str">
        <f t="shared" si="87"/>
        <v>Tier 2 MMS</v>
      </c>
      <c r="AQ109" s="51" t="b">
        <f t="shared" si="66"/>
        <v>0</v>
      </c>
      <c r="AR109" s="51" t="b">
        <f t="shared" si="67"/>
        <v>0</v>
      </c>
      <c r="AS109" s="51" t="str">
        <f t="shared" si="68"/>
        <v/>
      </c>
      <c r="AT109" s="51" t="str">
        <f t="shared" si="69"/>
        <v/>
      </c>
      <c r="AU109" s="51" t="str">
        <f t="shared" si="70"/>
        <v/>
      </c>
      <c r="AV109" s="51" t="str">
        <f t="shared" si="71"/>
        <v/>
      </c>
      <c r="AW109" s="51" t="str">
        <f t="shared" si="72"/>
        <v/>
      </c>
      <c r="AX109" s="51" t="str">
        <f t="shared" si="73"/>
        <v/>
      </c>
      <c r="AY109" s="51" t="str">
        <f t="shared" si="74"/>
        <v/>
      </c>
      <c r="AZ109" s="51" t="str">
        <f t="shared" si="75"/>
        <v/>
      </c>
      <c r="BA109" s="51" t="str">
        <f t="shared" si="76"/>
        <v/>
      </c>
      <c r="BB109" s="51" t="str">
        <f t="shared" si="77"/>
        <v/>
      </c>
      <c r="BC109" s="51" t="str">
        <f t="shared" si="78"/>
        <v/>
      </c>
      <c r="BD109" s="51" t="str">
        <f t="shared" si="79"/>
        <v/>
      </c>
      <c r="BE109" s="51" t="str">
        <f t="shared" si="80"/>
        <v/>
      </c>
      <c r="BF109" s="51" t="str">
        <f t="shared" si="81"/>
        <v/>
      </c>
      <c r="BG109" s="51" t="str">
        <f t="shared" si="82"/>
        <v/>
      </c>
      <c r="BH109" s="51" t="b">
        <f t="shared" si="83"/>
        <v>0</v>
      </c>
      <c r="BI109" s="51" t="str">
        <f t="shared" si="84"/>
        <v/>
      </c>
      <c r="BJ109" s="51" t="str">
        <f t="shared" si="85"/>
        <v/>
      </c>
      <c r="BK109" s="51" t="b">
        <f t="shared" si="86"/>
        <v>0</v>
      </c>
      <c r="BL109" s="192"/>
    </row>
    <row r="110" spans="1:64" ht="13.5" thickBot="1" x14ac:dyDescent="0.25">
      <c r="A110" s="185" t="s">
        <v>802</v>
      </c>
      <c r="B110" s="194" t="s">
        <v>695</v>
      </c>
      <c r="C110" s="194" t="s">
        <v>695</v>
      </c>
      <c r="D110" s="193" t="s">
        <v>694</v>
      </c>
      <c r="E110" s="193" t="s">
        <v>694</v>
      </c>
      <c r="F110" s="160" t="s">
        <v>20</v>
      </c>
      <c r="G110" s="161"/>
      <c r="H110" s="186" t="str">
        <f t="shared" si="44"/>
        <v>N/A</v>
      </c>
      <c r="I110" s="186" t="b">
        <f t="shared" si="45"/>
        <v>1</v>
      </c>
      <c r="J110" s="186" t="str">
        <f t="shared" si="46"/>
        <v>N/A</v>
      </c>
      <c r="K110" s="186" t="b">
        <f t="shared" si="47"/>
        <v>1</v>
      </c>
      <c r="L110" s="186" t="str">
        <f t="shared" si="48"/>
        <v>Used?</v>
      </c>
      <c r="M110" s="186" t="b">
        <f t="shared" si="49"/>
        <v>0</v>
      </c>
      <c r="N110" s="186" t="str">
        <f t="shared" si="50"/>
        <v>Used?</v>
      </c>
      <c r="O110" s="186" t="b">
        <f t="shared" si="51"/>
        <v>0</v>
      </c>
      <c r="P110" s="26" t="s">
        <v>696</v>
      </c>
      <c r="Q110" s="160" t="s">
        <v>20</v>
      </c>
      <c r="R110" s="160" t="s">
        <v>20</v>
      </c>
      <c r="S110" s="26" t="s">
        <v>697</v>
      </c>
      <c r="T110" s="165" t="str">
        <f t="shared" si="52"/>
        <v>Not Used</v>
      </c>
      <c r="U110" s="162"/>
      <c r="V110" s="55"/>
      <c r="W110" s="51" t="b">
        <f t="shared" si="53"/>
        <v>1</v>
      </c>
      <c r="X110" s="51" t="str">
        <f t="shared" si="54"/>
        <v>Not Used</v>
      </c>
      <c r="Y110" s="51" t="str">
        <f t="shared" si="55"/>
        <v>Not Used</v>
      </c>
      <c r="Z110" s="51" t="str">
        <f t="shared" si="56"/>
        <v>Not Used</v>
      </c>
      <c r="AA110" s="51" t="str">
        <f t="shared" si="56"/>
        <v>Not Used</v>
      </c>
      <c r="AB110" s="51" t="str">
        <f t="shared" si="57"/>
        <v>Not Used</v>
      </c>
      <c r="AC110" s="51" t="b">
        <f t="shared" si="58"/>
        <v>1</v>
      </c>
      <c r="AD110" s="51">
        <f>COUNTIF($X$5:$X$110, "Not Used")</f>
        <v>106</v>
      </c>
      <c r="AE110" s="51">
        <f>COUNTIF($X$5:$X$110, "TRUE")</f>
        <v>0</v>
      </c>
      <c r="AF110" s="51" t="b">
        <f t="shared" si="59"/>
        <v>1</v>
      </c>
      <c r="AI110" s="51" t="b">
        <f t="shared" si="60"/>
        <v>0</v>
      </c>
      <c r="AJ110" s="51" t="b">
        <f t="shared" si="61"/>
        <v>0</v>
      </c>
      <c r="AK110" s="51" t="b">
        <f t="shared" si="62"/>
        <v>0</v>
      </c>
      <c r="AL110" s="51" t="b">
        <f t="shared" si="63"/>
        <v>0</v>
      </c>
      <c r="AM110" s="51" t="b">
        <f t="shared" si="64"/>
        <v>0</v>
      </c>
      <c r="AN110" s="51"/>
      <c r="AO110" s="51" t="b">
        <f t="shared" si="65"/>
        <v>0</v>
      </c>
      <c r="AP110" s="51" t="str">
        <f t="shared" si="87"/>
        <v>Tier 2 MMS</v>
      </c>
      <c r="AQ110" s="51" t="b">
        <f t="shared" si="66"/>
        <v>0</v>
      </c>
      <c r="AR110" s="51" t="b">
        <f t="shared" si="67"/>
        <v>0</v>
      </c>
      <c r="AS110" s="51" t="str">
        <f t="shared" si="68"/>
        <v/>
      </c>
      <c r="AT110" s="51" t="str">
        <f t="shared" si="69"/>
        <v/>
      </c>
      <c r="AU110" s="51" t="str">
        <f t="shared" si="70"/>
        <v/>
      </c>
      <c r="AV110" s="51" t="str">
        <f t="shared" si="71"/>
        <v/>
      </c>
      <c r="AW110" s="51" t="str">
        <f t="shared" si="72"/>
        <v/>
      </c>
      <c r="AX110" s="51" t="str">
        <f t="shared" si="73"/>
        <v/>
      </c>
      <c r="AY110" s="51" t="str">
        <f t="shared" si="74"/>
        <v/>
      </c>
      <c r="AZ110" s="51" t="str">
        <f t="shared" si="75"/>
        <v/>
      </c>
      <c r="BA110" s="51" t="str">
        <f t="shared" si="76"/>
        <v/>
      </c>
      <c r="BB110" s="51" t="str">
        <f t="shared" si="77"/>
        <v/>
      </c>
      <c r="BC110" s="51" t="str">
        <f t="shared" si="78"/>
        <v/>
      </c>
      <c r="BD110" s="51" t="str">
        <f t="shared" si="79"/>
        <v/>
      </c>
      <c r="BE110" s="51" t="str">
        <f t="shared" si="80"/>
        <v/>
      </c>
      <c r="BF110" s="51" t="str">
        <f t="shared" si="81"/>
        <v/>
      </c>
      <c r="BG110" s="51" t="str">
        <f t="shared" si="82"/>
        <v/>
      </c>
      <c r="BH110" s="51" t="b">
        <f t="shared" si="83"/>
        <v>0</v>
      </c>
      <c r="BI110" s="51" t="str">
        <f t="shared" si="84"/>
        <v/>
      </c>
      <c r="BJ110" s="51" t="str">
        <f t="shared" si="85"/>
        <v/>
      </c>
      <c r="BK110" s="51" t="b">
        <f t="shared" si="86"/>
        <v>0</v>
      </c>
      <c r="BL110" s="192"/>
    </row>
    <row r="111" spans="1:64" ht="13.5" thickBot="1" x14ac:dyDescent="0.25">
      <c r="A111" s="185" t="s">
        <v>803</v>
      </c>
      <c r="B111" s="194" t="s">
        <v>695</v>
      </c>
      <c r="C111" s="194" t="s">
        <v>695</v>
      </c>
      <c r="D111" s="193" t="s">
        <v>694</v>
      </c>
      <c r="E111" s="193" t="s">
        <v>694</v>
      </c>
      <c r="F111" s="160" t="s">
        <v>20</v>
      </c>
      <c r="G111" s="161"/>
      <c r="H111" s="186" t="str">
        <f t="shared" si="44"/>
        <v>N/A</v>
      </c>
      <c r="I111" s="186" t="b">
        <f t="shared" si="45"/>
        <v>1</v>
      </c>
      <c r="J111" s="186" t="str">
        <f t="shared" si="46"/>
        <v>N/A</v>
      </c>
      <c r="K111" s="186" t="b">
        <f t="shared" si="47"/>
        <v>1</v>
      </c>
      <c r="L111" s="186" t="str">
        <f t="shared" si="48"/>
        <v>Used?</v>
      </c>
      <c r="M111" s="186" t="b">
        <f t="shared" si="49"/>
        <v>0</v>
      </c>
      <c r="N111" s="186" t="str">
        <f t="shared" si="50"/>
        <v>Used?</v>
      </c>
      <c r="O111" s="186" t="b">
        <f t="shared" si="51"/>
        <v>0</v>
      </c>
      <c r="P111" s="26" t="s">
        <v>696</v>
      </c>
      <c r="Q111" s="160" t="s">
        <v>20</v>
      </c>
      <c r="R111" s="160" t="s">
        <v>20</v>
      </c>
      <c r="S111" s="26" t="s">
        <v>697</v>
      </c>
      <c r="T111" s="165" t="str">
        <f t="shared" si="52"/>
        <v>Not Used</v>
      </c>
      <c r="U111" s="162"/>
      <c r="V111" s="55"/>
      <c r="W111" s="51" t="b">
        <f t="shared" si="53"/>
        <v>1</v>
      </c>
      <c r="X111" s="51" t="str">
        <f t="shared" si="54"/>
        <v>Not Used</v>
      </c>
      <c r="Y111" s="51" t="str">
        <f t="shared" si="55"/>
        <v>Not Used</v>
      </c>
      <c r="Z111" s="51" t="str">
        <f t="shared" si="56"/>
        <v>Not Used</v>
      </c>
      <c r="AA111" s="51" t="str">
        <f t="shared" si="56"/>
        <v>Not Used</v>
      </c>
      <c r="AB111" s="51" t="str">
        <f t="shared" si="57"/>
        <v>Not Used</v>
      </c>
      <c r="AC111" s="51" t="b">
        <f t="shared" si="58"/>
        <v>1</v>
      </c>
      <c r="AD111" s="51">
        <f>COUNTIF($X$5:$X$111, "Not Used")</f>
        <v>107</v>
      </c>
      <c r="AE111" s="51">
        <f>COUNTIF($X$5:$X$111, "TRUE")</f>
        <v>0</v>
      </c>
      <c r="AF111" s="51" t="b">
        <f t="shared" si="59"/>
        <v>1</v>
      </c>
      <c r="AI111" s="51" t="b">
        <f t="shared" si="60"/>
        <v>0</v>
      </c>
      <c r="AJ111" s="51" t="b">
        <f t="shared" si="61"/>
        <v>0</v>
      </c>
      <c r="AK111" s="51" t="b">
        <f t="shared" si="62"/>
        <v>0</v>
      </c>
      <c r="AL111" s="51" t="b">
        <f t="shared" si="63"/>
        <v>0</v>
      </c>
      <c r="AM111" s="51" t="b">
        <f t="shared" si="64"/>
        <v>0</v>
      </c>
      <c r="AN111" s="51"/>
      <c r="AO111" s="51" t="b">
        <f t="shared" si="65"/>
        <v>0</v>
      </c>
      <c r="AP111" s="51" t="str">
        <f t="shared" si="87"/>
        <v>Tier 2 MMS</v>
      </c>
      <c r="AQ111" s="51" t="b">
        <f t="shared" si="66"/>
        <v>0</v>
      </c>
      <c r="AR111" s="51" t="b">
        <f t="shared" si="67"/>
        <v>0</v>
      </c>
      <c r="AS111" s="51" t="str">
        <f t="shared" si="68"/>
        <v/>
      </c>
      <c r="AT111" s="51" t="str">
        <f t="shared" si="69"/>
        <v/>
      </c>
      <c r="AU111" s="51" t="str">
        <f t="shared" si="70"/>
        <v/>
      </c>
      <c r="AV111" s="51" t="str">
        <f t="shared" si="71"/>
        <v/>
      </c>
      <c r="AW111" s="51" t="str">
        <f t="shared" si="72"/>
        <v/>
      </c>
      <c r="AX111" s="51" t="str">
        <f t="shared" si="73"/>
        <v/>
      </c>
      <c r="AY111" s="51" t="str">
        <f t="shared" si="74"/>
        <v/>
      </c>
      <c r="AZ111" s="51" t="str">
        <f t="shared" si="75"/>
        <v/>
      </c>
      <c r="BA111" s="51" t="str">
        <f t="shared" si="76"/>
        <v/>
      </c>
      <c r="BB111" s="51" t="str">
        <f t="shared" si="77"/>
        <v/>
      </c>
      <c r="BC111" s="51" t="str">
        <f t="shared" si="78"/>
        <v/>
      </c>
      <c r="BD111" s="51" t="str">
        <f t="shared" si="79"/>
        <v/>
      </c>
      <c r="BE111" s="51" t="str">
        <f t="shared" si="80"/>
        <v/>
      </c>
      <c r="BF111" s="51" t="str">
        <f t="shared" si="81"/>
        <v/>
      </c>
      <c r="BG111" s="51" t="str">
        <f t="shared" si="82"/>
        <v/>
      </c>
      <c r="BH111" s="51" t="b">
        <f t="shared" si="83"/>
        <v>0</v>
      </c>
      <c r="BI111" s="51" t="str">
        <f t="shared" si="84"/>
        <v/>
      </c>
      <c r="BJ111" s="51" t="str">
        <f t="shared" si="85"/>
        <v/>
      </c>
      <c r="BK111" s="51" t="b">
        <f t="shared" si="86"/>
        <v>0</v>
      </c>
      <c r="BL111" s="192"/>
    </row>
    <row r="112" spans="1:64" ht="13.5" thickBot="1" x14ac:dyDescent="0.25">
      <c r="A112" s="185" t="s">
        <v>804</v>
      </c>
      <c r="B112" s="194" t="s">
        <v>695</v>
      </c>
      <c r="C112" s="194" t="s">
        <v>695</v>
      </c>
      <c r="D112" s="193" t="s">
        <v>694</v>
      </c>
      <c r="E112" s="193" t="s">
        <v>694</v>
      </c>
      <c r="F112" s="160" t="s">
        <v>20</v>
      </c>
      <c r="G112" s="161"/>
      <c r="H112" s="186" t="str">
        <f t="shared" si="44"/>
        <v>N/A</v>
      </c>
      <c r="I112" s="186" t="b">
        <f t="shared" si="45"/>
        <v>1</v>
      </c>
      <c r="J112" s="186" t="str">
        <f t="shared" si="46"/>
        <v>N/A</v>
      </c>
      <c r="K112" s="186" t="b">
        <f t="shared" si="47"/>
        <v>1</v>
      </c>
      <c r="L112" s="186" t="str">
        <f t="shared" si="48"/>
        <v>Used?</v>
      </c>
      <c r="M112" s="186" t="b">
        <f t="shared" si="49"/>
        <v>0</v>
      </c>
      <c r="N112" s="186" t="str">
        <f t="shared" si="50"/>
        <v>Used?</v>
      </c>
      <c r="O112" s="186" t="b">
        <f t="shared" si="51"/>
        <v>0</v>
      </c>
      <c r="P112" s="26" t="s">
        <v>696</v>
      </c>
      <c r="Q112" s="160" t="s">
        <v>20</v>
      </c>
      <c r="R112" s="160" t="s">
        <v>20</v>
      </c>
      <c r="S112" s="26" t="s">
        <v>697</v>
      </c>
      <c r="T112" s="165" t="str">
        <f t="shared" si="52"/>
        <v>Not Used</v>
      </c>
      <c r="U112" s="162"/>
      <c r="V112" s="55"/>
      <c r="W112" s="51" t="b">
        <f t="shared" si="53"/>
        <v>1</v>
      </c>
      <c r="X112" s="51" t="str">
        <f t="shared" si="54"/>
        <v>Not Used</v>
      </c>
      <c r="Y112" s="51" t="str">
        <f t="shared" si="55"/>
        <v>Not Used</v>
      </c>
      <c r="Z112" s="51" t="str">
        <f t="shared" si="56"/>
        <v>Not Used</v>
      </c>
      <c r="AA112" s="51" t="str">
        <f t="shared" si="56"/>
        <v>Not Used</v>
      </c>
      <c r="AB112" s="51" t="str">
        <f t="shared" si="57"/>
        <v>Not Used</v>
      </c>
      <c r="AC112" s="51" t="b">
        <f t="shared" si="58"/>
        <v>1</v>
      </c>
      <c r="AD112" s="51">
        <f>COUNTIF($X$5:$X$112, "Not Used")</f>
        <v>108</v>
      </c>
      <c r="AE112" s="51">
        <f>COUNTIF($X$5:$X$112, "TRUE")</f>
        <v>0</v>
      </c>
      <c r="AF112" s="51" t="b">
        <f t="shared" si="59"/>
        <v>1</v>
      </c>
      <c r="AI112" s="51" t="b">
        <f t="shared" si="60"/>
        <v>0</v>
      </c>
      <c r="AJ112" s="51" t="b">
        <f t="shared" si="61"/>
        <v>0</v>
      </c>
      <c r="AK112" s="51" t="b">
        <f t="shared" si="62"/>
        <v>0</v>
      </c>
      <c r="AL112" s="51" t="b">
        <f t="shared" si="63"/>
        <v>0</v>
      </c>
      <c r="AM112" s="51" t="b">
        <f t="shared" si="64"/>
        <v>0</v>
      </c>
      <c r="AN112" s="51"/>
      <c r="AO112" s="51" t="b">
        <f t="shared" si="65"/>
        <v>0</v>
      </c>
      <c r="AP112" s="51" t="str">
        <f t="shared" si="87"/>
        <v>Tier 2 MMS</v>
      </c>
      <c r="AQ112" s="51" t="b">
        <f t="shared" si="66"/>
        <v>0</v>
      </c>
      <c r="AR112" s="51" t="b">
        <f t="shared" si="67"/>
        <v>0</v>
      </c>
      <c r="AS112" s="51" t="str">
        <f t="shared" si="68"/>
        <v/>
      </c>
      <c r="AT112" s="51" t="str">
        <f t="shared" si="69"/>
        <v/>
      </c>
      <c r="AU112" s="51" t="str">
        <f t="shared" si="70"/>
        <v/>
      </c>
      <c r="AV112" s="51" t="str">
        <f t="shared" si="71"/>
        <v/>
      </c>
      <c r="AW112" s="51" t="str">
        <f t="shared" si="72"/>
        <v/>
      </c>
      <c r="AX112" s="51" t="str">
        <f t="shared" si="73"/>
        <v/>
      </c>
      <c r="AY112" s="51" t="str">
        <f t="shared" si="74"/>
        <v/>
      </c>
      <c r="AZ112" s="51" t="str">
        <f t="shared" si="75"/>
        <v/>
      </c>
      <c r="BA112" s="51" t="str">
        <f t="shared" si="76"/>
        <v/>
      </c>
      <c r="BB112" s="51" t="str">
        <f t="shared" si="77"/>
        <v/>
      </c>
      <c r="BC112" s="51" t="str">
        <f t="shared" si="78"/>
        <v/>
      </c>
      <c r="BD112" s="51" t="str">
        <f t="shared" si="79"/>
        <v/>
      </c>
      <c r="BE112" s="51" t="str">
        <f t="shared" si="80"/>
        <v/>
      </c>
      <c r="BF112" s="51" t="str">
        <f t="shared" si="81"/>
        <v/>
      </c>
      <c r="BG112" s="51" t="str">
        <f t="shared" si="82"/>
        <v/>
      </c>
      <c r="BH112" s="51" t="b">
        <f t="shared" si="83"/>
        <v>0</v>
      </c>
      <c r="BI112" s="51" t="str">
        <f t="shared" si="84"/>
        <v/>
      </c>
      <c r="BJ112" s="51" t="str">
        <f t="shared" si="85"/>
        <v/>
      </c>
      <c r="BK112" s="51" t="b">
        <f t="shared" si="86"/>
        <v>0</v>
      </c>
      <c r="BL112" s="192"/>
    </row>
    <row r="113" spans="1:64" ht="13.5" thickBot="1" x14ac:dyDescent="0.25">
      <c r="A113" s="185" t="s">
        <v>805</v>
      </c>
      <c r="B113" s="194" t="s">
        <v>695</v>
      </c>
      <c r="C113" s="194" t="s">
        <v>695</v>
      </c>
      <c r="D113" s="193" t="s">
        <v>694</v>
      </c>
      <c r="E113" s="193" t="s">
        <v>694</v>
      </c>
      <c r="F113" s="160" t="s">
        <v>20</v>
      </c>
      <c r="G113" s="161"/>
      <c r="H113" s="186" t="str">
        <f t="shared" si="44"/>
        <v>N/A</v>
      </c>
      <c r="I113" s="186" t="b">
        <f t="shared" si="45"/>
        <v>1</v>
      </c>
      <c r="J113" s="186" t="str">
        <f t="shared" si="46"/>
        <v>N/A</v>
      </c>
      <c r="K113" s="186" t="b">
        <f t="shared" si="47"/>
        <v>1</v>
      </c>
      <c r="L113" s="186" t="str">
        <f t="shared" si="48"/>
        <v>Used?</v>
      </c>
      <c r="M113" s="186" t="b">
        <f t="shared" si="49"/>
        <v>0</v>
      </c>
      <c r="N113" s="186" t="str">
        <f t="shared" si="50"/>
        <v>Used?</v>
      </c>
      <c r="O113" s="186" t="b">
        <f t="shared" si="51"/>
        <v>0</v>
      </c>
      <c r="P113" s="26" t="s">
        <v>696</v>
      </c>
      <c r="Q113" s="160" t="s">
        <v>20</v>
      </c>
      <c r="R113" s="160" t="s">
        <v>20</v>
      </c>
      <c r="S113" s="26" t="s">
        <v>697</v>
      </c>
      <c r="T113" s="165" t="str">
        <f t="shared" si="52"/>
        <v>Not Used</v>
      </c>
      <c r="U113" s="162"/>
      <c r="V113" s="55"/>
      <c r="W113" s="51" t="b">
        <f t="shared" si="53"/>
        <v>1</v>
      </c>
      <c r="X113" s="51" t="str">
        <f t="shared" si="54"/>
        <v>Not Used</v>
      </c>
      <c r="Y113" s="51" t="str">
        <f t="shared" si="55"/>
        <v>Not Used</v>
      </c>
      <c r="Z113" s="51" t="str">
        <f t="shared" si="56"/>
        <v>Not Used</v>
      </c>
      <c r="AA113" s="51" t="str">
        <f t="shared" si="56"/>
        <v>Not Used</v>
      </c>
      <c r="AB113" s="51" t="str">
        <f t="shared" si="57"/>
        <v>Not Used</v>
      </c>
      <c r="AC113" s="51" t="b">
        <f t="shared" si="58"/>
        <v>1</v>
      </c>
      <c r="AD113" s="51">
        <f>COUNTIF($X$5:$X$113, "Not Used")</f>
        <v>109</v>
      </c>
      <c r="AE113" s="51">
        <f>COUNTIF($X$5:$X$113, "TRUE")</f>
        <v>0</v>
      </c>
      <c r="AF113" s="51" t="b">
        <f t="shared" si="59"/>
        <v>1</v>
      </c>
      <c r="AI113" s="51" t="b">
        <f t="shared" si="60"/>
        <v>0</v>
      </c>
      <c r="AJ113" s="51" t="b">
        <f t="shared" si="61"/>
        <v>0</v>
      </c>
      <c r="AK113" s="51" t="b">
        <f t="shared" si="62"/>
        <v>0</v>
      </c>
      <c r="AL113" s="51" t="b">
        <f t="shared" si="63"/>
        <v>0</v>
      </c>
      <c r="AM113" s="51" t="b">
        <f t="shared" si="64"/>
        <v>0</v>
      </c>
      <c r="AN113" s="51"/>
      <c r="AO113" s="51" t="b">
        <f t="shared" si="65"/>
        <v>0</v>
      </c>
      <c r="AP113" s="51" t="str">
        <f t="shared" si="87"/>
        <v>Tier 2 MMS</v>
      </c>
      <c r="AQ113" s="51" t="b">
        <f t="shared" si="66"/>
        <v>0</v>
      </c>
      <c r="AR113" s="51" t="b">
        <f t="shared" si="67"/>
        <v>0</v>
      </c>
      <c r="AS113" s="51" t="str">
        <f t="shared" si="68"/>
        <v/>
      </c>
      <c r="AT113" s="51" t="str">
        <f t="shared" si="69"/>
        <v/>
      </c>
      <c r="AU113" s="51" t="str">
        <f t="shared" si="70"/>
        <v/>
      </c>
      <c r="AV113" s="51" t="str">
        <f t="shared" si="71"/>
        <v/>
      </c>
      <c r="AW113" s="51" t="str">
        <f t="shared" si="72"/>
        <v/>
      </c>
      <c r="AX113" s="51" t="str">
        <f t="shared" si="73"/>
        <v/>
      </c>
      <c r="AY113" s="51" t="str">
        <f t="shared" si="74"/>
        <v/>
      </c>
      <c r="AZ113" s="51" t="str">
        <f t="shared" si="75"/>
        <v/>
      </c>
      <c r="BA113" s="51" t="str">
        <f t="shared" si="76"/>
        <v/>
      </c>
      <c r="BB113" s="51" t="str">
        <f t="shared" si="77"/>
        <v/>
      </c>
      <c r="BC113" s="51" t="str">
        <f t="shared" si="78"/>
        <v/>
      </c>
      <c r="BD113" s="51" t="str">
        <f t="shared" si="79"/>
        <v/>
      </c>
      <c r="BE113" s="51" t="str">
        <f t="shared" si="80"/>
        <v/>
      </c>
      <c r="BF113" s="51" t="str">
        <f t="shared" si="81"/>
        <v/>
      </c>
      <c r="BG113" s="51" t="str">
        <f t="shared" si="82"/>
        <v/>
      </c>
      <c r="BH113" s="51" t="b">
        <f t="shared" si="83"/>
        <v>0</v>
      </c>
      <c r="BI113" s="51" t="str">
        <f t="shared" si="84"/>
        <v/>
      </c>
      <c r="BJ113" s="51" t="str">
        <f t="shared" si="85"/>
        <v/>
      </c>
      <c r="BK113" s="51" t="b">
        <f t="shared" si="86"/>
        <v>0</v>
      </c>
      <c r="BL113" s="192"/>
    </row>
    <row r="114" spans="1:64" ht="13.5" thickBot="1" x14ac:dyDescent="0.25">
      <c r="A114" s="185" t="s">
        <v>806</v>
      </c>
      <c r="B114" s="194" t="s">
        <v>695</v>
      </c>
      <c r="C114" s="194" t="s">
        <v>695</v>
      </c>
      <c r="D114" s="193" t="s">
        <v>694</v>
      </c>
      <c r="E114" s="193" t="s">
        <v>694</v>
      </c>
      <c r="F114" s="160" t="s">
        <v>20</v>
      </c>
      <c r="G114" s="161"/>
      <c r="H114" s="186" t="str">
        <f t="shared" si="44"/>
        <v>N/A</v>
      </c>
      <c r="I114" s="186" t="b">
        <f t="shared" si="45"/>
        <v>1</v>
      </c>
      <c r="J114" s="186" t="str">
        <f t="shared" si="46"/>
        <v>N/A</v>
      </c>
      <c r="K114" s="186" t="b">
        <f t="shared" si="47"/>
        <v>1</v>
      </c>
      <c r="L114" s="186" t="str">
        <f t="shared" si="48"/>
        <v>Used?</v>
      </c>
      <c r="M114" s="186" t="b">
        <f t="shared" si="49"/>
        <v>0</v>
      </c>
      <c r="N114" s="186" t="str">
        <f t="shared" si="50"/>
        <v>Used?</v>
      </c>
      <c r="O114" s="186" t="b">
        <f t="shared" si="51"/>
        <v>0</v>
      </c>
      <c r="P114" s="26" t="s">
        <v>696</v>
      </c>
      <c r="Q114" s="160" t="s">
        <v>20</v>
      </c>
      <c r="R114" s="160" t="s">
        <v>20</v>
      </c>
      <c r="S114" s="26" t="s">
        <v>697</v>
      </c>
      <c r="T114" s="165" t="str">
        <f t="shared" si="52"/>
        <v>Not Used</v>
      </c>
      <c r="U114" s="162"/>
      <c r="V114" s="55"/>
      <c r="W114" s="51" t="b">
        <f t="shared" si="53"/>
        <v>1</v>
      </c>
      <c r="X114" s="51" t="str">
        <f t="shared" si="54"/>
        <v>Not Used</v>
      </c>
      <c r="Y114" s="51" t="str">
        <f t="shared" si="55"/>
        <v>Not Used</v>
      </c>
      <c r="Z114" s="51" t="str">
        <f t="shared" si="56"/>
        <v>Not Used</v>
      </c>
      <c r="AA114" s="51" t="str">
        <f t="shared" si="56"/>
        <v>Not Used</v>
      </c>
      <c r="AB114" s="51" t="str">
        <f t="shared" si="57"/>
        <v>Not Used</v>
      </c>
      <c r="AC114" s="51" t="b">
        <f t="shared" si="58"/>
        <v>1</v>
      </c>
      <c r="AD114" s="51">
        <f>COUNTIF($X$5:$X$114, "Not Used")</f>
        <v>110</v>
      </c>
      <c r="AE114" s="51">
        <f>COUNTIF($X$5:$X$114, "TRUE")</f>
        <v>0</v>
      </c>
      <c r="AF114" s="51" t="b">
        <f t="shared" si="59"/>
        <v>1</v>
      </c>
      <c r="AI114" s="51" t="b">
        <f t="shared" si="60"/>
        <v>0</v>
      </c>
      <c r="AJ114" s="51" t="b">
        <f t="shared" si="61"/>
        <v>0</v>
      </c>
      <c r="AK114" s="51" t="b">
        <f t="shared" si="62"/>
        <v>0</v>
      </c>
      <c r="AL114" s="51" t="b">
        <f t="shared" si="63"/>
        <v>0</v>
      </c>
      <c r="AM114" s="51" t="b">
        <f t="shared" si="64"/>
        <v>0</v>
      </c>
      <c r="AN114" s="51"/>
      <c r="AO114" s="51" t="b">
        <f t="shared" si="65"/>
        <v>0</v>
      </c>
      <c r="AP114" s="51" t="str">
        <f t="shared" si="87"/>
        <v>Tier 2 MMS</v>
      </c>
      <c r="AQ114" s="51" t="b">
        <f t="shared" si="66"/>
        <v>0</v>
      </c>
      <c r="AR114" s="51" t="b">
        <f t="shared" si="67"/>
        <v>0</v>
      </c>
      <c r="AS114" s="51" t="str">
        <f t="shared" si="68"/>
        <v/>
      </c>
      <c r="AT114" s="51" t="str">
        <f t="shared" si="69"/>
        <v/>
      </c>
      <c r="AU114" s="51" t="str">
        <f t="shared" si="70"/>
        <v/>
      </c>
      <c r="AV114" s="51" t="str">
        <f t="shared" si="71"/>
        <v/>
      </c>
      <c r="AW114" s="51" t="str">
        <f t="shared" si="72"/>
        <v/>
      </c>
      <c r="AX114" s="51" t="str">
        <f t="shared" si="73"/>
        <v/>
      </c>
      <c r="AY114" s="51" t="str">
        <f t="shared" si="74"/>
        <v/>
      </c>
      <c r="AZ114" s="51" t="str">
        <f t="shared" si="75"/>
        <v/>
      </c>
      <c r="BA114" s="51" t="str">
        <f t="shared" si="76"/>
        <v/>
      </c>
      <c r="BB114" s="51" t="str">
        <f t="shared" si="77"/>
        <v/>
      </c>
      <c r="BC114" s="51" t="str">
        <f t="shared" si="78"/>
        <v/>
      </c>
      <c r="BD114" s="51" t="str">
        <f t="shared" si="79"/>
        <v/>
      </c>
      <c r="BE114" s="51" t="str">
        <f t="shared" si="80"/>
        <v/>
      </c>
      <c r="BF114" s="51" t="str">
        <f t="shared" si="81"/>
        <v/>
      </c>
      <c r="BG114" s="51" t="str">
        <f t="shared" si="82"/>
        <v/>
      </c>
      <c r="BH114" s="51" t="b">
        <f t="shared" si="83"/>
        <v>0</v>
      </c>
      <c r="BI114" s="51" t="str">
        <f t="shared" si="84"/>
        <v/>
      </c>
      <c r="BJ114" s="51" t="str">
        <f t="shared" si="85"/>
        <v/>
      </c>
      <c r="BK114" s="51" t="b">
        <f t="shared" si="86"/>
        <v>0</v>
      </c>
      <c r="BL114" s="192"/>
    </row>
    <row r="115" spans="1:64" ht="13.5" thickBot="1" x14ac:dyDescent="0.25">
      <c r="A115" s="185" t="s">
        <v>807</v>
      </c>
      <c r="B115" s="194" t="s">
        <v>695</v>
      </c>
      <c r="C115" s="194" t="s">
        <v>695</v>
      </c>
      <c r="D115" s="193" t="s">
        <v>694</v>
      </c>
      <c r="E115" s="193" t="s">
        <v>694</v>
      </c>
      <c r="F115" s="160" t="s">
        <v>20</v>
      </c>
      <c r="G115" s="161"/>
      <c r="H115" s="186" t="str">
        <f t="shared" si="44"/>
        <v>N/A</v>
      </c>
      <c r="I115" s="186" t="b">
        <f t="shared" si="45"/>
        <v>1</v>
      </c>
      <c r="J115" s="186" t="str">
        <f t="shared" si="46"/>
        <v>N/A</v>
      </c>
      <c r="K115" s="186" t="b">
        <f t="shared" si="47"/>
        <v>1</v>
      </c>
      <c r="L115" s="186" t="str">
        <f t="shared" si="48"/>
        <v>Used?</v>
      </c>
      <c r="M115" s="186" t="b">
        <f t="shared" si="49"/>
        <v>0</v>
      </c>
      <c r="N115" s="186" t="str">
        <f t="shared" si="50"/>
        <v>Used?</v>
      </c>
      <c r="O115" s="186" t="b">
        <f t="shared" si="51"/>
        <v>0</v>
      </c>
      <c r="P115" s="26" t="s">
        <v>696</v>
      </c>
      <c r="Q115" s="160" t="s">
        <v>20</v>
      </c>
      <c r="R115" s="160" t="s">
        <v>20</v>
      </c>
      <c r="S115" s="26" t="s">
        <v>697</v>
      </c>
      <c r="T115" s="165" t="str">
        <f t="shared" si="52"/>
        <v>Not Used</v>
      </c>
      <c r="U115" s="162"/>
      <c r="V115" s="55"/>
      <c r="W115" s="51" t="b">
        <f t="shared" si="53"/>
        <v>1</v>
      </c>
      <c r="X115" s="51" t="str">
        <f t="shared" si="54"/>
        <v>Not Used</v>
      </c>
      <c r="Y115" s="51" t="str">
        <f t="shared" si="55"/>
        <v>Not Used</v>
      </c>
      <c r="Z115" s="51" t="str">
        <f t="shared" si="56"/>
        <v>Not Used</v>
      </c>
      <c r="AA115" s="51" t="str">
        <f t="shared" si="56"/>
        <v>Not Used</v>
      </c>
      <c r="AB115" s="51" t="str">
        <f t="shared" si="57"/>
        <v>Not Used</v>
      </c>
      <c r="AC115" s="51" t="b">
        <f t="shared" si="58"/>
        <v>1</v>
      </c>
      <c r="AD115" s="51">
        <f>COUNTIF($X$5:$X$115, "Not Used")</f>
        <v>111</v>
      </c>
      <c r="AE115" s="51">
        <f>COUNTIF($X$5:$X$115, "TRUE")</f>
        <v>0</v>
      </c>
      <c r="AF115" s="51" t="b">
        <f t="shared" si="59"/>
        <v>1</v>
      </c>
      <c r="AI115" s="51" t="b">
        <f t="shared" si="60"/>
        <v>0</v>
      </c>
      <c r="AJ115" s="51" t="b">
        <f t="shared" si="61"/>
        <v>0</v>
      </c>
      <c r="AK115" s="51" t="b">
        <f t="shared" si="62"/>
        <v>0</v>
      </c>
      <c r="AL115" s="51" t="b">
        <f t="shared" si="63"/>
        <v>0</v>
      </c>
      <c r="AM115" s="51" t="b">
        <f t="shared" si="64"/>
        <v>0</v>
      </c>
      <c r="AN115" s="51"/>
      <c r="AO115" s="51" t="b">
        <f t="shared" si="65"/>
        <v>0</v>
      </c>
      <c r="AP115" s="51" t="str">
        <f t="shared" si="87"/>
        <v>Tier 2 MMS</v>
      </c>
      <c r="AQ115" s="51" t="b">
        <f t="shared" si="66"/>
        <v>0</v>
      </c>
      <c r="AR115" s="51" t="b">
        <f t="shared" si="67"/>
        <v>0</v>
      </c>
      <c r="AS115" s="51" t="str">
        <f t="shared" si="68"/>
        <v/>
      </c>
      <c r="AT115" s="51" t="str">
        <f t="shared" si="69"/>
        <v/>
      </c>
      <c r="AU115" s="51" t="str">
        <f t="shared" si="70"/>
        <v/>
      </c>
      <c r="AV115" s="51" t="str">
        <f t="shared" si="71"/>
        <v/>
      </c>
      <c r="AW115" s="51" t="str">
        <f t="shared" si="72"/>
        <v/>
      </c>
      <c r="AX115" s="51" t="str">
        <f t="shared" si="73"/>
        <v/>
      </c>
      <c r="AY115" s="51" t="str">
        <f t="shared" si="74"/>
        <v/>
      </c>
      <c r="AZ115" s="51" t="str">
        <f t="shared" si="75"/>
        <v/>
      </c>
      <c r="BA115" s="51" t="str">
        <f t="shared" si="76"/>
        <v/>
      </c>
      <c r="BB115" s="51" t="str">
        <f t="shared" si="77"/>
        <v/>
      </c>
      <c r="BC115" s="51" t="str">
        <f t="shared" si="78"/>
        <v/>
      </c>
      <c r="BD115" s="51" t="str">
        <f t="shared" si="79"/>
        <v/>
      </c>
      <c r="BE115" s="51" t="str">
        <f t="shared" si="80"/>
        <v/>
      </c>
      <c r="BF115" s="51" t="str">
        <f t="shared" si="81"/>
        <v/>
      </c>
      <c r="BG115" s="51" t="str">
        <f t="shared" si="82"/>
        <v/>
      </c>
      <c r="BH115" s="51" t="b">
        <f t="shared" si="83"/>
        <v>0</v>
      </c>
      <c r="BI115" s="51" t="str">
        <f t="shared" si="84"/>
        <v/>
      </c>
      <c r="BJ115" s="51" t="str">
        <f t="shared" si="85"/>
        <v/>
      </c>
      <c r="BK115" s="51" t="b">
        <f t="shared" si="86"/>
        <v>0</v>
      </c>
      <c r="BL115" s="192"/>
    </row>
    <row r="116" spans="1:64" ht="13.5" thickBot="1" x14ac:dyDescent="0.25">
      <c r="A116" s="185" t="s">
        <v>808</v>
      </c>
      <c r="B116" s="194" t="s">
        <v>695</v>
      </c>
      <c r="C116" s="194" t="s">
        <v>695</v>
      </c>
      <c r="D116" s="193" t="s">
        <v>694</v>
      </c>
      <c r="E116" s="193" t="s">
        <v>694</v>
      </c>
      <c r="F116" s="160" t="s">
        <v>20</v>
      </c>
      <c r="G116" s="161"/>
      <c r="H116" s="186" t="str">
        <f t="shared" si="44"/>
        <v>N/A</v>
      </c>
      <c r="I116" s="186" t="b">
        <f t="shared" si="45"/>
        <v>1</v>
      </c>
      <c r="J116" s="186" t="str">
        <f t="shared" si="46"/>
        <v>N/A</v>
      </c>
      <c r="K116" s="186" t="b">
        <f t="shared" si="47"/>
        <v>1</v>
      </c>
      <c r="L116" s="186" t="str">
        <f t="shared" si="48"/>
        <v>Used?</v>
      </c>
      <c r="M116" s="186" t="b">
        <f t="shared" si="49"/>
        <v>0</v>
      </c>
      <c r="N116" s="186" t="str">
        <f t="shared" si="50"/>
        <v>Used?</v>
      </c>
      <c r="O116" s="186" t="b">
        <f t="shared" si="51"/>
        <v>0</v>
      </c>
      <c r="P116" s="26" t="s">
        <v>696</v>
      </c>
      <c r="Q116" s="160" t="s">
        <v>20</v>
      </c>
      <c r="R116" s="160" t="s">
        <v>20</v>
      </c>
      <c r="S116" s="26" t="s">
        <v>697</v>
      </c>
      <c r="T116" s="165" t="str">
        <f t="shared" si="52"/>
        <v>Not Used</v>
      </c>
      <c r="U116" s="162"/>
      <c r="V116" s="55"/>
      <c r="W116" s="51" t="b">
        <f t="shared" si="53"/>
        <v>1</v>
      </c>
      <c r="X116" s="51" t="str">
        <f t="shared" si="54"/>
        <v>Not Used</v>
      </c>
      <c r="Y116" s="51" t="str">
        <f t="shared" si="55"/>
        <v>Not Used</v>
      </c>
      <c r="Z116" s="51" t="str">
        <f t="shared" si="56"/>
        <v>Not Used</v>
      </c>
      <c r="AA116" s="51" t="str">
        <f t="shared" si="56"/>
        <v>Not Used</v>
      </c>
      <c r="AB116" s="51" t="str">
        <f t="shared" si="57"/>
        <v>Not Used</v>
      </c>
      <c r="AC116" s="51" t="b">
        <f t="shared" si="58"/>
        <v>1</v>
      </c>
      <c r="AD116" s="51">
        <f>COUNTIF($X$5:$X$116, "Not Used")</f>
        <v>112</v>
      </c>
      <c r="AE116" s="51">
        <f>COUNTIF($X$5:$X$116, "TRUE")</f>
        <v>0</v>
      </c>
      <c r="AF116" s="51" t="b">
        <f t="shared" si="59"/>
        <v>1</v>
      </c>
      <c r="AI116" s="51" t="b">
        <f t="shared" si="60"/>
        <v>0</v>
      </c>
      <c r="AJ116" s="51" t="b">
        <f t="shared" si="61"/>
        <v>0</v>
      </c>
      <c r="AK116" s="51" t="b">
        <f t="shared" si="62"/>
        <v>0</v>
      </c>
      <c r="AL116" s="51" t="b">
        <f t="shared" si="63"/>
        <v>0</v>
      </c>
      <c r="AM116" s="51" t="b">
        <f t="shared" si="64"/>
        <v>0</v>
      </c>
      <c r="AN116" s="51"/>
      <c r="AO116" s="51" t="b">
        <f t="shared" si="65"/>
        <v>0</v>
      </c>
      <c r="AP116" s="51" t="str">
        <f t="shared" si="87"/>
        <v>Tier 2 MMS</v>
      </c>
      <c r="AQ116" s="51" t="b">
        <f t="shared" si="66"/>
        <v>0</v>
      </c>
      <c r="AR116" s="51" t="b">
        <f t="shared" si="67"/>
        <v>0</v>
      </c>
      <c r="AS116" s="51" t="str">
        <f t="shared" si="68"/>
        <v/>
      </c>
      <c r="AT116" s="51" t="str">
        <f t="shared" si="69"/>
        <v/>
      </c>
      <c r="AU116" s="51" t="str">
        <f t="shared" si="70"/>
        <v/>
      </c>
      <c r="AV116" s="51" t="str">
        <f t="shared" si="71"/>
        <v/>
      </c>
      <c r="AW116" s="51" t="str">
        <f t="shared" si="72"/>
        <v/>
      </c>
      <c r="AX116" s="51" t="str">
        <f t="shared" si="73"/>
        <v/>
      </c>
      <c r="AY116" s="51" t="str">
        <f t="shared" si="74"/>
        <v/>
      </c>
      <c r="AZ116" s="51" t="str">
        <f t="shared" si="75"/>
        <v/>
      </c>
      <c r="BA116" s="51" t="str">
        <f t="shared" si="76"/>
        <v/>
      </c>
      <c r="BB116" s="51" t="str">
        <f t="shared" si="77"/>
        <v/>
      </c>
      <c r="BC116" s="51" t="str">
        <f t="shared" si="78"/>
        <v/>
      </c>
      <c r="BD116" s="51" t="str">
        <f t="shared" si="79"/>
        <v/>
      </c>
      <c r="BE116" s="51" t="str">
        <f t="shared" si="80"/>
        <v/>
      </c>
      <c r="BF116" s="51" t="str">
        <f t="shared" si="81"/>
        <v/>
      </c>
      <c r="BG116" s="51" t="str">
        <f t="shared" si="82"/>
        <v/>
      </c>
      <c r="BH116" s="51" t="b">
        <f t="shared" si="83"/>
        <v>0</v>
      </c>
      <c r="BI116" s="51" t="str">
        <f t="shared" si="84"/>
        <v/>
      </c>
      <c r="BJ116" s="51" t="str">
        <f t="shared" si="85"/>
        <v/>
      </c>
      <c r="BK116" s="51" t="b">
        <f t="shared" si="86"/>
        <v>0</v>
      </c>
      <c r="BL116" s="192"/>
    </row>
    <row r="117" spans="1:64" ht="13.5" thickBot="1" x14ac:dyDescent="0.25">
      <c r="A117" s="185" t="s">
        <v>809</v>
      </c>
      <c r="B117" s="194" t="s">
        <v>695</v>
      </c>
      <c r="C117" s="194" t="s">
        <v>695</v>
      </c>
      <c r="D117" s="193" t="s">
        <v>694</v>
      </c>
      <c r="E117" s="193" t="s">
        <v>694</v>
      </c>
      <c r="F117" s="160" t="s">
        <v>20</v>
      </c>
      <c r="G117" s="161"/>
      <c r="H117" s="186" t="str">
        <f t="shared" si="44"/>
        <v>N/A</v>
      </c>
      <c r="I117" s="186" t="b">
        <f t="shared" si="45"/>
        <v>1</v>
      </c>
      <c r="J117" s="186" t="str">
        <f t="shared" si="46"/>
        <v>N/A</v>
      </c>
      <c r="K117" s="186" t="b">
        <f t="shared" si="47"/>
        <v>1</v>
      </c>
      <c r="L117" s="186" t="str">
        <f t="shared" si="48"/>
        <v>Used?</v>
      </c>
      <c r="M117" s="186" t="b">
        <f t="shared" si="49"/>
        <v>0</v>
      </c>
      <c r="N117" s="186" t="str">
        <f t="shared" si="50"/>
        <v>Used?</v>
      </c>
      <c r="O117" s="186" t="b">
        <f t="shared" si="51"/>
        <v>0</v>
      </c>
      <c r="P117" s="26" t="s">
        <v>696</v>
      </c>
      <c r="Q117" s="160" t="s">
        <v>20</v>
      </c>
      <c r="R117" s="160" t="s">
        <v>20</v>
      </c>
      <c r="S117" s="26" t="s">
        <v>697</v>
      </c>
      <c r="T117" s="165" t="str">
        <f t="shared" si="52"/>
        <v>Not Used</v>
      </c>
      <c r="U117" s="162"/>
      <c r="V117" s="55"/>
      <c r="W117" s="51" t="b">
        <f t="shared" si="53"/>
        <v>1</v>
      </c>
      <c r="X117" s="51" t="str">
        <f t="shared" si="54"/>
        <v>Not Used</v>
      </c>
      <c r="Y117" s="51" t="str">
        <f t="shared" si="55"/>
        <v>Not Used</v>
      </c>
      <c r="Z117" s="51" t="str">
        <f t="shared" si="56"/>
        <v>Not Used</v>
      </c>
      <c r="AA117" s="51" t="str">
        <f t="shared" si="56"/>
        <v>Not Used</v>
      </c>
      <c r="AB117" s="51" t="str">
        <f t="shared" si="57"/>
        <v>Not Used</v>
      </c>
      <c r="AC117" s="51" t="b">
        <f t="shared" si="58"/>
        <v>1</v>
      </c>
      <c r="AD117" s="51">
        <f>COUNTIF($X$5:$X$117, "Not Used")</f>
        <v>113</v>
      </c>
      <c r="AE117" s="51">
        <f>COUNTIF($X$5:$X$117, "TRUE")</f>
        <v>0</v>
      </c>
      <c r="AF117" s="51" t="b">
        <f t="shared" si="59"/>
        <v>1</v>
      </c>
      <c r="AI117" s="51" t="b">
        <f t="shared" si="60"/>
        <v>0</v>
      </c>
      <c r="AJ117" s="51" t="b">
        <f t="shared" si="61"/>
        <v>0</v>
      </c>
      <c r="AK117" s="51" t="b">
        <f t="shared" si="62"/>
        <v>0</v>
      </c>
      <c r="AL117" s="51" t="b">
        <f t="shared" si="63"/>
        <v>0</v>
      </c>
      <c r="AM117" s="51" t="b">
        <f t="shared" si="64"/>
        <v>0</v>
      </c>
      <c r="AN117" s="51"/>
      <c r="AO117" s="51" t="b">
        <f t="shared" si="65"/>
        <v>0</v>
      </c>
      <c r="AP117" s="51" t="str">
        <f t="shared" si="87"/>
        <v>Tier 2 MMS</v>
      </c>
      <c r="AQ117" s="51" t="b">
        <f t="shared" si="66"/>
        <v>0</v>
      </c>
      <c r="AR117" s="51" t="b">
        <f t="shared" si="67"/>
        <v>0</v>
      </c>
      <c r="AS117" s="51" t="str">
        <f t="shared" si="68"/>
        <v/>
      </c>
      <c r="AT117" s="51" t="str">
        <f t="shared" si="69"/>
        <v/>
      </c>
      <c r="AU117" s="51" t="str">
        <f t="shared" si="70"/>
        <v/>
      </c>
      <c r="AV117" s="51" t="str">
        <f t="shared" si="71"/>
        <v/>
      </c>
      <c r="AW117" s="51" t="str">
        <f t="shared" si="72"/>
        <v/>
      </c>
      <c r="AX117" s="51" t="str">
        <f t="shared" si="73"/>
        <v/>
      </c>
      <c r="AY117" s="51" t="str">
        <f t="shared" si="74"/>
        <v/>
      </c>
      <c r="AZ117" s="51" t="str">
        <f t="shared" si="75"/>
        <v/>
      </c>
      <c r="BA117" s="51" t="str">
        <f t="shared" si="76"/>
        <v/>
      </c>
      <c r="BB117" s="51" t="str">
        <f t="shared" si="77"/>
        <v/>
      </c>
      <c r="BC117" s="51" t="str">
        <f t="shared" si="78"/>
        <v/>
      </c>
      <c r="BD117" s="51" t="str">
        <f t="shared" si="79"/>
        <v/>
      </c>
      <c r="BE117" s="51" t="str">
        <f t="shared" si="80"/>
        <v/>
      </c>
      <c r="BF117" s="51" t="str">
        <f t="shared" si="81"/>
        <v/>
      </c>
      <c r="BG117" s="51" t="str">
        <f t="shared" si="82"/>
        <v/>
      </c>
      <c r="BH117" s="51" t="b">
        <f t="shared" si="83"/>
        <v>0</v>
      </c>
      <c r="BI117" s="51" t="str">
        <f t="shared" si="84"/>
        <v/>
      </c>
      <c r="BJ117" s="51" t="str">
        <f t="shared" si="85"/>
        <v/>
      </c>
      <c r="BK117" s="51" t="b">
        <f t="shared" si="86"/>
        <v>0</v>
      </c>
      <c r="BL117" s="192"/>
    </row>
    <row r="118" spans="1:64" ht="13.5" thickBot="1" x14ac:dyDescent="0.25">
      <c r="A118" s="185" t="s">
        <v>810</v>
      </c>
      <c r="B118" s="194" t="s">
        <v>695</v>
      </c>
      <c r="C118" s="194" t="s">
        <v>695</v>
      </c>
      <c r="D118" s="193" t="s">
        <v>694</v>
      </c>
      <c r="E118" s="193" t="s">
        <v>694</v>
      </c>
      <c r="F118" s="160" t="s">
        <v>20</v>
      </c>
      <c r="G118" s="161"/>
      <c r="H118" s="186" t="str">
        <f t="shared" si="44"/>
        <v>N/A</v>
      </c>
      <c r="I118" s="186" t="b">
        <f t="shared" si="45"/>
        <v>1</v>
      </c>
      <c r="J118" s="186" t="str">
        <f t="shared" si="46"/>
        <v>N/A</v>
      </c>
      <c r="K118" s="186" t="b">
        <f t="shared" si="47"/>
        <v>1</v>
      </c>
      <c r="L118" s="186" t="str">
        <f t="shared" si="48"/>
        <v>Used?</v>
      </c>
      <c r="M118" s="186" t="b">
        <f t="shared" si="49"/>
        <v>0</v>
      </c>
      <c r="N118" s="186" t="str">
        <f t="shared" si="50"/>
        <v>Used?</v>
      </c>
      <c r="O118" s="186" t="b">
        <f t="shared" si="51"/>
        <v>0</v>
      </c>
      <c r="P118" s="26" t="s">
        <v>696</v>
      </c>
      <c r="Q118" s="160" t="s">
        <v>20</v>
      </c>
      <c r="R118" s="160" t="s">
        <v>20</v>
      </c>
      <c r="S118" s="26" t="s">
        <v>697</v>
      </c>
      <c r="T118" s="165" t="str">
        <f t="shared" si="52"/>
        <v>Not Used</v>
      </c>
      <c r="U118" s="162"/>
      <c r="V118" s="55"/>
      <c r="W118" s="51" t="b">
        <f t="shared" si="53"/>
        <v>1</v>
      </c>
      <c r="X118" s="51" t="str">
        <f t="shared" si="54"/>
        <v>Not Used</v>
      </c>
      <c r="Y118" s="51" t="str">
        <f t="shared" si="55"/>
        <v>Not Used</v>
      </c>
      <c r="Z118" s="51" t="str">
        <f t="shared" si="56"/>
        <v>Not Used</v>
      </c>
      <c r="AA118" s="51" t="str">
        <f t="shared" si="56"/>
        <v>Not Used</v>
      </c>
      <c r="AB118" s="51" t="str">
        <f t="shared" si="57"/>
        <v>Not Used</v>
      </c>
      <c r="AC118" s="51" t="b">
        <f t="shared" si="58"/>
        <v>1</v>
      </c>
      <c r="AD118" s="51">
        <f>COUNTIF($X$5:$X$118, "Not Used")</f>
        <v>114</v>
      </c>
      <c r="AE118" s="51">
        <f>COUNTIF($X$5:$X$118, "TRUE")</f>
        <v>0</v>
      </c>
      <c r="AF118" s="51" t="b">
        <f t="shared" si="59"/>
        <v>1</v>
      </c>
      <c r="AI118" s="51" t="b">
        <f t="shared" si="60"/>
        <v>0</v>
      </c>
      <c r="AJ118" s="51" t="b">
        <f t="shared" si="61"/>
        <v>0</v>
      </c>
      <c r="AK118" s="51" t="b">
        <f t="shared" si="62"/>
        <v>0</v>
      </c>
      <c r="AL118" s="51" t="b">
        <f t="shared" si="63"/>
        <v>0</v>
      </c>
      <c r="AM118" s="51" t="b">
        <f t="shared" si="64"/>
        <v>0</v>
      </c>
      <c r="AN118" s="51"/>
      <c r="AO118" s="51" t="b">
        <f t="shared" si="65"/>
        <v>0</v>
      </c>
      <c r="AP118" s="51" t="str">
        <f t="shared" si="87"/>
        <v>Tier 2 MMS</v>
      </c>
      <c r="AQ118" s="51" t="b">
        <f t="shared" si="66"/>
        <v>0</v>
      </c>
      <c r="AR118" s="51" t="b">
        <f t="shared" si="67"/>
        <v>0</v>
      </c>
      <c r="AS118" s="51" t="str">
        <f t="shared" si="68"/>
        <v/>
      </c>
      <c r="AT118" s="51" t="str">
        <f t="shared" si="69"/>
        <v/>
      </c>
      <c r="AU118" s="51" t="str">
        <f t="shared" si="70"/>
        <v/>
      </c>
      <c r="AV118" s="51" t="str">
        <f t="shared" si="71"/>
        <v/>
      </c>
      <c r="AW118" s="51" t="str">
        <f t="shared" si="72"/>
        <v/>
      </c>
      <c r="AX118" s="51" t="str">
        <f t="shared" si="73"/>
        <v/>
      </c>
      <c r="AY118" s="51" t="str">
        <f t="shared" si="74"/>
        <v/>
      </c>
      <c r="AZ118" s="51" t="str">
        <f t="shared" si="75"/>
        <v/>
      </c>
      <c r="BA118" s="51" t="str">
        <f t="shared" si="76"/>
        <v/>
      </c>
      <c r="BB118" s="51" t="str">
        <f t="shared" si="77"/>
        <v/>
      </c>
      <c r="BC118" s="51" t="str">
        <f t="shared" si="78"/>
        <v/>
      </c>
      <c r="BD118" s="51" t="str">
        <f t="shared" si="79"/>
        <v/>
      </c>
      <c r="BE118" s="51" t="str">
        <f t="shared" si="80"/>
        <v/>
      </c>
      <c r="BF118" s="51" t="str">
        <f t="shared" si="81"/>
        <v/>
      </c>
      <c r="BG118" s="51" t="str">
        <f t="shared" si="82"/>
        <v/>
      </c>
      <c r="BH118" s="51" t="b">
        <f t="shared" si="83"/>
        <v>0</v>
      </c>
      <c r="BI118" s="51" t="str">
        <f t="shared" si="84"/>
        <v/>
      </c>
      <c r="BJ118" s="51" t="str">
        <f t="shared" si="85"/>
        <v/>
      </c>
      <c r="BK118" s="51" t="b">
        <f t="shared" si="86"/>
        <v>0</v>
      </c>
      <c r="BL118" s="192"/>
    </row>
    <row r="119" spans="1:64" ht="13.5" thickBot="1" x14ac:dyDescent="0.25">
      <c r="A119" s="185" t="s">
        <v>811</v>
      </c>
      <c r="B119" s="194" t="s">
        <v>695</v>
      </c>
      <c r="C119" s="194" t="s">
        <v>695</v>
      </c>
      <c r="D119" s="193" t="s">
        <v>694</v>
      </c>
      <c r="E119" s="193" t="s">
        <v>694</v>
      </c>
      <c r="F119" s="160" t="s">
        <v>20</v>
      </c>
      <c r="G119" s="161"/>
      <c r="H119" s="186" t="str">
        <f t="shared" si="44"/>
        <v>N/A</v>
      </c>
      <c r="I119" s="186" t="b">
        <f t="shared" si="45"/>
        <v>1</v>
      </c>
      <c r="J119" s="186" t="str">
        <f t="shared" si="46"/>
        <v>N/A</v>
      </c>
      <c r="K119" s="186" t="b">
        <f t="shared" si="47"/>
        <v>1</v>
      </c>
      <c r="L119" s="186" t="str">
        <f t="shared" si="48"/>
        <v>Used?</v>
      </c>
      <c r="M119" s="186" t="b">
        <f t="shared" si="49"/>
        <v>0</v>
      </c>
      <c r="N119" s="186" t="str">
        <f t="shared" si="50"/>
        <v>Used?</v>
      </c>
      <c r="O119" s="186" t="b">
        <f t="shared" si="51"/>
        <v>0</v>
      </c>
      <c r="P119" s="26" t="s">
        <v>696</v>
      </c>
      <c r="Q119" s="160" t="s">
        <v>20</v>
      </c>
      <c r="R119" s="160" t="s">
        <v>20</v>
      </c>
      <c r="S119" s="26" t="s">
        <v>697</v>
      </c>
      <c r="T119" s="165" t="str">
        <f t="shared" si="52"/>
        <v>Not Used</v>
      </c>
      <c r="U119" s="162"/>
      <c r="V119" s="55"/>
      <c r="W119" s="51" t="b">
        <f t="shared" si="53"/>
        <v>1</v>
      </c>
      <c r="X119" s="51" t="str">
        <f t="shared" si="54"/>
        <v>Not Used</v>
      </c>
      <c r="Y119" s="51" t="str">
        <f t="shared" si="55"/>
        <v>Not Used</v>
      </c>
      <c r="Z119" s="51" t="str">
        <f t="shared" si="56"/>
        <v>Not Used</v>
      </c>
      <c r="AA119" s="51" t="str">
        <f t="shared" si="56"/>
        <v>Not Used</v>
      </c>
      <c r="AB119" s="51" t="str">
        <f t="shared" si="57"/>
        <v>Not Used</v>
      </c>
      <c r="AC119" s="51" t="b">
        <f t="shared" si="58"/>
        <v>1</v>
      </c>
      <c r="AD119" s="51">
        <f>COUNTIF($X$5:$X$119, "Not Used")</f>
        <v>115</v>
      </c>
      <c r="AE119" s="51">
        <f>COUNTIF($X$5:$X$119, "TRUE")</f>
        <v>0</v>
      </c>
      <c r="AF119" s="51" t="b">
        <f t="shared" si="59"/>
        <v>1</v>
      </c>
      <c r="AI119" s="51" t="b">
        <f t="shared" si="60"/>
        <v>0</v>
      </c>
      <c r="AJ119" s="51" t="b">
        <f t="shared" si="61"/>
        <v>0</v>
      </c>
      <c r="AK119" s="51" t="b">
        <f t="shared" si="62"/>
        <v>0</v>
      </c>
      <c r="AL119" s="51" t="b">
        <f t="shared" si="63"/>
        <v>0</v>
      </c>
      <c r="AM119" s="51" t="b">
        <f t="shared" si="64"/>
        <v>0</v>
      </c>
      <c r="AN119" s="51"/>
      <c r="AO119" s="51" t="b">
        <f t="shared" si="65"/>
        <v>0</v>
      </c>
      <c r="AP119" s="51" t="str">
        <f t="shared" si="87"/>
        <v>Tier 2 MMS</v>
      </c>
      <c r="AQ119" s="51" t="b">
        <f t="shared" si="66"/>
        <v>0</v>
      </c>
      <c r="AR119" s="51" t="b">
        <f t="shared" si="67"/>
        <v>0</v>
      </c>
      <c r="AS119" s="51" t="str">
        <f t="shared" si="68"/>
        <v/>
      </c>
      <c r="AT119" s="51" t="str">
        <f t="shared" si="69"/>
        <v/>
      </c>
      <c r="AU119" s="51" t="str">
        <f t="shared" si="70"/>
        <v/>
      </c>
      <c r="AV119" s="51" t="str">
        <f t="shared" si="71"/>
        <v/>
      </c>
      <c r="AW119" s="51" t="str">
        <f t="shared" si="72"/>
        <v/>
      </c>
      <c r="AX119" s="51" t="str">
        <f t="shared" si="73"/>
        <v/>
      </c>
      <c r="AY119" s="51" t="str">
        <f t="shared" si="74"/>
        <v/>
      </c>
      <c r="AZ119" s="51" t="str">
        <f t="shared" si="75"/>
        <v/>
      </c>
      <c r="BA119" s="51" t="str">
        <f t="shared" si="76"/>
        <v/>
      </c>
      <c r="BB119" s="51" t="str">
        <f t="shared" si="77"/>
        <v/>
      </c>
      <c r="BC119" s="51" t="str">
        <f t="shared" si="78"/>
        <v/>
      </c>
      <c r="BD119" s="51" t="str">
        <f t="shared" si="79"/>
        <v/>
      </c>
      <c r="BE119" s="51" t="str">
        <f t="shared" si="80"/>
        <v/>
      </c>
      <c r="BF119" s="51" t="str">
        <f t="shared" si="81"/>
        <v/>
      </c>
      <c r="BG119" s="51" t="str">
        <f t="shared" si="82"/>
        <v/>
      </c>
      <c r="BH119" s="51" t="b">
        <f t="shared" si="83"/>
        <v>0</v>
      </c>
      <c r="BI119" s="51" t="str">
        <f t="shared" si="84"/>
        <v/>
      </c>
      <c r="BJ119" s="51" t="str">
        <f t="shared" si="85"/>
        <v/>
      </c>
      <c r="BK119" s="51" t="b">
        <f t="shared" si="86"/>
        <v>0</v>
      </c>
      <c r="BL119" s="192"/>
    </row>
    <row r="120" spans="1:64" ht="13.5" thickBot="1" x14ac:dyDescent="0.25">
      <c r="A120" s="185" t="s">
        <v>812</v>
      </c>
      <c r="B120" s="194" t="s">
        <v>695</v>
      </c>
      <c r="C120" s="194" t="s">
        <v>695</v>
      </c>
      <c r="D120" s="193" t="s">
        <v>694</v>
      </c>
      <c r="E120" s="193" t="s">
        <v>694</v>
      </c>
      <c r="F120" s="160" t="s">
        <v>20</v>
      </c>
      <c r="G120" s="161"/>
      <c r="H120" s="186" t="str">
        <f t="shared" si="44"/>
        <v>N/A</v>
      </c>
      <c r="I120" s="186" t="b">
        <f t="shared" si="45"/>
        <v>1</v>
      </c>
      <c r="J120" s="186" t="str">
        <f t="shared" si="46"/>
        <v>N/A</v>
      </c>
      <c r="K120" s="186" t="b">
        <f t="shared" si="47"/>
        <v>1</v>
      </c>
      <c r="L120" s="186" t="str">
        <f t="shared" si="48"/>
        <v>Used?</v>
      </c>
      <c r="M120" s="186" t="b">
        <f t="shared" si="49"/>
        <v>0</v>
      </c>
      <c r="N120" s="186" t="str">
        <f t="shared" si="50"/>
        <v>Used?</v>
      </c>
      <c r="O120" s="186" t="b">
        <f t="shared" si="51"/>
        <v>0</v>
      </c>
      <c r="P120" s="26" t="s">
        <v>696</v>
      </c>
      <c r="Q120" s="160" t="s">
        <v>20</v>
      </c>
      <c r="R120" s="160" t="s">
        <v>20</v>
      </c>
      <c r="S120" s="26" t="s">
        <v>697</v>
      </c>
      <c r="T120" s="165" t="str">
        <f t="shared" si="52"/>
        <v>Not Used</v>
      </c>
      <c r="U120" s="162"/>
      <c r="V120" s="55"/>
      <c r="W120" s="51" t="b">
        <f t="shared" si="53"/>
        <v>1</v>
      </c>
      <c r="X120" s="51" t="str">
        <f t="shared" si="54"/>
        <v>Not Used</v>
      </c>
      <c r="Y120" s="51" t="str">
        <f t="shared" si="55"/>
        <v>Not Used</v>
      </c>
      <c r="Z120" s="51" t="str">
        <f t="shared" si="56"/>
        <v>Not Used</v>
      </c>
      <c r="AA120" s="51" t="str">
        <f t="shared" si="56"/>
        <v>Not Used</v>
      </c>
      <c r="AB120" s="51" t="str">
        <f t="shared" si="57"/>
        <v>Not Used</v>
      </c>
      <c r="AC120" s="51" t="b">
        <f t="shared" si="58"/>
        <v>1</v>
      </c>
      <c r="AD120" s="51">
        <f>COUNTIF($X$5:$X$120, "Not Used")</f>
        <v>116</v>
      </c>
      <c r="AE120" s="51">
        <f>COUNTIF($X$5:$X$120, "TRUE")</f>
        <v>0</v>
      </c>
      <c r="AF120" s="51" t="b">
        <f t="shared" si="59"/>
        <v>1</v>
      </c>
      <c r="AI120" s="51" t="b">
        <f t="shared" si="60"/>
        <v>0</v>
      </c>
      <c r="AJ120" s="51" t="b">
        <f t="shared" si="61"/>
        <v>0</v>
      </c>
      <c r="AK120" s="51" t="b">
        <f t="shared" si="62"/>
        <v>0</v>
      </c>
      <c r="AL120" s="51" t="b">
        <f t="shared" si="63"/>
        <v>0</v>
      </c>
      <c r="AM120" s="51" t="b">
        <f t="shared" si="64"/>
        <v>0</v>
      </c>
      <c r="AN120" s="51"/>
      <c r="AO120" s="51" t="b">
        <f t="shared" si="65"/>
        <v>0</v>
      </c>
      <c r="AP120" s="51" t="str">
        <f t="shared" si="87"/>
        <v>Tier 2 MMS</v>
      </c>
      <c r="AQ120" s="51" t="b">
        <f t="shared" si="66"/>
        <v>0</v>
      </c>
      <c r="AR120" s="51" t="b">
        <f t="shared" si="67"/>
        <v>0</v>
      </c>
      <c r="AS120" s="51" t="str">
        <f t="shared" si="68"/>
        <v/>
      </c>
      <c r="AT120" s="51" t="str">
        <f t="shared" si="69"/>
        <v/>
      </c>
      <c r="AU120" s="51" t="str">
        <f t="shared" si="70"/>
        <v/>
      </c>
      <c r="AV120" s="51" t="str">
        <f t="shared" si="71"/>
        <v/>
      </c>
      <c r="AW120" s="51" t="str">
        <f t="shared" si="72"/>
        <v/>
      </c>
      <c r="AX120" s="51" t="str">
        <f t="shared" si="73"/>
        <v/>
      </c>
      <c r="AY120" s="51" t="str">
        <f t="shared" si="74"/>
        <v/>
      </c>
      <c r="AZ120" s="51" t="str">
        <f t="shared" si="75"/>
        <v/>
      </c>
      <c r="BA120" s="51" t="str">
        <f t="shared" si="76"/>
        <v/>
      </c>
      <c r="BB120" s="51" t="str">
        <f t="shared" si="77"/>
        <v/>
      </c>
      <c r="BC120" s="51" t="str">
        <f t="shared" si="78"/>
        <v/>
      </c>
      <c r="BD120" s="51" t="str">
        <f t="shared" si="79"/>
        <v/>
      </c>
      <c r="BE120" s="51" t="str">
        <f t="shared" si="80"/>
        <v/>
      </c>
      <c r="BF120" s="51" t="str">
        <f t="shared" si="81"/>
        <v/>
      </c>
      <c r="BG120" s="51" t="str">
        <f t="shared" si="82"/>
        <v/>
      </c>
      <c r="BH120" s="51" t="b">
        <f t="shared" si="83"/>
        <v>0</v>
      </c>
      <c r="BI120" s="51" t="str">
        <f t="shared" si="84"/>
        <v/>
      </c>
      <c r="BJ120" s="51" t="str">
        <f t="shared" si="85"/>
        <v/>
      </c>
      <c r="BK120" s="51" t="b">
        <f t="shared" si="86"/>
        <v>0</v>
      </c>
      <c r="BL120" s="192"/>
    </row>
    <row r="121" spans="1:64" ht="13.5" thickBot="1" x14ac:dyDescent="0.25">
      <c r="A121" s="185" t="s">
        <v>813</v>
      </c>
      <c r="B121" s="194" t="s">
        <v>695</v>
      </c>
      <c r="C121" s="194" t="s">
        <v>695</v>
      </c>
      <c r="D121" s="193" t="s">
        <v>694</v>
      </c>
      <c r="E121" s="193" t="s">
        <v>694</v>
      </c>
      <c r="F121" s="160" t="s">
        <v>20</v>
      </c>
      <c r="G121" s="161"/>
      <c r="H121" s="186" t="str">
        <f t="shared" si="44"/>
        <v>N/A</v>
      </c>
      <c r="I121" s="186" t="b">
        <f t="shared" si="45"/>
        <v>1</v>
      </c>
      <c r="J121" s="186" t="str">
        <f t="shared" si="46"/>
        <v>N/A</v>
      </c>
      <c r="K121" s="186" t="b">
        <f t="shared" si="47"/>
        <v>1</v>
      </c>
      <c r="L121" s="186" t="str">
        <f t="shared" si="48"/>
        <v>Used?</v>
      </c>
      <c r="M121" s="186" t="b">
        <f t="shared" si="49"/>
        <v>0</v>
      </c>
      <c r="N121" s="186" t="str">
        <f t="shared" si="50"/>
        <v>Used?</v>
      </c>
      <c r="O121" s="186" t="b">
        <f t="shared" si="51"/>
        <v>0</v>
      </c>
      <c r="P121" s="26" t="s">
        <v>696</v>
      </c>
      <c r="Q121" s="160" t="s">
        <v>20</v>
      </c>
      <c r="R121" s="160" t="s">
        <v>20</v>
      </c>
      <c r="S121" s="26" t="s">
        <v>697</v>
      </c>
      <c r="T121" s="165" t="str">
        <f t="shared" si="52"/>
        <v>Not Used</v>
      </c>
      <c r="U121" s="162"/>
      <c r="V121" s="55"/>
      <c r="W121" s="51" t="b">
        <f t="shared" si="53"/>
        <v>1</v>
      </c>
      <c r="X121" s="51" t="str">
        <f t="shared" si="54"/>
        <v>Not Used</v>
      </c>
      <c r="Y121" s="51" t="str">
        <f t="shared" si="55"/>
        <v>Not Used</v>
      </c>
      <c r="Z121" s="51" t="str">
        <f t="shared" si="56"/>
        <v>Not Used</v>
      </c>
      <c r="AA121" s="51" t="str">
        <f t="shared" si="56"/>
        <v>Not Used</v>
      </c>
      <c r="AB121" s="51" t="str">
        <f t="shared" si="57"/>
        <v>Not Used</v>
      </c>
      <c r="AC121" s="51" t="b">
        <f t="shared" si="58"/>
        <v>1</v>
      </c>
      <c r="AD121" s="51">
        <f>COUNTIF($X$5:$X$121, "Not Used")</f>
        <v>117</v>
      </c>
      <c r="AE121" s="51">
        <f>COUNTIF($X$5:$X$121, "TRUE")</f>
        <v>0</v>
      </c>
      <c r="AF121" s="51" t="b">
        <f t="shared" si="59"/>
        <v>1</v>
      </c>
      <c r="AI121" s="51" t="b">
        <f t="shared" si="60"/>
        <v>0</v>
      </c>
      <c r="AJ121" s="51" t="b">
        <f t="shared" si="61"/>
        <v>0</v>
      </c>
      <c r="AK121" s="51" t="b">
        <f t="shared" si="62"/>
        <v>0</v>
      </c>
      <c r="AL121" s="51" t="b">
        <f t="shared" si="63"/>
        <v>0</v>
      </c>
      <c r="AM121" s="51" t="b">
        <f t="shared" si="64"/>
        <v>0</v>
      </c>
      <c r="AN121" s="51"/>
      <c r="AO121" s="51" t="b">
        <f t="shared" si="65"/>
        <v>0</v>
      </c>
      <c r="AP121" s="51" t="str">
        <f t="shared" si="87"/>
        <v>Tier 2 MMS</v>
      </c>
      <c r="AQ121" s="51" t="b">
        <f t="shared" si="66"/>
        <v>0</v>
      </c>
      <c r="AR121" s="51" t="b">
        <f t="shared" si="67"/>
        <v>0</v>
      </c>
      <c r="AS121" s="51" t="str">
        <f t="shared" si="68"/>
        <v/>
      </c>
      <c r="AT121" s="51" t="str">
        <f t="shared" si="69"/>
        <v/>
      </c>
      <c r="AU121" s="51" t="str">
        <f t="shared" si="70"/>
        <v/>
      </c>
      <c r="AV121" s="51" t="str">
        <f t="shared" si="71"/>
        <v/>
      </c>
      <c r="AW121" s="51" t="str">
        <f t="shared" si="72"/>
        <v/>
      </c>
      <c r="AX121" s="51" t="str">
        <f t="shared" si="73"/>
        <v/>
      </c>
      <c r="AY121" s="51" t="str">
        <f t="shared" si="74"/>
        <v/>
      </c>
      <c r="AZ121" s="51" t="str">
        <f t="shared" si="75"/>
        <v/>
      </c>
      <c r="BA121" s="51" t="str">
        <f t="shared" si="76"/>
        <v/>
      </c>
      <c r="BB121" s="51" t="str">
        <f t="shared" si="77"/>
        <v/>
      </c>
      <c r="BC121" s="51" t="str">
        <f t="shared" si="78"/>
        <v/>
      </c>
      <c r="BD121" s="51" t="str">
        <f t="shared" si="79"/>
        <v/>
      </c>
      <c r="BE121" s="51" t="str">
        <f t="shared" si="80"/>
        <v/>
      </c>
      <c r="BF121" s="51" t="str">
        <f t="shared" si="81"/>
        <v/>
      </c>
      <c r="BG121" s="51" t="str">
        <f t="shared" si="82"/>
        <v/>
      </c>
      <c r="BH121" s="51" t="b">
        <f t="shared" si="83"/>
        <v>0</v>
      </c>
      <c r="BI121" s="51" t="str">
        <f t="shared" si="84"/>
        <v/>
      </c>
      <c r="BJ121" s="51" t="str">
        <f t="shared" si="85"/>
        <v/>
      </c>
      <c r="BK121" s="51" t="b">
        <f t="shared" si="86"/>
        <v>0</v>
      </c>
      <c r="BL121" s="192"/>
    </row>
    <row r="122" spans="1:64" ht="13.5" thickBot="1" x14ac:dyDescent="0.25">
      <c r="A122" s="185" t="s">
        <v>814</v>
      </c>
      <c r="B122" s="194" t="s">
        <v>695</v>
      </c>
      <c r="C122" s="194" t="s">
        <v>695</v>
      </c>
      <c r="D122" s="193" t="s">
        <v>694</v>
      </c>
      <c r="E122" s="193" t="s">
        <v>694</v>
      </c>
      <c r="F122" s="160" t="s">
        <v>20</v>
      </c>
      <c r="G122" s="161"/>
      <c r="H122" s="186" t="str">
        <f t="shared" si="44"/>
        <v>N/A</v>
      </c>
      <c r="I122" s="186" t="b">
        <f t="shared" si="45"/>
        <v>1</v>
      </c>
      <c r="J122" s="186" t="str">
        <f t="shared" si="46"/>
        <v>N/A</v>
      </c>
      <c r="K122" s="186" t="b">
        <f t="shared" si="47"/>
        <v>1</v>
      </c>
      <c r="L122" s="186" t="str">
        <f t="shared" si="48"/>
        <v>Used?</v>
      </c>
      <c r="M122" s="186" t="b">
        <f t="shared" si="49"/>
        <v>0</v>
      </c>
      <c r="N122" s="186" t="str">
        <f t="shared" si="50"/>
        <v>Used?</v>
      </c>
      <c r="O122" s="186" t="b">
        <f t="shared" si="51"/>
        <v>0</v>
      </c>
      <c r="P122" s="26" t="s">
        <v>696</v>
      </c>
      <c r="Q122" s="160" t="s">
        <v>20</v>
      </c>
      <c r="R122" s="160" t="s">
        <v>20</v>
      </c>
      <c r="S122" s="26" t="s">
        <v>697</v>
      </c>
      <c r="T122" s="165" t="str">
        <f t="shared" si="52"/>
        <v>Not Used</v>
      </c>
      <c r="U122" s="162"/>
      <c r="V122" s="55"/>
      <c r="W122" s="51" t="b">
        <f t="shared" si="53"/>
        <v>1</v>
      </c>
      <c r="X122" s="51" t="str">
        <f t="shared" si="54"/>
        <v>Not Used</v>
      </c>
      <c r="Y122" s="51" t="str">
        <f t="shared" si="55"/>
        <v>Not Used</v>
      </c>
      <c r="Z122" s="51" t="str">
        <f t="shared" si="56"/>
        <v>Not Used</v>
      </c>
      <c r="AA122" s="51" t="str">
        <f t="shared" si="56"/>
        <v>Not Used</v>
      </c>
      <c r="AB122" s="51" t="str">
        <f t="shared" si="57"/>
        <v>Not Used</v>
      </c>
      <c r="AC122" s="51" t="b">
        <f t="shared" si="58"/>
        <v>1</v>
      </c>
      <c r="AD122" s="51">
        <f>COUNTIF($X$5:$X$122, "Not Used")</f>
        <v>118</v>
      </c>
      <c r="AE122" s="51">
        <f>COUNTIF($X$5:$X$122, "TRUE")</f>
        <v>0</v>
      </c>
      <c r="AF122" s="51" t="b">
        <f t="shared" si="59"/>
        <v>1</v>
      </c>
      <c r="AI122" s="51" t="b">
        <f t="shared" si="60"/>
        <v>0</v>
      </c>
      <c r="AJ122" s="51" t="b">
        <f t="shared" si="61"/>
        <v>0</v>
      </c>
      <c r="AK122" s="51" t="b">
        <f t="shared" si="62"/>
        <v>0</v>
      </c>
      <c r="AL122" s="51" t="b">
        <f t="shared" si="63"/>
        <v>0</v>
      </c>
      <c r="AM122" s="51" t="b">
        <f t="shared" si="64"/>
        <v>0</v>
      </c>
      <c r="AN122" s="51"/>
      <c r="AO122" s="51" t="b">
        <f t="shared" si="65"/>
        <v>0</v>
      </c>
      <c r="AP122" s="51" t="str">
        <f t="shared" si="87"/>
        <v>Tier 2 MMS</v>
      </c>
      <c r="AQ122" s="51" t="b">
        <f t="shared" si="66"/>
        <v>0</v>
      </c>
      <c r="AR122" s="51" t="b">
        <f t="shared" si="67"/>
        <v>0</v>
      </c>
      <c r="AS122" s="51" t="str">
        <f t="shared" si="68"/>
        <v/>
      </c>
      <c r="AT122" s="51" t="str">
        <f t="shared" si="69"/>
        <v/>
      </c>
      <c r="AU122" s="51" t="str">
        <f t="shared" si="70"/>
        <v/>
      </c>
      <c r="AV122" s="51" t="str">
        <f t="shared" si="71"/>
        <v/>
      </c>
      <c r="AW122" s="51" t="str">
        <f t="shared" si="72"/>
        <v/>
      </c>
      <c r="AX122" s="51" t="str">
        <f t="shared" si="73"/>
        <v/>
      </c>
      <c r="AY122" s="51" t="str">
        <f t="shared" si="74"/>
        <v/>
      </c>
      <c r="AZ122" s="51" t="str">
        <f t="shared" si="75"/>
        <v/>
      </c>
      <c r="BA122" s="51" t="str">
        <f t="shared" si="76"/>
        <v/>
      </c>
      <c r="BB122" s="51" t="str">
        <f t="shared" si="77"/>
        <v/>
      </c>
      <c r="BC122" s="51" t="str">
        <f t="shared" si="78"/>
        <v/>
      </c>
      <c r="BD122" s="51" t="str">
        <f t="shared" si="79"/>
        <v/>
      </c>
      <c r="BE122" s="51" t="str">
        <f t="shared" si="80"/>
        <v/>
      </c>
      <c r="BF122" s="51" t="str">
        <f t="shared" si="81"/>
        <v/>
      </c>
      <c r="BG122" s="51" t="str">
        <f t="shared" si="82"/>
        <v/>
      </c>
      <c r="BH122" s="51" t="b">
        <f t="shared" si="83"/>
        <v>0</v>
      </c>
      <c r="BI122" s="51" t="str">
        <f t="shared" si="84"/>
        <v/>
      </c>
      <c r="BJ122" s="51" t="str">
        <f t="shared" si="85"/>
        <v/>
      </c>
      <c r="BK122" s="51" t="b">
        <f t="shared" si="86"/>
        <v>0</v>
      </c>
      <c r="BL122" s="192"/>
    </row>
    <row r="123" spans="1:64" ht="13.5" thickBot="1" x14ac:dyDescent="0.25">
      <c r="A123" s="185" t="s">
        <v>815</v>
      </c>
      <c r="B123" s="194" t="s">
        <v>695</v>
      </c>
      <c r="C123" s="194" t="s">
        <v>695</v>
      </c>
      <c r="D123" s="193" t="s">
        <v>694</v>
      </c>
      <c r="E123" s="193" t="s">
        <v>694</v>
      </c>
      <c r="F123" s="160" t="s">
        <v>20</v>
      </c>
      <c r="G123" s="161"/>
      <c r="H123" s="186" t="str">
        <f t="shared" si="44"/>
        <v>N/A</v>
      </c>
      <c r="I123" s="186" t="b">
        <f t="shared" si="45"/>
        <v>1</v>
      </c>
      <c r="J123" s="186" t="str">
        <f t="shared" si="46"/>
        <v>N/A</v>
      </c>
      <c r="K123" s="186" t="b">
        <f t="shared" si="47"/>
        <v>1</v>
      </c>
      <c r="L123" s="186" t="str">
        <f t="shared" si="48"/>
        <v>Used?</v>
      </c>
      <c r="M123" s="186" t="b">
        <f t="shared" si="49"/>
        <v>0</v>
      </c>
      <c r="N123" s="186" t="str">
        <f t="shared" si="50"/>
        <v>Used?</v>
      </c>
      <c r="O123" s="186" t="b">
        <f t="shared" si="51"/>
        <v>0</v>
      </c>
      <c r="P123" s="26" t="s">
        <v>696</v>
      </c>
      <c r="Q123" s="160" t="s">
        <v>20</v>
      </c>
      <c r="R123" s="160" t="s">
        <v>20</v>
      </c>
      <c r="S123" s="26" t="s">
        <v>697</v>
      </c>
      <c r="T123" s="165" t="str">
        <f t="shared" si="52"/>
        <v>Not Used</v>
      </c>
      <c r="U123" s="162"/>
      <c r="V123" s="55"/>
      <c r="W123" s="51" t="b">
        <f t="shared" si="53"/>
        <v>1</v>
      </c>
      <c r="X123" s="51" t="str">
        <f t="shared" si="54"/>
        <v>Not Used</v>
      </c>
      <c r="Y123" s="51" t="str">
        <f t="shared" si="55"/>
        <v>Not Used</v>
      </c>
      <c r="Z123" s="51" t="str">
        <f t="shared" si="56"/>
        <v>Not Used</v>
      </c>
      <c r="AA123" s="51" t="str">
        <f t="shared" si="56"/>
        <v>Not Used</v>
      </c>
      <c r="AB123" s="51" t="str">
        <f t="shared" si="57"/>
        <v>Not Used</v>
      </c>
      <c r="AC123" s="51" t="b">
        <f t="shared" si="58"/>
        <v>1</v>
      </c>
      <c r="AD123" s="51">
        <f>COUNTIF($X$5:$X$123, "Not Used")</f>
        <v>119</v>
      </c>
      <c r="AE123" s="51">
        <f>COUNTIF($X$5:$X$123, "TRUE")</f>
        <v>0</v>
      </c>
      <c r="AF123" s="51" t="b">
        <f t="shared" si="59"/>
        <v>1</v>
      </c>
      <c r="AI123" s="51" t="b">
        <f t="shared" si="60"/>
        <v>0</v>
      </c>
      <c r="AJ123" s="51" t="b">
        <f t="shared" si="61"/>
        <v>0</v>
      </c>
      <c r="AK123" s="51" t="b">
        <f t="shared" si="62"/>
        <v>0</v>
      </c>
      <c r="AL123" s="51" t="b">
        <f t="shared" si="63"/>
        <v>0</v>
      </c>
      <c r="AM123" s="51" t="b">
        <f t="shared" si="64"/>
        <v>0</v>
      </c>
      <c r="AN123" s="51"/>
      <c r="AO123" s="51" t="b">
        <f t="shared" si="65"/>
        <v>0</v>
      </c>
      <c r="AP123" s="51" t="str">
        <f t="shared" si="87"/>
        <v>Tier 2 MMS</v>
      </c>
      <c r="AQ123" s="51" t="b">
        <f t="shared" si="66"/>
        <v>0</v>
      </c>
      <c r="AR123" s="51" t="b">
        <f t="shared" si="67"/>
        <v>0</v>
      </c>
      <c r="AS123" s="51" t="str">
        <f t="shared" si="68"/>
        <v/>
      </c>
      <c r="AT123" s="51" t="str">
        <f t="shared" si="69"/>
        <v/>
      </c>
      <c r="AU123" s="51" t="str">
        <f t="shared" si="70"/>
        <v/>
      </c>
      <c r="AV123" s="51" t="str">
        <f t="shared" si="71"/>
        <v/>
      </c>
      <c r="AW123" s="51" t="str">
        <f t="shared" si="72"/>
        <v/>
      </c>
      <c r="AX123" s="51" t="str">
        <f t="shared" si="73"/>
        <v/>
      </c>
      <c r="AY123" s="51" t="str">
        <f t="shared" si="74"/>
        <v/>
      </c>
      <c r="AZ123" s="51" t="str">
        <f t="shared" si="75"/>
        <v/>
      </c>
      <c r="BA123" s="51" t="str">
        <f t="shared" si="76"/>
        <v/>
      </c>
      <c r="BB123" s="51" t="str">
        <f t="shared" si="77"/>
        <v/>
      </c>
      <c r="BC123" s="51" t="str">
        <f t="shared" si="78"/>
        <v/>
      </c>
      <c r="BD123" s="51" t="str">
        <f t="shared" si="79"/>
        <v/>
      </c>
      <c r="BE123" s="51" t="str">
        <f t="shared" si="80"/>
        <v/>
      </c>
      <c r="BF123" s="51" t="str">
        <f t="shared" si="81"/>
        <v/>
      </c>
      <c r="BG123" s="51" t="str">
        <f t="shared" si="82"/>
        <v/>
      </c>
      <c r="BH123" s="51" t="b">
        <f t="shared" si="83"/>
        <v>0</v>
      </c>
      <c r="BI123" s="51" t="str">
        <f t="shared" si="84"/>
        <v/>
      </c>
      <c r="BJ123" s="51" t="str">
        <f t="shared" si="85"/>
        <v/>
      </c>
      <c r="BK123" s="51" t="b">
        <f t="shared" si="86"/>
        <v>0</v>
      </c>
      <c r="BL123" s="192"/>
    </row>
    <row r="124" spans="1:64" ht="13.5" thickBot="1" x14ac:dyDescent="0.25">
      <c r="A124" s="185" t="s">
        <v>816</v>
      </c>
      <c r="B124" s="194" t="s">
        <v>695</v>
      </c>
      <c r="C124" s="194" t="s">
        <v>695</v>
      </c>
      <c r="D124" s="193" t="s">
        <v>694</v>
      </c>
      <c r="E124" s="193" t="s">
        <v>694</v>
      </c>
      <c r="F124" s="160" t="s">
        <v>20</v>
      </c>
      <c r="G124" s="161"/>
      <c r="H124" s="186" t="str">
        <f t="shared" si="44"/>
        <v>N/A</v>
      </c>
      <c r="I124" s="186" t="b">
        <f t="shared" si="45"/>
        <v>1</v>
      </c>
      <c r="J124" s="186" t="str">
        <f t="shared" si="46"/>
        <v>N/A</v>
      </c>
      <c r="K124" s="186" t="b">
        <f t="shared" si="47"/>
        <v>1</v>
      </c>
      <c r="L124" s="186" t="str">
        <f t="shared" si="48"/>
        <v>Used?</v>
      </c>
      <c r="M124" s="186" t="b">
        <f t="shared" si="49"/>
        <v>0</v>
      </c>
      <c r="N124" s="186" t="str">
        <f t="shared" si="50"/>
        <v>Used?</v>
      </c>
      <c r="O124" s="186" t="b">
        <f t="shared" si="51"/>
        <v>0</v>
      </c>
      <c r="P124" s="26" t="s">
        <v>696</v>
      </c>
      <c r="Q124" s="160" t="s">
        <v>20</v>
      </c>
      <c r="R124" s="160" t="s">
        <v>20</v>
      </c>
      <c r="S124" s="26" t="s">
        <v>697</v>
      </c>
      <c r="T124" s="165" t="str">
        <f t="shared" si="52"/>
        <v>Not Used</v>
      </c>
      <c r="U124" s="162"/>
      <c r="V124" s="55"/>
      <c r="W124" s="51" t="b">
        <f t="shared" si="53"/>
        <v>1</v>
      </c>
      <c r="X124" s="51" t="str">
        <f t="shared" si="54"/>
        <v>Not Used</v>
      </c>
      <c r="Y124" s="51" t="str">
        <f t="shared" si="55"/>
        <v>Not Used</v>
      </c>
      <c r="Z124" s="51" t="str">
        <f t="shared" si="56"/>
        <v>Not Used</v>
      </c>
      <c r="AA124" s="51" t="str">
        <f t="shared" si="56"/>
        <v>Not Used</v>
      </c>
      <c r="AB124" s="51" t="str">
        <f t="shared" si="57"/>
        <v>Not Used</v>
      </c>
      <c r="AC124" s="51" t="b">
        <f t="shared" si="58"/>
        <v>1</v>
      </c>
      <c r="AD124" s="51">
        <f>COUNTIF($X$5:$X$124, "Not Used")</f>
        <v>120</v>
      </c>
      <c r="AE124" s="51">
        <f>COUNTIF($X$5:$X$124, "TRUE")</f>
        <v>0</v>
      </c>
      <c r="AF124" s="51" t="b">
        <f t="shared" si="59"/>
        <v>1</v>
      </c>
      <c r="AI124" s="51" t="b">
        <f t="shared" si="60"/>
        <v>0</v>
      </c>
      <c r="AJ124" s="51" t="b">
        <f t="shared" si="61"/>
        <v>0</v>
      </c>
      <c r="AK124" s="51" t="b">
        <f t="shared" si="62"/>
        <v>0</v>
      </c>
      <c r="AL124" s="51" t="b">
        <f t="shared" si="63"/>
        <v>0</v>
      </c>
      <c r="AM124" s="51" t="b">
        <f t="shared" si="64"/>
        <v>0</v>
      </c>
      <c r="AN124" s="51"/>
      <c r="AO124" s="51" t="b">
        <f t="shared" si="65"/>
        <v>0</v>
      </c>
      <c r="AP124" s="51" t="str">
        <f t="shared" si="87"/>
        <v>Tier 2 MMS</v>
      </c>
      <c r="AQ124" s="51" t="b">
        <f t="shared" si="66"/>
        <v>0</v>
      </c>
      <c r="AR124" s="51" t="b">
        <f t="shared" si="67"/>
        <v>0</v>
      </c>
      <c r="AS124" s="51" t="str">
        <f t="shared" si="68"/>
        <v/>
      </c>
      <c r="AT124" s="51" t="str">
        <f t="shared" si="69"/>
        <v/>
      </c>
      <c r="AU124" s="51" t="str">
        <f t="shared" si="70"/>
        <v/>
      </c>
      <c r="AV124" s="51" t="str">
        <f t="shared" si="71"/>
        <v/>
      </c>
      <c r="AW124" s="51" t="str">
        <f t="shared" si="72"/>
        <v/>
      </c>
      <c r="AX124" s="51" t="str">
        <f t="shared" si="73"/>
        <v/>
      </c>
      <c r="AY124" s="51" t="str">
        <f t="shared" si="74"/>
        <v/>
      </c>
      <c r="AZ124" s="51" t="str">
        <f t="shared" si="75"/>
        <v/>
      </c>
      <c r="BA124" s="51" t="str">
        <f t="shared" si="76"/>
        <v/>
      </c>
      <c r="BB124" s="51" t="str">
        <f t="shared" si="77"/>
        <v/>
      </c>
      <c r="BC124" s="51" t="str">
        <f t="shared" si="78"/>
        <v/>
      </c>
      <c r="BD124" s="51" t="str">
        <f t="shared" si="79"/>
        <v/>
      </c>
      <c r="BE124" s="51" t="str">
        <f t="shared" si="80"/>
        <v/>
      </c>
      <c r="BF124" s="51" t="str">
        <f t="shared" si="81"/>
        <v/>
      </c>
      <c r="BG124" s="51" t="str">
        <f t="shared" si="82"/>
        <v/>
      </c>
      <c r="BH124" s="51" t="b">
        <f t="shared" si="83"/>
        <v>0</v>
      </c>
      <c r="BI124" s="51" t="str">
        <f t="shared" si="84"/>
        <v/>
      </c>
      <c r="BJ124" s="51" t="str">
        <f t="shared" si="85"/>
        <v/>
      </c>
      <c r="BK124" s="51" t="b">
        <f t="shared" si="86"/>
        <v>0</v>
      </c>
      <c r="BL124" s="192"/>
    </row>
    <row r="125" spans="1:64" ht="13.5" thickBot="1" x14ac:dyDescent="0.25">
      <c r="A125" s="185" t="s">
        <v>817</v>
      </c>
      <c r="B125" s="194" t="s">
        <v>695</v>
      </c>
      <c r="C125" s="194" t="s">
        <v>695</v>
      </c>
      <c r="D125" s="193" t="s">
        <v>694</v>
      </c>
      <c r="E125" s="193" t="s">
        <v>694</v>
      </c>
      <c r="F125" s="160" t="s">
        <v>20</v>
      </c>
      <c r="G125" s="161"/>
      <c r="H125" s="186" t="str">
        <f t="shared" si="44"/>
        <v>N/A</v>
      </c>
      <c r="I125" s="186" t="b">
        <f t="shared" si="45"/>
        <v>1</v>
      </c>
      <c r="J125" s="186" t="str">
        <f t="shared" si="46"/>
        <v>N/A</v>
      </c>
      <c r="K125" s="186" t="b">
        <f t="shared" si="47"/>
        <v>1</v>
      </c>
      <c r="L125" s="186" t="str">
        <f t="shared" si="48"/>
        <v>Used?</v>
      </c>
      <c r="M125" s="186" t="b">
        <f t="shared" si="49"/>
        <v>0</v>
      </c>
      <c r="N125" s="186" t="str">
        <f t="shared" si="50"/>
        <v>Used?</v>
      </c>
      <c r="O125" s="186" t="b">
        <f t="shared" si="51"/>
        <v>0</v>
      </c>
      <c r="P125" s="26" t="s">
        <v>696</v>
      </c>
      <c r="Q125" s="160" t="s">
        <v>20</v>
      </c>
      <c r="R125" s="160" t="s">
        <v>20</v>
      </c>
      <c r="S125" s="26" t="s">
        <v>697</v>
      </c>
      <c r="T125" s="165" t="str">
        <f t="shared" si="52"/>
        <v>Not Used</v>
      </c>
      <c r="U125" s="162"/>
      <c r="V125" s="55"/>
      <c r="W125" s="51" t="b">
        <f t="shared" si="53"/>
        <v>1</v>
      </c>
      <c r="X125" s="51" t="str">
        <f t="shared" si="54"/>
        <v>Not Used</v>
      </c>
      <c r="Y125" s="51" t="str">
        <f t="shared" si="55"/>
        <v>Not Used</v>
      </c>
      <c r="Z125" s="51" t="str">
        <f t="shared" si="56"/>
        <v>Not Used</v>
      </c>
      <c r="AA125" s="51" t="str">
        <f t="shared" si="56"/>
        <v>Not Used</v>
      </c>
      <c r="AB125" s="51" t="str">
        <f t="shared" si="57"/>
        <v>Not Used</v>
      </c>
      <c r="AC125" s="51" t="b">
        <f t="shared" si="58"/>
        <v>1</v>
      </c>
      <c r="AD125" s="51">
        <f>COUNTIF($X$5:$X$125, "Not Used")</f>
        <v>121</v>
      </c>
      <c r="AE125" s="51">
        <f>COUNTIF($X$5:$X$125, "TRUE")</f>
        <v>0</v>
      </c>
      <c r="AF125" s="51" t="b">
        <f t="shared" si="59"/>
        <v>1</v>
      </c>
      <c r="AI125" s="51" t="b">
        <f t="shared" si="60"/>
        <v>0</v>
      </c>
      <c r="AJ125" s="51" t="b">
        <f t="shared" si="61"/>
        <v>0</v>
      </c>
      <c r="AK125" s="51" t="b">
        <f t="shared" si="62"/>
        <v>0</v>
      </c>
      <c r="AL125" s="51" t="b">
        <f t="shared" si="63"/>
        <v>0</v>
      </c>
      <c r="AM125" s="51" t="b">
        <f t="shared" si="64"/>
        <v>0</v>
      </c>
      <c r="AN125" s="51"/>
      <c r="AO125" s="51" t="b">
        <f t="shared" si="65"/>
        <v>0</v>
      </c>
      <c r="AP125" s="51" t="str">
        <f t="shared" si="87"/>
        <v>Tier 2 MMS</v>
      </c>
      <c r="AQ125" s="51" t="b">
        <f t="shared" si="66"/>
        <v>0</v>
      </c>
      <c r="AR125" s="51" t="b">
        <f t="shared" si="67"/>
        <v>0</v>
      </c>
      <c r="AS125" s="51" t="str">
        <f t="shared" si="68"/>
        <v/>
      </c>
      <c r="AT125" s="51" t="str">
        <f t="shared" si="69"/>
        <v/>
      </c>
      <c r="AU125" s="51" t="str">
        <f t="shared" si="70"/>
        <v/>
      </c>
      <c r="AV125" s="51" t="str">
        <f t="shared" si="71"/>
        <v/>
      </c>
      <c r="AW125" s="51" t="str">
        <f t="shared" si="72"/>
        <v/>
      </c>
      <c r="AX125" s="51" t="str">
        <f t="shared" si="73"/>
        <v/>
      </c>
      <c r="AY125" s="51" t="str">
        <f t="shared" si="74"/>
        <v/>
      </c>
      <c r="AZ125" s="51" t="str">
        <f t="shared" si="75"/>
        <v/>
      </c>
      <c r="BA125" s="51" t="str">
        <f t="shared" si="76"/>
        <v/>
      </c>
      <c r="BB125" s="51" t="str">
        <f t="shared" si="77"/>
        <v/>
      </c>
      <c r="BC125" s="51" t="str">
        <f t="shared" si="78"/>
        <v/>
      </c>
      <c r="BD125" s="51" t="str">
        <f t="shared" si="79"/>
        <v/>
      </c>
      <c r="BE125" s="51" t="str">
        <f t="shared" si="80"/>
        <v/>
      </c>
      <c r="BF125" s="51" t="str">
        <f t="shared" si="81"/>
        <v/>
      </c>
      <c r="BG125" s="51" t="str">
        <f t="shared" si="82"/>
        <v/>
      </c>
      <c r="BH125" s="51" t="b">
        <f t="shared" si="83"/>
        <v>0</v>
      </c>
      <c r="BI125" s="51" t="str">
        <f t="shared" si="84"/>
        <v/>
      </c>
      <c r="BJ125" s="51" t="str">
        <f t="shared" si="85"/>
        <v/>
      </c>
      <c r="BK125" s="51" t="b">
        <f t="shared" si="86"/>
        <v>0</v>
      </c>
      <c r="BL125" s="192"/>
    </row>
    <row r="126" spans="1:64" ht="13.5" thickBot="1" x14ac:dyDescent="0.25">
      <c r="A126" s="185" t="s">
        <v>818</v>
      </c>
      <c r="B126" s="194" t="s">
        <v>695</v>
      </c>
      <c r="C126" s="194" t="s">
        <v>695</v>
      </c>
      <c r="D126" s="193" t="s">
        <v>694</v>
      </c>
      <c r="E126" s="193" t="s">
        <v>694</v>
      </c>
      <c r="F126" s="160" t="s">
        <v>20</v>
      </c>
      <c r="G126" s="161"/>
      <c r="H126" s="186" t="str">
        <f t="shared" si="44"/>
        <v>N/A</v>
      </c>
      <c r="I126" s="186" t="b">
        <f t="shared" si="45"/>
        <v>1</v>
      </c>
      <c r="J126" s="186" t="str">
        <f t="shared" si="46"/>
        <v>N/A</v>
      </c>
      <c r="K126" s="186" t="b">
        <f t="shared" si="47"/>
        <v>1</v>
      </c>
      <c r="L126" s="186" t="str">
        <f t="shared" si="48"/>
        <v>Used?</v>
      </c>
      <c r="M126" s="186" t="b">
        <f t="shared" si="49"/>
        <v>0</v>
      </c>
      <c r="N126" s="186" t="str">
        <f t="shared" si="50"/>
        <v>Used?</v>
      </c>
      <c r="O126" s="186" t="b">
        <f t="shared" si="51"/>
        <v>0</v>
      </c>
      <c r="P126" s="26" t="s">
        <v>696</v>
      </c>
      <c r="Q126" s="160" t="s">
        <v>20</v>
      </c>
      <c r="R126" s="160" t="s">
        <v>20</v>
      </c>
      <c r="S126" s="26" t="s">
        <v>697</v>
      </c>
      <c r="T126" s="165" t="str">
        <f t="shared" si="52"/>
        <v>Not Used</v>
      </c>
      <c r="U126" s="162"/>
      <c r="V126" s="55"/>
      <c r="W126" s="51" t="b">
        <f t="shared" si="53"/>
        <v>1</v>
      </c>
      <c r="X126" s="51" t="str">
        <f t="shared" si="54"/>
        <v>Not Used</v>
      </c>
      <c r="Y126" s="51" t="str">
        <f t="shared" si="55"/>
        <v>Not Used</v>
      </c>
      <c r="Z126" s="51" t="str">
        <f t="shared" si="56"/>
        <v>Not Used</v>
      </c>
      <c r="AA126" s="51" t="str">
        <f t="shared" si="56"/>
        <v>Not Used</v>
      </c>
      <c r="AB126" s="51" t="str">
        <f t="shared" si="57"/>
        <v>Not Used</v>
      </c>
      <c r="AC126" s="51" t="b">
        <f t="shared" si="58"/>
        <v>1</v>
      </c>
      <c r="AD126" s="51">
        <f>COUNTIF($X$5:$X$126, "Not Used")</f>
        <v>122</v>
      </c>
      <c r="AE126" s="51">
        <f>COUNTIF($X$5:$X$126, "TRUE")</f>
        <v>0</v>
      </c>
      <c r="AF126" s="51" t="b">
        <f t="shared" si="59"/>
        <v>1</v>
      </c>
      <c r="AI126" s="51" t="b">
        <f t="shared" si="60"/>
        <v>0</v>
      </c>
      <c r="AJ126" s="51" t="b">
        <f t="shared" si="61"/>
        <v>0</v>
      </c>
      <c r="AK126" s="51" t="b">
        <f t="shared" si="62"/>
        <v>0</v>
      </c>
      <c r="AL126" s="51" t="b">
        <f t="shared" si="63"/>
        <v>0</v>
      </c>
      <c r="AM126" s="51" t="b">
        <f t="shared" si="64"/>
        <v>0</v>
      </c>
      <c r="AN126" s="51"/>
      <c r="AO126" s="51" t="b">
        <f t="shared" si="65"/>
        <v>0</v>
      </c>
      <c r="AP126" s="51" t="str">
        <f t="shared" si="87"/>
        <v>Tier 2 MMS</v>
      </c>
      <c r="AQ126" s="51" t="b">
        <f t="shared" si="66"/>
        <v>0</v>
      </c>
      <c r="AR126" s="51" t="b">
        <f t="shared" si="67"/>
        <v>0</v>
      </c>
      <c r="AS126" s="51" t="str">
        <f t="shared" si="68"/>
        <v/>
      </c>
      <c r="AT126" s="51" t="str">
        <f t="shared" si="69"/>
        <v/>
      </c>
      <c r="AU126" s="51" t="str">
        <f t="shared" si="70"/>
        <v/>
      </c>
      <c r="AV126" s="51" t="str">
        <f t="shared" si="71"/>
        <v/>
      </c>
      <c r="AW126" s="51" t="str">
        <f t="shared" si="72"/>
        <v/>
      </c>
      <c r="AX126" s="51" t="str">
        <f t="shared" si="73"/>
        <v/>
      </c>
      <c r="AY126" s="51" t="str">
        <f t="shared" si="74"/>
        <v/>
      </c>
      <c r="AZ126" s="51" t="str">
        <f t="shared" si="75"/>
        <v/>
      </c>
      <c r="BA126" s="51" t="str">
        <f t="shared" si="76"/>
        <v/>
      </c>
      <c r="BB126" s="51" t="str">
        <f t="shared" si="77"/>
        <v/>
      </c>
      <c r="BC126" s="51" t="str">
        <f t="shared" si="78"/>
        <v/>
      </c>
      <c r="BD126" s="51" t="str">
        <f t="shared" si="79"/>
        <v/>
      </c>
      <c r="BE126" s="51" t="str">
        <f t="shared" si="80"/>
        <v/>
      </c>
      <c r="BF126" s="51" t="str">
        <f t="shared" si="81"/>
        <v/>
      </c>
      <c r="BG126" s="51" t="str">
        <f t="shared" si="82"/>
        <v/>
      </c>
      <c r="BH126" s="51" t="b">
        <f t="shared" si="83"/>
        <v>0</v>
      </c>
      <c r="BI126" s="51" t="str">
        <f t="shared" si="84"/>
        <v/>
      </c>
      <c r="BJ126" s="51" t="str">
        <f t="shared" si="85"/>
        <v/>
      </c>
      <c r="BK126" s="51" t="b">
        <f t="shared" si="86"/>
        <v>0</v>
      </c>
      <c r="BL126" s="192"/>
    </row>
    <row r="127" spans="1:64" ht="13.5" thickBot="1" x14ac:dyDescent="0.25">
      <c r="A127" s="185" t="s">
        <v>819</v>
      </c>
      <c r="B127" s="194" t="s">
        <v>695</v>
      </c>
      <c r="C127" s="194" t="s">
        <v>695</v>
      </c>
      <c r="D127" s="193" t="s">
        <v>694</v>
      </c>
      <c r="E127" s="193" t="s">
        <v>694</v>
      </c>
      <c r="F127" s="160" t="s">
        <v>20</v>
      </c>
      <c r="G127" s="161"/>
      <c r="H127" s="186" t="str">
        <f t="shared" si="44"/>
        <v>N/A</v>
      </c>
      <c r="I127" s="186" t="b">
        <f t="shared" si="45"/>
        <v>1</v>
      </c>
      <c r="J127" s="186" t="str">
        <f t="shared" si="46"/>
        <v>N/A</v>
      </c>
      <c r="K127" s="186" t="b">
        <f t="shared" si="47"/>
        <v>1</v>
      </c>
      <c r="L127" s="186" t="str">
        <f t="shared" si="48"/>
        <v>Used?</v>
      </c>
      <c r="M127" s="186" t="b">
        <f t="shared" si="49"/>
        <v>0</v>
      </c>
      <c r="N127" s="186" t="str">
        <f t="shared" si="50"/>
        <v>Used?</v>
      </c>
      <c r="O127" s="186" t="b">
        <f t="shared" si="51"/>
        <v>0</v>
      </c>
      <c r="P127" s="26" t="s">
        <v>696</v>
      </c>
      <c r="Q127" s="160" t="s">
        <v>20</v>
      </c>
      <c r="R127" s="160" t="s">
        <v>20</v>
      </c>
      <c r="S127" s="26" t="s">
        <v>697</v>
      </c>
      <c r="T127" s="165" t="str">
        <f t="shared" si="52"/>
        <v>Not Used</v>
      </c>
      <c r="U127" s="162"/>
      <c r="V127" s="55"/>
      <c r="W127" s="51" t="b">
        <f t="shared" si="53"/>
        <v>1</v>
      </c>
      <c r="X127" s="51" t="str">
        <f t="shared" si="54"/>
        <v>Not Used</v>
      </c>
      <c r="Y127" s="51" t="str">
        <f t="shared" si="55"/>
        <v>Not Used</v>
      </c>
      <c r="Z127" s="51" t="str">
        <f t="shared" si="56"/>
        <v>Not Used</v>
      </c>
      <c r="AA127" s="51" t="str">
        <f t="shared" si="56"/>
        <v>Not Used</v>
      </c>
      <c r="AB127" s="51" t="str">
        <f t="shared" si="57"/>
        <v>Not Used</v>
      </c>
      <c r="AC127" s="51" t="b">
        <f t="shared" si="58"/>
        <v>1</v>
      </c>
      <c r="AD127" s="51">
        <f>COUNTIF($X$5:$X$127, "Not Used")</f>
        <v>123</v>
      </c>
      <c r="AE127" s="51">
        <f>COUNTIF($X$5:$X$127, "TRUE")</f>
        <v>0</v>
      </c>
      <c r="AF127" s="51" t="b">
        <f t="shared" si="59"/>
        <v>1</v>
      </c>
      <c r="AI127" s="51" t="b">
        <f t="shared" si="60"/>
        <v>0</v>
      </c>
      <c r="AJ127" s="51" t="b">
        <f t="shared" si="61"/>
        <v>0</v>
      </c>
      <c r="AK127" s="51" t="b">
        <f t="shared" si="62"/>
        <v>0</v>
      </c>
      <c r="AL127" s="51" t="b">
        <f t="shared" si="63"/>
        <v>0</v>
      </c>
      <c r="AM127" s="51" t="b">
        <f t="shared" si="64"/>
        <v>0</v>
      </c>
      <c r="AN127" s="51"/>
      <c r="AO127" s="51" t="b">
        <f t="shared" si="65"/>
        <v>0</v>
      </c>
      <c r="AP127" s="51" t="str">
        <f t="shared" si="87"/>
        <v>Tier 2 MMS</v>
      </c>
      <c r="AQ127" s="51" t="b">
        <f t="shared" si="66"/>
        <v>0</v>
      </c>
      <c r="AR127" s="51" t="b">
        <f t="shared" si="67"/>
        <v>0</v>
      </c>
      <c r="AS127" s="51" t="str">
        <f t="shared" si="68"/>
        <v/>
      </c>
      <c r="AT127" s="51" t="str">
        <f t="shared" si="69"/>
        <v/>
      </c>
      <c r="AU127" s="51" t="str">
        <f t="shared" si="70"/>
        <v/>
      </c>
      <c r="AV127" s="51" t="str">
        <f t="shared" si="71"/>
        <v/>
      </c>
      <c r="AW127" s="51" t="str">
        <f t="shared" si="72"/>
        <v/>
      </c>
      <c r="AX127" s="51" t="str">
        <f t="shared" si="73"/>
        <v/>
      </c>
      <c r="AY127" s="51" t="str">
        <f t="shared" si="74"/>
        <v/>
      </c>
      <c r="AZ127" s="51" t="str">
        <f t="shared" si="75"/>
        <v/>
      </c>
      <c r="BA127" s="51" t="str">
        <f t="shared" si="76"/>
        <v/>
      </c>
      <c r="BB127" s="51" t="str">
        <f t="shared" si="77"/>
        <v/>
      </c>
      <c r="BC127" s="51" t="str">
        <f t="shared" si="78"/>
        <v/>
      </c>
      <c r="BD127" s="51" t="str">
        <f t="shared" si="79"/>
        <v/>
      </c>
      <c r="BE127" s="51" t="str">
        <f t="shared" si="80"/>
        <v/>
      </c>
      <c r="BF127" s="51" t="str">
        <f t="shared" si="81"/>
        <v/>
      </c>
      <c r="BG127" s="51" t="str">
        <f t="shared" si="82"/>
        <v/>
      </c>
      <c r="BH127" s="51" t="b">
        <f t="shared" si="83"/>
        <v>0</v>
      </c>
      <c r="BI127" s="51" t="str">
        <f t="shared" si="84"/>
        <v/>
      </c>
      <c r="BJ127" s="51" t="str">
        <f t="shared" si="85"/>
        <v/>
      </c>
      <c r="BK127" s="51" t="b">
        <f t="shared" si="86"/>
        <v>0</v>
      </c>
      <c r="BL127" s="192"/>
    </row>
    <row r="128" spans="1:64" ht="13.5" thickBot="1" x14ac:dyDescent="0.25">
      <c r="A128" s="185" t="s">
        <v>820</v>
      </c>
      <c r="B128" s="194" t="s">
        <v>695</v>
      </c>
      <c r="C128" s="194" t="s">
        <v>695</v>
      </c>
      <c r="D128" s="193" t="s">
        <v>694</v>
      </c>
      <c r="E128" s="193" t="s">
        <v>694</v>
      </c>
      <c r="F128" s="160" t="s">
        <v>20</v>
      </c>
      <c r="G128" s="161"/>
      <c r="H128" s="186" t="str">
        <f t="shared" si="44"/>
        <v>N/A</v>
      </c>
      <c r="I128" s="186" t="b">
        <f t="shared" si="45"/>
        <v>1</v>
      </c>
      <c r="J128" s="186" t="str">
        <f t="shared" si="46"/>
        <v>N/A</v>
      </c>
      <c r="K128" s="186" t="b">
        <f t="shared" si="47"/>
        <v>1</v>
      </c>
      <c r="L128" s="186" t="str">
        <f t="shared" si="48"/>
        <v>Used?</v>
      </c>
      <c r="M128" s="186" t="b">
        <f t="shared" si="49"/>
        <v>0</v>
      </c>
      <c r="N128" s="186" t="str">
        <f t="shared" si="50"/>
        <v>Used?</v>
      </c>
      <c r="O128" s="186" t="b">
        <f t="shared" si="51"/>
        <v>0</v>
      </c>
      <c r="P128" s="26" t="s">
        <v>696</v>
      </c>
      <c r="Q128" s="160" t="s">
        <v>20</v>
      </c>
      <c r="R128" s="160" t="s">
        <v>20</v>
      </c>
      <c r="S128" s="26" t="s">
        <v>697</v>
      </c>
      <c r="T128" s="165" t="str">
        <f t="shared" si="52"/>
        <v>Not Used</v>
      </c>
      <c r="U128" s="162"/>
      <c r="V128" s="55"/>
      <c r="W128" s="51" t="b">
        <f t="shared" si="53"/>
        <v>1</v>
      </c>
      <c r="X128" s="51" t="str">
        <f t="shared" si="54"/>
        <v>Not Used</v>
      </c>
      <c r="Y128" s="51" t="str">
        <f t="shared" si="55"/>
        <v>Not Used</v>
      </c>
      <c r="Z128" s="51" t="str">
        <f t="shared" si="56"/>
        <v>Not Used</v>
      </c>
      <c r="AA128" s="51" t="str">
        <f t="shared" si="56"/>
        <v>Not Used</v>
      </c>
      <c r="AB128" s="51" t="str">
        <f t="shared" si="57"/>
        <v>Not Used</v>
      </c>
      <c r="AC128" s="51" t="b">
        <f t="shared" si="58"/>
        <v>1</v>
      </c>
      <c r="AD128" s="51">
        <f>COUNTIF($X$5:$X$128, "Not Used")</f>
        <v>124</v>
      </c>
      <c r="AE128" s="51">
        <f>COUNTIF($X$5:$X$128, "TRUE")</f>
        <v>0</v>
      </c>
      <c r="AF128" s="51" t="b">
        <f t="shared" si="59"/>
        <v>1</v>
      </c>
      <c r="AI128" s="51" t="b">
        <f t="shared" si="60"/>
        <v>0</v>
      </c>
      <c r="AJ128" s="51" t="b">
        <f t="shared" si="61"/>
        <v>0</v>
      </c>
      <c r="AK128" s="51" t="b">
        <f t="shared" si="62"/>
        <v>0</v>
      </c>
      <c r="AL128" s="51" t="b">
        <f t="shared" si="63"/>
        <v>0</v>
      </c>
      <c r="AM128" s="51" t="b">
        <f t="shared" si="64"/>
        <v>0</v>
      </c>
      <c r="AN128" s="51"/>
      <c r="AO128" s="51" t="b">
        <f t="shared" si="65"/>
        <v>0</v>
      </c>
      <c r="AP128" s="51" t="str">
        <f t="shared" si="87"/>
        <v>Tier 2 MMS</v>
      </c>
      <c r="AQ128" s="51" t="b">
        <f t="shared" si="66"/>
        <v>0</v>
      </c>
      <c r="AR128" s="51" t="b">
        <f t="shared" si="67"/>
        <v>0</v>
      </c>
      <c r="AS128" s="51" t="str">
        <f t="shared" si="68"/>
        <v/>
      </c>
      <c r="AT128" s="51" t="str">
        <f t="shared" si="69"/>
        <v/>
      </c>
      <c r="AU128" s="51" t="str">
        <f t="shared" si="70"/>
        <v/>
      </c>
      <c r="AV128" s="51" t="str">
        <f t="shared" si="71"/>
        <v/>
      </c>
      <c r="AW128" s="51" t="str">
        <f t="shared" si="72"/>
        <v/>
      </c>
      <c r="AX128" s="51" t="str">
        <f t="shared" si="73"/>
        <v/>
      </c>
      <c r="AY128" s="51" t="str">
        <f t="shared" si="74"/>
        <v/>
      </c>
      <c r="AZ128" s="51" t="str">
        <f t="shared" si="75"/>
        <v/>
      </c>
      <c r="BA128" s="51" t="str">
        <f t="shared" si="76"/>
        <v/>
      </c>
      <c r="BB128" s="51" t="str">
        <f t="shared" si="77"/>
        <v/>
      </c>
      <c r="BC128" s="51" t="str">
        <f t="shared" si="78"/>
        <v/>
      </c>
      <c r="BD128" s="51" t="str">
        <f t="shared" si="79"/>
        <v/>
      </c>
      <c r="BE128" s="51" t="str">
        <f t="shared" si="80"/>
        <v/>
      </c>
      <c r="BF128" s="51" t="str">
        <f t="shared" si="81"/>
        <v/>
      </c>
      <c r="BG128" s="51" t="str">
        <f t="shared" si="82"/>
        <v/>
      </c>
      <c r="BH128" s="51" t="b">
        <f t="shared" si="83"/>
        <v>0</v>
      </c>
      <c r="BI128" s="51" t="str">
        <f t="shared" si="84"/>
        <v/>
      </c>
      <c r="BJ128" s="51" t="str">
        <f t="shared" si="85"/>
        <v/>
      </c>
      <c r="BK128" s="51" t="b">
        <f t="shared" si="86"/>
        <v>0</v>
      </c>
      <c r="BL128" s="192"/>
    </row>
    <row r="129" spans="1:64" ht="13.5" thickBot="1" x14ac:dyDescent="0.25">
      <c r="A129" s="185" t="s">
        <v>821</v>
      </c>
      <c r="B129" s="194" t="s">
        <v>695</v>
      </c>
      <c r="C129" s="194" t="s">
        <v>695</v>
      </c>
      <c r="D129" s="193" t="s">
        <v>694</v>
      </c>
      <c r="E129" s="193" t="s">
        <v>694</v>
      </c>
      <c r="F129" s="160" t="s">
        <v>20</v>
      </c>
      <c r="G129" s="161"/>
      <c r="H129" s="186" t="str">
        <f t="shared" si="44"/>
        <v>N/A</v>
      </c>
      <c r="I129" s="186" t="b">
        <f t="shared" si="45"/>
        <v>1</v>
      </c>
      <c r="J129" s="186" t="str">
        <f t="shared" si="46"/>
        <v>N/A</v>
      </c>
      <c r="K129" s="186" t="b">
        <f t="shared" si="47"/>
        <v>1</v>
      </c>
      <c r="L129" s="186" t="str">
        <f t="shared" si="48"/>
        <v>Used?</v>
      </c>
      <c r="M129" s="186" t="b">
        <f t="shared" si="49"/>
        <v>0</v>
      </c>
      <c r="N129" s="186" t="str">
        <f t="shared" si="50"/>
        <v>Used?</v>
      </c>
      <c r="O129" s="186" t="b">
        <f t="shared" si="51"/>
        <v>0</v>
      </c>
      <c r="P129" s="26" t="s">
        <v>696</v>
      </c>
      <c r="Q129" s="160" t="s">
        <v>20</v>
      </c>
      <c r="R129" s="160" t="s">
        <v>20</v>
      </c>
      <c r="S129" s="26" t="s">
        <v>697</v>
      </c>
      <c r="T129" s="165" t="str">
        <f t="shared" si="52"/>
        <v>Not Used</v>
      </c>
      <c r="U129" s="162"/>
      <c r="V129" s="55"/>
      <c r="W129" s="51" t="b">
        <f t="shared" si="53"/>
        <v>1</v>
      </c>
      <c r="X129" s="51" t="str">
        <f t="shared" si="54"/>
        <v>Not Used</v>
      </c>
      <c r="Y129" s="51" t="str">
        <f t="shared" si="55"/>
        <v>Not Used</v>
      </c>
      <c r="Z129" s="51" t="str">
        <f t="shared" si="56"/>
        <v>Not Used</v>
      </c>
      <c r="AA129" s="51" t="str">
        <f t="shared" si="56"/>
        <v>Not Used</v>
      </c>
      <c r="AB129" s="51" t="str">
        <f t="shared" si="57"/>
        <v>Not Used</v>
      </c>
      <c r="AC129" s="51" t="b">
        <f t="shared" si="58"/>
        <v>1</v>
      </c>
      <c r="AD129" s="51">
        <f>COUNTIF($X$5:$X$129, "Not Used")</f>
        <v>125</v>
      </c>
      <c r="AE129" s="51">
        <f>COUNTIF($X$5:$X$129, "TRUE")</f>
        <v>0</v>
      </c>
      <c r="AF129" s="51" t="b">
        <f t="shared" si="59"/>
        <v>1</v>
      </c>
      <c r="AI129" s="51" t="b">
        <f t="shared" si="60"/>
        <v>0</v>
      </c>
      <c r="AJ129" s="51" t="b">
        <f t="shared" si="61"/>
        <v>0</v>
      </c>
      <c r="AK129" s="51" t="b">
        <f t="shared" si="62"/>
        <v>0</v>
      </c>
      <c r="AL129" s="51" t="b">
        <f t="shared" si="63"/>
        <v>0</v>
      </c>
      <c r="AM129" s="51" t="b">
        <f t="shared" si="64"/>
        <v>0</v>
      </c>
      <c r="AN129" s="51"/>
      <c r="AO129" s="51" t="b">
        <f t="shared" si="65"/>
        <v>0</v>
      </c>
      <c r="AP129" s="51" t="str">
        <f t="shared" si="87"/>
        <v>Tier 2 MMS</v>
      </c>
      <c r="AQ129" s="51" t="b">
        <f t="shared" si="66"/>
        <v>0</v>
      </c>
      <c r="AR129" s="51" t="b">
        <f t="shared" si="67"/>
        <v>0</v>
      </c>
      <c r="AS129" s="51" t="str">
        <f t="shared" si="68"/>
        <v/>
      </c>
      <c r="AT129" s="51" t="str">
        <f t="shared" si="69"/>
        <v/>
      </c>
      <c r="AU129" s="51" t="str">
        <f t="shared" si="70"/>
        <v/>
      </c>
      <c r="AV129" s="51" t="str">
        <f t="shared" si="71"/>
        <v/>
      </c>
      <c r="AW129" s="51" t="str">
        <f t="shared" si="72"/>
        <v/>
      </c>
      <c r="AX129" s="51" t="str">
        <f t="shared" si="73"/>
        <v/>
      </c>
      <c r="AY129" s="51" t="str">
        <f t="shared" si="74"/>
        <v/>
      </c>
      <c r="AZ129" s="51" t="str">
        <f t="shared" si="75"/>
        <v/>
      </c>
      <c r="BA129" s="51" t="str">
        <f t="shared" si="76"/>
        <v/>
      </c>
      <c r="BB129" s="51" t="str">
        <f t="shared" si="77"/>
        <v/>
      </c>
      <c r="BC129" s="51" t="str">
        <f t="shared" si="78"/>
        <v/>
      </c>
      <c r="BD129" s="51" t="str">
        <f t="shared" si="79"/>
        <v/>
      </c>
      <c r="BE129" s="51" t="str">
        <f t="shared" si="80"/>
        <v/>
      </c>
      <c r="BF129" s="51" t="str">
        <f t="shared" si="81"/>
        <v/>
      </c>
      <c r="BG129" s="51" t="str">
        <f t="shared" si="82"/>
        <v/>
      </c>
      <c r="BH129" s="51" t="b">
        <f t="shared" si="83"/>
        <v>0</v>
      </c>
      <c r="BI129" s="51" t="str">
        <f t="shared" si="84"/>
        <v/>
      </c>
      <c r="BJ129" s="51" t="str">
        <f t="shared" si="85"/>
        <v/>
      </c>
      <c r="BK129" s="51" t="b">
        <f t="shared" si="86"/>
        <v>0</v>
      </c>
      <c r="BL129" s="192"/>
    </row>
    <row r="130" spans="1:64" ht="13.5" thickBot="1" x14ac:dyDescent="0.25">
      <c r="A130" s="185" t="s">
        <v>822</v>
      </c>
      <c r="B130" s="194" t="s">
        <v>695</v>
      </c>
      <c r="C130" s="194" t="s">
        <v>695</v>
      </c>
      <c r="D130" s="193" t="s">
        <v>694</v>
      </c>
      <c r="E130" s="193" t="s">
        <v>694</v>
      </c>
      <c r="F130" s="160" t="s">
        <v>20</v>
      </c>
      <c r="G130" s="161"/>
      <c r="H130" s="186" t="str">
        <f t="shared" si="44"/>
        <v>N/A</v>
      </c>
      <c r="I130" s="186" t="b">
        <f t="shared" si="45"/>
        <v>1</v>
      </c>
      <c r="J130" s="186" t="str">
        <f t="shared" si="46"/>
        <v>N/A</v>
      </c>
      <c r="K130" s="186" t="b">
        <f t="shared" si="47"/>
        <v>1</v>
      </c>
      <c r="L130" s="186" t="str">
        <f t="shared" si="48"/>
        <v>Used?</v>
      </c>
      <c r="M130" s="186" t="b">
        <f t="shared" si="49"/>
        <v>0</v>
      </c>
      <c r="N130" s="186" t="str">
        <f t="shared" si="50"/>
        <v>Used?</v>
      </c>
      <c r="O130" s="186" t="b">
        <f t="shared" si="51"/>
        <v>0</v>
      </c>
      <c r="P130" s="26" t="s">
        <v>696</v>
      </c>
      <c r="Q130" s="160" t="s">
        <v>20</v>
      </c>
      <c r="R130" s="160" t="s">
        <v>20</v>
      </c>
      <c r="S130" s="26" t="s">
        <v>697</v>
      </c>
      <c r="T130" s="165" t="str">
        <f t="shared" si="52"/>
        <v>Not Used</v>
      </c>
      <c r="U130" s="162"/>
      <c r="V130" s="55"/>
      <c r="W130" s="51" t="b">
        <f t="shared" si="53"/>
        <v>1</v>
      </c>
      <c r="X130" s="51" t="str">
        <f t="shared" si="54"/>
        <v>Not Used</v>
      </c>
      <c r="Y130" s="51" t="str">
        <f t="shared" si="55"/>
        <v>Not Used</v>
      </c>
      <c r="Z130" s="51" t="str">
        <f t="shared" si="56"/>
        <v>Not Used</v>
      </c>
      <c r="AA130" s="51" t="str">
        <f t="shared" si="56"/>
        <v>Not Used</v>
      </c>
      <c r="AB130" s="51" t="str">
        <f t="shared" si="57"/>
        <v>Not Used</v>
      </c>
      <c r="AC130" s="51" t="b">
        <f t="shared" si="58"/>
        <v>1</v>
      </c>
      <c r="AD130" s="51">
        <f>COUNTIF($X$5:$X$130, "Not Used")</f>
        <v>126</v>
      </c>
      <c r="AE130" s="51">
        <f>COUNTIF($X$5:$X$130, "TRUE")</f>
        <v>0</v>
      </c>
      <c r="AF130" s="51" t="b">
        <f t="shared" si="59"/>
        <v>1</v>
      </c>
      <c r="AI130" s="51" t="b">
        <f t="shared" si="60"/>
        <v>0</v>
      </c>
      <c r="AJ130" s="51" t="b">
        <f t="shared" si="61"/>
        <v>0</v>
      </c>
      <c r="AK130" s="51" t="b">
        <f t="shared" si="62"/>
        <v>0</v>
      </c>
      <c r="AL130" s="51" t="b">
        <f t="shared" si="63"/>
        <v>0</v>
      </c>
      <c r="AM130" s="51" t="b">
        <f t="shared" si="64"/>
        <v>0</v>
      </c>
      <c r="AN130" s="51"/>
      <c r="AO130" s="51" t="b">
        <f t="shared" si="65"/>
        <v>0</v>
      </c>
      <c r="AP130" s="51" t="str">
        <f t="shared" si="87"/>
        <v>Tier 2 MMS</v>
      </c>
      <c r="AQ130" s="51" t="b">
        <f t="shared" si="66"/>
        <v>0</v>
      </c>
      <c r="AR130" s="51" t="b">
        <f t="shared" si="67"/>
        <v>0</v>
      </c>
      <c r="AS130" s="51" t="str">
        <f t="shared" si="68"/>
        <v/>
      </c>
      <c r="AT130" s="51" t="str">
        <f t="shared" si="69"/>
        <v/>
      </c>
      <c r="AU130" s="51" t="str">
        <f t="shared" si="70"/>
        <v/>
      </c>
      <c r="AV130" s="51" t="str">
        <f t="shared" si="71"/>
        <v/>
      </c>
      <c r="AW130" s="51" t="str">
        <f t="shared" si="72"/>
        <v/>
      </c>
      <c r="AX130" s="51" t="str">
        <f t="shared" si="73"/>
        <v/>
      </c>
      <c r="AY130" s="51" t="str">
        <f t="shared" si="74"/>
        <v/>
      </c>
      <c r="AZ130" s="51" t="str">
        <f t="shared" si="75"/>
        <v/>
      </c>
      <c r="BA130" s="51" t="str">
        <f t="shared" si="76"/>
        <v/>
      </c>
      <c r="BB130" s="51" t="str">
        <f t="shared" si="77"/>
        <v/>
      </c>
      <c r="BC130" s="51" t="str">
        <f t="shared" si="78"/>
        <v/>
      </c>
      <c r="BD130" s="51" t="str">
        <f t="shared" si="79"/>
        <v/>
      </c>
      <c r="BE130" s="51" t="str">
        <f t="shared" si="80"/>
        <v/>
      </c>
      <c r="BF130" s="51" t="str">
        <f t="shared" si="81"/>
        <v/>
      </c>
      <c r="BG130" s="51" t="str">
        <f t="shared" si="82"/>
        <v/>
      </c>
      <c r="BH130" s="51" t="b">
        <f t="shared" si="83"/>
        <v>0</v>
      </c>
      <c r="BI130" s="51" t="str">
        <f t="shared" si="84"/>
        <v/>
      </c>
      <c r="BJ130" s="51" t="str">
        <f t="shared" si="85"/>
        <v/>
      </c>
      <c r="BK130" s="51" t="b">
        <f t="shared" si="86"/>
        <v>0</v>
      </c>
      <c r="BL130" s="192"/>
    </row>
    <row r="131" spans="1:64" ht="13.5" thickBot="1" x14ac:dyDescent="0.25">
      <c r="A131" s="185" t="s">
        <v>823</v>
      </c>
      <c r="B131" s="194" t="s">
        <v>695</v>
      </c>
      <c r="C131" s="194" t="s">
        <v>695</v>
      </c>
      <c r="D131" s="193" t="s">
        <v>694</v>
      </c>
      <c r="E131" s="193" t="s">
        <v>694</v>
      </c>
      <c r="F131" s="160" t="s">
        <v>20</v>
      </c>
      <c r="G131" s="161"/>
      <c r="H131" s="186" t="str">
        <f t="shared" si="44"/>
        <v>N/A</v>
      </c>
      <c r="I131" s="186" t="b">
        <f t="shared" si="45"/>
        <v>1</v>
      </c>
      <c r="J131" s="186" t="str">
        <f t="shared" si="46"/>
        <v>N/A</v>
      </c>
      <c r="K131" s="186" t="b">
        <f t="shared" si="47"/>
        <v>1</v>
      </c>
      <c r="L131" s="186" t="str">
        <f t="shared" si="48"/>
        <v>Used?</v>
      </c>
      <c r="M131" s="186" t="b">
        <f t="shared" si="49"/>
        <v>0</v>
      </c>
      <c r="N131" s="186" t="str">
        <f t="shared" si="50"/>
        <v>Used?</v>
      </c>
      <c r="O131" s="186" t="b">
        <f t="shared" si="51"/>
        <v>0</v>
      </c>
      <c r="P131" s="26" t="s">
        <v>696</v>
      </c>
      <c r="Q131" s="160" t="s">
        <v>20</v>
      </c>
      <c r="R131" s="160" t="s">
        <v>20</v>
      </c>
      <c r="S131" s="26" t="s">
        <v>697</v>
      </c>
      <c r="T131" s="165" t="str">
        <f t="shared" si="52"/>
        <v>Not Used</v>
      </c>
      <c r="U131" s="162"/>
      <c r="V131" s="55"/>
      <c r="W131" s="51" t="b">
        <f t="shared" si="53"/>
        <v>1</v>
      </c>
      <c r="X131" s="51" t="str">
        <f t="shared" si="54"/>
        <v>Not Used</v>
      </c>
      <c r="Y131" s="51" t="str">
        <f t="shared" si="55"/>
        <v>Not Used</v>
      </c>
      <c r="Z131" s="51" t="str">
        <f t="shared" si="56"/>
        <v>Not Used</v>
      </c>
      <c r="AA131" s="51" t="str">
        <f t="shared" si="56"/>
        <v>Not Used</v>
      </c>
      <c r="AB131" s="51" t="str">
        <f t="shared" si="57"/>
        <v>Not Used</v>
      </c>
      <c r="AC131" s="51" t="b">
        <f t="shared" si="58"/>
        <v>1</v>
      </c>
      <c r="AD131" s="51">
        <f>COUNTIF($X$5:$X$131, "Not Used")</f>
        <v>127</v>
      </c>
      <c r="AE131" s="51">
        <f>COUNTIF($X$5:$X$131, "TRUE")</f>
        <v>0</v>
      </c>
      <c r="AF131" s="51" t="b">
        <f t="shared" si="59"/>
        <v>1</v>
      </c>
      <c r="AI131" s="51" t="b">
        <f t="shared" si="60"/>
        <v>0</v>
      </c>
      <c r="AJ131" s="51" t="b">
        <f t="shared" si="61"/>
        <v>0</v>
      </c>
      <c r="AK131" s="51" t="b">
        <f t="shared" si="62"/>
        <v>0</v>
      </c>
      <c r="AL131" s="51" t="b">
        <f t="shared" si="63"/>
        <v>0</v>
      </c>
      <c r="AM131" s="51" t="b">
        <f t="shared" si="64"/>
        <v>0</v>
      </c>
      <c r="AN131" s="51"/>
      <c r="AO131" s="51" t="b">
        <f t="shared" si="65"/>
        <v>0</v>
      </c>
      <c r="AP131" s="51" t="str">
        <f t="shared" si="87"/>
        <v>Tier 2 MMS</v>
      </c>
      <c r="AQ131" s="51" t="b">
        <f t="shared" si="66"/>
        <v>0</v>
      </c>
      <c r="AR131" s="51" t="b">
        <f t="shared" si="67"/>
        <v>0</v>
      </c>
      <c r="AS131" s="51" t="str">
        <f t="shared" si="68"/>
        <v/>
      </c>
      <c r="AT131" s="51" t="str">
        <f t="shared" si="69"/>
        <v/>
      </c>
      <c r="AU131" s="51" t="str">
        <f t="shared" si="70"/>
        <v/>
      </c>
      <c r="AV131" s="51" t="str">
        <f t="shared" si="71"/>
        <v/>
      </c>
      <c r="AW131" s="51" t="str">
        <f t="shared" si="72"/>
        <v/>
      </c>
      <c r="AX131" s="51" t="str">
        <f t="shared" si="73"/>
        <v/>
      </c>
      <c r="AY131" s="51" t="str">
        <f t="shared" si="74"/>
        <v/>
      </c>
      <c r="AZ131" s="51" t="str">
        <f t="shared" si="75"/>
        <v/>
      </c>
      <c r="BA131" s="51" t="str">
        <f t="shared" si="76"/>
        <v/>
      </c>
      <c r="BB131" s="51" t="str">
        <f t="shared" si="77"/>
        <v/>
      </c>
      <c r="BC131" s="51" t="str">
        <f t="shared" si="78"/>
        <v/>
      </c>
      <c r="BD131" s="51" t="str">
        <f t="shared" si="79"/>
        <v/>
      </c>
      <c r="BE131" s="51" t="str">
        <f t="shared" si="80"/>
        <v/>
      </c>
      <c r="BF131" s="51" t="str">
        <f t="shared" si="81"/>
        <v/>
      </c>
      <c r="BG131" s="51" t="str">
        <f t="shared" si="82"/>
        <v/>
      </c>
      <c r="BH131" s="51" t="b">
        <f t="shared" si="83"/>
        <v>0</v>
      </c>
      <c r="BI131" s="51" t="str">
        <f t="shared" si="84"/>
        <v/>
      </c>
      <c r="BJ131" s="51" t="str">
        <f t="shared" si="85"/>
        <v/>
      </c>
      <c r="BK131" s="51" t="b">
        <f t="shared" si="86"/>
        <v>0</v>
      </c>
      <c r="BL131" s="192"/>
    </row>
    <row r="132" spans="1:64" ht="13.5" thickBot="1" x14ac:dyDescent="0.25">
      <c r="A132" s="185" t="s">
        <v>824</v>
      </c>
      <c r="B132" s="194" t="s">
        <v>695</v>
      </c>
      <c r="C132" s="194" t="s">
        <v>695</v>
      </c>
      <c r="D132" s="193" t="s">
        <v>694</v>
      </c>
      <c r="E132" s="193" t="s">
        <v>694</v>
      </c>
      <c r="F132" s="160" t="s">
        <v>20</v>
      </c>
      <c r="G132" s="161"/>
      <c r="H132" s="186" t="str">
        <f t="shared" si="44"/>
        <v>N/A</v>
      </c>
      <c r="I132" s="186" t="b">
        <f t="shared" si="45"/>
        <v>1</v>
      </c>
      <c r="J132" s="186" t="str">
        <f t="shared" si="46"/>
        <v>N/A</v>
      </c>
      <c r="K132" s="186" t="b">
        <f t="shared" si="47"/>
        <v>1</v>
      </c>
      <c r="L132" s="186" t="str">
        <f t="shared" si="48"/>
        <v>Used?</v>
      </c>
      <c r="M132" s="186" t="b">
        <f t="shared" si="49"/>
        <v>0</v>
      </c>
      <c r="N132" s="186" t="str">
        <f t="shared" si="50"/>
        <v>Used?</v>
      </c>
      <c r="O132" s="186" t="b">
        <f t="shared" si="51"/>
        <v>0</v>
      </c>
      <c r="P132" s="26" t="s">
        <v>696</v>
      </c>
      <c r="Q132" s="160" t="s">
        <v>20</v>
      </c>
      <c r="R132" s="160" t="s">
        <v>20</v>
      </c>
      <c r="S132" s="26" t="s">
        <v>697</v>
      </c>
      <c r="T132" s="165" t="str">
        <f t="shared" si="52"/>
        <v>Not Used</v>
      </c>
      <c r="U132" s="162"/>
      <c r="V132" s="55"/>
      <c r="W132" s="51" t="b">
        <f t="shared" si="53"/>
        <v>1</v>
      </c>
      <c r="X132" s="51" t="str">
        <f t="shared" si="54"/>
        <v>Not Used</v>
      </c>
      <c r="Y132" s="51" t="str">
        <f t="shared" si="55"/>
        <v>Not Used</v>
      </c>
      <c r="Z132" s="51" t="str">
        <f t="shared" si="56"/>
        <v>Not Used</v>
      </c>
      <c r="AA132" s="51" t="str">
        <f t="shared" si="56"/>
        <v>Not Used</v>
      </c>
      <c r="AB132" s="51" t="str">
        <f t="shared" si="57"/>
        <v>Not Used</v>
      </c>
      <c r="AC132" s="51" t="b">
        <f t="shared" si="58"/>
        <v>1</v>
      </c>
      <c r="AD132" s="51">
        <f>COUNTIF($X$5:$X$132, "Not Used")</f>
        <v>128</v>
      </c>
      <c r="AE132" s="51">
        <f>COUNTIF($X$5:$X$132, "TRUE")</f>
        <v>0</v>
      </c>
      <c r="AF132" s="51" t="b">
        <f t="shared" si="59"/>
        <v>1</v>
      </c>
      <c r="AI132" s="51" t="b">
        <f t="shared" si="60"/>
        <v>0</v>
      </c>
      <c r="AJ132" s="51" t="b">
        <f t="shared" si="61"/>
        <v>0</v>
      </c>
      <c r="AK132" s="51" t="b">
        <f t="shared" si="62"/>
        <v>0</v>
      </c>
      <c r="AL132" s="51" t="b">
        <f t="shared" si="63"/>
        <v>0</v>
      </c>
      <c r="AM132" s="51" t="b">
        <f t="shared" si="64"/>
        <v>0</v>
      </c>
      <c r="AN132" s="51"/>
      <c r="AO132" s="51" t="b">
        <f t="shared" si="65"/>
        <v>0</v>
      </c>
      <c r="AP132" s="51" t="str">
        <f t="shared" si="87"/>
        <v>Tier 2 MMS</v>
      </c>
      <c r="AQ132" s="51" t="b">
        <f t="shared" si="66"/>
        <v>0</v>
      </c>
      <c r="AR132" s="51" t="b">
        <f t="shared" si="67"/>
        <v>0</v>
      </c>
      <c r="AS132" s="51" t="str">
        <f t="shared" si="68"/>
        <v/>
      </c>
      <c r="AT132" s="51" t="str">
        <f t="shared" si="69"/>
        <v/>
      </c>
      <c r="AU132" s="51" t="str">
        <f t="shared" si="70"/>
        <v/>
      </c>
      <c r="AV132" s="51" t="str">
        <f t="shared" si="71"/>
        <v/>
      </c>
      <c r="AW132" s="51" t="str">
        <f t="shared" si="72"/>
        <v/>
      </c>
      <c r="AX132" s="51" t="str">
        <f t="shared" si="73"/>
        <v/>
      </c>
      <c r="AY132" s="51" t="str">
        <f t="shared" si="74"/>
        <v/>
      </c>
      <c r="AZ132" s="51" t="str">
        <f t="shared" si="75"/>
        <v/>
      </c>
      <c r="BA132" s="51" t="str">
        <f t="shared" si="76"/>
        <v/>
      </c>
      <c r="BB132" s="51" t="str">
        <f t="shared" si="77"/>
        <v/>
      </c>
      <c r="BC132" s="51" t="str">
        <f t="shared" si="78"/>
        <v/>
      </c>
      <c r="BD132" s="51" t="str">
        <f t="shared" si="79"/>
        <v/>
      </c>
      <c r="BE132" s="51" t="str">
        <f t="shared" si="80"/>
        <v/>
      </c>
      <c r="BF132" s="51" t="str">
        <f t="shared" si="81"/>
        <v/>
      </c>
      <c r="BG132" s="51" t="str">
        <f t="shared" si="82"/>
        <v/>
      </c>
      <c r="BH132" s="51" t="b">
        <f t="shared" si="83"/>
        <v>0</v>
      </c>
      <c r="BI132" s="51" t="str">
        <f t="shared" si="84"/>
        <v/>
      </c>
      <c r="BJ132" s="51" t="str">
        <f t="shared" si="85"/>
        <v/>
      </c>
      <c r="BK132" s="51" t="b">
        <f t="shared" si="86"/>
        <v>0</v>
      </c>
      <c r="BL132" s="192"/>
    </row>
    <row r="133" spans="1:64" ht="13.5" thickBot="1" x14ac:dyDescent="0.25">
      <c r="A133" s="185" t="s">
        <v>825</v>
      </c>
      <c r="B133" s="194" t="s">
        <v>695</v>
      </c>
      <c r="C133" s="194" t="s">
        <v>695</v>
      </c>
      <c r="D133" s="193" t="s">
        <v>694</v>
      </c>
      <c r="E133" s="193" t="s">
        <v>694</v>
      </c>
      <c r="F133" s="160" t="s">
        <v>20</v>
      </c>
      <c r="G133" s="161"/>
      <c r="H133" s="186" t="str">
        <f t="shared" ref="H133:H197" si="88">IF(B133="YES",(IF(F133="Yes",TRUE,(IF(F133="YES WITH MODIFICATION",(IF((NOT(ISBLANK(U133))),"Used with modification","Change Request?")),(IF(F133="N/A",(IF((NOT(ISBLANK(G133))),"Not Used","Rationale?")),(IF(F133="&lt;Select&gt;","Used?",FALSE)))))))),"N/A")</f>
        <v>N/A</v>
      </c>
      <c r="I133" s="186" t="b">
        <f t="shared" ref="I133:I197" si="89">IF(B133="YES",OR(IF(F133="YES",TRUE,FALSE),IF(AND(F133="YES WITH MODIFICATION",NOT(ISBLANK(U133))),TRUE,FALSE),(IF(F133="N/A",NOT(ISBLANK(G133))))),TRUE)</f>
        <v>1</v>
      </c>
      <c r="J133" s="186" t="str">
        <f t="shared" ref="J133:J197" si="90">IF(C133="YES",(IF(F133="YES",TRUE,(IF(F133="YES WITH MODIFICATION",(IF((NOT(ISBLANK(U133))),"Used with modification","Change Request?")),(IF(F133="N/A",(IF((NOT(ISBLANK(G133))),"Not Used","Rationale?")),(IF(F133="&lt;Select&gt;","Used?",FALSE)))))))),"N/A")</f>
        <v>N/A</v>
      </c>
      <c r="K133" s="186" t="b">
        <f t="shared" ref="K133:K197" si="91">IF(C133="YES",OR(IF(F133="YES",TRUE,FALSE),IF(AND(F133="YES WITH MODIFICATION",NOT(ISBLANK(U133))),TRUE,FALSE),(IF(F133="N/A",NOT(ISBLANK(G133))))),TRUE)</f>
        <v>1</v>
      </c>
      <c r="L133" s="186" t="str">
        <f t="shared" ref="L133:L197" si="92">IF(D133="YES",(IF(F133="YES",TRUE,(IF(F133="YES WITH MODIFICATION",(IF((NOT(ISBLANK(U133))),"Used with modification","Change Request?")),(IF(F133="N/A",(IF((NOT(ISBLANK(G133))),"Not Used","Rationale?")),(IF(F133="&lt;Select&gt;","Used?",FALSE)))))))),"N/A")</f>
        <v>Used?</v>
      </c>
      <c r="M133" s="186" t="b">
        <f t="shared" ref="M133:M197" si="93">IF(D133="YES",OR(IF(F133="YES",TRUE,FALSE),IF(AND(F133="YES WITH MODIFICATION",NOT(ISBLANK(U133))),TRUE,FALSE),(IF(F133="N/A",NOT(ISBLANK(G133))))),TRUE)</f>
        <v>0</v>
      </c>
      <c r="N133" s="186" t="str">
        <f t="shared" ref="N133:N197" si="94">IF(E133="YES",(IF(F133="YES",TRUE,(IF(F133="YES WITH MODIFICATION",(IF((NOT(ISBLANK(U133))),"Used with modification","Change Request?")),(IF(F133="N/A",(IF((NOT(ISBLANK(G133))),"Not Used","Rationale?")),(IF(F133="&lt;Select&gt;","Used?",FALSE)))))))),"N/A")</f>
        <v>Used?</v>
      </c>
      <c r="O133" s="186" t="b">
        <f t="shared" ref="O133:O197" si="95">IF(E133="YES",OR(IF(F133="YES",TRUE,FALSE),IF(AND(F133="YES WITH MODIFICATION",NOT(ISBLANK(U133))),TRUE,FALSE),(IF(F133="N/A",NOT(ISBLANK(G133))))),TRUE)</f>
        <v>0</v>
      </c>
      <c r="P133" s="26" t="s">
        <v>696</v>
      </c>
      <c r="Q133" s="160" t="s">
        <v>20</v>
      </c>
      <c r="R133" s="160" t="s">
        <v>20</v>
      </c>
      <c r="S133" s="26" t="s">
        <v>697</v>
      </c>
      <c r="T133" s="165" t="str">
        <f t="shared" ref="T133:T197" si="96">IF(NOT(OR(F133="Yes",F133="YES WITH MODIFICATION")),"Not Used",(AND(X133=Y133,X133=(OR(Z133=TRUE,AA133=TRUE)), X133=AB133, X133=AC133)))</f>
        <v>Not Used</v>
      </c>
      <c r="U133" s="162"/>
      <c r="V133" s="55"/>
      <c r="W133" s="51" t="b">
        <f t="shared" ref="W133:W197" si="97">IF(T133=TRUE,TRUE,(IF(T133="Not Used", TRUE,FALSE)))</f>
        <v>1</v>
      </c>
      <c r="X133" s="51" t="str">
        <f t="shared" ref="X133:X197" si="98">IF(OR(F133="YES",F133="YES WITH MODIFICATION"),TRUE,"Not Used")</f>
        <v>Not Used</v>
      </c>
      <c r="Y133" s="51" t="str">
        <f t="shared" ref="Y133:Y197" si="99">IF(OR(P133="SC §3.X.X.X", ISBLANK(P133)),"Not Used", TRUE)</f>
        <v>Not Used</v>
      </c>
      <c r="Z133" s="51" t="str">
        <f t="shared" ref="Z133:AA197" si="100">IF(OR(Q133="&lt;Select&gt;",(ISBLANK(Q133))),"Not Used",TRUE)</f>
        <v>Not Used</v>
      </c>
      <c r="AA133" s="51" t="str">
        <f t="shared" si="100"/>
        <v>Not Used</v>
      </c>
      <c r="AB133" s="51" t="str">
        <f t="shared" ref="AB133:AB197" si="101">IF(OR(S133="&lt;enter location here&gt;",(ISBLANK(S133))),"Not Used",TRUE)</f>
        <v>Not Used</v>
      </c>
      <c r="AC133" s="51" t="b">
        <f t="shared" ref="AC133:AC197" si="102">IF(F133="YES WITH MODIFICATION",IF(NOT(ISBLANK(U133)),TRUE,FALSE),TRUE)</f>
        <v>1</v>
      </c>
      <c r="AD133" s="51">
        <f>COUNTIF($X$5:$X$133, "Not Used")</f>
        <v>129</v>
      </c>
      <c r="AE133" s="51">
        <f>COUNTIF($X$5:$X$133, "TRUE")</f>
        <v>0</v>
      </c>
      <c r="AF133" s="51" t="b">
        <f t="shared" ref="AF133:AF197" si="103">IF(F133="&lt;Select&gt;", TRUE,FALSE)</f>
        <v>1</v>
      </c>
      <c r="AI133" s="51" t="b">
        <f t="shared" ref="AI133:AI197" si="104">IF(F133="N/A", TRUE, FALSE)</f>
        <v>0</v>
      </c>
      <c r="AJ133" s="51" t="b">
        <f t="shared" ref="AJ133:AJ197" si="105">IF(AI133=TRUE, IF(NOT(ISBLANK(G133)), TRUE, FALSE))</f>
        <v>0</v>
      </c>
      <c r="AK133" s="51" t="b">
        <f t="shared" ref="AK133:AK197" si="106">IF(F133="YES WITH MODIFICATION", TRUE, FALSE)</f>
        <v>0</v>
      </c>
      <c r="AL133" s="51" t="b">
        <f t="shared" ref="AL133:AL197" si="107">IF(ISBLANK(U133), FALSE, TRUE)</f>
        <v>0</v>
      </c>
      <c r="AM133" s="51" t="b">
        <f t="shared" ref="AM133:AM197" si="108">IF(AND(AK133=TRUE, AL133=TRUE), TRUE, FALSE)</f>
        <v>0</v>
      </c>
      <c r="AN133" s="51"/>
      <c r="AO133" s="51" t="b">
        <f t="shared" ref="AO133:AO197" si="109">IF(AND(F133="YES WITH MODIFICATION", NOT(ISBLANK(U133))), TRUE, FALSE)</f>
        <v>0</v>
      </c>
      <c r="AP133" s="51" t="str">
        <f t="shared" si="87"/>
        <v>Tier 2 MMS</v>
      </c>
      <c r="AQ133" s="51" t="b">
        <f t="shared" ref="AQ133:AQ197" si="110">IF(S133="&lt;enter location here&gt;", FALSE, TRUE)</f>
        <v>0</v>
      </c>
      <c r="AR133" s="51" t="b">
        <f t="shared" ref="AR133:AR197" si="111">IF(F133="&lt;Select&gt;", FALSE, IF(T133=FALSE, FALSE, TRUE))</f>
        <v>0</v>
      </c>
      <c r="AS133" s="51" t="str">
        <f t="shared" ref="AS133:AS197" si="112">IF(ISNUMBER(SEARCH("Tier 1 Sub MMS",AP133)), IF(F133="&lt;Select&gt;", FALSE, IF(AND(F133="N/A", J133="Rationale?"), FALSE, TRUE)), "")</f>
        <v/>
      </c>
      <c r="AT133" s="51" t="str">
        <f t="shared" ref="AT133:AT197" si="113">IF(ISNUMBER(SEARCH("Tier 1 MMS",AP133)), IF(F133="&lt;Select&gt;", FALSE, IF(AND(F133="N/A", H133="Rationale?"), FALSE, TRUE)), "")</f>
        <v/>
      </c>
      <c r="AU133" s="51" t="str">
        <f t="shared" ref="AU133:AU197" si="114">IF(ISNUMBER(SEARCH("Tier 1 MMS",AP133)), IF(F133="&lt;Select&gt;", FALSE, IF(AND(F133="YES WITH MODIFICATION", H133="Change Request?"), FALSE, TRUE)), "")</f>
        <v/>
      </c>
      <c r="AV133" s="51" t="str">
        <f t="shared" ref="AV133:AV197" si="115">IF(ISNUMBER(SEARCH("Tier 1 MMS",AP133)), IF(AK133=TRUE, TRUE, ""),"")</f>
        <v/>
      </c>
      <c r="AW133" s="51" t="str">
        <f t="shared" ref="AW133:AW197" si="116">IF(ISNUMBER(SEARCH("Tier 1 MMS",AP133)), IF(AL133=TRUE, TRUE, ""),"")</f>
        <v/>
      </c>
      <c r="AX133" s="51" t="str">
        <f t="shared" ref="AX133:AX197" si="117">IF(ISNUMBER(SEARCH("Tier 1 MMS",AP133)), IF(AI133=TRUE, TRUE, ""),"")</f>
        <v/>
      </c>
      <c r="AY133" s="51" t="str">
        <f t="shared" ref="AY133:AY197" si="118">IF(ISNUMBER(SEARCH("Tier 1 MMS",AP133)), IF(AJ133=TRUE, TRUE, ""),"")</f>
        <v/>
      </c>
      <c r="AZ133" s="51" t="str">
        <f t="shared" ref="AZ133:AZ197" si="119">IF(ISNUMBER(SEARCH("Tier 1 Sub MMS",AP133)), IF(AK133=TRUE, TRUE, ""),"")</f>
        <v/>
      </c>
      <c r="BA133" s="51" t="str">
        <f t="shared" ref="BA133:BA197" si="120">IF(ISNUMBER(SEARCH("Tier 1 Sub MMS",AP133)), IF(AL133=TRUE, TRUE, ""),"")</f>
        <v/>
      </c>
      <c r="BB133" s="51" t="str">
        <f t="shared" ref="BB133:BB197" si="121">IF(ISNUMBER(SEARCH("Tier 1 Sub MMS",AP133)), IF(AI133=TRUE, TRUE, ""),"")</f>
        <v/>
      </c>
      <c r="BC133" s="51" t="str">
        <f t="shared" ref="BC133:BC197" si="122">IF(ISNUMBER(SEARCH("Tier 1 Sub MMS",AP133)), IF(AJ133=TRUE, TRUE, ""),"")</f>
        <v/>
      </c>
      <c r="BD133" s="51" t="str">
        <f t="shared" ref="BD133:BD197" si="123">IF(ISNUMBER(SEARCH("Tier 2 MMS",AP133)), IF(AK133=TRUE, TRUE, ""),"")</f>
        <v/>
      </c>
      <c r="BE133" s="51" t="str">
        <f t="shared" ref="BE133:BE197" si="124">IF(ISNUMBER(SEARCH("Tier 2 MMS",AP133)), IF(AL133=TRUE, TRUE, ""),"")</f>
        <v/>
      </c>
      <c r="BF133" s="51" t="str">
        <f t="shared" ref="BF133:BF197" si="125">IF(ISNUMBER(SEARCH("Tier 2 MMS",AP133)), IF(AI133=TRUE, TRUE, ""),"")</f>
        <v/>
      </c>
      <c r="BG133" s="51" t="str">
        <f t="shared" ref="BG133:BG197" si="126">IF(ISNUMBER(SEARCH("Tier 2 MMS",AP133)), IF(AJ133=TRUE, TRUE, ""),"")</f>
        <v/>
      </c>
      <c r="BH133" s="51" t="b">
        <f t="shared" ref="BH133:BH197" si="127" xml:space="preserve"> IF(OR(F133="&lt;Select&gt;", AQ133=FALSE), FALSE, TRUE)</f>
        <v>0</v>
      </c>
      <c r="BI133" s="51" t="str">
        <f t="shared" ref="BI133:BI197" si="128">IF(E133="YES", "", IF(E133="NO", IF(F133="N/A",TRUE,IF(F133="YES",FALSE))))</f>
        <v/>
      </c>
      <c r="BJ133" s="51" t="str">
        <f t="shared" ref="BJ133:BJ197" si="129">IF(E133="YES", "", IF(E133="NO", IF(AND(F133="N/A", NOT(ISBLANK(G133))), TRUE, IF(AND(F133="YES",AL133=TRUE),TRUE,FALSE))))</f>
        <v/>
      </c>
      <c r="BK133" s="51" t="b">
        <f t="shared" ref="BK133:BK197" si="130" xml:space="preserve"> IF(OR(F133="&lt;Select&gt;", T133=FALSE), FALSE, TRUE)</f>
        <v>0</v>
      </c>
      <c r="BL133" s="192"/>
    </row>
    <row r="134" spans="1:64" ht="13.5" thickBot="1" x14ac:dyDescent="0.25">
      <c r="A134" s="185" t="s">
        <v>826</v>
      </c>
      <c r="B134" s="194" t="s">
        <v>695</v>
      </c>
      <c r="C134" s="194" t="s">
        <v>695</v>
      </c>
      <c r="D134" s="193" t="s">
        <v>694</v>
      </c>
      <c r="E134" s="193" t="s">
        <v>694</v>
      </c>
      <c r="F134" s="160" t="s">
        <v>20</v>
      </c>
      <c r="G134" s="161"/>
      <c r="H134" s="186" t="str">
        <f t="shared" si="88"/>
        <v>N/A</v>
      </c>
      <c r="I134" s="186" t="b">
        <f t="shared" si="89"/>
        <v>1</v>
      </c>
      <c r="J134" s="186" t="str">
        <f t="shared" si="90"/>
        <v>N/A</v>
      </c>
      <c r="K134" s="186" t="b">
        <f t="shared" si="91"/>
        <v>1</v>
      </c>
      <c r="L134" s="186" t="str">
        <f t="shared" si="92"/>
        <v>Used?</v>
      </c>
      <c r="M134" s="186" t="b">
        <f t="shared" si="93"/>
        <v>0</v>
      </c>
      <c r="N134" s="186" t="str">
        <f t="shared" si="94"/>
        <v>Used?</v>
      </c>
      <c r="O134" s="186" t="b">
        <f t="shared" si="95"/>
        <v>0</v>
      </c>
      <c r="P134" s="26" t="s">
        <v>696</v>
      </c>
      <c r="Q134" s="160" t="s">
        <v>20</v>
      </c>
      <c r="R134" s="160" t="s">
        <v>20</v>
      </c>
      <c r="S134" s="26" t="s">
        <v>697</v>
      </c>
      <c r="T134" s="165" t="str">
        <f t="shared" si="96"/>
        <v>Not Used</v>
      </c>
      <c r="U134" s="162"/>
      <c r="V134" s="55"/>
      <c r="W134" s="51" t="b">
        <f t="shared" si="97"/>
        <v>1</v>
      </c>
      <c r="X134" s="51" t="str">
        <f t="shared" si="98"/>
        <v>Not Used</v>
      </c>
      <c r="Y134" s="51" t="str">
        <f t="shared" si="99"/>
        <v>Not Used</v>
      </c>
      <c r="Z134" s="51" t="str">
        <f t="shared" si="100"/>
        <v>Not Used</v>
      </c>
      <c r="AA134" s="51" t="str">
        <f t="shared" si="100"/>
        <v>Not Used</v>
      </c>
      <c r="AB134" s="51" t="str">
        <f t="shared" si="101"/>
        <v>Not Used</v>
      </c>
      <c r="AC134" s="51" t="b">
        <f t="shared" si="102"/>
        <v>1</v>
      </c>
      <c r="AD134" s="51">
        <f>COUNTIF($X$5:$X$134, "Not Used")</f>
        <v>130</v>
      </c>
      <c r="AE134" s="51">
        <f>COUNTIF($X$5:$X$134, "TRUE")</f>
        <v>0</v>
      </c>
      <c r="AF134" s="51" t="b">
        <f t="shared" si="103"/>
        <v>1</v>
      </c>
      <c r="AI134" s="51" t="b">
        <f t="shared" si="104"/>
        <v>0</v>
      </c>
      <c r="AJ134" s="51" t="b">
        <f t="shared" si="105"/>
        <v>0</v>
      </c>
      <c r="AK134" s="51" t="b">
        <f t="shared" si="106"/>
        <v>0</v>
      </c>
      <c r="AL134" s="51" t="b">
        <f t="shared" si="107"/>
        <v>0</v>
      </c>
      <c r="AM134" s="51" t="b">
        <f t="shared" si="108"/>
        <v>0</v>
      </c>
      <c r="AN134" s="51"/>
      <c r="AO134" s="51" t="b">
        <f t="shared" si="109"/>
        <v>0</v>
      </c>
      <c r="AP134" s="51" t="str">
        <f t="shared" ref="AP134:AP198" si="131">IF(AND(B134="YES", C134="YES", D134="YES"), "Tier 1 MMS, Tier 1 Sub MMS, Tier 2 MMS", IF(AND(B134="YES", C134="YES"), "Tier 1 MMS, Tier 1 Sub MMS", IF(AND(B134="YES", D134="YES"), "Tier 1 MMS, Tier 2 MMS", IF(AND(C134="YES", D134="YES"), "Tier 1 Sub MMS, Tier 2 MMS", IF(B134="YES", "Tier 1 MMS", IF(C134="YES", "Tier 1 Sub MMS", IF(D134="YES", "Tier 2 MMS", "Not in MMS")))))))</f>
        <v>Tier 2 MMS</v>
      </c>
      <c r="AQ134" s="51" t="b">
        <f t="shared" si="110"/>
        <v>0</v>
      </c>
      <c r="AR134" s="51" t="b">
        <f t="shared" si="111"/>
        <v>0</v>
      </c>
      <c r="AS134" s="51" t="str">
        <f t="shared" si="112"/>
        <v/>
      </c>
      <c r="AT134" s="51" t="str">
        <f t="shared" si="113"/>
        <v/>
      </c>
      <c r="AU134" s="51" t="str">
        <f t="shared" si="114"/>
        <v/>
      </c>
      <c r="AV134" s="51" t="str">
        <f t="shared" si="115"/>
        <v/>
      </c>
      <c r="AW134" s="51" t="str">
        <f t="shared" si="116"/>
        <v/>
      </c>
      <c r="AX134" s="51" t="str">
        <f t="shared" si="117"/>
        <v/>
      </c>
      <c r="AY134" s="51" t="str">
        <f t="shared" si="118"/>
        <v/>
      </c>
      <c r="AZ134" s="51" t="str">
        <f t="shared" si="119"/>
        <v/>
      </c>
      <c r="BA134" s="51" t="str">
        <f t="shared" si="120"/>
        <v/>
      </c>
      <c r="BB134" s="51" t="str">
        <f t="shared" si="121"/>
        <v/>
      </c>
      <c r="BC134" s="51" t="str">
        <f t="shared" si="122"/>
        <v/>
      </c>
      <c r="BD134" s="51" t="str">
        <f t="shared" si="123"/>
        <v/>
      </c>
      <c r="BE134" s="51" t="str">
        <f t="shared" si="124"/>
        <v/>
      </c>
      <c r="BF134" s="51" t="str">
        <f t="shared" si="125"/>
        <v/>
      </c>
      <c r="BG134" s="51" t="str">
        <f t="shared" si="126"/>
        <v/>
      </c>
      <c r="BH134" s="51" t="b">
        <f t="shared" si="127"/>
        <v>0</v>
      </c>
      <c r="BI134" s="51" t="str">
        <f t="shared" si="128"/>
        <v/>
      </c>
      <c r="BJ134" s="51" t="str">
        <f t="shared" si="129"/>
        <v/>
      </c>
      <c r="BK134" s="51" t="b">
        <f t="shared" si="130"/>
        <v>0</v>
      </c>
      <c r="BL134" s="192"/>
    </row>
    <row r="135" spans="1:64" ht="13.5" thickBot="1" x14ac:dyDescent="0.25">
      <c r="A135" s="185" t="s">
        <v>827</v>
      </c>
      <c r="B135" s="194" t="s">
        <v>695</v>
      </c>
      <c r="C135" s="194" t="s">
        <v>695</v>
      </c>
      <c r="D135" s="193" t="s">
        <v>694</v>
      </c>
      <c r="E135" s="193" t="s">
        <v>694</v>
      </c>
      <c r="F135" s="160" t="s">
        <v>20</v>
      </c>
      <c r="G135" s="161"/>
      <c r="H135" s="186" t="str">
        <f t="shared" si="88"/>
        <v>N/A</v>
      </c>
      <c r="I135" s="186" t="b">
        <f t="shared" si="89"/>
        <v>1</v>
      </c>
      <c r="J135" s="186" t="str">
        <f t="shared" si="90"/>
        <v>N/A</v>
      </c>
      <c r="K135" s="186" t="b">
        <f t="shared" si="91"/>
        <v>1</v>
      </c>
      <c r="L135" s="186" t="str">
        <f t="shared" si="92"/>
        <v>Used?</v>
      </c>
      <c r="M135" s="186" t="b">
        <f t="shared" si="93"/>
        <v>0</v>
      </c>
      <c r="N135" s="186" t="str">
        <f t="shared" si="94"/>
        <v>Used?</v>
      </c>
      <c r="O135" s="186" t="b">
        <f t="shared" si="95"/>
        <v>0</v>
      </c>
      <c r="P135" s="26" t="s">
        <v>696</v>
      </c>
      <c r="Q135" s="160" t="s">
        <v>20</v>
      </c>
      <c r="R135" s="160" t="s">
        <v>20</v>
      </c>
      <c r="S135" s="26" t="s">
        <v>697</v>
      </c>
      <c r="T135" s="165" t="str">
        <f t="shared" si="96"/>
        <v>Not Used</v>
      </c>
      <c r="U135" s="162"/>
      <c r="V135" s="55"/>
      <c r="W135" s="51" t="b">
        <f t="shared" si="97"/>
        <v>1</v>
      </c>
      <c r="X135" s="51" t="str">
        <f t="shared" si="98"/>
        <v>Not Used</v>
      </c>
      <c r="Y135" s="51" t="str">
        <f t="shared" si="99"/>
        <v>Not Used</v>
      </c>
      <c r="Z135" s="51" t="str">
        <f t="shared" si="100"/>
        <v>Not Used</v>
      </c>
      <c r="AA135" s="51" t="str">
        <f t="shared" si="100"/>
        <v>Not Used</v>
      </c>
      <c r="AB135" s="51" t="str">
        <f t="shared" si="101"/>
        <v>Not Used</v>
      </c>
      <c r="AC135" s="51" t="b">
        <f t="shared" si="102"/>
        <v>1</v>
      </c>
      <c r="AD135" s="51">
        <f>COUNTIF($X$5:$X$135, "Not Used")</f>
        <v>131</v>
      </c>
      <c r="AE135" s="51">
        <f>COUNTIF($X$5:$X$135, "TRUE")</f>
        <v>0</v>
      </c>
      <c r="AF135" s="51" t="b">
        <f t="shared" si="103"/>
        <v>1</v>
      </c>
      <c r="AI135" s="51" t="b">
        <f t="shared" si="104"/>
        <v>0</v>
      </c>
      <c r="AJ135" s="51" t="b">
        <f t="shared" si="105"/>
        <v>0</v>
      </c>
      <c r="AK135" s="51" t="b">
        <f t="shared" si="106"/>
        <v>0</v>
      </c>
      <c r="AL135" s="51" t="b">
        <f t="shared" si="107"/>
        <v>0</v>
      </c>
      <c r="AM135" s="51" t="b">
        <f t="shared" si="108"/>
        <v>0</v>
      </c>
      <c r="AN135" s="51"/>
      <c r="AO135" s="51" t="b">
        <f t="shared" si="109"/>
        <v>0</v>
      </c>
      <c r="AP135" s="51" t="str">
        <f t="shared" si="131"/>
        <v>Tier 2 MMS</v>
      </c>
      <c r="AQ135" s="51" t="b">
        <f t="shared" si="110"/>
        <v>0</v>
      </c>
      <c r="AR135" s="51" t="b">
        <f t="shared" si="111"/>
        <v>0</v>
      </c>
      <c r="AS135" s="51" t="str">
        <f t="shared" si="112"/>
        <v/>
      </c>
      <c r="AT135" s="51" t="str">
        <f t="shared" si="113"/>
        <v/>
      </c>
      <c r="AU135" s="51" t="str">
        <f t="shared" si="114"/>
        <v/>
      </c>
      <c r="AV135" s="51" t="str">
        <f t="shared" si="115"/>
        <v/>
      </c>
      <c r="AW135" s="51" t="str">
        <f t="shared" si="116"/>
        <v/>
      </c>
      <c r="AX135" s="51" t="str">
        <f t="shared" si="117"/>
        <v/>
      </c>
      <c r="AY135" s="51" t="str">
        <f t="shared" si="118"/>
        <v/>
      </c>
      <c r="AZ135" s="51" t="str">
        <f t="shared" si="119"/>
        <v/>
      </c>
      <c r="BA135" s="51" t="str">
        <f t="shared" si="120"/>
        <v/>
      </c>
      <c r="BB135" s="51" t="str">
        <f t="shared" si="121"/>
        <v/>
      </c>
      <c r="BC135" s="51" t="str">
        <f t="shared" si="122"/>
        <v/>
      </c>
      <c r="BD135" s="51" t="str">
        <f t="shared" si="123"/>
        <v/>
      </c>
      <c r="BE135" s="51" t="str">
        <f t="shared" si="124"/>
        <v/>
      </c>
      <c r="BF135" s="51" t="str">
        <f t="shared" si="125"/>
        <v/>
      </c>
      <c r="BG135" s="51" t="str">
        <f t="shared" si="126"/>
        <v/>
      </c>
      <c r="BH135" s="51" t="b">
        <f t="shared" si="127"/>
        <v>0</v>
      </c>
      <c r="BI135" s="51" t="str">
        <f t="shared" si="128"/>
        <v/>
      </c>
      <c r="BJ135" s="51" t="str">
        <f t="shared" si="129"/>
        <v/>
      </c>
      <c r="BK135" s="51" t="b">
        <f t="shared" si="130"/>
        <v>0</v>
      </c>
      <c r="BL135" s="192"/>
    </row>
    <row r="136" spans="1:64" ht="13.5" thickBot="1" x14ac:dyDescent="0.25">
      <c r="A136" s="185" t="s">
        <v>828</v>
      </c>
      <c r="B136" s="194" t="s">
        <v>695</v>
      </c>
      <c r="C136" s="194" t="s">
        <v>695</v>
      </c>
      <c r="D136" s="193" t="s">
        <v>694</v>
      </c>
      <c r="E136" s="193" t="s">
        <v>694</v>
      </c>
      <c r="F136" s="160" t="s">
        <v>20</v>
      </c>
      <c r="G136" s="161"/>
      <c r="H136" s="186" t="str">
        <f t="shared" si="88"/>
        <v>N/A</v>
      </c>
      <c r="I136" s="186" t="b">
        <f t="shared" si="89"/>
        <v>1</v>
      </c>
      <c r="J136" s="186" t="str">
        <f t="shared" si="90"/>
        <v>N/A</v>
      </c>
      <c r="K136" s="186" t="b">
        <f t="shared" si="91"/>
        <v>1</v>
      </c>
      <c r="L136" s="186" t="str">
        <f t="shared" si="92"/>
        <v>Used?</v>
      </c>
      <c r="M136" s="186" t="b">
        <f t="shared" si="93"/>
        <v>0</v>
      </c>
      <c r="N136" s="186" t="str">
        <f t="shared" si="94"/>
        <v>Used?</v>
      </c>
      <c r="O136" s="186" t="b">
        <f t="shared" si="95"/>
        <v>0</v>
      </c>
      <c r="P136" s="26" t="s">
        <v>696</v>
      </c>
      <c r="Q136" s="160" t="s">
        <v>20</v>
      </c>
      <c r="R136" s="160" t="s">
        <v>20</v>
      </c>
      <c r="S136" s="26" t="s">
        <v>697</v>
      </c>
      <c r="T136" s="165" t="str">
        <f t="shared" si="96"/>
        <v>Not Used</v>
      </c>
      <c r="U136" s="162"/>
      <c r="V136" s="55"/>
      <c r="W136" s="51" t="b">
        <f t="shared" si="97"/>
        <v>1</v>
      </c>
      <c r="X136" s="51" t="str">
        <f t="shared" si="98"/>
        <v>Not Used</v>
      </c>
      <c r="Y136" s="51" t="str">
        <f t="shared" si="99"/>
        <v>Not Used</v>
      </c>
      <c r="Z136" s="51" t="str">
        <f t="shared" si="100"/>
        <v>Not Used</v>
      </c>
      <c r="AA136" s="51" t="str">
        <f t="shared" si="100"/>
        <v>Not Used</v>
      </c>
      <c r="AB136" s="51" t="str">
        <f t="shared" si="101"/>
        <v>Not Used</v>
      </c>
      <c r="AC136" s="51" t="b">
        <f t="shared" si="102"/>
        <v>1</v>
      </c>
      <c r="AD136" s="51">
        <f>COUNTIF($X$5:$X$136, "Not Used")</f>
        <v>132</v>
      </c>
      <c r="AE136" s="51">
        <f>COUNTIF($X$5:$X$136, "TRUE")</f>
        <v>0</v>
      </c>
      <c r="AF136" s="51" t="b">
        <f t="shared" si="103"/>
        <v>1</v>
      </c>
      <c r="AI136" s="51" t="b">
        <f t="shared" si="104"/>
        <v>0</v>
      </c>
      <c r="AJ136" s="51" t="b">
        <f t="shared" si="105"/>
        <v>0</v>
      </c>
      <c r="AK136" s="51" t="b">
        <f t="shared" si="106"/>
        <v>0</v>
      </c>
      <c r="AL136" s="51" t="b">
        <f t="shared" si="107"/>
        <v>0</v>
      </c>
      <c r="AM136" s="51" t="b">
        <f t="shared" si="108"/>
        <v>0</v>
      </c>
      <c r="AN136" s="51"/>
      <c r="AO136" s="51" t="b">
        <f t="shared" si="109"/>
        <v>0</v>
      </c>
      <c r="AP136" s="51" t="str">
        <f t="shared" si="131"/>
        <v>Tier 2 MMS</v>
      </c>
      <c r="AQ136" s="51" t="b">
        <f t="shared" si="110"/>
        <v>0</v>
      </c>
      <c r="AR136" s="51" t="b">
        <f t="shared" si="111"/>
        <v>0</v>
      </c>
      <c r="AS136" s="51" t="str">
        <f t="shared" si="112"/>
        <v/>
      </c>
      <c r="AT136" s="51" t="str">
        <f t="shared" si="113"/>
        <v/>
      </c>
      <c r="AU136" s="51" t="str">
        <f t="shared" si="114"/>
        <v/>
      </c>
      <c r="AV136" s="51" t="str">
        <f t="shared" si="115"/>
        <v/>
      </c>
      <c r="AW136" s="51" t="str">
        <f t="shared" si="116"/>
        <v/>
      </c>
      <c r="AX136" s="51" t="str">
        <f t="shared" si="117"/>
        <v/>
      </c>
      <c r="AY136" s="51" t="str">
        <f t="shared" si="118"/>
        <v/>
      </c>
      <c r="AZ136" s="51" t="str">
        <f t="shared" si="119"/>
        <v/>
      </c>
      <c r="BA136" s="51" t="str">
        <f t="shared" si="120"/>
        <v/>
      </c>
      <c r="BB136" s="51" t="str">
        <f t="shared" si="121"/>
        <v/>
      </c>
      <c r="BC136" s="51" t="str">
        <f t="shared" si="122"/>
        <v/>
      </c>
      <c r="BD136" s="51" t="str">
        <f t="shared" si="123"/>
        <v/>
      </c>
      <c r="BE136" s="51" t="str">
        <f t="shared" si="124"/>
        <v/>
      </c>
      <c r="BF136" s="51" t="str">
        <f t="shared" si="125"/>
        <v/>
      </c>
      <c r="BG136" s="51" t="str">
        <f t="shared" si="126"/>
        <v/>
      </c>
      <c r="BH136" s="51" t="b">
        <f t="shared" si="127"/>
        <v>0</v>
      </c>
      <c r="BI136" s="51" t="str">
        <f t="shared" si="128"/>
        <v/>
      </c>
      <c r="BJ136" s="51" t="str">
        <f t="shared" si="129"/>
        <v/>
      </c>
      <c r="BK136" s="51" t="b">
        <f t="shared" si="130"/>
        <v>0</v>
      </c>
      <c r="BL136" s="192"/>
    </row>
    <row r="137" spans="1:64" ht="13.5" thickBot="1" x14ac:dyDescent="0.25">
      <c r="A137" s="185" t="s">
        <v>829</v>
      </c>
      <c r="B137" s="194" t="s">
        <v>695</v>
      </c>
      <c r="C137" s="194" t="s">
        <v>695</v>
      </c>
      <c r="D137" s="193" t="s">
        <v>694</v>
      </c>
      <c r="E137" s="193" t="s">
        <v>694</v>
      </c>
      <c r="F137" s="160" t="s">
        <v>20</v>
      </c>
      <c r="G137" s="161"/>
      <c r="H137" s="186" t="str">
        <f t="shared" si="88"/>
        <v>N/A</v>
      </c>
      <c r="I137" s="186" t="b">
        <f t="shared" si="89"/>
        <v>1</v>
      </c>
      <c r="J137" s="186" t="str">
        <f t="shared" si="90"/>
        <v>N/A</v>
      </c>
      <c r="K137" s="186" t="b">
        <f t="shared" si="91"/>
        <v>1</v>
      </c>
      <c r="L137" s="186" t="str">
        <f t="shared" si="92"/>
        <v>Used?</v>
      </c>
      <c r="M137" s="186" t="b">
        <f t="shared" si="93"/>
        <v>0</v>
      </c>
      <c r="N137" s="186" t="str">
        <f t="shared" si="94"/>
        <v>Used?</v>
      </c>
      <c r="O137" s="186" t="b">
        <f t="shared" si="95"/>
        <v>0</v>
      </c>
      <c r="P137" s="26" t="s">
        <v>696</v>
      </c>
      <c r="Q137" s="160" t="s">
        <v>20</v>
      </c>
      <c r="R137" s="160" t="s">
        <v>20</v>
      </c>
      <c r="S137" s="26" t="s">
        <v>697</v>
      </c>
      <c r="T137" s="165" t="str">
        <f t="shared" si="96"/>
        <v>Not Used</v>
      </c>
      <c r="U137" s="162"/>
      <c r="V137" s="55"/>
      <c r="W137" s="51" t="b">
        <f t="shared" si="97"/>
        <v>1</v>
      </c>
      <c r="X137" s="51" t="str">
        <f t="shared" si="98"/>
        <v>Not Used</v>
      </c>
      <c r="Y137" s="51" t="str">
        <f t="shared" si="99"/>
        <v>Not Used</v>
      </c>
      <c r="Z137" s="51" t="str">
        <f t="shared" si="100"/>
        <v>Not Used</v>
      </c>
      <c r="AA137" s="51" t="str">
        <f t="shared" si="100"/>
        <v>Not Used</v>
      </c>
      <c r="AB137" s="51" t="str">
        <f t="shared" si="101"/>
        <v>Not Used</v>
      </c>
      <c r="AC137" s="51" t="b">
        <f t="shared" si="102"/>
        <v>1</v>
      </c>
      <c r="AD137" s="51">
        <f>COUNTIF($X$5:$X$137, "Not Used")</f>
        <v>133</v>
      </c>
      <c r="AE137" s="51">
        <f>COUNTIF($X$5:$X$137, "TRUE")</f>
        <v>0</v>
      </c>
      <c r="AF137" s="51" t="b">
        <f t="shared" si="103"/>
        <v>1</v>
      </c>
      <c r="AI137" s="51" t="b">
        <f t="shared" si="104"/>
        <v>0</v>
      </c>
      <c r="AJ137" s="51" t="b">
        <f t="shared" si="105"/>
        <v>0</v>
      </c>
      <c r="AK137" s="51" t="b">
        <f t="shared" si="106"/>
        <v>0</v>
      </c>
      <c r="AL137" s="51" t="b">
        <f t="shared" si="107"/>
        <v>0</v>
      </c>
      <c r="AM137" s="51" t="b">
        <f t="shared" si="108"/>
        <v>0</v>
      </c>
      <c r="AN137" s="51"/>
      <c r="AO137" s="51" t="b">
        <f t="shared" si="109"/>
        <v>0</v>
      </c>
      <c r="AP137" s="51" t="str">
        <f t="shared" si="131"/>
        <v>Tier 2 MMS</v>
      </c>
      <c r="AQ137" s="51" t="b">
        <f t="shared" si="110"/>
        <v>0</v>
      </c>
      <c r="AR137" s="51" t="b">
        <f t="shared" si="111"/>
        <v>0</v>
      </c>
      <c r="AS137" s="51" t="str">
        <f t="shared" si="112"/>
        <v/>
      </c>
      <c r="AT137" s="51" t="str">
        <f t="shared" si="113"/>
        <v/>
      </c>
      <c r="AU137" s="51" t="str">
        <f t="shared" si="114"/>
        <v/>
      </c>
      <c r="AV137" s="51" t="str">
        <f t="shared" si="115"/>
        <v/>
      </c>
      <c r="AW137" s="51" t="str">
        <f t="shared" si="116"/>
        <v/>
      </c>
      <c r="AX137" s="51" t="str">
        <f t="shared" si="117"/>
        <v/>
      </c>
      <c r="AY137" s="51" t="str">
        <f t="shared" si="118"/>
        <v/>
      </c>
      <c r="AZ137" s="51" t="str">
        <f t="shared" si="119"/>
        <v/>
      </c>
      <c r="BA137" s="51" t="str">
        <f t="shared" si="120"/>
        <v/>
      </c>
      <c r="BB137" s="51" t="str">
        <f t="shared" si="121"/>
        <v/>
      </c>
      <c r="BC137" s="51" t="str">
        <f t="shared" si="122"/>
        <v/>
      </c>
      <c r="BD137" s="51" t="str">
        <f t="shared" si="123"/>
        <v/>
      </c>
      <c r="BE137" s="51" t="str">
        <f t="shared" si="124"/>
        <v/>
      </c>
      <c r="BF137" s="51" t="str">
        <f t="shared" si="125"/>
        <v/>
      </c>
      <c r="BG137" s="51" t="str">
        <f t="shared" si="126"/>
        <v/>
      </c>
      <c r="BH137" s="51" t="b">
        <f t="shared" si="127"/>
        <v>0</v>
      </c>
      <c r="BI137" s="51" t="str">
        <f t="shared" si="128"/>
        <v/>
      </c>
      <c r="BJ137" s="51" t="str">
        <f t="shared" si="129"/>
        <v/>
      </c>
      <c r="BK137" s="51" t="b">
        <f t="shared" si="130"/>
        <v>0</v>
      </c>
      <c r="BL137" s="192"/>
    </row>
    <row r="138" spans="1:64" ht="13.5" thickBot="1" x14ac:dyDescent="0.25">
      <c r="A138" s="185" t="s">
        <v>830</v>
      </c>
      <c r="B138" s="194" t="s">
        <v>695</v>
      </c>
      <c r="C138" s="194" t="s">
        <v>695</v>
      </c>
      <c r="D138" s="193" t="s">
        <v>694</v>
      </c>
      <c r="E138" s="193" t="s">
        <v>694</v>
      </c>
      <c r="F138" s="160" t="s">
        <v>20</v>
      </c>
      <c r="G138" s="161"/>
      <c r="H138" s="186" t="str">
        <f t="shared" si="88"/>
        <v>N/A</v>
      </c>
      <c r="I138" s="186" t="b">
        <f t="shared" si="89"/>
        <v>1</v>
      </c>
      <c r="J138" s="186" t="str">
        <f t="shared" si="90"/>
        <v>N/A</v>
      </c>
      <c r="K138" s="186" t="b">
        <f t="shared" si="91"/>
        <v>1</v>
      </c>
      <c r="L138" s="186" t="str">
        <f t="shared" si="92"/>
        <v>Used?</v>
      </c>
      <c r="M138" s="186" t="b">
        <f t="shared" si="93"/>
        <v>0</v>
      </c>
      <c r="N138" s="186" t="str">
        <f t="shared" si="94"/>
        <v>Used?</v>
      </c>
      <c r="O138" s="186" t="b">
        <f t="shared" si="95"/>
        <v>0</v>
      </c>
      <c r="P138" s="26" t="s">
        <v>696</v>
      </c>
      <c r="Q138" s="160" t="s">
        <v>20</v>
      </c>
      <c r="R138" s="160" t="s">
        <v>20</v>
      </c>
      <c r="S138" s="26" t="s">
        <v>697</v>
      </c>
      <c r="T138" s="165" t="str">
        <f t="shared" si="96"/>
        <v>Not Used</v>
      </c>
      <c r="U138" s="162"/>
      <c r="V138" s="55"/>
      <c r="W138" s="51" t="b">
        <f t="shared" si="97"/>
        <v>1</v>
      </c>
      <c r="X138" s="51" t="str">
        <f t="shared" si="98"/>
        <v>Not Used</v>
      </c>
      <c r="Y138" s="51" t="str">
        <f t="shared" si="99"/>
        <v>Not Used</v>
      </c>
      <c r="Z138" s="51" t="str">
        <f t="shared" si="100"/>
        <v>Not Used</v>
      </c>
      <c r="AA138" s="51" t="str">
        <f t="shared" si="100"/>
        <v>Not Used</v>
      </c>
      <c r="AB138" s="51" t="str">
        <f t="shared" si="101"/>
        <v>Not Used</v>
      </c>
      <c r="AC138" s="51" t="b">
        <f t="shared" si="102"/>
        <v>1</v>
      </c>
      <c r="AD138" s="51">
        <f>COUNTIF($X$5:$X$138, "Not Used")</f>
        <v>134</v>
      </c>
      <c r="AE138" s="51">
        <f>COUNTIF($X$5:$X$138, "TRUE")</f>
        <v>0</v>
      </c>
      <c r="AF138" s="51" t="b">
        <f t="shared" si="103"/>
        <v>1</v>
      </c>
      <c r="AI138" s="51" t="b">
        <f t="shared" si="104"/>
        <v>0</v>
      </c>
      <c r="AJ138" s="51" t="b">
        <f t="shared" si="105"/>
        <v>0</v>
      </c>
      <c r="AK138" s="51" t="b">
        <f t="shared" si="106"/>
        <v>0</v>
      </c>
      <c r="AL138" s="51" t="b">
        <f t="shared" si="107"/>
        <v>0</v>
      </c>
      <c r="AM138" s="51" t="b">
        <f t="shared" si="108"/>
        <v>0</v>
      </c>
      <c r="AN138" s="51"/>
      <c r="AO138" s="51" t="b">
        <f t="shared" si="109"/>
        <v>0</v>
      </c>
      <c r="AP138" s="51" t="str">
        <f t="shared" si="131"/>
        <v>Tier 2 MMS</v>
      </c>
      <c r="AQ138" s="51" t="b">
        <f t="shared" si="110"/>
        <v>0</v>
      </c>
      <c r="AR138" s="51" t="b">
        <f t="shared" si="111"/>
        <v>0</v>
      </c>
      <c r="AS138" s="51" t="str">
        <f t="shared" si="112"/>
        <v/>
      </c>
      <c r="AT138" s="51" t="str">
        <f t="shared" si="113"/>
        <v/>
      </c>
      <c r="AU138" s="51" t="str">
        <f t="shared" si="114"/>
        <v/>
      </c>
      <c r="AV138" s="51" t="str">
        <f t="shared" si="115"/>
        <v/>
      </c>
      <c r="AW138" s="51" t="str">
        <f t="shared" si="116"/>
        <v/>
      </c>
      <c r="AX138" s="51" t="str">
        <f t="shared" si="117"/>
        <v/>
      </c>
      <c r="AY138" s="51" t="str">
        <f t="shared" si="118"/>
        <v/>
      </c>
      <c r="AZ138" s="51" t="str">
        <f t="shared" si="119"/>
        <v/>
      </c>
      <c r="BA138" s="51" t="str">
        <f t="shared" si="120"/>
        <v/>
      </c>
      <c r="BB138" s="51" t="str">
        <f t="shared" si="121"/>
        <v/>
      </c>
      <c r="BC138" s="51" t="str">
        <f t="shared" si="122"/>
        <v/>
      </c>
      <c r="BD138" s="51" t="str">
        <f t="shared" si="123"/>
        <v/>
      </c>
      <c r="BE138" s="51" t="str">
        <f t="shared" si="124"/>
        <v/>
      </c>
      <c r="BF138" s="51" t="str">
        <f t="shared" si="125"/>
        <v/>
      </c>
      <c r="BG138" s="51" t="str">
        <f t="shared" si="126"/>
        <v/>
      </c>
      <c r="BH138" s="51" t="b">
        <f t="shared" si="127"/>
        <v>0</v>
      </c>
      <c r="BI138" s="51" t="str">
        <f t="shared" si="128"/>
        <v/>
      </c>
      <c r="BJ138" s="51" t="str">
        <f t="shared" si="129"/>
        <v/>
      </c>
      <c r="BK138" s="51" t="b">
        <f t="shared" si="130"/>
        <v>0</v>
      </c>
      <c r="BL138" s="192"/>
    </row>
    <row r="139" spans="1:64" ht="13.5" thickBot="1" x14ac:dyDescent="0.25">
      <c r="A139" s="185" t="s">
        <v>831</v>
      </c>
      <c r="B139" s="194" t="s">
        <v>695</v>
      </c>
      <c r="C139" s="194" t="s">
        <v>695</v>
      </c>
      <c r="D139" s="193" t="s">
        <v>694</v>
      </c>
      <c r="E139" s="193" t="s">
        <v>694</v>
      </c>
      <c r="F139" s="160" t="s">
        <v>20</v>
      </c>
      <c r="G139" s="161"/>
      <c r="H139" s="186" t="str">
        <f t="shared" si="88"/>
        <v>N/A</v>
      </c>
      <c r="I139" s="186" t="b">
        <f t="shared" si="89"/>
        <v>1</v>
      </c>
      <c r="J139" s="186" t="str">
        <f t="shared" si="90"/>
        <v>N/A</v>
      </c>
      <c r="K139" s="186" t="b">
        <f t="shared" si="91"/>
        <v>1</v>
      </c>
      <c r="L139" s="186" t="str">
        <f t="shared" si="92"/>
        <v>Used?</v>
      </c>
      <c r="M139" s="186" t="b">
        <f t="shared" si="93"/>
        <v>0</v>
      </c>
      <c r="N139" s="186" t="str">
        <f t="shared" si="94"/>
        <v>Used?</v>
      </c>
      <c r="O139" s="186" t="b">
        <f t="shared" si="95"/>
        <v>0</v>
      </c>
      <c r="P139" s="26" t="s">
        <v>696</v>
      </c>
      <c r="Q139" s="160" t="s">
        <v>20</v>
      </c>
      <c r="R139" s="160" t="s">
        <v>20</v>
      </c>
      <c r="S139" s="26" t="s">
        <v>697</v>
      </c>
      <c r="T139" s="165" t="str">
        <f t="shared" si="96"/>
        <v>Not Used</v>
      </c>
      <c r="U139" s="162"/>
      <c r="V139" s="55"/>
      <c r="W139" s="51" t="b">
        <f t="shared" si="97"/>
        <v>1</v>
      </c>
      <c r="X139" s="51" t="str">
        <f t="shared" si="98"/>
        <v>Not Used</v>
      </c>
      <c r="Y139" s="51" t="str">
        <f t="shared" si="99"/>
        <v>Not Used</v>
      </c>
      <c r="Z139" s="51" t="str">
        <f t="shared" si="100"/>
        <v>Not Used</v>
      </c>
      <c r="AA139" s="51" t="str">
        <f t="shared" si="100"/>
        <v>Not Used</v>
      </c>
      <c r="AB139" s="51" t="str">
        <f t="shared" si="101"/>
        <v>Not Used</v>
      </c>
      <c r="AC139" s="51" t="b">
        <f t="shared" si="102"/>
        <v>1</v>
      </c>
      <c r="AD139" s="51">
        <f>COUNTIF($X$5:$X$139, "Not Used")</f>
        <v>135</v>
      </c>
      <c r="AE139" s="51">
        <f>COUNTIF($X$5:$X$139, "TRUE")</f>
        <v>0</v>
      </c>
      <c r="AF139" s="51" t="b">
        <f t="shared" si="103"/>
        <v>1</v>
      </c>
      <c r="AI139" s="51" t="b">
        <f t="shared" si="104"/>
        <v>0</v>
      </c>
      <c r="AJ139" s="51" t="b">
        <f t="shared" si="105"/>
        <v>0</v>
      </c>
      <c r="AK139" s="51" t="b">
        <f t="shared" si="106"/>
        <v>0</v>
      </c>
      <c r="AL139" s="51" t="b">
        <f t="shared" si="107"/>
        <v>0</v>
      </c>
      <c r="AM139" s="51" t="b">
        <f t="shared" si="108"/>
        <v>0</v>
      </c>
      <c r="AN139" s="51"/>
      <c r="AO139" s="51" t="b">
        <f t="shared" si="109"/>
        <v>0</v>
      </c>
      <c r="AP139" s="51" t="str">
        <f t="shared" si="131"/>
        <v>Tier 2 MMS</v>
      </c>
      <c r="AQ139" s="51" t="b">
        <f t="shared" si="110"/>
        <v>0</v>
      </c>
      <c r="AR139" s="51" t="b">
        <f t="shared" si="111"/>
        <v>0</v>
      </c>
      <c r="AS139" s="51" t="str">
        <f t="shared" si="112"/>
        <v/>
      </c>
      <c r="AT139" s="51" t="str">
        <f t="shared" si="113"/>
        <v/>
      </c>
      <c r="AU139" s="51" t="str">
        <f t="shared" si="114"/>
        <v/>
      </c>
      <c r="AV139" s="51" t="str">
        <f t="shared" si="115"/>
        <v/>
      </c>
      <c r="AW139" s="51" t="str">
        <f t="shared" si="116"/>
        <v/>
      </c>
      <c r="AX139" s="51" t="str">
        <f t="shared" si="117"/>
        <v/>
      </c>
      <c r="AY139" s="51" t="str">
        <f t="shared" si="118"/>
        <v/>
      </c>
      <c r="AZ139" s="51" t="str">
        <f t="shared" si="119"/>
        <v/>
      </c>
      <c r="BA139" s="51" t="str">
        <f t="shared" si="120"/>
        <v/>
      </c>
      <c r="BB139" s="51" t="str">
        <f t="shared" si="121"/>
        <v/>
      </c>
      <c r="BC139" s="51" t="str">
        <f t="shared" si="122"/>
        <v/>
      </c>
      <c r="BD139" s="51" t="str">
        <f t="shared" si="123"/>
        <v/>
      </c>
      <c r="BE139" s="51" t="str">
        <f t="shared" si="124"/>
        <v/>
      </c>
      <c r="BF139" s="51" t="str">
        <f t="shared" si="125"/>
        <v/>
      </c>
      <c r="BG139" s="51" t="str">
        <f t="shared" si="126"/>
        <v/>
      </c>
      <c r="BH139" s="51" t="b">
        <f t="shared" si="127"/>
        <v>0</v>
      </c>
      <c r="BI139" s="51" t="str">
        <f t="shared" si="128"/>
        <v/>
      </c>
      <c r="BJ139" s="51" t="str">
        <f t="shared" si="129"/>
        <v/>
      </c>
      <c r="BK139" s="51" t="b">
        <f t="shared" si="130"/>
        <v>0</v>
      </c>
      <c r="BL139" s="192"/>
    </row>
    <row r="140" spans="1:64" ht="13.5" thickBot="1" x14ac:dyDescent="0.25">
      <c r="A140" s="185" t="s">
        <v>832</v>
      </c>
      <c r="B140" s="194" t="s">
        <v>695</v>
      </c>
      <c r="C140" s="194" t="s">
        <v>695</v>
      </c>
      <c r="D140" s="193" t="s">
        <v>694</v>
      </c>
      <c r="E140" s="193" t="s">
        <v>694</v>
      </c>
      <c r="F140" s="160" t="s">
        <v>20</v>
      </c>
      <c r="G140" s="161"/>
      <c r="H140" s="186" t="str">
        <f t="shared" si="88"/>
        <v>N/A</v>
      </c>
      <c r="I140" s="186" t="b">
        <f t="shared" si="89"/>
        <v>1</v>
      </c>
      <c r="J140" s="186" t="str">
        <f t="shared" si="90"/>
        <v>N/A</v>
      </c>
      <c r="K140" s="186" t="b">
        <f t="shared" si="91"/>
        <v>1</v>
      </c>
      <c r="L140" s="186" t="str">
        <f t="shared" si="92"/>
        <v>Used?</v>
      </c>
      <c r="M140" s="186" t="b">
        <f t="shared" si="93"/>
        <v>0</v>
      </c>
      <c r="N140" s="186" t="str">
        <f t="shared" si="94"/>
        <v>Used?</v>
      </c>
      <c r="O140" s="186" t="b">
        <f t="shared" si="95"/>
        <v>0</v>
      </c>
      <c r="P140" s="26" t="s">
        <v>696</v>
      </c>
      <c r="Q140" s="160" t="s">
        <v>20</v>
      </c>
      <c r="R140" s="160" t="s">
        <v>20</v>
      </c>
      <c r="S140" s="26" t="s">
        <v>697</v>
      </c>
      <c r="T140" s="165" t="str">
        <f t="shared" si="96"/>
        <v>Not Used</v>
      </c>
      <c r="U140" s="162"/>
      <c r="V140" s="55"/>
      <c r="W140" s="51" t="b">
        <f t="shared" si="97"/>
        <v>1</v>
      </c>
      <c r="X140" s="51" t="str">
        <f t="shared" si="98"/>
        <v>Not Used</v>
      </c>
      <c r="Y140" s="51" t="str">
        <f t="shared" si="99"/>
        <v>Not Used</v>
      </c>
      <c r="Z140" s="51" t="str">
        <f t="shared" si="100"/>
        <v>Not Used</v>
      </c>
      <c r="AA140" s="51" t="str">
        <f t="shared" si="100"/>
        <v>Not Used</v>
      </c>
      <c r="AB140" s="51" t="str">
        <f t="shared" si="101"/>
        <v>Not Used</v>
      </c>
      <c r="AC140" s="51" t="b">
        <f t="shared" si="102"/>
        <v>1</v>
      </c>
      <c r="AD140" s="51">
        <f>COUNTIF($X$5:$X$140, "Not Used")</f>
        <v>136</v>
      </c>
      <c r="AE140" s="51">
        <f>COUNTIF($X$5:$X$140, "TRUE")</f>
        <v>0</v>
      </c>
      <c r="AF140" s="51" t="b">
        <f t="shared" si="103"/>
        <v>1</v>
      </c>
      <c r="AI140" s="51" t="b">
        <f t="shared" si="104"/>
        <v>0</v>
      </c>
      <c r="AJ140" s="51" t="b">
        <f t="shared" si="105"/>
        <v>0</v>
      </c>
      <c r="AK140" s="51" t="b">
        <f t="shared" si="106"/>
        <v>0</v>
      </c>
      <c r="AL140" s="51" t="b">
        <f t="shared" si="107"/>
        <v>0</v>
      </c>
      <c r="AM140" s="51" t="b">
        <f t="shared" si="108"/>
        <v>0</v>
      </c>
      <c r="AN140" s="51"/>
      <c r="AO140" s="51" t="b">
        <f t="shared" si="109"/>
        <v>0</v>
      </c>
      <c r="AP140" s="51" t="str">
        <f t="shared" si="131"/>
        <v>Tier 2 MMS</v>
      </c>
      <c r="AQ140" s="51" t="b">
        <f t="shared" si="110"/>
        <v>0</v>
      </c>
      <c r="AR140" s="51" t="b">
        <f t="shared" si="111"/>
        <v>0</v>
      </c>
      <c r="AS140" s="51" t="str">
        <f t="shared" si="112"/>
        <v/>
      </c>
      <c r="AT140" s="51" t="str">
        <f t="shared" si="113"/>
        <v/>
      </c>
      <c r="AU140" s="51" t="str">
        <f t="shared" si="114"/>
        <v/>
      </c>
      <c r="AV140" s="51" t="str">
        <f t="shared" si="115"/>
        <v/>
      </c>
      <c r="AW140" s="51" t="str">
        <f t="shared" si="116"/>
        <v/>
      </c>
      <c r="AX140" s="51" t="str">
        <f t="shared" si="117"/>
        <v/>
      </c>
      <c r="AY140" s="51" t="str">
        <f t="shared" si="118"/>
        <v/>
      </c>
      <c r="AZ140" s="51" t="str">
        <f t="shared" si="119"/>
        <v/>
      </c>
      <c r="BA140" s="51" t="str">
        <f t="shared" si="120"/>
        <v/>
      </c>
      <c r="BB140" s="51" t="str">
        <f t="shared" si="121"/>
        <v/>
      </c>
      <c r="BC140" s="51" t="str">
        <f t="shared" si="122"/>
        <v/>
      </c>
      <c r="BD140" s="51" t="str">
        <f t="shared" si="123"/>
        <v/>
      </c>
      <c r="BE140" s="51" t="str">
        <f t="shared" si="124"/>
        <v/>
      </c>
      <c r="BF140" s="51" t="str">
        <f t="shared" si="125"/>
        <v/>
      </c>
      <c r="BG140" s="51" t="str">
        <f t="shared" si="126"/>
        <v/>
      </c>
      <c r="BH140" s="51" t="b">
        <f t="shared" si="127"/>
        <v>0</v>
      </c>
      <c r="BI140" s="51" t="str">
        <f t="shared" si="128"/>
        <v/>
      </c>
      <c r="BJ140" s="51" t="str">
        <f t="shared" si="129"/>
        <v/>
      </c>
      <c r="BK140" s="51" t="b">
        <f t="shared" si="130"/>
        <v>0</v>
      </c>
      <c r="BL140" s="192"/>
    </row>
    <row r="141" spans="1:64" ht="13.5" thickBot="1" x14ac:dyDescent="0.25">
      <c r="A141" s="185" t="s">
        <v>833</v>
      </c>
      <c r="B141" s="194" t="s">
        <v>695</v>
      </c>
      <c r="C141" s="194" t="s">
        <v>695</v>
      </c>
      <c r="D141" s="193" t="s">
        <v>694</v>
      </c>
      <c r="E141" s="193" t="s">
        <v>694</v>
      </c>
      <c r="F141" s="160" t="s">
        <v>20</v>
      </c>
      <c r="G141" s="161"/>
      <c r="H141" s="186" t="str">
        <f t="shared" si="88"/>
        <v>N/A</v>
      </c>
      <c r="I141" s="186" t="b">
        <f t="shared" si="89"/>
        <v>1</v>
      </c>
      <c r="J141" s="186" t="str">
        <f t="shared" si="90"/>
        <v>N/A</v>
      </c>
      <c r="K141" s="186" t="b">
        <f t="shared" si="91"/>
        <v>1</v>
      </c>
      <c r="L141" s="186" t="str">
        <f t="shared" si="92"/>
        <v>Used?</v>
      </c>
      <c r="M141" s="186" t="b">
        <f t="shared" si="93"/>
        <v>0</v>
      </c>
      <c r="N141" s="186" t="str">
        <f t="shared" si="94"/>
        <v>Used?</v>
      </c>
      <c r="O141" s="186" t="b">
        <f t="shared" si="95"/>
        <v>0</v>
      </c>
      <c r="P141" s="26" t="s">
        <v>696</v>
      </c>
      <c r="Q141" s="160" t="s">
        <v>20</v>
      </c>
      <c r="R141" s="160" t="s">
        <v>20</v>
      </c>
      <c r="S141" s="26" t="s">
        <v>697</v>
      </c>
      <c r="T141" s="165" t="str">
        <f t="shared" si="96"/>
        <v>Not Used</v>
      </c>
      <c r="U141" s="162"/>
      <c r="V141" s="55"/>
      <c r="W141" s="51" t="b">
        <f t="shared" si="97"/>
        <v>1</v>
      </c>
      <c r="X141" s="51" t="str">
        <f t="shared" si="98"/>
        <v>Not Used</v>
      </c>
      <c r="Y141" s="51" t="str">
        <f t="shared" si="99"/>
        <v>Not Used</v>
      </c>
      <c r="Z141" s="51" t="str">
        <f t="shared" si="100"/>
        <v>Not Used</v>
      </c>
      <c r="AA141" s="51" t="str">
        <f t="shared" si="100"/>
        <v>Not Used</v>
      </c>
      <c r="AB141" s="51" t="str">
        <f t="shared" si="101"/>
        <v>Not Used</v>
      </c>
      <c r="AC141" s="51" t="b">
        <f t="shared" si="102"/>
        <v>1</v>
      </c>
      <c r="AD141" s="51">
        <f>COUNTIF($X$5:$X$141, "Not Used")</f>
        <v>137</v>
      </c>
      <c r="AE141" s="51">
        <f>COUNTIF($X$5:$X$141, "TRUE")</f>
        <v>0</v>
      </c>
      <c r="AF141" s="51" t="b">
        <f t="shared" si="103"/>
        <v>1</v>
      </c>
      <c r="AI141" s="51" t="b">
        <f t="shared" si="104"/>
        <v>0</v>
      </c>
      <c r="AJ141" s="51" t="b">
        <f t="shared" si="105"/>
        <v>0</v>
      </c>
      <c r="AK141" s="51" t="b">
        <f t="shared" si="106"/>
        <v>0</v>
      </c>
      <c r="AL141" s="51" t="b">
        <f t="shared" si="107"/>
        <v>0</v>
      </c>
      <c r="AM141" s="51" t="b">
        <f t="shared" si="108"/>
        <v>0</v>
      </c>
      <c r="AN141" s="51"/>
      <c r="AO141" s="51" t="b">
        <f t="shared" si="109"/>
        <v>0</v>
      </c>
      <c r="AP141" s="51" t="str">
        <f t="shared" si="131"/>
        <v>Tier 2 MMS</v>
      </c>
      <c r="AQ141" s="51" t="b">
        <f t="shared" si="110"/>
        <v>0</v>
      </c>
      <c r="AR141" s="51" t="b">
        <f t="shared" si="111"/>
        <v>0</v>
      </c>
      <c r="AS141" s="51" t="str">
        <f t="shared" si="112"/>
        <v/>
      </c>
      <c r="AT141" s="51" t="str">
        <f t="shared" si="113"/>
        <v/>
      </c>
      <c r="AU141" s="51" t="str">
        <f t="shared" si="114"/>
        <v/>
      </c>
      <c r="AV141" s="51" t="str">
        <f t="shared" si="115"/>
        <v/>
      </c>
      <c r="AW141" s="51" t="str">
        <f t="shared" si="116"/>
        <v/>
      </c>
      <c r="AX141" s="51" t="str">
        <f t="shared" si="117"/>
        <v/>
      </c>
      <c r="AY141" s="51" t="str">
        <f t="shared" si="118"/>
        <v/>
      </c>
      <c r="AZ141" s="51" t="str">
        <f t="shared" si="119"/>
        <v/>
      </c>
      <c r="BA141" s="51" t="str">
        <f t="shared" si="120"/>
        <v/>
      </c>
      <c r="BB141" s="51" t="str">
        <f t="shared" si="121"/>
        <v/>
      </c>
      <c r="BC141" s="51" t="str">
        <f t="shared" si="122"/>
        <v/>
      </c>
      <c r="BD141" s="51" t="str">
        <f t="shared" si="123"/>
        <v/>
      </c>
      <c r="BE141" s="51" t="str">
        <f t="shared" si="124"/>
        <v/>
      </c>
      <c r="BF141" s="51" t="str">
        <f t="shared" si="125"/>
        <v/>
      </c>
      <c r="BG141" s="51" t="str">
        <f t="shared" si="126"/>
        <v/>
      </c>
      <c r="BH141" s="51" t="b">
        <f t="shared" si="127"/>
        <v>0</v>
      </c>
      <c r="BI141" s="51" t="str">
        <f t="shared" si="128"/>
        <v/>
      </c>
      <c r="BJ141" s="51" t="str">
        <f t="shared" si="129"/>
        <v/>
      </c>
      <c r="BK141" s="51" t="b">
        <f t="shared" si="130"/>
        <v>0</v>
      </c>
      <c r="BL141" s="192"/>
    </row>
    <row r="142" spans="1:64" ht="13.5" thickBot="1" x14ac:dyDescent="0.25">
      <c r="A142" s="185" t="s">
        <v>834</v>
      </c>
      <c r="B142" s="194" t="s">
        <v>695</v>
      </c>
      <c r="C142" s="194" t="s">
        <v>695</v>
      </c>
      <c r="D142" s="193" t="s">
        <v>694</v>
      </c>
      <c r="E142" s="193" t="s">
        <v>694</v>
      </c>
      <c r="F142" s="160" t="s">
        <v>20</v>
      </c>
      <c r="G142" s="161"/>
      <c r="H142" s="186" t="str">
        <f t="shared" si="88"/>
        <v>N/A</v>
      </c>
      <c r="I142" s="186" t="b">
        <f t="shared" si="89"/>
        <v>1</v>
      </c>
      <c r="J142" s="186" t="str">
        <f t="shared" si="90"/>
        <v>N/A</v>
      </c>
      <c r="K142" s="186" t="b">
        <f t="shared" si="91"/>
        <v>1</v>
      </c>
      <c r="L142" s="186" t="str">
        <f t="shared" si="92"/>
        <v>Used?</v>
      </c>
      <c r="M142" s="186" t="b">
        <f t="shared" si="93"/>
        <v>0</v>
      </c>
      <c r="N142" s="186" t="str">
        <f t="shared" si="94"/>
        <v>Used?</v>
      </c>
      <c r="O142" s="186" t="b">
        <f t="shared" si="95"/>
        <v>0</v>
      </c>
      <c r="P142" s="26" t="s">
        <v>696</v>
      </c>
      <c r="Q142" s="160" t="s">
        <v>20</v>
      </c>
      <c r="R142" s="160" t="s">
        <v>20</v>
      </c>
      <c r="S142" s="26" t="s">
        <v>697</v>
      </c>
      <c r="T142" s="165" t="str">
        <f t="shared" si="96"/>
        <v>Not Used</v>
      </c>
      <c r="U142" s="162"/>
      <c r="V142" s="55"/>
      <c r="W142" s="51" t="b">
        <f t="shared" si="97"/>
        <v>1</v>
      </c>
      <c r="X142" s="51" t="str">
        <f t="shared" si="98"/>
        <v>Not Used</v>
      </c>
      <c r="Y142" s="51" t="str">
        <f t="shared" si="99"/>
        <v>Not Used</v>
      </c>
      <c r="Z142" s="51" t="str">
        <f t="shared" si="100"/>
        <v>Not Used</v>
      </c>
      <c r="AA142" s="51" t="str">
        <f t="shared" si="100"/>
        <v>Not Used</v>
      </c>
      <c r="AB142" s="51" t="str">
        <f t="shared" si="101"/>
        <v>Not Used</v>
      </c>
      <c r="AC142" s="51" t="b">
        <f t="shared" si="102"/>
        <v>1</v>
      </c>
      <c r="AD142" s="51">
        <f>COUNTIF($X$5:$X$142, "Not Used")</f>
        <v>138</v>
      </c>
      <c r="AE142" s="51">
        <f>COUNTIF($X$5:$X$142, "TRUE")</f>
        <v>0</v>
      </c>
      <c r="AF142" s="51" t="b">
        <f t="shared" si="103"/>
        <v>1</v>
      </c>
      <c r="AI142" s="51" t="b">
        <f t="shared" si="104"/>
        <v>0</v>
      </c>
      <c r="AJ142" s="51" t="b">
        <f t="shared" si="105"/>
        <v>0</v>
      </c>
      <c r="AK142" s="51" t="b">
        <f t="shared" si="106"/>
        <v>0</v>
      </c>
      <c r="AL142" s="51" t="b">
        <f t="shared" si="107"/>
        <v>0</v>
      </c>
      <c r="AM142" s="51" t="b">
        <f t="shared" si="108"/>
        <v>0</v>
      </c>
      <c r="AN142" s="51"/>
      <c r="AO142" s="51" t="b">
        <f t="shared" si="109"/>
        <v>0</v>
      </c>
      <c r="AP142" s="51" t="str">
        <f t="shared" si="131"/>
        <v>Tier 2 MMS</v>
      </c>
      <c r="AQ142" s="51" t="b">
        <f t="shared" si="110"/>
        <v>0</v>
      </c>
      <c r="AR142" s="51" t="b">
        <f t="shared" si="111"/>
        <v>0</v>
      </c>
      <c r="AS142" s="51" t="str">
        <f t="shared" si="112"/>
        <v/>
      </c>
      <c r="AT142" s="51" t="str">
        <f t="shared" si="113"/>
        <v/>
      </c>
      <c r="AU142" s="51" t="str">
        <f t="shared" si="114"/>
        <v/>
      </c>
      <c r="AV142" s="51" t="str">
        <f t="shared" si="115"/>
        <v/>
      </c>
      <c r="AW142" s="51" t="str">
        <f t="shared" si="116"/>
        <v/>
      </c>
      <c r="AX142" s="51" t="str">
        <f t="shared" si="117"/>
        <v/>
      </c>
      <c r="AY142" s="51" t="str">
        <f t="shared" si="118"/>
        <v/>
      </c>
      <c r="AZ142" s="51" t="str">
        <f t="shared" si="119"/>
        <v/>
      </c>
      <c r="BA142" s="51" t="str">
        <f t="shared" si="120"/>
        <v/>
      </c>
      <c r="BB142" s="51" t="str">
        <f t="shared" si="121"/>
        <v/>
      </c>
      <c r="BC142" s="51" t="str">
        <f t="shared" si="122"/>
        <v/>
      </c>
      <c r="BD142" s="51" t="str">
        <f t="shared" si="123"/>
        <v/>
      </c>
      <c r="BE142" s="51" t="str">
        <f t="shared" si="124"/>
        <v/>
      </c>
      <c r="BF142" s="51" t="str">
        <f t="shared" si="125"/>
        <v/>
      </c>
      <c r="BG142" s="51" t="str">
        <f t="shared" si="126"/>
        <v/>
      </c>
      <c r="BH142" s="51" t="b">
        <f t="shared" si="127"/>
        <v>0</v>
      </c>
      <c r="BI142" s="51" t="str">
        <f t="shared" si="128"/>
        <v/>
      </c>
      <c r="BJ142" s="51" t="str">
        <f t="shared" si="129"/>
        <v/>
      </c>
      <c r="BK142" s="51" t="b">
        <f t="shared" si="130"/>
        <v>0</v>
      </c>
      <c r="BL142" s="192"/>
    </row>
    <row r="143" spans="1:64" ht="13.5" thickBot="1" x14ac:dyDescent="0.25">
      <c r="A143" s="185" t="s">
        <v>835</v>
      </c>
      <c r="B143" s="194" t="s">
        <v>695</v>
      </c>
      <c r="C143" s="194" t="s">
        <v>695</v>
      </c>
      <c r="D143" s="193" t="s">
        <v>694</v>
      </c>
      <c r="E143" s="193" t="s">
        <v>694</v>
      </c>
      <c r="F143" s="160" t="s">
        <v>20</v>
      </c>
      <c r="G143" s="161"/>
      <c r="H143" s="186" t="str">
        <f t="shared" si="88"/>
        <v>N/A</v>
      </c>
      <c r="I143" s="186" t="b">
        <f t="shared" si="89"/>
        <v>1</v>
      </c>
      <c r="J143" s="186" t="str">
        <f t="shared" si="90"/>
        <v>N/A</v>
      </c>
      <c r="K143" s="186" t="b">
        <f t="shared" si="91"/>
        <v>1</v>
      </c>
      <c r="L143" s="186" t="str">
        <f t="shared" si="92"/>
        <v>Used?</v>
      </c>
      <c r="M143" s="186" t="b">
        <f t="shared" si="93"/>
        <v>0</v>
      </c>
      <c r="N143" s="186" t="str">
        <f t="shared" si="94"/>
        <v>Used?</v>
      </c>
      <c r="O143" s="186" t="b">
        <f t="shared" si="95"/>
        <v>0</v>
      </c>
      <c r="P143" s="26" t="s">
        <v>696</v>
      </c>
      <c r="Q143" s="160" t="s">
        <v>20</v>
      </c>
      <c r="R143" s="160" t="s">
        <v>20</v>
      </c>
      <c r="S143" s="26" t="s">
        <v>697</v>
      </c>
      <c r="T143" s="165" t="str">
        <f t="shared" si="96"/>
        <v>Not Used</v>
      </c>
      <c r="U143" s="162"/>
      <c r="V143" s="55"/>
      <c r="W143" s="51" t="b">
        <f t="shared" si="97"/>
        <v>1</v>
      </c>
      <c r="X143" s="51" t="str">
        <f t="shared" si="98"/>
        <v>Not Used</v>
      </c>
      <c r="Y143" s="51" t="str">
        <f t="shared" si="99"/>
        <v>Not Used</v>
      </c>
      <c r="Z143" s="51" t="str">
        <f t="shared" si="100"/>
        <v>Not Used</v>
      </c>
      <c r="AA143" s="51" t="str">
        <f t="shared" si="100"/>
        <v>Not Used</v>
      </c>
      <c r="AB143" s="51" t="str">
        <f t="shared" si="101"/>
        <v>Not Used</v>
      </c>
      <c r="AC143" s="51" t="b">
        <f t="shared" si="102"/>
        <v>1</v>
      </c>
      <c r="AD143" s="51">
        <f>COUNTIF($X$5:$X$143, "Not Used")</f>
        <v>139</v>
      </c>
      <c r="AE143" s="51">
        <f>COUNTIF($X$5:$X$143, "TRUE")</f>
        <v>0</v>
      </c>
      <c r="AF143" s="51" t="b">
        <f t="shared" si="103"/>
        <v>1</v>
      </c>
      <c r="AI143" s="51" t="b">
        <f t="shared" si="104"/>
        <v>0</v>
      </c>
      <c r="AJ143" s="51" t="b">
        <f t="shared" si="105"/>
        <v>0</v>
      </c>
      <c r="AK143" s="51" t="b">
        <f t="shared" si="106"/>
        <v>0</v>
      </c>
      <c r="AL143" s="51" t="b">
        <f t="shared" si="107"/>
        <v>0</v>
      </c>
      <c r="AM143" s="51" t="b">
        <f t="shared" si="108"/>
        <v>0</v>
      </c>
      <c r="AN143" s="51"/>
      <c r="AO143" s="51" t="b">
        <f t="shared" si="109"/>
        <v>0</v>
      </c>
      <c r="AP143" s="51" t="str">
        <f t="shared" si="131"/>
        <v>Tier 2 MMS</v>
      </c>
      <c r="AQ143" s="51" t="b">
        <f t="shared" si="110"/>
        <v>0</v>
      </c>
      <c r="AR143" s="51" t="b">
        <f t="shared" si="111"/>
        <v>0</v>
      </c>
      <c r="AS143" s="51" t="str">
        <f t="shared" si="112"/>
        <v/>
      </c>
      <c r="AT143" s="51" t="str">
        <f t="shared" si="113"/>
        <v/>
      </c>
      <c r="AU143" s="51" t="str">
        <f t="shared" si="114"/>
        <v/>
      </c>
      <c r="AV143" s="51" t="str">
        <f t="shared" si="115"/>
        <v/>
      </c>
      <c r="AW143" s="51" t="str">
        <f t="shared" si="116"/>
        <v/>
      </c>
      <c r="AX143" s="51" t="str">
        <f t="shared" si="117"/>
        <v/>
      </c>
      <c r="AY143" s="51" t="str">
        <f t="shared" si="118"/>
        <v/>
      </c>
      <c r="AZ143" s="51" t="str">
        <f t="shared" si="119"/>
        <v/>
      </c>
      <c r="BA143" s="51" t="str">
        <f t="shared" si="120"/>
        <v/>
      </c>
      <c r="BB143" s="51" t="str">
        <f t="shared" si="121"/>
        <v/>
      </c>
      <c r="BC143" s="51" t="str">
        <f t="shared" si="122"/>
        <v/>
      </c>
      <c r="BD143" s="51" t="str">
        <f t="shared" si="123"/>
        <v/>
      </c>
      <c r="BE143" s="51" t="str">
        <f t="shared" si="124"/>
        <v/>
      </c>
      <c r="BF143" s="51" t="str">
        <f t="shared" si="125"/>
        <v/>
      </c>
      <c r="BG143" s="51" t="str">
        <f t="shared" si="126"/>
        <v/>
      </c>
      <c r="BH143" s="51" t="b">
        <f t="shared" si="127"/>
        <v>0</v>
      </c>
      <c r="BI143" s="51" t="str">
        <f t="shared" si="128"/>
        <v/>
      </c>
      <c r="BJ143" s="51" t="str">
        <f t="shared" si="129"/>
        <v/>
      </c>
      <c r="BK143" s="51" t="b">
        <f t="shared" si="130"/>
        <v>0</v>
      </c>
      <c r="BL143" s="192"/>
    </row>
    <row r="144" spans="1:64" ht="13.5" thickBot="1" x14ac:dyDescent="0.25">
      <c r="A144" s="185" t="s">
        <v>836</v>
      </c>
      <c r="B144" s="194" t="s">
        <v>695</v>
      </c>
      <c r="C144" s="194" t="s">
        <v>695</v>
      </c>
      <c r="D144" s="193" t="s">
        <v>694</v>
      </c>
      <c r="E144" s="193" t="s">
        <v>694</v>
      </c>
      <c r="F144" s="160" t="s">
        <v>20</v>
      </c>
      <c r="G144" s="161"/>
      <c r="H144" s="186" t="str">
        <f t="shared" si="88"/>
        <v>N/A</v>
      </c>
      <c r="I144" s="186" t="b">
        <f t="shared" si="89"/>
        <v>1</v>
      </c>
      <c r="J144" s="186" t="str">
        <f t="shared" si="90"/>
        <v>N/A</v>
      </c>
      <c r="K144" s="186" t="b">
        <f t="shared" si="91"/>
        <v>1</v>
      </c>
      <c r="L144" s="186" t="str">
        <f t="shared" si="92"/>
        <v>Used?</v>
      </c>
      <c r="M144" s="186" t="b">
        <f t="shared" si="93"/>
        <v>0</v>
      </c>
      <c r="N144" s="186" t="str">
        <f t="shared" si="94"/>
        <v>Used?</v>
      </c>
      <c r="O144" s="186" t="b">
        <f t="shared" si="95"/>
        <v>0</v>
      </c>
      <c r="P144" s="26" t="s">
        <v>696</v>
      </c>
      <c r="Q144" s="160" t="s">
        <v>20</v>
      </c>
      <c r="R144" s="160" t="s">
        <v>20</v>
      </c>
      <c r="S144" s="26" t="s">
        <v>697</v>
      </c>
      <c r="T144" s="165" t="str">
        <f t="shared" si="96"/>
        <v>Not Used</v>
      </c>
      <c r="U144" s="162"/>
      <c r="V144" s="55"/>
      <c r="W144" s="51" t="b">
        <f t="shared" si="97"/>
        <v>1</v>
      </c>
      <c r="X144" s="51" t="str">
        <f t="shared" si="98"/>
        <v>Not Used</v>
      </c>
      <c r="Y144" s="51" t="str">
        <f t="shared" si="99"/>
        <v>Not Used</v>
      </c>
      <c r="Z144" s="51" t="str">
        <f t="shared" si="100"/>
        <v>Not Used</v>
      </c>
      <c r="AA144" s="51" t="str">
        <f t="shared" si="100"/>
        <v>Not Used</v>
      </c>
      <c r="AB144" s="51" t="str">
        <f t="shared" si="101"/>
        <v>Not Used</v>
      </c>
      <c r="AC144" s="51" t="b">
        <f t="shared" si="102"/>
        <v>1</v>
      </c>
      <c r="AD144" s="51">
        <f>COUNTIF($X$5:$X$144, "Not Used")</f>
        <v>140</v>
      </c>
      <c r="AE144" s="51">
        <f>COUNTIF($X$5:$X$144, "TRUE")</f>
        <v>0</v>
      </c>
      <c r="AF144" s="51" t="b">
        <f t="shared" si="103"/>
        <v>1</v>
      </c>
      <c r="AI144" s="51" t="b">
        <f t="shared" si="104"/>
        <v>0</v>
      </c>
      <c r="AJ144" s="51" t="b">
        <f t="shared" si="105"/>
        <v>0</v>
      </c>
      <c r="AK144" s="51" t="b">
        <f t="shared" si="106"/>
        <v>0</v>
      </c>
      <c r="AL144" s="51" t="b">
        <f t="shared" si="107"/>
        <v>0</v>
      </c>
      <c r="AM144" s="51" t="b">
        <f t="shared" si="108"/>
        <v>0</v>
      </c>
      <c r="AN144" s="51"/>
      <c r="AO144" s="51" t="b">
        <f t="shared" si="109"/>
        <v>0</v>
      </c>
      <c r="AP144" s="51" t="str">
        <f t="shared" si="131"/>
        <v>Tier 2 MMS</v>
      </c>
      <c r="AQ144" s="51" t="b">
        <f t="shared" si="110"/>
        <v>0</v>
      </c>
      <c r="AR144" s="51" t="b">
        <f t="shared" si="111"/>
        <v>0</v>
      </c>
      <c r="AS144" s="51" t="str">
        <f t="shared" si="112"/>
        <v/>
      </c>
      <c r="AT144" s="51" t="str">
        <f t="shared" si="113"/>
        <v/>
      </c>
      <c r="AU144" s="51" t="str">
        <f t="shared" si="114"/>
        <v/>
      </c>
      <c r="AV144" s="51" t="str">
        <f t="shared" si="115"/>
        <v/>
      </c>
      <c r="AW144" s="51" t="str">
        <f t="shared" si="116"/>
        <v/>
      </c>
      <c r="AX144" s="51" t="str">
        <f t="shared" si="117"/>
        <v/>
      </c>
      <c r="AY144" s="51" t="str">
        <f t="shared" si="118"/>
        <v/>
      </c>
      <c r="AZ144" s="51" t="str">
        <f t="shared" si="119"/>
        <v/>
      </c>
      <c r="BA144" s="51" t="str">
        <f t="shared" si="120"/>
        <v/>
      </c>
      <c r="BB144" s="51" t="str">
        <f t="shared" si="121"/>
        <v/>
      </c>
      <c r="BC144" s="51" t="str">
        <f t="shared" si="122"/>
        <v/>
      </c>
      <c r="BD144" s="51" t="str">
        <f t="shared" si="123"/>
        <v/>
      </c>
      <c r="BE144" s="51" t="str">
        <f t="shared" si="124"/>
        <v/>
      </c>
      <c r="BF144" s="51" t="str">
        <f t="shared" si="125"/>
        <v/>
      </c>
      <c r="BG144" s="51" t="str">
        <f t="shared" si="126"/>
        <v/>
      </c>
      <c r="BH144" s="51" t="b">
        <f t="shared" si="127"/>
        <v>0</v>
      </c>
      <c r="BI144" s="51" t="str">
        <f t="shared" si="128"/>
        <v/>
      </c>
      <c r="BJ144" s="51" t="str">
        <f t="shared" si="129"/>
        <v/>
      </c>
      <c r="BK144" s="51" t="b">
        <f t="shared" si="130"/>
        <v>0</v>
      </c>
      <c r="BL144" s="192"/>
    </row>
    <row r="145" spans="1:64" ht="13.5" thickBot="1" x14ac:dyDescent="0.25">
      <c r="A145" s="185" t="s">
        <v>837</v>
      </c>
      <c r="B145" s="194" t="s">
        <v>695</v>
      </c>
      <c r="C145" s="194" t="s">
        <v>695</v>
      </c>
      <c r="D145" s="193" t="s">
        <v>694</v>
      </c>
      <c r="E145" s="193" t="s">
        <v>694</v>
      </c>
      <c r="F145" s="160" t="s">
        <v>20</v>
      </c>
      <c r="G145" s="161"/>
      <c r="H145" s="186" t="str">
        <f t="shared" si="88"/>
        <v>N/A</v>
      </c>
      <c r="I145" s="186" t="b">
        <f t="shared" si="89"/>
        <v>1</v>
      </c>
      <c r="J145" s="186" t="str">
        <f t="shared" si="90"/>
        <v>N/A</v>
      </c>
      <c r="K145" s="186" t="b">
        <f t="shared" si="91"/>
        <v>1</v>
      </c>
      <c r="L145" s="186" t="str">
        <f t="shared" si="92"/>
        <v>Used?</v>
      </c>
      <c r="M145" s="186" t="b">
        <f t="shared" si="93"/>
        <v>0</v>
      </c>
      <c r="N145" s="186" t="str">
        <f t="shared" si="94"/>
        <v>Used?</v>
      </c>
      <c r="O145" s="186" t="b">
        <f t="shared" si="95"/>
        <v>0</v>
      </c>
      <c r="P145" s="26" t="s">
        <v>696</v>
      </c>
      <c r="Q145" s="160" t="s">
        <v>20</v>
      </c>
      <c r="R145" s="160" t="s">
        <v>20</v>
      </c>
      <c r="S145" s="26" t="s">
        <v>697</v>
      </c>
      <c r="T145" s="165" t="str">
        <f t="shared" si="96"/>
        <v>Not Used</v>
      </c>
      <c r="U145" s="162"/>
      <c r="V145" s="55"/>
      <c r="W145" s="51" t="b">
        <f t="shared" si="97"/>
        <v>1</v>
      </c>
      <c r="X145" s="51" t="str">
        <f t="shared" si="98"/>
        <v>Not Used</v>
      </c>
      <c r="Y145" s="51" t="str">
        <f t="shared" si="99"/>
        <v>Not Used</v>
      </c>
      <c r="Z145" s="51" t="str">
        <f t="shared" si="100"/>
        <v>Not Used</v>
      </c>
      <c r="AA145" s="51" t="str">
        <f t="shared" si="100"/>
        <v>Not Used</v>
      </c>
      <c r="AB145" s="51" t="str">
        <f t="shared" si="101"/>
        <v>Not Used</v>
      </c>
      <c r="AC145" s="51" t="b">
        <f t="shared" si="102"/>
        <v>1</v>
      </c>
      <c r="AD145" s="51">
        <f>COUNTIF($X$5:$X$145, "Not Used")</f>
        <v>141</v>
      </c>
      <c r="AE145" s="51">
        <f>COUNTIF($X$5:$X$145, "TRUE")</f>
        <v>0</v>
      </c>
      <c r="AF145" s="51" t="b">
        <f t="shared" si="103"/>
        <v>1</v>
      </c>
      <c r="AI145" s="51" t="b">
        <f t="shared" si="104"/>
        <v>0</v>
      </c>
      <c r="AJ145" s="51" t="b">
        <f t="shared" si="105"/>
        <v>0</v>
      </c>
      <c r="AK145" s="51" t="b">
        <f t="shared" si="106"/>
        <v>0</v>
      </c>
      <c r="AL145" s="51" t="b">
        <f t="shared" si="107"/>
        <v>0</v>
      </c>
      <c r="AM145" s="51" t="b">
        <f t="shared" si="108"/>
        <v>0</v>
      </c>
      <c r="AN145" s="51"/>
      <c r="AO145" s="51" t="b">
        <f t="shared" si="109"/>
        <v>0</v>
      </c>
      <c r="AP145" s="51" t="str">
        <f t="shared" si="131"/>
        <v>Tier 2 MMS</v>
      </c>
      <c r="AQ145" s="51" t="b">
        <f t="shared" si="110"/>
        <v>0</v>
      </c>
      <c r="AR145" s="51" t="b">
        <f t="shared" si="111"/>
        <v>0</v>
      </c>
      <c r="AS145" s="51" t="str">
        <f t="shared" si="112"/>
        <v/>
      </c>
      <c r="AT145" s="51" t="str">
        <f t="shared" si="113"/>
        <v/>
      </c>
      <c r="AU145" s="51" t="str">
        <f t="shared" si="114"/>
        <v/>
      </c>
      <c r="AV145" s="51" t="str">
        <f t="shared" si="115"/>
        <v/>
      </c>
      <c r="AW145" s="51" t="str">
        <f t="shared" si="116"/>
        <v/>
      </c>
      <c r="AX145" s="51" t="str">
        <f t="shared" si="117"/>
        <v/>
      </c>
      <c r="AY145" s="51" t="str">
        <f t="shared" si="118"/>
        <v/>
      </c>
      <c r="AZ145" s="51" t="str">
        <f t="shared" si="119"/>
        <v/>
      </c>
      <c r="BA145" s="51" t="str">
        <f t="shared" si="120"/>
        <v/>
      </c>
      <c r="BB145" s="51" t="str">
        <f t="shared" si="121"/>
        <v/>
      </c>
      <c r="BC145" s="51" t="str">
        <f t="shared" si="122"/>
        <v/>
      </c>
      <c r="BD145" s="51" t="str">
        <f t="shared" si="123"/>
        <v/>
      </c>
      <c r="BE145" s="51" t="str">
        <f t="shared" si="124"/>
        <v/>
      </c>
      <c r="BF145" s="51" t="str">
        <f t="shared" si="125"/>
        <v/>
      </c>
      <c r="BG145" s="51" t="str">
        <f t="shared" si="126"/>
        <v/>
      </c>
      <c r="BH145" s="51" t="b">
        <f t="shared" si="127"/>
        <v>0</v>
      </c>
      <c r="BI145" s="51" t="str">
        <f t="shared" si="128"/>
        <v/>
      </c>
      <c r="BJ145" s="51" t="str">
        <f t="shared" si="129"/>
        <v/>
      </c>
      <c r="BK145" s="51" t="b">
        <f t="shared" si="130"/>
        <v>0</v>
      </c>
      <c r="BL145" s="192"/>
    </row>
    <row r="146" spans="1:64" ht="13.5" thickBot="1" x14ac:dyDescent="0.25">
      <c r="A146" s="185" t="s">
        <v>838</v>
      </c>
      <c r="B146" s="194" t="s">
        <v>695</v>
      </c>
      <c r="C146" s="194" t="s">
        <v>695</v>
      </c>
      <c r="D146" s="193" t="s">
        <v>694</v>
      </c>
      <c r="E146" s="193" t="s">
        <v>694</v>
      </c>
      <c r="F146" s="160" t="s">
        <v>20</v>
      </c>
      <c r="G146" s="161"/>
      <c r="H146" s="186" t="str">
        <f t="shared" si="88"/>
        <v>N/A</v>
      </c>
      <c r="I146" s="186" t="b">
        <f t="shared" si="89"/>
        <v>1</v>
      </c>
      <c r="J146" s="186" t="str">
        <f t="shared" si="90"/>
        <v>N/A</v>
      </c>
      <c r="K146" s="186" t="b">
        <f t="shared" si="91"/>
        <v>1</v>
      </c>
      <c r="L146" s="186" t="str">
        <f t="shared" si="92"/>
        <v>Used?</v>
      </c>
      <c r="M146" s="186" t="b">
        <f t="shared" si="93"/>
        <v>0</v>
      </c>
      <c r="N146" s="186" t="str">
        <f t="shared" si="94"/>
        <v>Used?</v>
      </c>
      <c r="O146" s="186" t="b">
        <f t="shared" si="95"/>
        <v>0</v>
      </c>
      <c r="P146" s="26" t="s">
        <v>696</v>
      </c>
      <c r="Q146" s="160" t="s">
        <v>20</v>
      </c>
      <c r="R146" s="160" t="s">
        <v>20</v>
      </c>
      <c r="S146" s="26" t="s">
        <v>697</v>
      </c>
      <c r="T146" s="165" t="str">
        <f t="shared" si="96"/>
        <v>Not Used</v>
      </c>
      <c r="U146" s="162"/>
      <c r="V146" s="55"/>
      <c r="W146" s="51" t="b">
        <f t="shared" si="97"/>
        <v>1</v>
      </c>
      <c r="X146" s="51" t="str">
        <f t="shared" si="98"/>
        <v>Not Used</v>
      </c>
      <c r="Y146" s="51" t="str">
        <f t="shared" si="99"/>
        <v>Not Used</v>
      </c>
      <c r="Z146" s="51" t="str">
        <f t="shared" si="100"/>
        <v>Not Used</v>
      </c>
      <c r="AA146" s="51" t="str">
        <f t="shared" si="100"/>
        <v>Not Used</v>
      </c>
      <c r="AB146" s="51" t="str">
        <f t="shared" si="101"/>
        <v>Not Used</v>
      </c>
      <c r="AC146" s="51" t="b">
        <f t="shared" si="102"/>
        <v>1</v>
      </c>
      <c r="AD146" s="51">
        <f>COUNTIF($X$5:$X$146, "Not Used")</f>
        <v>142</v>
      </c>
      <c r="AE146" s="51">
        <f>COUNTIF($X$5:$X$146, "TRUE")</f>
        <v>0</v>
      </c>
      <c r="AF146" s="51" t="b">
        <f t="shared" si="103"/>
        <v>1</v>
      </c>
      <c r="AI146" s="51" t="b">
        <f t="shared" si="104"/>
        <v>0</v>
      </c>
      <c r="AJ146" s="51" t="b">
        <f t="shared" si="105"/>
        <v>0</v>
      </c>
      <c r="AK146" s="51" t="b">
        <f t="shared" si="106"/>
        <v>0</v>
      </c>
      <c r="AL146" s="51" t="b">
        <f t="shared" si="107"/>
        <v>0</v>
      </c>
      <c r="AM146" s="51" t="b">
        <f t="shared" si="108"/>
        <v>0</v>
      </c>
      <c r="AN146" s="51"/>
      <c r="AO146" s="51" t="b">
        <f t="shared" si="109"/>
        <v>0</v>
      </c>
      <c r="AP146" s="51" t="str">
        <f t="shared" si="131"/>
        <v>Tier 2 MMS</v>
      </c>
      <c r="AQ146" s="51" t="b">
        <f t="shared" si="110"/>
        <v>0</v>
      </c>
      <c r="AR146" s="51" t="b">
        <f t="shared" si="111"/>
        <v>0</v>
      </c>
      <c r="AS146" s="51" t="str">
        <f t="shared" si="112"/>
        <v/>
      </c>
      <c r="AT146" s="51" t="str">
        <f t="shared" si="113"/>
        <v/>
      </c>
      <c r="AU146" s="51" t="str">
        <f t="shared" si="114"/>
        <v/>
      </c>
      <c r="AV146" s="51" t="str">
        <f t="shared" si="115"/>
        <v/>
      </c>
      <c r="AW146" s="51" t="str">
        <f t="shared" si="116"/>
        <v/>
      </c>
      <c r="AX146" s="51" t="str">
        <f t="shared" si="117"/>
        <v/>
      </c>
      <c r="AY146" s="51" t="str">
        <f t="shared" si="118"/>
        <v/>
      </c>
      <c r="AZ146" s="51" t="str">
        <f t="shared" si="119"/>
        <v/>
      </c>
      <c r="BA146" s="51" t="str">
        <f t="shared" si="120"/>
        <v/>
      </c>
      <c r="BB146" s="51" t="str">
        <f t="shared" si="121"/>
        <v/>
      </c>
      <c r="BC146" s="51" t="str">
        <f t="shared" si="122"/>
        <v/>
      </c>
      <c r="BD146" s="51" t="str">
        <f t="shared" si="123"/>
        <v/>
      </c>
      <c r="BE146" s="51" t="str">
        <f t="shared" si="124"/>
        <v/>
      </c>
      <c r="BF146" s="51" t="str">
        <f t="shared" si="125"/>
        <v/>
      </c>
      <c r="BG146" s="51" t="str">
        <f t="shared" si="126"/>
        <v/>
      </c>
      <c r="BH146" s="51" t="b">
        <f t="shared" si="127"/>
        <v>0</v>
      </c>
      <c r="BI146" s="51" t="str">
        <f t="shared" si="128"/>
        <v/>
      </c>
      <c r="BJ146" s="51" t="str">
        <f t="shared" si="129"/>
        <v/>
      </c>
      <c r="BK146" s="51" t="b">
        <f t="shared" si="130"/>
        <v>0</v>
      </c>
      <c r="BL146" s="192"/>
    </row>
    <row r="147" spans="1:64" ht="13.5" thickBot="1" x14ac:dyDescent="0.25">
      <c r="A147" s="185" t="s">
        <v>839</v>
      </c>
      <c r="B147" s="194" t="s">
        <v>695</v>
      </c>
      <c r="C147" s="194" t="s">
        <v>695</v>
      </c>
      <c r="D147" s="193" t="s">
        <v>694</v>
      </c>
      <c r="E147" s="193" t="s">
        <v>694</v>
      </c>
      <c r="F147" s="160" t="s">
        <v>20</v>
      </c>
      <c r="G147" s="161"/>
      <c r="H147" s="186" t="str">
        <f t="shared" si="88"/>
        <v>N/A</v>
      </c>
      <c r="I147" s="186" t="b">
        <f t="shared" si="89"/>
        <v>1</v>
      </c>
      <c r="J147" s="186" t="str">
        <f t="shared" si="90"/>
        <v>N/A</v>
      </c>
      <c r="K147" s="186" t="b">
        <f t="shared" si="91"/>
        <v>1</v>
      </c>
      <c r="L147" s="186" t="str">
        <f t="shared" si="92"/>
        <v>Used?</v>
      </c>
      <c r="M147" s="186" t="b">
        <f t="shared" si="93"/>
        <v>0</v>
      </c>
      <c r="N147" s="186" t="str">
        <f t="shared" si="94"/>
        <v>Used?</v>
      </c>
      <c r="O147" s="186" t="b">
        <f t="shared" si="95"/>
        <v>0</v>
      </c>
      <c r="P147" s="26" t="s">
        <v>696</v>
      </c>
      <c r="Q147" s="160" t="s">
        <v>20</v>
      </c>
      <c r="R147" s="160" t="s">
        <v>20</v>
      </c>
      <c r="S147" s="26" t="s">
        <v>697</v>
      </c>
      <c r="T147" s="165" t="str">
        <f t="shared" si="96"/>
        <v>Not Used</v>
      </c>
      <c r="U147" s="162"/>
      <c r="V147" s="55"/>
      <c r="W147" s="51" t="b">
        <f t="shared" si="97"/>
        <v>1</v>
      </c>
      <c r="X147" s="51" t="str">
        <f t="shared" si="98"/>
        <v>Not Used</v>
      </c>
      <c r="Y147" s="51" t="str">
        <f t="shared" si="99"/>
        <v>Not Used</v>
      </c>
      <c r="Z147" s="51" t="str">
        <f t="shared" si="100"/>
        <v>Not Used</v>
      </c>
      <c r="AA147" s="51" t="str">
        <f t="shared" si="100"/>
        <v>Not Used</v>
      </c>
      <c r="AB147" s="51" t="str">
        <f t="shared" si="101"/>
        <v>Not Used</v>
      </c>
      <c r="AC147" s="51" t="b">
        <f t="shared" si="102"/>
        <v>1</v>
      </c>
      <c r="AD147" s="51">
        <f>COUNTIF($X$5:$X$147, "Not Used")</f>
        <v>143</v>
      </c>
      <c r="AE147" s="51">
        <f>COUNTIF($X$5:$X$147, "TRUE")</f>
        <v>0</v>
      </c>
      <c r="AF147" s="51" t="b">
        <f t="shared" si="103"/>
        <v>1</v>
      </c>
      <c r="AI147" s="51" t="b">
        <f t="shared" si="104"/>
        <v>0</v>
      </c>
      <c r="AJ147" s="51" t="b">
        <f t="shared" si="105"/>
        <v>0</v>
      </c>
      <c r="AK147" s="51" t="b">
        <f t="shared" si="106"/>
        <v>0</v>
      </c>
      <c r="AL147" s="51" t="b">
        <f t="shared" si="107"/>
        <v>0</v>
      </c>
      <c r="AM147" s="51" t="b">
        <f t="shared" si="108"/>
        <v>0</v>
      </c>
      <c r="AN147" s="51"/>
      <c r="AO147" s="51" t="b">
        <f t="shared" si="109"/>
        <v>0</v>
      </c>
      <c r="AP147" s="51" t="str">
        <f t="shared" si="131"/>
        <v>Tier 2 MMS</v>
      </c>
      <c r="AQ147" s="51" t="b">
        <f t="shared" si="110"/>
        <v>0</v>
      </c>
      <c r="AR147" s="51" t="b">
        <f t="shared" si="111"/>
        <v>0</v>
      </c>
      <c r="AS147" s="51" t="str">
        <f t="shared" si="112"/>
        <v/>
      </c>
      <c r="AT147" s="51" t="str">
        <f t="shared" si="113"/>
        <v/>
      </c>
      <c r="AU147" s="51" t="str">
        <f t="shared" si="114"/>
        <v/>
      </c>
      <c r="AV147" s="51" t="str">
        <f t="shared" si="115"/>
        <v/>
      </c>
      <c r="AW147" s="51" t="str">
        <f t="shared" si="116"/>
        <v/>
      </c>
      <c r="AX147" s="51" t="str">
        <f t="shared" si="117"/>
        <v/>
      </c>
      <c r="AY147" s="51" t="str">
        <f t="shared" si="118"/>
        <v/>
      </c>
      <c r="AZ147" s="51" t="str">
        <f t="shared" si="119"/>
        <v/>
      </c>
      <c r="BA147" s="51" t="str">
        <f t="shared" si="120"/>
        <v/>
      </c>
      <c r="BB147" s="51" t="str">
        <f t="shared" si="121"/>
        <v/>
      </c>
      <c r="BC147" s="51" t="str">
        <f t="shared" si="122"/>
        <v/>
      </c>
      <c r="BD147" s="51" t="str">
        <f t="shared" si="123"/>
        <v/>
      </c>
      <c r="BE147" s="51" t="str">
        <f t="shared" si="124"/>
        <v/>
      </c>
      <c r="BF147" s="51" t="str">
        <f t="shared" si="125"/>
        <v/>
      </c>
      <c r="BG147" s="51" t="str">
        <f t="shared" si="126"/>
        <v/>
      </c>
      <c r="BH147" s="51" t="b">
        <f t="shared" si="127"/>
        <v>0</v>
      </c>
      <c r="BI147" s="51" t="str">
        <f t="shared" si="128"/>
        <v/>
      </c>
      <c r="BJ147" s="51" t="str">
        <f t="shared" si="129"/>
        <v/>
      </c>
      <c r="BK147" s="51" t="b">
        <f t="shared" si="130"/>
        <v>0</v>
      </c>
      <c r="BL147" s="192"/>
    </row>
    <row r="148" spans="1:64" ht="13.5" thickBot="1" x14ac:dyDescent="0.25">
      <c r="A148" s="185" t="s">
        <v>840</v>
      </c>
      <c r="B148" s="194" t="s">
        <v>695</v>
      </c>
      <c r="C148" s="194" t="s">
        <v>695</v>
      </c>
      <c r="D148" s="193" t="s">
        <v>694</v>
      </c>
      <c r="E148" s="193" t="s">
        <v>694</v>
      </c>
      <c r="F148" s="160" t="s">
        <v>20</v>
      </c>
      <c r="G148" s="161"/>
      <c r="H148" s="186" t="str">
        <f t="shared" si="88"/>
        <v>N/A</v>
      </c>
      <c r="I148" s="186" t="b">
        <f t="shared" si="89"/>
        <v>1</v>
      </c>
      <c r="J148" s="186" t="str">
        <f t="shared" si="90"/>
        <v>N/A</v>
      </c>
      <c r="K148" s="186" t="b">
        <f t="shared" si="91"/>
        <v>1</v>
      </c>
      <c r="L148" s="186" t="str">
        <f t="shared" si="92"/>
        <v>Used?</v>
      </c>
      <c r="M148" s="186" t="b">
        <f t="shared" si="93"/>
        <v>0</v>
      </c>
      <c r="N148" s="186" t="str">
        <f t="shared" si="94"/>
        <v>Used?</v>
      </c>
      <c r="O148" s="186" t="b">
        <f t="shared" si="95"/>
        <v>0</v>
      </c>
      <c r="P148" s="26" t="s">
        <v>696</v>
      </c>
      <c r="Q148" s="160" t="s">
        <v>20</v>
      </c>
      <c r="R148" s="160" t="s">
        <v>20</v>
      </c>
      <c r="S148" s="26" t="s">
        <v>697</v>
      </c>
      <c r="T148" s="165" t="str">
        <f t="shared" si="96"/>
        <v>Not Used</v>
      </c>
      <c r="U148" s="162"/>
      <c r="V148" s="55"/>
      <c r="W148" s="51" t="b">
        <f t="shared" si="97"/>
        <v>1</v>
      </c>
      <c r="X148" s="51" t="str">
        <f t="shared" si="98"/>
        <v>Not Used</v>
      </c>
      <c r="Y148" s="51" t="str">
        <f t="shared" si="99"/>
        <v>Not Used</v>
      </c>
      <c r="Z148" s="51" t="str">
        <f t="shared" si="100"/>
        <v>Not Used</v>
      </c>
      <c r="AA148" s="51" t="str">
        <f t="shared" si="100"/>
        <v>Not Used</v>
      </c>
      <c r="AB148" s="51" t="str">
        <f t="shared" si="101"/>
        <v>Not Used</v>
      </c>
      <c r="AC148" s="51" t="b">
        <f t="shared" si="102"/>
        <v>1</v>
      </c>
      <c r="AD148" s="51">
        <f>COUNTIF($X$5:$X$148, "Not Used")</f>
        <v>144</v>
      </c>
      <c r="AE148" s="51">
        <f>COUNTIF($X$5:$X$148, "TRUE")</f>
        <v>0</v>
      </c>
      <c r="AF148" s="51" t="b">
        <f t="shared" si="103"/>
        <v>1</v>
      </c>
      <c r="AI148" s="51" t="b">
        <f t="shared" si="104"/>
        <v>0</v>
      </c>
      <c r="AJ148" s="51" t="b">
        <f t="shared" si="105"/>
        <v>0</v>
      </c>
      <c r="AK148" s="51" t="b">
        <f t="shared" si="106"/>
        <v>0</v>
      </c>
      <c r="AL148" s="51" t="b">
        <f t="shared" si="107"/>
        <v>0</v>
      </c>
      <c r="AM148" s="51" t="b">
        <f t="shared" si="108"/>
        <v>0</v>
      </c>
      <c r="AN148" s="51"/>
      <c r="AO148" s="51" t="b">
        <f t="shared" si="109"/>
        <v>0</v>
      </c>
      <c r="AP148" s="51" t="str">
        <f t="shared" si="131"/>
        <v>Tier 2 MMS</v>
      </c>
      <c r="AQ148" s="51" t="b">
        <f t="shared" si="110"/>
        <v>0</v>
      </c>
      <c r="AR148" s="51" t="b">
        <f t="shared" si="111"/>
        <v>0</v>
      </c>
      <c r="AS148" s="51" t="str">
        <f t="shared" si="112"/>
        <v/>
      </c>
      <c r="AT148" s="51" t="str">
        <f t="shared" si="113"/>
        <v/>
      </c>
      <c r="AU148" s="51" t="str">
        <f t="shared" si="114"/>
        <v/>
      </c>
      <c r="AV148" s="51" t="str">
        <f t="shared" si="115"/>
        <v/>
      </c>
      <c r="AW148" s="51" t="str">
        <f t="shared" si="116"/>
        <v/>
      </c>
      <c r="AX148" s="51" t="str">
        <f t="shared" si="117"/>
        <v/>
      </c>
      <c r="AY148" s="51" t="str">
        <f t="shared" si="118"/>
        <v/>
      </c>
      <c r="AZ148" s="51" t="str">
        <f t="shared" si="119"/>
        <v/>
      </c>
      <c r="BA148" s="51" t="str">
        <f t="shared" si="120"/>
        <v/>
      </c>
      <c r="BB148" s="51" t="str">
        <f t="shared" si="121"/>
        <v/>
      </c>
      <c r="BC148" s="51" t="str">
        <f t="shared" si="122"/>
        <v/>
      </c>
      <c r="BD148" s="51" t="str">
        <f t="shared" si="123"/>
        <v/>
      </c>
      <c r="BE148" s="51" t="str">
        <f t="shared" si="124"/>
        <v/>
      </c>
      <c r="BF148" s="51" t="str">
        <f t="shared" si="125"/>
        <v/>
      </c>
      <c r="BG148" s="51" t="str">
        <f t="shared" si="126"/>
        <v/>
      </c>
      <c r="BH148" s="51" t="b">
        <f t="shared" si="127"/>
        <v>0</v>
      </c>
      <c r="BI148" s="51" t="str">
        <f t="shared" si="128"/>
        <v/>
      </c>
      <c r="BJ148" s="51" t="str">
        <f t="shared" si="129"/>
        <v/>
      </c>
      <c r="BK148" s="51" t="b">
        <f t="shared" si="130"/>
        <v>0</v>
      </c>
      <c r="BL148" s="192"/>
    </row>
    <row r="149" spans="1:64" ht="13.5" thickBot="1" x14ac:dyDescent="0.25">
      <c r="A149" s="185" t="s">
        <v>841</v>
      </c>
      <c r="B149" s="194" t="s">
        <v>695</v>
      </c>
      <c r="C149" s="194" t="s">
        <v>695</v>
      </c>
      <c r="D149" s="193" t="s">
        <v>694</v>
      </c>
      <c r="E149" s="193" t="s">
        <v>694</v>
      </c>
      <c r="F149" s="160" t="s">
        <v>20</v>
      </c>
      <c r="G149" s="161"/>
      <c r="H149" s="186" t="str">
        <f t="shared" si="88"/>
        <v>N/A</v>
      </c>
      <c r="I149" s="186" t="b">
        <f t="shared" si="89"/>
        <v>1</v>
      </c>
      <c r="J149" s="186" t="str">
        <f t="shared" si="90"/>
        <v>N/A</v>
      </c>
      <c r="K149" s="186" t="b">
        <f t="shared" si="91"/>
        <v>1</v>
      </c>
      <c r="L149" s="186" t="str">
        <f t="shared" si="92"/>
        <v>Used?</v>
      </c>
      <c r="M149" s="186" t="b">
        <f t="shared" si="93"/>
        <v>0</v>
      </c>
      <c r="N149" s="186" t="str">
        <f t="shared" si="94"/>
        <v>Used?</v>
      </c>
      <c r="O149" s="186" t="b">
        <f t="shared" si="95"/>
        <v>0</v>
      </c>
      <c r="P149" s="26" t="s">
        <v>696</v>
      </c>
      <c r="Q149" s="160" t="s">
        <v>20</v>
      </c>
      <c r="R149" s="160" t="s">
        <v>20</v>
      </c>
      <c r="S149" s="26" t="s">
        <v>697</v>
      </c>
      <c r="T149" s="165" t="str">
        <f t="shared" si="96"/>
        <v>Not Used</v>
      </c>
      <c r="U149" s="162"/>
      <c r="V149" s="55"/>
      <c r="W149" s="51" t="b">
        <f t="shared" si="97"/>
        <v>1</v>
      </c>
      <c r="X149" s="51" t="str">
        <f t="shared" si="98"/>
        <v>Not Used</v>
      </c>
      <c r="Y149" s="51" t="str">
        <f t="shared" si="99"/>
        <v>Not Used</v>
      </c>
      <c r="Z149" s="51" t="str">
        <f t="shared" si="100"/>
        <v>Not Used</v>
      </c>
      <c r="AA149" s="51" t="str">
        <f t="shared" si="100"/>
        <v>Not Used</v>
      </c>
      <c r="AB149" s="51" t="str">
        <f t="shared" si="101"/>
        <v>Not Used</v>
      </c>
      <c r="AC149" s="51" t="b">
        <f t="shared" si="102"/>
        <v>1</v>
      </c>
      <c r="AD149" s="51">
        <f>COUNTIF($X$5:$X$149, "Not Used")</f>
        <v>145</v>
      </c>
      <c r="AE149" s="51">
        <f>COUNTIF($X$5:$X$149, "TRUE")</f>
        <v>0</v>
      </c>
      <c r="AF149" s="51" t="b">
        <f t="shared" si="103"/>
        <v>1</v>
      </c>
      <c r="AI149" s="51" t="b">
        <f t="shared" si="104"/>
        <v>0</v>
      </c>
      <c r="AJ149" s="51" t="b">
        <f t="shared" si="105"/>
        <v>0</v>
      </c>
      <c r="AK149" s="51" t="b">
        <f t="shared" si="106"/>
        <v>0</v>
      </c>
      <c r="AL149" s="51" t="b">
        <f t="shared" si="107"/>
        <v>0</v>
      </c>
      <c r="AM149" s="51" t="b">
        <f t="shared" si="108"/>
        <v>0</v>
      </c>
      <c r="AN149" s="51"/>
      <c r="AO149" s="51" t="b">
        <f t="shared" si="109"/>
        <v>0</v>
      </c>
      <c r="AP149" s="51" t="str">
        <f t="shared" si="131"/>
        <v>Tier 2 MMS</v>
      </c>
      <c r="AQ149" s="51" t="b">
        <f t="shared" si="110"/>
        <v>0</v>
      </c>
      <c r="AR149" s="51" t="b">
        <f t="shared" si="111"/>
        <v>0</v>
      </c>
      <c r="AS149" s="51" t="str">
        <f t="shared" si="112"/>
        <v/>
      </c>
      <c r="AT149" s="51" t="str">
        <f t="shared" si="113"/>
        <v/>
      </c>
      <c r="AU149" s="51" t="str">
        <f t="shared" si="114"/>
        <v/>
      </c>
      <c r="AV149" s="51" t="str">
        <f t="shared" si="115"/>
        <v/>
      </c>
      <c r="AW149" s="51" t="str">
        <f t="shared" si="116"/>
        <v/>
      </c>
      <c r="AX149" s="51" t="str">
        <f t="shared" si="117"/>
        <v/>
      </c>
      <c r="AY149" s="51" t="str">
        <f t="shared" si="118"/>
        <v/>
      </c>
      <c r="AZ149" s="51" t="str">
        <f t="shared" si="119"/>
        <v/>
      </c>
      <c r="BA149" s="51" t="str">
        <f t="shared" si="120"/>
        <v/>
      </c>
      <c r="BB149" s="51" t="str">
        <f t="shared" si="121"/>
        <v/>
      </c>
      <c r="BC149" s="51" t="str">
        <f t="shared" si="122"/>
        <v/>
      </c>
      <c r="BD149" s="51" t="str">
        <f t="shared" si="123"/>
        <v/>
      </c>
      <c r="BE149" s="51" t="str">
        <f t="shared" si="124"/>
        <v/>
      </c>
      <c r="BF149" s="51" t="str">
        <f t="shared" si="125"/>
        <v/>
      </c>
      <c r="BG149" s="51" t="str">
        <f t="shared" si="126"/>
        <v/>
      </c>
      <c r="BH149" s="51" t="b">
        <f t="shared" si="127"/>
        <v>0</v>
      </c>
      <c r="BI149" s="51" t="str">
        <f t="shared" si="128"/>
        <v/>
      </c>
      <c r="BJ149" s="51" t="str">
        <f t="shared" si="129"/>
        <v/>
      </c>
      <c r="BK149" s="51" t="b">
        <f t="shared" si="130"/>
        <v>0</v>
      </c>
      <c r="BL149" s="192"/>
    </row>
    <row r="150" spans="1:64" ht="13.5" thickBot="1" x14ac:dyDescent="0.25">
      <c r="A150" s="185" t="s">
        <v>842</v>
      </c>
      <c r="B150" s="194" t="s">
        <v>695</v>
      </c>
      <c r="C150" s="194" t="s">
        <v>695</v>
      </c>
      <c r="D150" s="193" t="s">
        <v>694</v>
      </c>
      <c r="E150" s="193" t="s">
        <v>694</v>
      </c>
      <c r="F150" s="160" t="s">
        <v>20</v>
      </c>
      <c r="G150" s="161"/>
      <c r="H150" s="186" t="str">
        <f t="shared" si="88"/>
        <v>N/A</v>
      </c>
      <c r="I150" s="186" t="b">
        <f t="shared" si="89"/>
        <v>1</v>
      </c>
      <c r="J150" s="186" t="str">
        <f t="shared" si="90"/>
        <v>N/A</v>
      </c>
      <c r="K150" s="186" t="b">
        <f t="shared" si="91"/>
        <v>1</v>
      </c>
      <c r="L150" s="186" t="str">
        <f t="shared" si="92"/>
        <v>Used?</v>
      </c>
      <c r="M150" s="186" t="b">
        <f t="shared" si="93"/>
        <v>0</v>
      </c>
      <c r="N150" s="186" t="str">
        <f t="shared" si="94"/>
        <v>Used?</v>
      </c>
      <c r="O150" s="186" t="b">
        <f t="shared" si="95"/>
        <v>0</v>
      </c>
      <c r="P150" s="26" t="s">
        <v>696</v>
      </c>
      <c r="Q150" s="160" t="s">
        <v>20</v>
      </c>
      <c r="R150" s="160" t="s">
        <v>20</v>
      </c>
      <c r="S150" s="26" t="s">
        <v>697</v>
      </c>
      <c r="T150" s="165" t="str">
        <f t="shared" si="96"/>
        <v>Not Used</v>
      </c>
      <c r="U150" s="162"/>
      <c r="V150" s="55"/>
      <c r="W150" s="51" t="b">
        <f t="shared" si="97"/>
        <v>1</v>
      </c>
      <c r="X150" s="51" t="str">
        <f t="shared" si="98"/>
        <v>Not Used</v>
      </c>
      <c r="Y150" s="51" t="str">
        <f t="shared" si="99"/>
        <v>Not Used</v>
      </c>
      <c r="Z150" s="51" t="str">
        <f t="shared" si="100"/>
        <v>Not Used</v>
      </c>
      <c r="AA150" s="51" t="str">
        <f t="shared" si="100"/>
        <v>Not Used</v>
      </c>
      <c r="AB150" s="51" t="str">
        <f t="shared" si="101"/>
        <v>Not Used</v>
      </c>
      <c r="AC150" s="51" t="b">
        <f t="shared" si="102"/>
        <v>1</v>
      </c>
      <c r="AD150" s="51">
        <f>COUNTIF($X$5:$X$150, "Not Used")</f>
        <v>146</v>
      </c>
      <c r="AE150" s="51">
        <f>COUNTIF($X$5:$X$150, "TRUE")</f>
        <v>0</v>
      </c>
      <c r="AF150" s="51" t="b">
        <f t="shared" si="103"/>
        <v>1</v>
      </c>
      <c r="AI150" s="51" t="b">
        <f t="shared" si="104"/>
        <v>0</v>
      </c>
      <c r="AJ150" s="51" t="b">
        <f t="shared" si="105"/>
        <v>0</v>
      </c>
      <c r="AK150" s="51" t="b">
        <f t="shared" si="106"/>
        <v>0</v>
      </c>
      <c r="AL150" s="51" t="b">
        <f t="shared" si="107"/>
        <v>0</v>
      </c>
      <c r="AM150" s="51" t="b">
        <f t="shared" si="108"/>
        <v>0</v>
      </c>
      <c r="AN150" s="51"/>
      <c r="AO150" s="51" t="b">
        <f t="shared" si="109"/>
        <v>0</v>
      </c>
      <c r="AP150" s="51" t="str">
        <f t="shared" si="131"/>
        <v>Tier 2 MMS</v>
      </c>
      <c r="AQ150" s="51" t="b">
        <f t="shared" si="110"/>
        <v>0</v>
      </c>
      <c r="AR150" s="51" t="b">
        <f t="shared" si="111"/>
        <v>0</v>
      </c>
      <c r="AS150" s="51" t="str">
        <f t="shared" si="112"/>
        <v/>
      </c>
      <c r="AT150" s="51" t="str">
        <f t="shared" si="113"/>
        <v/>
      </c>
      <c r="AU150" s="51" t="str">
        <f t="shared" si="114"/>
        <v/>
      </c>
      <c r="AV150" s="51" t="str">
        <f t="shared" si="115"/>
        <v/>
      </c>
      <c r="AW150" s="51" t="str">
        <f t="shared" si="116"/>
        <v/>
      </c>
      <c r="AX150" s="51" t="str">
        <f t="shared" si="117"/>
        <v/>
      </c>
      <c r="AY150" s="51" t="str">
        <f t="shared" si="118"/>
        <v/>
      </c>
      <c r="AZ150" s="51" t="str">
        <f t="shared" si="119"/>
        <v/>
      </c>
      <c r="BA150" s="51" t="str">
        <f t="shared" si="120"/>
        <v/>
      </c>
      <c r="BB150" s="51" t="str">
        <f t="shared" si="121"/>
        <v/>
      </c>
      <c r="BC150" s="51" t="str">
        <f t="shared" si="122"/>
        <v/>
      </c>
      <c r="BD150" s="51" t="str">
        <f t="shared" si="123"/>
        <v/>
      </c>
      <c r="BE150" s="51" t="str">
        <f t="shared" si="124"/>
        <v/>
      </c>
      <c r="BF150" s="51" t="str">
        <f t="shared" si="125"/>
        <v/>
      </c>
      <c r="BG150" s="51" t="str">
        <f t="shared" si="126"/>
        <v/>
      </c>
      <c r="BH150" s="51" t="b">
        <f t="shared" si="127"/>
        <v>0</v>
      </c>
      <c r="BI150" s="51" t="str">
        <f t="shared" si="128"/>
        <v/>
      </c>
      <c r="BJ150" s="51" t="str">
        <f t="shared" si="129"/>
        <v/>
      </c>
      <c r="BK150" s="51" t="b">
        <f t="shared" si="130"/>
        <v>0</v>
      </c>
      <c r="BL150" s="192"/>
    </row>
    <row r="151" spans="1:64" ht="13.5" thickBot="1" x14ac:dyDescent="0.25">
      <c r="A151" s="185" t="s">
        <v>843</v>
      </c>
      <c r="B151" s="194" t="s">
        <v>695</v>
      </c>
      <c r="C151" s="194" t="s">
        <v>695</v>
      </c>
      <c r="D151" s="193" t="s">
        <v>694</v>
      </c>
      <c r="E151" s="193" t="s">
        <v>694</v>
      </c>
      <c r="F151" s="160" t="s">
        <v>20</v>
      </c>
      <c r="G151" s="161"/>
      <c r="H151" s="186" t="str">
        <f t="shared" si="88"/>
        <v>N/A</v>
      </c>
      <c r="I151" s="186" t="b">
        <f t="shared" si="89"/>
        <v>1</v>
      </c>
      <c r="J151" s="186" t="str">
        <f t="shared" si="90"/>
        <v>N/A</v>
      </c>
      <c r="K151" s="186" t="b">
        <f t="shared" si="91"/>
        <v>1</v>
      </c>
      <c r="L151" s="186" t="str">
        <f t="shared" si="92"/>
        <v>Used?</v>
      </c>
      <c r="M151" s="186" t="b">
        <f t="shared" si="93"/>
        <v>0</v>
      </c>
      <c r="N151" s="186" t="str">
        <f t="shared" si="94"/>
        <v>Used?</v>
      </c>
      <c r="O151" s="186" t="b">
        <f t="shared" si="95"/>
        <v>0</v>
      </c>
      <c r="P151" s="26" t="s">
        <v>696</v>
      </c>
      <c r="Q151" s="160" t="s">
        <v>20</v>
      </c>
      <c r="R151" s="160" t="s">
        <v>20</v>
      </c>
      <c r="S151" s="26" t="s">
        <v>697</v>
      </c>
      <c r="T151" s="165" t="str">
        <f t="shared" si="96"/>
        <v>Not Used</v>
      </c>
      <c r="U151" s="162"/>
      <c r="V151" s="55"/>
      <c r="W151" s="51" t="b">
        <f t="shared" si="97"/>
        <v>1</v>
      </c>
      <c r="X151" s="51" t="str">
        <f t="shared" si="98"/>
        <v>Not Used</v>
      </c>
      <c r="Y151" s="51" t="str">
        <f t="shared" si="99"/>
        <v>Not Used</v>
      </c>
      <c r="Z151" s="51" t="str">
        <f t="shared" si="100"/>
        <v>Not Used</v>
      </c>
      <c r="AA151" s="51" t="str">
        <f t="shared" si="100"/>
        <v>Not Used</v>
      </c>
      <c r="AB151" s="51" t="str">
        <f t="shared" si="101"/>
        <v>Not Used</v>
      </c>
      <c r="AC151" s="51" t="b">
        <f t="shared" si="102"/>
        <v>1</v>
      </c>
      <c r="AD151" s="51">
        <f>COUNTIF($X$5:$X$151, "Not Used")</f>
        <v>147</v>
      </c>
      <c r="AE151" s="51">
        <f>COUNTIF($X$5:$X$151, "TRUE")</f>
        <v>0</v>
      </c>
      <c r="AF151" s="51" t="b">
        <f t="shared" si="103"/>
        <v>1</v>
      </c>
      <c r="AI151" s="51" t="b">
        <f t="shared" si="104"/>
        <v>0</v>
      </c>
      <c r="AJ151" s="51" t="b">
        <f t="shared" si="105"/>
        <v>0</v>
      </c>
      <c r="AK151" s="51" t="b">
        <f t="shared" si="106"/>
        <v>0</v>
      </c>
      <c r="AL151" s="51" t="b">
        <f t="shared" si="107"/>
        <v>0</v>
      </c>
      <c r="AM151" s="51" t="b">
        <f t="shared" si="108"/>
        <v>0</v>
      </c>
      <c r="AN151" s="51"/>
      <c r="AO151" s="51" t="b">
        <f t="shared" si="109"/>
        <v>0</v>
      </c>
      <c r="AP151" s="51" t="str">
        <f t="shared" si="131"/>
        <v>Tier 2 MMS</v>
      </c>
      <c r="AQ151" s="51" t="b">
        <f t="shared" si="110"/>
        <v>0</v>
      </c>
      <c r="AR151" s="51" t="b">
        <f t="shared" si="111"/>
        <v>0</v>
      </c>
      <c r="AS151" s="51" t="str">
        <f t="shared" si="112"/>
        <v/>
      </c>
      <c r="AT151" s="51" t="str">
        <f t="shared" si="113"/>
        <v/>
      </c>
      <c r="AU151" s="51" t="str">
        <f t="shared" si="114"/>
        <v/>
      </c>
      <c r="AV151" s="51" t="str">
        <f t="shared" si="115"/>
        <v/>
      </c>
      <c r="AW151" s="51" t="str">
        <f t="shared" si="116"/>
        <v/>
      </c>
      <c r="AX151" s="51" t="str">
        <f t="shared" si="117"/>
        <v/>
      </c>
      <c r="AY151" s="51" t="str">
        <f t="shared" si="118"/>
        <v/>
      </c>
      <c r="AZ151" s="51" t="str">
        <f t="shared" si="119"/>
        <v/>
      </c>
      <c r="BA151" s="51" t="str">
        <f t="shared" si="120"/>
        <v/>
      </c>
      <c r="BB151" s="51" t="str">
        <f t="shared" si="121"/>
        <v/>
      </c>
      <c r="BC151" s="51" t="str">
        <f t="shared" si="122"/>
        <v/>
      </c>
      <c r="BD151" s="51" t="str">
        <f t="shared" si="123"/>
        <v/>
      </c>
      <c r="BE151" s="51" t="str">
        <f t="shared" si="124"/>
        <v/>
      </c>
      <c r="BF151" s="51" t="str">
        <f t="shared" si="125"/>
        <v/>
      </c>
      <c r="BG151" s="51" t="str">
        <f t="shared" si="126"/>
        <v/>
      </c>
      <c r="BH151" s="51" t="b">
        <f t="shared" si="127"/>
        <v>0</v>
      </c>
      <c r="BI151" s="51" t="str">
        <f t="shared" si="128"/>
        <v/>
      </c>
      <c r="BJ151" s="51" t="str">
        <f t="shared" si="129"/>
        <v/>
      </c>
      <c r="BK151" s="51" t="b">
        <f t="shared" si="130"/>
        <v>0</v>
      </c>
      <c r="BL151" s="192"/>
    </row>
    <row r="152" spans="1:64" ht="13.5" thickBot="1" x14ac:dyDescent="0.25">
      <c r="A152" s="185" t="s">
        <v>844</v>
      </c>
      <c r="B152" s="194" t="s">
        <v>695</v>
      </c>
      <c r="C152" s="194" t="s">
        <v>695</v>
      </c>
      <c r="D152" s="193" t="s">
        <v>694</v>
      </c>
      <c r="E152" s="193" t="s">
        <v>694</v>
      </c>
      <c r="F152" s="160" t="s">
        <v>20</v>
      </c>
      <c r="G152" s="161"/>
      <c r="H152" s="186" t="str">
        <f t="shared" si="88"/>
        <v>N/A</v>
      </c>
      <c r="I152" s="186" t="b">
        <f t="shared" si="89"/>
        <v>1</v>
      </c>
      <c r="J152" s="186" t="str">
        <f t="shared" si="90"/>
        <v>N/A</v>
      </c>
      <c r="K152" s="186" t="b">
        <f t="shared" si="91"/>
        <v>1</v>
      </c>
      <c r="L152" s="186" t="str">
        <f t="shared" si="92"/>
        <v>Used?</v>
      </c>
      <c r="M152" s="186" t="b">
        <f t="shared" si="93"/>
        <v>0</v>
      </c>
      <c r="N152" s="186" t="str">
        <f t="shared" si="94"/>
        <v>Used?</v>
      </c>
      <c r="O152" s="186" t="b">
        <f t="shared" si="95"/>
        <v>0</v>
      </c>
      <c r="P152" s="26" t="s">
        <v>696</v>
      </c>
      <c r="Q152" s="160" t="s">
        <v>20</v>
      </c>
      <c r="R152" s="160" t="s">
        <v>20</v>
      </c>
      <c r="S152" s="26" t="s">
        <v>697</v>
      </c>
      <c r="T152" s="165" t="str">
        <f t="shared" si="96"/>
        <v>Not Used</v>
      </c>
      <c r="U152" s="162"/>
      <c r="V152" s="55"/>
      <c r="W152" s="51" t="b">
        <f t="shared" si="97"/>
        <v>1</v>
      </c>
      <c r="X152" s="51" t="str">
        <f t="shared" si="98"/>
        <v>Not Used</v>
      </c>
      <c r="Y152" s="51" t="str">
        <f t="shared" si="99"/>
        <v>Not Used</v>
      </c>
      <c r="Z152" s="51" t="str">
        <f t="shared" si="100"/>
        <v>Not Used</v>
      </c>
      <c r="AA152" s="51" t="str">
        <f t="shared" si="100"/>
        <v>Not Used</v>
      </c>
      <c r="AB152" s="51" t="str">
        <f t="shared" si="101"/>
        <v>Not Used</v>
      </c>
      <c r="AC152" s="51" t="b">
        <f t="shared" si="102"/>
        <v>1</v>
      </c>
      <c r="AD152" s="51">
        <f>COUNTIF($X$5:$X$152, "Not Used")</f>
        <v>148</v>
      </c>
      <c r="AE152" s="51">
        <f>COUNTIF($X$5:$X$152, "TRUE")</f>
        <v>0</v>
      </c>
      <c r="AF152" s="51" t="b">
        <f t="shared" si="103"/>
        <v>1</v>
      </c>
      <c r="AI152" s="51" t="b">
        <f t="shared" si="104"/>
        <v>0</v>
      </c>
      <c r="AJ152" s="51" t="b">
        <f t="shared" si="105"/>
        <v>0</v>
      </c>
      <c r="AK152" s="51" t="b">
        <f t="shared" si="106"/>
        <v>0</v>
      </c>
      <c r="AL152" s="51" t="b">
        <f t="shared" si="107"/>
        <v>0</v>
      </c>
      <c r="AM152" s="51" t="b">
        <f t="shared" si="108"/>
        <v>0</v>
      </c>
      <c r="AN152" s="51"/>
      <c r="AO152" s="51" t="b">
        <f t="shared" si="109"/>
        <v>0</v>
      </c>
      <c r="AP152" s="51" t="str">
        <f t="shared" si="131"/>
        <v>Tier 2 MMS</v>
      </c>
      <c r="AQ152" s="51" t="b">
        <f t="shared" si="110"/>
        <v>0</v>
      </c>
      <c r="AR152" s="51" t="b">
        <f t="shared" si="111"/>
        <v>0</v>
      </c>
      <c r="AS152" s="51" t="str">
        <f t="shared" si="112"/>
        <v/>
      </c>
      <c r="AT152" s="51" t="str">
        <f t="shared" si="113"/>
        <v/>
      </c>
      <c r="AU152" s="51" t="str">
        <f t="shared" si="114"/>
        <v/>
      </c>
      <c r="AV152" s="51" t="str">
        <f t="shared" si="115"/>
        <v/>
      </c>
      <c r="AW152" s="51" t="str">
        <f t="shared" si="116"/>
        <v/>
      </c>
      <c r="AX152" s="51" t="str">
        <f t="shared" si="117"/>
        <v/>
      </c>
      <c r="AY152" s="51" t="str">
        <f t="shared" si="118"/>
        <v/>
      </c>
      <c r="AZ152" s="51" t="str">
        <f t="shared" si="119"/>
        <v/>
      </c>
      <c r="BA152" s="51" t="str">
        <f t="shared" si="120"/>
        <v/>
      </c>
      <c r="BB152" s="51" t="str">
        <f t="shared" si="121"/>
        <v/>
      </c>
      <c r="BC152" s="51" t="str">
        <f t="shared" si="122"/>
        <v/>
      </c>
      <c r="BD152" s="51" t="str">
        <f t="shared" si="123"/>
        <v/>
      </c>
      <c r="BE152" s="51" t="str">
        <f t="shared" si="124"/>
        <v/>
      </c>
      <c r="BF152" s="51" t="str">
        <f t="shared" si="125"/>
        <v/>
      </c>
      <c r="BG152" s="51" t="str">
        <f t="shared" si="126"/>
        <v/>
      </c>
      <c r="BH152" s="51" t="b">
        <f t="shared" si="127"/>
        <v>0</v>
      </c>
      <c r="BI152" s="51" t="str">
        <f t="shared" si="128"/>
        <v/>
      </c>
      <c r="BJ152" s="51" t="str">
        <f t="shared" si="129"/>
        <v/>
      </c>
      <c r="BK152" s="51" t="b">
        <f t="shared" si="130"/>
        <v>0</v>
      </c>
      <c r="BL152" s="192"/>
    </row>
    <row r="153" spans="1:64" ht="13.5" thickBot="1" x14ac:dyDescent="0.25">
      <c r="A153" s="185" t="s">
        <v>845</v>
      </c>
      <c r="B153" s="194" t="s">
        <v>695</v>
      </c>
      <c r="C153" s="194" t="s">
        <v>695</v>
      </c>
      <c r="D153" s="193" t="s">
        <v>694</v>
      </c>
      <c r="E153" s="193" t="s">
        <v>694</v>
      </c>
      <c r="F153" s="160" t="s">
        <v>20</v>
      </c>
      <c r="G153" s="161"/>
      <c r="H153" s="186" t="str">
        <f t="shared" si="88"/>
        <v>N/A</v>
      </c>
      <c r="I153" s="186" t="b">
        <f t="shared" si="89"/>
        <v>1</v>
      </c>
      <c r="J153" s="186" t="str">
        <f t="shared" si="90"/>
        <v>N/A</v>
      </c>
      <c r="K153" s="186" t="b">
        <f t="shared" si="91"/>
        <v>1</v>
      </c>
      <c r="L153" s="186" t="str">
        <f t="shared" si="92"/>
        <v>Used?</v>
      </c>
      <c r="M153" s="186" t="b">
        <f t="shared" si="93"/>
        <v>0</v>
      </c>
      <c r="N153" s="186" t="str">
        <f t="shared" si="94"/>
        <v>Used?</v>
      </c>
      <c r="O153" s="186" t="b">
        <f t="shared" si="95"/>
        <v>0</v>
      </c>
      <c r="P153" s="26" t="s">
        <v>696</v>
      </c>
      <c r="Q153" s="160" t="s">
        <v>20</v>
      </c>
      <c r="R153" s="160" t="s">
        <v>20</v>
      </c>
      <c r="S153" s="26" t="s">
        <v>697</v>
      </c>
      <c r="T153" s="165" t="str">
        <f t="shared" si="96"/>
        <v>Not Used</v>
      </c>
      <c r="U153" s="162"/>
      <c r="V153" s="55"/>
      <c r="W153" s="51" t="b">
        <f t="shared" si="97"/>
        <v>1</v>
      </c>
      <c r="X153" s="51" t="str">
        <f t="shared" si="98"/>
        <v>Not Used</v>
      </c>
      <c r="Y153" s="51" t="str">
        <f t="shared" si="99"/>
        <v>Not Used</v>
      </c>
      <c r="Z153" s="51" t="str">
        <f t="shared" si="100"/>
        <v>Not Used</v>
      </c>
      <c r="AA153" s="51" t="str">
        <f t="shared" si="100"/>
        <v>Not Used</v>
      </c>
      <c r="AB153" s="51" t="str">
        <f t="shared" si="101"/>
        <v>Not Used</v>
      </c>
      <c r="AC153" s="51" t="b">
        <f t="shared" si="102"/>
        <v>1</v>
      </c>
      <c r="AD153" s="51">
        <f>COUNTIF($X$5:$X$153, "Not Used")</f>
        <v>149</v>
      </c>
      <c r="AE153" s="51">
        <f>COUNTIF($X$5:$X$153, "TRUE")</f>
        <v>0</v>
      </c>
      <c r="AF153" s="51" t="b">
        <f t="shared" si="103"/>
        <v>1</v>
      </c>
      <c r="AI153" s="51" t="b">
        <f t="shared" si="104"/>
        <v>0</v>
      </c>
      <c r="AJ153" s="51" t="b">
        <f t="shared" si="105"/>
        <v>0</v>
      </c>
      <c r="AK153" s="51" t="b">
        <f t="shared" si="106"/>
        <v>0</v>
      </c>
      <c r="AL153" s="51" t="b">
        <f t="shared" si="107"/>
        <v>0</v>
      </c>
      <c r="AM153" s="51" t="b">
        <f t="shared" si="108"/>
        <v>0</v>
      </c>
      <c r="AN153" s="51"/>
      <c r="AO153" s="51" t="b">
        <f t="shared" si="109"/>
        <v>0</v>
      </c>
      <c r="AP153" s="51" t="str">
        <f t="shared" si="131"/>
        <v>Tier 2 MMS</v>
      </c>
      <c r="AQ153" s="51" t="b">
        <f t="shared" si="110"/>
        <v>0</v>
      </c>
      <c r="AR153" s="51" t="b">
        <f t="shared" si="111"/>
        <v>0</v>
      </c>
      <c r="AS153" s="51" t="str">
        <f t="shared" si="112"/>
        <v/>
      </c>
      <c r="AT153" s="51" t="str">
        <f t="shared" si="113"/>
        <v/>
      </c>
      <c r="AU153" s="51" t="str">
        <f t="shared" si="114"/>
        <v/>
      </c>
      <c r="AV153" s="51" t="str">
        <f t="shared" si="115"/>
        <v/>
      </c>
      <c r="AW153" s="51" t="str">
        <f t="shared" si="116"/>
        <v/>
      </c>
      <c r="AX153" s="51" t="str">
        <f t="shared" si="117"/>
        <v/>
      </c>
      <c r="AY153" s="51" t="str">
        <f t="shared" si="118"/>
        <v/>
      </c>
      <c r="AZ153" s="51" t="str">
        <f t="shared" si="119"/>
        <v/>
      </c>
      <c r="BA153" s="51" t="str">
        <f t="shared" si="120"/>
        <v/>
      </c>
      <c r="BB153" s="51" t="str">
        <f t="shared" si="121"/>
        <v/>
      </c>
      <c r="BC153" s="51" t="str">
        <f t="shared" si="122"/>
        <v/>
      </c>
      <c r="BD153" s="51" t="str">
        <f t="shared" si="123"/>
        <v/>
      </c>
      <c r="BE153" s="51" t="str">
        <f t="shared" si="124"/>
        <v/>
      </c>
      <c r="BF153" s="51" t="str">
        <f t="shared" si="125"/>
        <v/>
      </c>
      <c r="BG153" s="51" t="str">
        <f t="shared" si="126"/>
        <v/>
      </c>
      <c r="BH153" s="51" t="b">
        <f t="shared" si="127"/>
        <v>0</v>
      </c>
      <c r="BI153" s="51" t="str">
        <f t="shared" si="128"/>
        <v/>
      </c>
      <c r="BJ153" s="51" t="str">
        <f t="shared" si="129"/>
        <v/>
      </c>
      <c r="BK153" s="51" t="b">
        <f t="shared" si="130"/>
        <v>0</v>
      </c>
      <c r="BL153" s="192"/>
    </row>
    <row r="154" spans="1:64" ht="13.5" thickBot="1" x14ac:dyDescent="0.25">
      <c r="A154" s="185" t="s">
        <v>846</v>
      </c>
      <c r="B154" s="194" t="s">
        <v>695</v>
      </c>
      <c r="C154" s="194" t="s">
        <v>695</v>
      </c>
      <c r="D154" s="193" t="s">
        <v>694</v>
      </c>
      <c r="E154" s="193" t="s">
        <v>694</v>
      </c>
      <c r="F154" s="160" t="s">
        <v>20</v>
      </c>
      <c r="G154" s="161"/>
      <c r="H154" s="186" t="str">
        <f t="shared" si="88"/>
        <v>N/A</v>
      </c>
      <c r="I154" s="186" t="b">
        <f t="shared" si="89"/>
        <v>1</v>
      </c>
      <c r="J154" s="186" t="str">
        <f t="shared" si="90"/>
        <v>N/A</v>
      </c>
      <c r="K154" s="186" t="b">
        <f t="shared" si="91"/>
        <v>1</v>
      </c>
      <c r="L154" s="186" t="str">
        <f t="shared" si="92"/>
        <v>Used?</v>
      </c>
      <c r="M154" s="186" t="b">
        <f t="shared" si="93"/>
        <v>0</v>
      </c>
      <c r="N154" s="186" t="str">
        <f t="shared" si="94"/>
        <v>Used?</v>
      </c>
      <c r="O154" s="186" t="b">
        <f t="shared" si="95"/>
        <v>0</v>
      </c>
      <c r="P154" s="26" t="s">
        <v>696</v>
      </c>
      <c r="Q154" s="160" t="s">
        <v>20</v>
      </c>
      <c r="R154" s="160" t="s">
        <v>20</v>
      </c>
      <c r="S154" s="26" t="s">
        <v>697</v>
      </c>
      <c r="T154" s="165" t="str">
        <f t="shared" si="96"/>
        <v>Not Used</v>
      </c>
      <c r="U154" s="162"/>
      <c r="V154" s="55"/>
      <c r="W154" s="51" t="b">
        <f t="shared" si="97"/>
        <v>1</v>
      </c>
      <c r="X154" s="51" t="str">
        <f t="shared" si="98"/>
        <v>Not Used</v>
      </c>
      <c r="Y154" s="51" t="str">
        <f t="shared" si="99"/>
        <v>Not Used</v>
      </c>
      <c r="Z154" s="51" t="str">
        <f t="shared" si="100"/>
        <v>Not Used</v>
      </c>
      <c r="AA154" s="51" t="str">
        <f t="shared" si="100"/>
        <v>Not Used</v>
      </c>
      <c r="AB154" s="51" t="str">
        <f t="shared" si="101"/>
        <v>Not Used</v>
      </c>
      <c r="AC154" s="51" t="b">
        <f t="shared" si="102"/>
        <v>1</v>
      </c>
      <c r="AD154" s="51">
        <f>COUNTIF($X$5:$X$154, "Not Used")</f>
        <v>150</v>
      </c>
      <c r="AE154" s="51">
        <f>COUNTIF($X$5:$X$154, "TRUE")</f>
        <v>0</v>
      </c>
      <c r="AF154" s="51" t="b">
        <f t="shared" si="103"/>
        <v>1</v>
      </c>
      <c r="AI154" s="51" t="b">
        <f t="shared" si="104"/>
        <v>0</v>
      </c>
      <c r="AJ154" s="51" t="b">
        <f t="shared" si="105"/>
        <v>0</v>
      </c>
      <c r="AK154" s="51" t="b">
        <f t="shared" si="106"/>
        <v>0</v>
      </c>
      <c r="AL154" s="51" t="b">
        <f t="shared" si="107"/>
        <v>0</v>
      </c>
      <c r="AM154" s="51" t="b">
        <f t="shared" si="108"/>
        <v>0</v>
      </c>
      <c r="AN154" s="51"/>
      <c r="AO154" s="51" t="b">
        <f t="shared" si="109"/>
        <v>0</v>
      </c>
      <c r="AP154" s="51" t="str">
        <f t="shared" si="131"/>
        <v>Tier 2 MMS</v>
      </c>
      <c r="AQ154" s="51" t="b">
        <f t="shared" si="110"/>
        <v>0</v>
      </c>
      <c r="AR154" s="51" t="b">
        <f t="shared" si="111"/>
        <v>0</v>
      </c>
      <c r="AS154" s="51" t="str">
        <f t="shared" si="112"/>
        <v/>
      </c>
      <c r="AT154" s="51" t="str">
        <f t="shared" si="113"/>
        <v/>
      </c>
      <c r="AU154" s="51" t="str">
        <f t="shared" si="114"/>
        <v/>
      </c>
      <c r="AV154" s="51" t="str">
        <f t="shared" si="115"/>
        <v/>
      </c>
      <c r="AW154" s="51" t="str">
        <f t="shared" si="116"/>
        <v/>
      </c>
      <c r="AX154" s="51" t="str">
        <f t="shared" si="117"/>
        <v/>
      </c>
      <c r="AY154" s="51" t="str">
        <f t="shared" si="118"/>
        <v/>
      </c>
      <c r="AZ154" s="51" t="str">
        <f t="shared" si="119"/>
        <v/>
      </c>
      <c r="BA154" s="51" t="str">
        <f t="shared" si="120"/>
        <v/>
      </c>
      <c r="BB154" s="51" t="str">
        <f t="shared" si="121"/>
        <v/>
      </c>
      <c r="BC154" s="51" t="str">
        <f t="shared" si="122"/>
        <v/>
      </c>
      <c r="BD154" s="51" t="str">
        <f t="shared" si="123"/>
        <v/>
      </c>
      <c r="BE154" s="51" t="str">
        <f t="shared" si="124"/>
        <v/>
      </c>
      <c r="BF154" s="51" t="str">
        <f t="shared" si="125"/>
        <v/>
      </c>
      <c r="BG154" s="51" t="str">
        <f t="shared" si="126"/>
        <v/>
      </c>
      <c r="BH154" s="51" t="b">
        <f t="shared" si="127"/>
        <v>0</v>
      </c>
      <c r="BI154" s="51" t="str">
        <f t="shared" si="128"/>
        <v/>
      </c>
      <c r="BJ154" s="51" t="str">
        <f t="shared" si="129"/>
        <v/>
      </c>
      <c r="BK154" s="51" t="b">
        <f t="shared" si="130"/>
        <v>0</v>
      </c>
      <c r="BL154" s="192"/>
    </row>
    <row r="155" spans="1:64" ht="13.5" thickBot="1" x14ac:dyDescent="0.25">
      <c r="A155" s="185" t="s">
        <v>847</v>
      </c>
      <c r="B155" s="194" t="s">
        <v>695</v>
      </c>
      <c r="C155" s="194" t="s">
        <v>695</v>
      </c>
      <c r="D155" s="193" t="s">
        <v>694</v>
      </c>
      <c r="E155" s="193" t="s">
        <v>694</v>
      </c>
      <c r="F155" s="160" t="s">
        <v>20</v>
      </c>
      <c r="G155" s="161"/>
      <c r="H155" s="186" t="str">
        <f t="shared" si="88"/>
        <v>N/A</v>
      </c>
      <c r="I155" s="186" t="b">
        <f t="shared" si="89"/>
        <v>1</v>
      </c>
      <c r="J155" s="186" t="str">
        <f t="shared" si="90"/>
        <v>N/A</v>
      </c>
      <c r="K155" s="186" t="b">
        <f t="shared" si="91"/>
        <v>1</v>
      </c>
      <c r="L155" s="186" t="str">
        <f t="shared" si="92"/>
        <v>Used?</v>
      </c>
      <c r="M155" s="186" t="b">
        <f t="shared" si="93"/>
        <v>0</v>
      </c>
      <c r="N155" s="186" t="str">
        <f t="shared" si="94"/>
        <v>Used?</v>
      </c>
      <c r="O155" s="186" t="b">
        <f t="shared" si="95"/>
        <v>0</v>
      </c>
      <c r="P155" s="26" t="s">
        <v>696</v>
      </c>
      <c r="Q155" s="160" t="s">
        <v>20</v>
      </c>
      <c r="R155" s="160" t="s">
        <v>20</v>
      </c>
      <c r="S155" s="26" t="s">
        <v>697</v>
      </c>
      <c r="T155" s="165" t="str">
        <f t="shared" si="96"/>
        <v>Not Used</v>
      </c>
      <c r="U155" s="162"/>
      <c r="V155" s="55"/>
      <c r="W155" s="51" t="b">
        <f t="shared" si="97"/>
        <v>1</v>
      </c>
      <c r="X155" s="51" t="str">
        <f t="shared" si="98"/>
        <v>Not Used</v>
      </c>
      <c r="Y155" s="51" t="str">
        <f t="shared" si="99"/>
        <v>Not Used</v>
      </c>
      <c r="Z155" s="51" t="str">
        <f t="shared" si="100"/>
        <v>Not Used</v>
      </c>
      <c r="AA155" s="51" t="str">
        <f t="shared" si="100"/>
        <v>Not Used</v>
      </c>
      <c r="AB155" s="51" t="str">
        <f t="shared" si="101"/>
        <v>Not Used</v>
      </c>
      <c r="AC155" s="51" t="b">
        <f t="shared" si="102"/>
        <v>1</v>
      </c>
      <c r="AD155" s="51">
        <f>COUNTIF($X$5:$X$155, "Not Used")</f>
        <v>151</v>
      </c>
      <c r="AE155" s="51">
        <f>COUNTIF($X$5:$X$155, "TRUE")</f>
        <v>0</v>
      </c>
      <c r="AF155" s="51" t="b">
        <f t="shared" si="103"/>
        <v>1</v>
      </c>
      <c r="AI155" s="51" t="b">
        <f t="shared" si="104"/>
        <v>0</v>
      </c>
      <c r="AJ155" s="51" t="b">
        <f t="shared" si="105"/>
        <v>0</v>
      </c>
      <c r="AK155" s="51" t="b">
        <f t="shared" si="106"/>
        <v>0</v>
      </c>
      <c r="AL155" s="51" t="b">
        <f t="shared" si="107"/>
        <v>0</v>
      </c>
      <c r="AM155" s="51" t="b">
        <f t="shared" si="108"/>
        <v>0</v>
      </c>
      <c r="AN155" s="51"/>
      <c r="AO155" s="51" t="b">
        <f t="shared" si="109"/>
        <v>0</v>
      </c>
      <c r="AP155" s="51" t="str">
        <f t="shared" si="131"/>
        <v>Tier 2 MMS</v>
      </c>
      <c r="AQ155" s="51" t="b">
        <f t="shared" si="110"/>
        <v>0</v>
      </c>
      <c r="AR155" s="51" t="b">
        <f t="shared" si="111"/>
        <v>0</v>
      </c>
      <c r="AS155" s="51" t="str">
        <f t="shared" si="112"/>
        <v/>
      </c>
      <c r="AT155" s="51" t="str">
        <f t="shared" si="113"/>
        <v/>
      </c>
      <c r="AU155" s="51" t="str">
        <f t="shared" si="114"/>
        <v/>
      </c>
      <c r="AV155" s="51" t="str">
        <f t="shared" si="115"/>
        <v/>
      </c>
      <c r="AW155" s="51" t="str">
        <f t="shared" si="116"/>
        <v/>
      </c>
      <c r="AX155" s="51" t="str">
        <f t="shared" si="117"/>
        <v/>
      </c>
      <c r="AY155" s="51" t="str">
        <f t="shared" si="118"/>
        <v/>
      </c>
      <c r="AZ155" s="51" t="str">
        <f t="shared" si="119"/>
        <v/>
      </c>
      <c r="BA155" s="51" t="str">
        <f t="shared" si="120"/>
        <v/>
      </c>
      <c r="BB155" s="51" t="str">
        <f t="shared" si="121"/>
        <v/>
      </c>
      <c r="BC155" s="51" t="str">
        <f t="shared" si="122"/>
        <v/>
      </c>
      <c r="BD155" s="51" t="str">
        <f t="shared" si="123"/>
        <v/>
      </c>
      <c r="BE155" s="51" t="str">
        <f t="shared" si="124"/>
        <v/>
      </c>
      <c r="BF155" s="51" t="str">
        <f t="shared" si="125"/>
        <v/>
      </c>
      <c r="BG155" s="51" t="str">
        <f t="shared" si="126"/>
        <v/>
      </c>
      <c r="BH155" s="51" t="b">
        <f t="shared" si="127"/>
        <v>0</v>
      </c>
      <c r="BI155" s="51" t="str">
        <f t="shared" si="128"/>
        <v/>
      </c>
      <c r="BJ155" s="51" t="str">
        <f t="shared" si="129"/>
        <v/>
      </c>
      <c r="BK155" s="51" t="b">
        <f t="shared" si="130"/>
        <v>0</v>
      </c>
      <c r="BL155" s="192"/>
    </row>
    <row r="156" spans="1:64" ht="13.5" thickBot="1" x14ac:dyDescent="0.25">
      <c r="A156" s="185" t="s">
        <v>848</v>
      </c>
      <c r="B156" s="194" t="s">
        <v>695</v>
      </c>
      <c r="C156" s="194" t="s">
        <v>695</v>
      </c>
      <c r="D156" s="193" t="s">
        <v>694</v>
      </c>
      <c r="E156" s="193" t="s">
        <v>694</v>
      </c>
      <c r="F156" s="160" t="s">
        <v>20</v>
      </c>
      <c r="G156" s="161"/>
      <c r="H156" s="186" t="str">
        <f t="shared" si="88"/>
        <v>N/A</v>
      </c>
      <c r="I156" s="186" t="b">
        <f t="shared" si="89"/>
        <v>1</v>
      </c>
      <c r="J156" s="186" t="str">
        <f t="shared" si="90"/>
        <v>N/A</v>
      </c>
      <c r="K156" s="186" t="b">
        <f t="shared" si="91"/>
        <v>1</v>
      </c>
      <c r="L156" s="186" t="str">
        <f t="shared" si="92"/>
        <v>Used?</v>
      </c>
      <c r="M156" s="186" t="b">
        <f t="shared" si="93"/>
        <v>0</v>
      </c>
      <c r="N156" s="186" t="str">
        <f t="shared" si="94"/>
        <v>Used?</v>
      </c>
      <c r="O156" s="186" t="b">
        <f t="shared" si="95"/>
        <v>0</v>
      </c>
      <c r="P156" s="26" t="s">
        <v>696</v>
      </c>
      <c r="Q156" s="160" t="s">
        <v>20</v>
      </c>
      <c r="R156" s="160" t="s">
        <v>20</v>
      </c>
      <c r="S156" s="26" t="s">
        <v>697</v>
      </c>
      <c r="T156" s="165" t="str">
        <f t="shared" si="96"/>
        <v>Not Used</v>
      </c>
      <c r="U156" s="162"/>
      <c r="V156" s="55"/>
      <c r="W156" s="51" t="b">
        <f t="shared" si="97"/>
        <v>1</v>
      </c>
      <c r="X156" s="51" t="str">
        <f t="shared" si="98"/>
        <v>Not Used</v>
      </c>
      <c r="Y156" s="51" t="str">
        <f t="shared" si="99"/>
        <v>Not Used</v>
      </c>
      <c r="Z156" s="51" t="str">
        <f t="shared" si="100"/>
        <v>Not Used</v>
      </c>
      <c r="AA156" s="51" t="str">
        <f t="shared" si="100"/>
        <v>Not Used</v>
      </c>
      <c r="AB156" s="51" t="str">
        <f t="shared" si="101"/>
        <v>Not Used</v>
      </c>
      <c r="AC156" s="51" t="b">
        <f t="shared" si="102"/>
        <v>1</v>
      </c>
      <c r="AD156" s="51">
        <f>COUNTIF($X$5:$X$156, "Not Used")</f>
        <v>152</v>
      </c>
      <c r="AE156" s="51">
        <f>COUNTIF($X$5:$X$156, "TRUE")</f>
        <v>0</v>
      </c>
      <c r="AF156" s="51" t="b">
        <f t="shared" si="103"/>
        <v>1</v>
      </c>
      <c r="AI156" s="51" t="b">
        <f t="shared" si="104"/>
        <v>0</v>
      </c>
      <c r="AJ156" s="51" t="b">
        <f t="shared" si="105"/>
        <v>0</v>
      </c>
      <c r="AK156" s="51" t="b">
        <f t="shared" si="106"/>
        <v>0</v>
      </c>
      <c r="AL156" s="51" t="b">
        <f t="shared" si="107"/>
        <v>0</v>
      </c>
      <c r="AM156" s="51" t="b">
        <f t="shared" si="108"/>
        <v>0</v>
      </c>
      <c r="AN156" s="51"/>
      <c r="AO156" s="51" t="b">
        <f t="shared" si="109"/>
        <v>0</v>
      </c>
      <c r="AP156" s="51" t="str">
        <f t="shared" si="131"/>
        <v>Tier 2 MMS</v>
      </c>
      <c r="AQ156" s="51" t="b">
        <f t="shared" si="110"/>
        <v>0</v>
      </c>
      <c r="AR156" s="51" t="b">
        <f t="shared" si="111"/>
        <v>0</v>
      </c>
      <c r="AS156" s="51" t="str">
        <f t="shared" si="112"/>
        <v/>
      </c>
      <c r="AT156" s="51" t="str">
        <f t="shared" si="113"/>
        <v/>
      </c>
      <c r="AU156" s="51" t="str">
        <f t="shared" si="114"/>
        <v/>
      </c>
      <c r="AV156" s="51" t="str">
        <f t="shared" si="115"/>
        <v/>
      </c>
      <c r="AW156" s="51" t="str">
        <f t="shared" si="116"/>
        <v/>
      </c>
      <c r="AX156" s="51" t="str">
        <f t="shared" si="117"/>
        <v/>
      </c>
      <c r="AY156" s="51" t="str">
        <f t="shared" si="118"/>
        <v/>
      </c>
      <c r="AZ156" s="51" t="str">
        <f t="shared" si="119"/>
        <v/>
      </c>
      <c r="BA156" s="51" t="str">
        <f t="shared" si="120"/>
        <v/>
      </c>
      <c r="BB156" s="51" t="str">
        <f t="shared" si="121"/>
        <v/>
      </c>
      <c r="BC156" s="51" t="str">
        <f t="shared" si="122"/>
        <v/>
      </c>
      <c r="BD156" s="51" t="str">
        <f t="shared" si="123"/>
        <v/>
      </c>
      <c r="BE156" s="51" t="str">
        <f t="shared" si="124"/>
        <v/>
      </c>
      <c r="BF156" s="51" t="str">
        <f t="shared" si="125"/>
        <v/>
      </c>
      <c r="BG156" s="51" t="str">
        <f t="shared" si="126"/>
        <v/>
      </c>
      <c r="BH156" s="51" t="b">
        <f t="shared" si="127"/>
        <v>0</v>
      </c>
      <c r="BI156" s="51" t="str">
        <f t="shared" si="128"/>
        <v/>
      </c>
      <c r="BJ156" s="51" t="str">
        <f t="shared" si="129"/>
        <v/>
      </c>
      <c r="BK156" s="51" t="b">
        <f t="shared" si="130"/>
        <v>0</v>
      </c>
      <c r="BL156" s="192"/>
    </row>
    <row r="157" spans="1:64" ht="13.5" thickBot="1" x14ac:dyDescent="0.25">
      <c r="A157" s="185" t="s">
        <v>849</v>
      </c>
      <c r="B157" s="194" t="s">
        <v>695</v>
      </c>
      <c r="C157" s="194" t="s">
        <v>695</v>
      </c>
      <c r="D157" s="194" t="s">
        <v>695</v>
      </c>
      <c r="E157" s="193" t="s">
        <v>694</v>
      </c>
      <c r="F157" s="160" t="s">
        <v>20</v>
      </c>
      <c r="G157" s="161"/>
      <c r="H157" s="186" t="str">
        <f t="shared" si="88"/>
        <v>N/A</v>
      </c>
      <c r="I157" s="186" t="b">
        <f t="shared" si="89"/>
        <v>1</v>
      </c>
      <c r="J157" s="186" t="str">
        <f t="shared" si="90"/>
        <v>N/A</v>
      </c>
      <c r="K157" s="186" t="b">
        <f t="shared" si="91"/>
        <v>1</v>
      </c>
      <c r="L157" s="186" t="str">
        <f t="shared" si="92"/>
        <v>N/A</v>
      </c>
      <c r="M157" s="186" t="b">
        <f t="shared" si="93"/>
        <v>1</v>
      </c>
      <c r="N157" s="186" t="str">
        <f t="shared" si="94"/>
        <v>Used?</v>
      </c>
      <c r="O157" s="186" t="b">
        <f t="shared" si="95"/>
        <v>0</v>
      </c>
      <c r="P157" s="26" t="s">
        <v>696</v>
      </c>
      <c r="Q157" s="160" t="s">
        <v>20</v>
      </c>
      <c r="R157" s="160" t="s">
        <v>20</v>
      </c>
      <c r="S157" s="26" t="s">
        <v>697</v>
      </c>
      <c r="T157" s="165" t="str">
        <f t="shared" si="96"/>
        <v>Not Used</v>
      </c>
      <c r="U157" s="162"/>
      <c r="V157" s="55"/>
      <c r="W157" s="51" t="b">
        <f t="shared" si="97"/>
        <v>1</v>
      </c>
      <c r="X157" s="51" t="str">
        <f t="shared" si="98"/>
        <v>Not Used</v>
      </c>
      <c r="Y157" s="51" t="str">
        <f t="shared" si="99"/>
        <v>Not Used</v>
      </c>
      <c r="Z157" s="51" t="str">
        <f t="shared" si="100"/>
        <v>Not Used</v>
      </c>
      <c r="AA157" s="51" t="str">
        <f t="shared" si="100"/>
        <v>Not Used</v>
      </c>
      <c r="AB157" s="51" t="str">
        <f t="shared" si="101"/>
        <v>Not Used</v>
      </c>
      <c r="AC157" s="51" t="b">
        <f t="shared" si="102"/>
        <v>1</v>
      </c>
      <c r="AD157" s="51">
        <f>COUNTIF($X$5:$X$157, "Not Used")</f>
        <v>153</v>
      </c>
      <c r="AE157" s="51">
        <f>COUNTIF($X$5:$X$157, "TRUE")</f>
        <v>0</v>
      </c>
      <c r="AF157" s="51" t="b">
        <f t="shared" si="103"/>
        <v>1</v>
      </c>
      <c r="AI157" s="51" t="b">
        <f t="shared" si="104"/>
        <v>0</v>
      </c>
      <c r="AJ157" s="51" t="b">
        <f t="shared" si="105"/>
        <v>0</v>
      </c>
      <c r="AK157" s="51" t="b">
        <f t="shared" si="106"/>
        <v>0</v>
      </c>
      <c r="AL157" s="51" t="b">
        <f t="shared" si="107"/>
        <v>0</v>
      </c>
      <c r="AM157" s="51" t="b">
        <f t="shared" si="108"/>
        <v>0</v>
      </c>
      <c r="AN157" s="51"/>
      <c r="AO157" s="51" t="b">
        <f t="shared" si="109"/>
        <v>0</v>
      </c>
      <c r="AP157" s="51" t="str">
        <f t="shared" si="131"/>
        <v>Not in MMS</v>
      </c>
      <c r="AQ157" s="51" t="b">
        <f t="shared" si="110"/>
        <v>0</v>
      </c>
      <c r="AR157" s="51" t="b">
        <f t="shared" si="111"/>
        <v>0</v>
      </c>
      <c r="AS157" s="51" t="str">
        <f t="shared" si="112"/>
        <v/>
      </c>
      <c r="AT157" s="51" t="str">
        <f t="shared" si="113"/>
        <v/>
      </c>
      <c r="AU157" s="51" t="str">
        <f t="shared" si="114"/>
        <v/>
      </c>
      <c r="AV157" s="51" t="str">
        <f t="shared" si="115"/>
        <v/>
      </c>
      <c r="AW157" s="51" t="str">
        <f t="shared" si="116"/>
        <v/>
      </c>
      <c r="AX157" s="51" t="str">
        <f t="shared" si="117"/>
        <v/>
      </c>
      <c r="AY157" s="51" t="str">
        <f t="shared" si="118"/>
        <v/>
      </c>
      <c r="AZ157" s="51" t="str">
        <f t="shared" si="119"/>
        <v/>
      </c>
      <c r="BA157" s="51" t="str">
        <f t="shared" si="120"/>
        <v/>
      </c>
      <c r="BB157" s="51" t="str">
        <f t="shared" si="121"/>
        <v/>
      </c>
      <c r="BC157" s="51" t="str">
        <f t="shared" si="122"/>
        <v/>
      </c>
      <c r="BD157" s="51" t="str">
        <f t="shared" si="123"/>
        <v/>
      </c>
      <c r="BE157" s="51" t="str">
        <f t="shared" si="124"/>
        <v/>
      </c>
      <c r="BF157" s="51" t="str">
        <f t="shared" si="125"/>
        <v/>
      </c>
      <c r="BG157" s="51" t="str">
        <f t="shared" si="126"/>
        <v/>
      </c>
      <c r="BH157" s="51" t="b">
        <f t="shared" si="127"/>
        <v>0</v>
      </c>
      <c r="BI157" s="51" t="str">
        <f t="shared" si="128"/>
        <v/>
      </c>
      <c r="BJ157" s="51" t="str">
        <f t="shared" si="129"/>
        <v/>
      </c>
      <c r="BK157" s="51" t="b">
        <f t="shared" si="130"/>
        <v>0</v>
      </c>
      <c r="BL157" s="192"/>
    </row>
    <row r="158" spans="1:64" ht="13.5" thickBot="1" x14ac:dyDescent="0.25">
      <c r="A158" s="185" t="s">
        <v>850</v>
      </c>
      <c r="B158" s="194" t="s">
        <v>695</v>
      </c>
      <c r="C158" s="194" t="s">
        <v>695</v>
      </c>
      <c r="D158" s="194" t="s">
        <v>695</v>
      </c>
      <c r="E158" s="193" t="s">
        <v>694</v>
      </c>
      <c r="F158" s="160" t="s">
        <v>20</v>
      </c>
      <c r="G158" s="161"/>
      <c r="H158" s="186" t="str">
        <f t="shared" si="88"/>
        <v>N/A</v>
      </c>
      <c r="I158" s="186" t="b">
        <f t="shared" si="89"/>
        <v>1</v>
      </c>
      <c r="J158" s="186" t="str">
        <f t="shared" si="90"/>
        <v>N/A</v>
      </c>
      <c r="K158" s="186" t="b">
        <f t="shared" si="91"/>
        <v>1</v>
      </c>
      <c r="L158" s="186" t="str">
        <f t="shared" si="92"/>
        <v>N/A</v>
      </c>
      <c r="M158" s="186" t="b">
        <f t="shared" si="93"/>
        <v>1</v>
      </c>
      <c r="N158" s="186" t="str">
        <f t="shared" si="94"/>
        <v>Used?</v>
      </c>
      <c r="O158" s="186" t="b">
        <f t="shared" si="95"/>
        <v>0</v>
      </c>
      <c r="P158" s="26" t="s">
        <v>696</v>
      </c>
      <c r="Q158" s="160" t="s">
        <v>20</v>
      </c>
      <c r="R158" s="160" t="s">
        <v>20</v>
      </c>
      <c r="S158" s="26" t="s">
        <v>697</v>
      </c>
      <c r="T158" s="165" t="str">
        <f t="shared" si="96"/>
        <v>Not Used</v>
      </c>
      <c r="U158" s="162"/>
      <c r="V158" s="55"/>
      <c r="W158" s="51" t="b">
        <f t="shared" si="97"/>
        <v>1</v>
      </c>
      <c r="X158" s="51" t="str">
        <f t="shared" si="98"/>
        <v>Not Used</v>
      </c>
      <c r="Y158" s="51" t="str">
        <f t="shared" si="99"/>
        <v>Not Used</v>
      </c>
      <c r="Z158" s="51" t="str">
        <f t="shared" si="100"/>
        <v>Not Used</v>
      </c>
      <c r="AA158" s="51" t="str">
        <f t="shared" si="100"/>
        <v>Not Used</v>
      </c>
      <c r="AB158" s="51" t="str">
        <f t="shared" si="101"/>
        <v>Not Used</v>
      </c>
      <c r="AC158" s="51" t="b">
        <f t="shared" si="102"/>
        <v>1</v>
      </c>
      <c r="AD158" s="51">
        <f>COUNTIF($X$5:$X$158, "Not Used")</f>
        <v>154</v>
      </c>
      <c r="AE158" s="51">
        <f>COUNTIF($X$5:$X$158, "TRUE")</f>
        <v>0</v>
      </c>
      <c r="AF158" s="51" t="b">
        <f t="shared" si="103"/>
        <v>1</v>
      </c>
      <c r="AI158" s="51" t="b">
        <f t="shared" si="104"/>
        <v>0</v>
      </c>
      <c r="AJ158" s="51" t="b">
        <f t="shared" si="105"/>
        <v>0</v>
      </c>
      <c r="AK158" s="51" t="b">
        <f t="shared" si="106"/>
        <v>0</v>
      </c>
      <c r="AL158" s="51" t="b">
        <f t="shared" si="107"/>
        <v>0</v>
      </c>
      <c r="AM158" s="51" t="b">
        <f t="shared" si="108"/>
        <v>0</v>
      </c>
      <c r="AN158" s="51"/>
      <c r="AO158" s="51" t="b">
        <f t="shared" si="109"/>
        <v>0</v>
      </c>
      <c r="AP158" s="51" t="str">
        <f t="shared" si="131"/>
        <v>Not in MMS</v>
      </c>
      <c r="AQ158" s="51" t="b">
        <f t="shared" si="110"/>
        <v>0</v>
      </c>
      <c r="AR158" s="51" t="b">
        <f t="shared" si="111"/>
        <v>0</v>
      </c>
      <c r="AS158" s="51" t="str">
        <f t="shared" si="112"/>
        <v/>
      </c>
      <c r="AT158" s="51" t="str">
        <f t="shared" si="113"/>
        <v/>
      </c>
      <c r="AU158" s="51" t="str">
        <f t="shared" si="114"/>
        <v/>
      </c>
      <c r="AV158" s="51" t="str">
        <f t="shared" si="115"/>
        <v/>
      </c>
      <c r="AW158" s="51" t="str">
        <f t="shared" si="116"/>
        <v/>
      </c>
      <c r="AX158" s="51" t="str">
        <f t="shared" si="117"/>
        <v/>
      </c>
      <c r="AY158" s="51" t="str">
        <f t="shared" si="118"/>
        <v/>
      </c>
      <c r="AZ158" s="51" t="str">
        <f t="shared" si="119"/>
        <v/>
      </c>
      <c r="BA158" s="51" t="str">
        <f t="shared" si="120"/>
        <v/>
      </c>
      <c r="BB158" s="51" t="str">
        <f t="shared" si="121"/>
        <v/>
      </c>
      <c r="BC158" s="51" t="str">
        <f t="shared" si="122"/>
        <v/>
      </c>
      <c r="BD158" s="51" t="str">
        <f t="shared" si="123"/>
        <v/>
      </c>
      <c r="BE158" s="51" t="str">
        <f t="shared" si="124"/>
        <v/>
      </c>
      <c r="BF158" s="51" t="str">
        <f t="shared" si="125"/>
        <v/>
      </c>
      <c r="BG158" s="51" t="str">
        <f t="shared" si="126"/>
        <v/>
      </c>
      <c r="BH158" s="51" t="b">
        <f t="shared" si="127"/>
        <v>0</v>
      </c>
      <c r="BI158" s="51" t="str">
        <f t="shared" si="128"/>
        <v/>
      </c>
      <c r="BJ158" s="51" t="str">
        <f t="shared" si="129"/>
        <v/>
      </c>
      <c r="BK158" s="51" t="b">
        <f t="shared" si="130"/>
        <v>0</v>
      </c>
      <c r="BL158" s="192"/>
    </row>
    <row r="159" spans="1:64" ht="13.5" thickBot="1" x14ac:dyDescent="0.25">
      <c r="A159" s="185" t="s">
        <v>851</v>
      </c>
      <c r="B159" s="194" t="s">
        <v>695</v>
      </c>
      <c r="C159" s="194" t="s">
        <v>695</v>
      </c>
      <c r="D159" s="194" t="s">
        <v>695</v>
      </c>
      <c r="E159" s="193" t="s">
        <v>694</v>
      </c>
      <c r="F159" s="160" t="s">
        <v>20</v>
      </c>
      <c r="G159" s="161"/>
      <c r="H159" s="186" t="str">
        <f t="shared" si="88"/>
        <v>N/A</v>
      </c>
      <c r="I159" s="186" t="b">
        <f t="shared" si="89"/>
        <v>1</v>
      </c>
      <c r="J159" s="186" t="str">
        <f t="shared" si="90"/>
        <v>N/A</v>
      </c>
      <c r="K159" s="186" t="b">
        <f t="shared" si="91"/>
        <v>1</v>
      </c>
      <c r="L159" s="186" t="str">
        <f t="shared" si="92"/>
        <v>N/A</v>
      </c>
      <c r="M159" s="186" t="b">
        <f t="shared" si="93"/>
        <v>1</v>
      </c>
      <c r="N159" s="186" t="str">
        <f t="shared" si="94"/>
        <v>Used?</v>
      </c>
      <c r="O159" s="186" t="b">
        <f t="shared" si="95"/>
        <v>0</v>
      </c>
      <c r="P159" s="26" t="s">
        <v>696</v>
      </c>
      <c r="Q159" s="160" t="s">
        <v>20</v>
      </c>
      <c r="R159" s="160" t="s">
        <v>20</v>
      </c>
      <c r="S159" s="26" t="s">
        <v>697</v>
      </c>
      <c r="T159" s="165" t="str">
        <f t="shared" si="96"/>
        <v>Not Used</v>
      </c>
      <c r="U159" s="162"/>
      <c r="V159" s="55"/>
      <c r="W159" s="51" t="b">
        <f t="shared" si="97"/>
        <v>1</v>
      </c>
      <c r="X159" s="51" t="str">
        <f t="shared" si="98"/>
        <v>Not Used</v>
      </c>
      <c r="Y159" s="51" t="str">
        <f t="shared" si="99"/>
        <v>Not Used</v>
      </c>
      <c r="Z159" s="51" t="str">
        <f t="shared" si="100"/>
        <v>Not Used</v>
      </c>
      <c r="AA159" s="51" t="str">
        <f t="shared" si="100"/>
        <v>Not Used</v>
      </c>
      <c r="AB159" s="51" t="str">
        <f t="shared" si="101"/>
        <v>Not Used</v>
      </c>
      <c r="AC159" s="51" t="b">
        <f t="shared" si="102"/>
        <v>1</v>
      </c>
      <c r="AD159" s="51">
        <f>COUNTIF($X$5:$X$159, "Not Used")</f>
        <v>155</v>
      </c>
      <c r="AE159" s="51">
        <f>COUNTIF($X$5:$X$159, "TRUE")</f>
        <v>0</v>
      </c>
      <c r="AF159" s="51" t="b">
        <f t="shared" si="103"/>
        <v>1</v>
      </c>
      <c r="AI159" s="51" t="b">
        <f t="shared" si="104"/>
        <v>0</v>
      </c>
      <c r="AJ159" s="51" t="b">
        <f t="shared" si="105"/>
        <v>0</v>
      </c>
      <c r="AK159" s="51" t="b">
        <f t="shared" si="106"/>
        <v>0</v>
      </c>
      <c r="AL159" s="51" t="b">
        <f t="shared" si="107"/>
        <v>0</v>
      </c>
      <c r="AM159" s="51" t="b">
        <f t="shared" si="108"/>
        <v>0</v>
      </c>
      <c r="AN159" s="51"/>
      <c r="AO159" s="51" t="b">
        <f t="shared" si="109"/>
        <v>0</v>
      </c>
      <c r="AP159" s="51" t="str">
        <f t="shared" si="131"/>
        <v>Not in MMS</v>
      </c>
      <c r="AQ159" s="51" t="b">
        <f t="shared" si="110"/>
        <v>0</v>
      </c>
      <c r="AR159" s="51" t="b">
        <f t="shared" si="111"/>
        <v>0</v>
      </c>
      <c r="AS159" s="51" t="str">
        <f t="shared" si="112"/>
        <v/>
      </c>
      <c r="AT159" s="51" t="str">
        <f t="shared" si="113"/>
        <v/>
      </c>
      <c r="AU159" s="51" t="str">
        <f t="shared" si="114"/>
        <v/>
      </c>
      <c r="AV159" s="51" t="str">
        <f t="shared" si="115"/>
        <v/>
      </c>
      <c r="AW159" s="51" t="str">
        <f t="shared" si="116"/>
        <v/>
      </c>
      <c r="AX159" s="51" t="str">
        <f t="shared" si="117"/>
        <v/>
      </c>
      <c r="AY159" s="51" t="str">
        <f t="shared" si="118"/>
        <v/>
      </c>
      <c r="AZ159" s="51" t="str">
        <f t="shared" si="119"/>
        <v/>
      </c>
      <c r="BA159" s="51" t="str">
        <f t="shared" si="120"/>
        <v/>
      </c>
      <c r="BB159" s="51" t="str">
        <f t="shared" si="121"/>
        <v/>
      </c>
      <c r="BC159" s="51" t="str">
        <f t="shared" si="122"/>
        <v/>
      </c>
      <c r="BD159" s="51" t="str">
        <f t="shared" si="123"/>
        <v/>
      </c>
      <c r="BE159" s="51" t="str">
        <f t="shared" si="124"/>
        <v/>
      </c>
      <c r="BF159" s="51" t="str">
        <f t="shared" si="125"/>
        <v/>
      </c>
      <c r="BG159" s="51" t="str">
        <f t="shared" si="126"/>
        <v/>
      </c>
      <c r="BH159" s="51" t="b">
        <f t="shared" si="127"/>
        <v>0</v>
      </c>
      <c r="BI159" s="51" t="str">
        <f t="shared" si="128"/>
        <v/>
      </c>
      <c r="BJ159" s="51" t="str">
        <f t="shared" si="129"/>
        <v/>
      </c>
      <c r="BK159" s="51" t="b">
        <f t="shared" si="130"/>
        <v>0</v>
      </c>
      <c r="BL159" s="192"/>
    </row>
    <row r="160" spans="1:64" ht="13.5" thickBot="1" x14ac:dyDescent="0.25">
      <c r="A160" s="185" t="s">
        <v>852</v>
      </c>
      <c r="B160" s="194" t="s">
        <v>695</v>
      </c>
      <c r="C160" s="194" t="s">
        <v>695</v>
      </c>
      <c r="D160" s="194" t="s">
        <v>695</v>
      </c>
      <c r="E160" s="193" t="s">
        <v>694</v>
      </c>
      <c r="F160" s="160" t="s">
        <v>20</v>
      </c>
      <c r="G160" s="161"/>
      <c r="H160" s="186" t="str">
        <f t="shared" si="88"/>
        <v>N/A</v>
      </c>
      <c r="I160" s="186" t="b">
        <f t="shared" si="89"/>
        <v>1</v>
      </c>
      <c r="J160" s="186" t="str">
        <f t="shared" si="90"/>
        <v>N/A</v>
      </c>
      <c r="K160" s="186" t="b">
        <f t="shared" si="91"/>
        <v>1</v>
      </c>
      <c r="L160" s="186" t="str">
        <f t="shared" si="92"/>
        <v>N/A</v>
      </c>
      <c r="M160" s="186" t="b">
        <f t="shared" si="93"/>
        <v>1</v>
      </c>
      <c r="N160" s="186" t="str">
        <f t="shared" si="94"/>
        <v>Used?</v>
      </c>
      <c r="O160" s="186" t="b">
        <f t="shared" si="95"/>
        <v>0</v>
      </c>
      <c r="P160" s="26" t="s">
        <v>696</v>
      </c>
      <c r="Q160" s="160" t="s">
        <v>20</v>
      </c>
      <c r="R160" s="160" t="s">
        <v>20</v>
      </c>
      <c r="S160" s="26" t="s">
        <v>697</v>
      </c>
      <c r="T160" s="165" t="str">
        <f t="shared" si="96"/>
        <v>Not Used</v>
      </c>
      <c r="U160" s="162"/>
      <c r="V160" s="55"/>
      <c r="W160" s="51" t="b">
        <f t="shared" si="97"/>
        <v>1</v>
      </c>
      <c r="X160" s="51" t="str">
        <f t="shared" si="98"/>
        <v>Not Used</v>
      </c>
      <c r="Y160" s="51" t="str">
        <f t="shared" si="99"/>
        <v>Not Used</v>
      </c>
      <c r="Z160" s="51" t="str">
        <f t="shared" si="100"/>
        <v>Not Used</v>
      </c>
      <c r="AA160" s="51" t="str">
        <f t="shared" si="100"/>
        <v>Not Used</v>
      </c>
      <c r="AB160" s="51" t="str">
        <f t="shared" si="101"/>
        <v>Not Used</v>
      </c>
      <c r="AC160" s="51" t="b">
        <f t="shared" si="102"/>
        <v>1</v>
      </c>
      <c r="AD160" s="51">
        <f>COUNTIF($X$5:$X$160, "Not Used")</f>
        <v>156</v>
      </c>
      <c r="AE160" s="51">
        <f>COUNTIF($X$5:$X$160, "TRUE")</f>
        <v>0</v>
      </c>
      <c r="AF160" s="51" t="b">
        <f t="shared" si="103"/>
        <v>1</v>
      </c>
      <c r="AI160" s="51" t="b">
        <f t="shared" si="104"/>
        <v>0</v>
      </c>
      <c r="AJ160" s="51" t="b">
        <f t="shared" si="105"/>
        <v>0</v>
      </c>
      <c r="AK160" s="51" t="b">
        <f t="shared" si="106"/>
        <v>0</v>
      </c>
      <c r="AL160" s="51" t="b">
        <f t="shared" si="107"/>
        <v>0</v>
      </c>
      <c r="AM160" s="51" t="b">
        <f t="shared" si="108"/>
        <v>0</v>
      </c>
      <c r="AN160" s="51"/>
      <c r="AO160" s="51" t="b">
        <f t="shared" si="109"/>
        <v>0</v>
      </c>
      <c r="AP160" s="51" t="str">
        <f t="shared" si="131"/>
        <v>Not in MMS</v>
      </c>
      <c r="AQ160" s="51" t="b">
        <f t="shared" si="110"/>
        <v>0</v>
      </c>
      <c r="AR160" s="51" t="b">
        <f t="shared" si="111"/>
        <v>0</v>
      </c>
      <c r="AS160" s="51" t="str">
        <f t="shared" si="112"/>
        <v/>
      </c>
      <c r="AT160" s="51" t="str">
        <f t="shared" si="113"/>
        <v/>
      </c>
      <c r="AU160" s="51" t="str">
        <f t="shared" si="114"/>
        <v/>
      </c>
      <c r="AV160" s="51" t="str">
        <f t="shared" si="115"/>
        <v/>
      </c>
      <c r="AW160" s="51" t="str">
        <f t="shared" si="116"/>
        <v/>
      </c>
      <c r="AX160" s="51" t="str">
        <f t="shared" si="117"/>
        <v/>
      </c>
      <c r="AY160" s="51" t="str">
        <f t="shared" si="118"/>
        <v/>
      </c>
      <c r="AZ160" s="51" t="str">
        <f t="shared" si="119"/>
        <v/>
      </c>
      <c r="BA160" s="51" t="str">
        <f t="shared" si="120"/>
        <v/>
      </c>
      <c r="BB160" s="51" t="str">
        <f t="shared" si="121"/>
        <v/>
      </c>
      <c r="BC160" s="51" t="str">
        <f t="shared" si="122"/>
        <v/>
      </c>
      <c r="BD160" s="51" t="str">
        <f t="shared" si="123"/>
        <v/>
      </c>
      <c r="BE160" s="51" t="str">
        <f t="shared" si="124"/>
        <v/>
      </c>
      <c r="BF160" s="51" t="str">
        <f t="shared" si="125"/>
        <v/>
      </c>
      <c r="BG160" s="51" t="str">
        <f t="shared" si="126"/>
        <v/>
      </c>
      <c r="BH160" s="51" t="b">
        <f t="shared" si="127"/>
        <v>0</v>
      </c>
      <c r="BI160" s="51" t="str">
        <f t="shared" si="128"/>
        <v/>
      </c>
      <c r="BJ160" s="51" t="str">
        <f t="shared" si="129"/>
        <v/>
      </c>
      <c r="BK160" s="51" t="b">
        <f t="shared" si="130"/>
        <v>0</v>
      </c>
      <c r="BL160" s="192"/>
    </row>
    <row r="161" spans="1:64" ht="13.5" thickBot="1" x14ac:dyDescent="0.25">
      <c r="A161" s="185" t="s">
        <v>853</v>
      </c>
      <c r="B161" s="194" t="s">
        <v>695</v>
      </c>
      <c r="C161" s="194" t="s">
        <v>695</v>
      </c>
      <c r="D161" s="194" t="s">
        <v>695</v>
      </c>
      <c r="E161" s="193" t="s">
        <v>694</v>
      </c>
      <c r="F161" s="160" t="s">
        <v>20</v>
      </c>
      <c r="G161" s="161"/>
      <c r="H161" s="186" t="str">
        <f t="shared" si="88"/>
        <v>N/A</v>
      </c>
      <c r="I161" s="186" t="b">
        <f t="shared" si="89"/>
        <v>1</v>
      </c>
      <c r="J161" s="186" t="str">
        <f t="shared" si="90"/>
        <v>N/A</v>
      </c>
      <c r="K161" s="186" t="b">
        <f t="shared" si="91"/>
        <v>1</v>
      </c>
      <c r="L161" s="186" t="str">
        <f t="shared" si="92"/>
        <v>N/A</v>
      </c>
      <c r="M161" s="186" t="b">
        <f t="shared" si="93"/>
        <v>1</v>
      </c>
      <c r="N161" s="186" t="str">
        <f t="shared" si="94"/>
        <v>Used?</v>
      </c>
      <c r="O161" s="186" t="b">
        <f t="shared" si="95"/>
        <v>0</v>
      </c>
      <c r="P161" s="26" t="s">
        <v>696</v>
      </c>
      <c r="Q161" s="160" t="s">
        <v>20</v>
      </c>
      <c r="R161" s="160" t="s">
        <v>20</v>
      </c>
      <c r="S161" s="26" t="s">
        <v>697</v>
      </c>
      <c r="T161" s="165" t="str">
        <f t="shared" si="96"/>
        <v>Not Used</v>
      </c>
      <c r="U161" s="162"/>
      <c r="V161" s="55"/>
      <c r="W161" s="51" t="b">
        <f t="shared" si="97"/>
        <v>1</v>
      </c>
      <c r="X161" s="51" t="str">
        <f t="shared" si="98"/>
        <v>Not Used</v>
      </c>
      <c r="Y161" s="51" t="str">
        <f t="shared" si="99"/>
        <v>Not Used</v>
      </c>
      <c r="Z161" s="51" t="str">
        <f t="shared" si="100"/>
        <v>Not Used</v>
      </c>
      <c r="AA161" s="51" t="str">
        <f t="shared" si="100"/>
        <v>Not Used</v>
      </c>
      <c r="AB161" s="51" t="str">
        <f t="shared" si="101"/>
        <v>Not Used</v>
      </c>
      <c r="AC161" s="51" t="b">
        <f t="shared" si="102"/>
        <v>1</v>
      </c>
      <c r="AD161" s="51">
        <f>COUNTIF($X$5:$X$161, "Not Used")</f>
        <v>157</v>
      </c>
      <c r="AE161" s="51">
        <f>COUNTIF($X$5:$X$161, "TRUE")</f>
        <v>0</v>
      </c>
      <c r="AF161" s="51" t="b">
        <f t="shared" si="103"/>
        <v>1</v>
      </c>
      <c r="AI161" s="51" t="b">
        <f t="shared" si="104"/>
        <v>0</v>
      </c>
      <c r="AJ161" s="51" t="b">
        <f t="shared" si="105"/>
        <v>0</v>
      </c>
      <c r="AK161" s="51" t="b">
        <f t="shared" si="106"/>
        <v>0</v>
      </c>
      <c r="AL161" s="51" t="b">
        <f t="shared" si="107"/>
        <v>0</v>
      </c>
      <c r="AM161" s="51" t="b">
        <f t="shared" si="108"/>
        <v>0</v>
      </c>
      <c r="AN161" s="51"/>
      <c r="AO161" s="51" t="b">
        <f t="shared" si="109"/>
        <v>0</v>
      </c>
      <c r="AP161" s="51" t="str">
        <f t="shared" si="131"/>
        <v>Not in MMS</v>
      </c>
      <c r="AQ161" s="51" t="b">
        <f t="shared" si="110"/>
        <v>0</v>
      </c>
      <c r="AR161" s="51" t="b">
        <f t="shared" si="111"/>
        <v>0</v>
      </c>
      <c r="AS161" s="51" t="str">
        <f t="shared" si="112"/>
        <v/>
      </c>
      <c r="AT161" s="51" t="str">
        <f t="shared" si="113"/>
        <v/>
      </c>
      <c r="AU161" s="51" t="str">
        <f t="shared" si="114"/>
        <v/>
      </c>
      <c r="AV161" s="51" t="str">
        <f t="shared" si="115"/>
        <v/>
      </c>
      <c r="AW161" s="51" t="str">
        <f t="shared" si="116"/>
        <v/>
      </c>
      <c r="AX161" s="51" t="str">
        <f t="shared" si="117"/>
        <v/>
      </c>
      <c r="AY161" s="51" t="str">
        <f t="shared" si="118"/>
        <v/>
      </c>
      <c r="AZ161" s="51" t="str">
        <f t="shared" si="119"/>
        <v/>
      </c>
      <c r="BA161" s="51" t="str">
        <f t="shared" si="120"/>
        <v/>
      </c>
      <c r="BB161" s="51" t="str">
        <f t="shared" si="121"/>
        <v/>
      </c>
      <c r="BC161" s="51" t="str">
        <f t="shared" si="122"/>
        <v/>
      </c>
      <c r="BD161" s="51" t="str">
        <f t="shared" si="123"/>
        <v/>
      </c>
      <c r="BE161" s="51" t="str">
        <f t="shared" si="124"/>
        <v/>
      </c>
      <c r="BF161" s="51" t="str">
        <f t="shared" si="125"/>
        <v/>
      </c>
      <c r="BG161" s="51" t="str">
        <f t="shared" si="126"/>
        <v/>
      </c>
      <c r="BH161" s="51" t="b">
        <f t="shared" si="127"/>
        <v>0</v>
      </c>
      <c r="BI161" s="51" t="str">
        <f t="shared" si="128"/>
        <v/>
      </c>
      <c r="BJ161" s="51" t="str">
        <f t="shared" si="129"/>
        <v/>
      </c>
      <c r="BK161" s="51" t="b">
        <f t="shared" si="130"/>
        <v>0</v>
      </c>
      <c r="BL161" s="192"/>
    </row>
    <row r="162" spans="1:64" ht="13.5" thickBot="1" x14ac:dyDescent="0.25">
      <c r="A162" s="185" t="s">
        <v>854</v>
      </c>
      <c r="B162" s="194" t="s">
        <v>695</v>
      </c>
      <c r="C162" s="194" t="s">
        <v>695</v>
      </c>
      <c r="D162" s="194" t="s">
        <v>695</v>
      </c>
      <c r="E162" s="193" t="s">
        <v>694</v>
      </c>
      <c r="F162" s="160" t="s">
        <v>20</v>
      </c>
      <c r="G162" s="161"/>
      <c r="H162" s="186" t="str">
        <f t="shared" si="88"/>
        <v>N/A</v>
      </c>
      <c r="I162" s="186" t="b">
        <f t="shared" si="89"/>
        <v>1</v>
      </c>
      <c r="J162" s="186" t="str">
        <f t="shared" si="90"/>
        <v>N/A</v>
      </c>
      <c r="K162" s="186" t="b">
        <f t="shared" si="91"/>
        <v>1</v>
      </c>
      <c r="L162" s="186" t="str">
        <f t="shared" si="92"/>
        <v>N/A</v>
      </c>
      <c r="M162" s="186" t="b">
        <f t="shared" si="93"/>
        <v>1</v>
      </c>
      <c r="N162" s="186" t="str">
        <f t="shared" si="94"/>
        <v>Used?</v>
      </c>
      <c r="O162" s="186" t="b">
        <f t="shared" si="95"/>
        <v>0</v>
      </c>
      <c r="P162" s="26" t="s">
        <v>696</v>
      </c>
      <c r="Q162" s="160" t="s">
        <v>20</v>
      </c>
      <c r="R162" s="160" t="s">
        <v>20</v>
      </c>
      <c r="S162" s="26" t="s">
        <v>697</v>
      </c>
      <c r="T162" s="165" t="str">
        <f t="shared" si="96"/>
        <v>Not Used</v>
      </c>
      <c r="U162" s="162"/>
      <c r="V162" s="55"/>
      <c r="W162" s="51" t="b">
        <f t="shared" si="97"/>
        <v>1</v>
      </c>
      <c r="X162" s="51" t="str">
        <f t="shared" si="98"/>
        <v>Not Used</v>
      </c>
      <c r="Y162" s="51" t="str">
        <f t="shared" si="99"/>
        <v>Not Used</v>
      </c>
      <c r="Z162" s="51" t="str">
        <f t="shared" si="100"/>
        <v>Not Used</v>
      </c>
      <c r="AA162" s="51" t="str">
        <f t="shared" si="100"/>
        <v>Not Used</v>
      </c>
      <c r="AB162" s="51" t="str">
        <f t="shared" si="101"/>
        <v>Not Used</v>
      </c>
      <c r="AC162" s="51" t="b">
        <f t="shared" si="102"/>
        <v>1</v>
      </c>
      <c r="AD162" s="51">
        <f>COUNTIF($X$5:$X$162, "Not Used")</f>
        <v>158</v>
      </c>
      <c r="AE162" s="51">
        <f>COUNTIF($X$5:$X$162, "TRUE")</f>
        <v>0</v>
      </c>
      <c r="AF162" s="51" t="b">
        <f t="shared" si="103"/>
        <v>1</v>
      </c>
      <c r="AI162" s="51" t="b">
        <f t="shared" si="104"/>
        <v>0</v>
      </c>
      <c r="AJ162" s="51" t="b">
        <f t="shared" si="105"/>
        <v>0</v>
      </c>
      <c r="AK162" s="51" t="b">
        <f t="shared" si="106"/>
        <v>0</v>
      </c>
      <c r="AL162" s="51" t="b">
        <f t="shared" si="107"/>
        <v>0</v>
      </c>
      <c r="AM162" s="51" t="b">
        <f t="shared" si="108"/>
        <v>0</v>
      </c>
      <c r="AN162" s="51"/>
      <c r="AO162" s="51" t="b">
        <f t="shared" si="109"/>
        <v>0</v>
      </c>
      <c r="AP162" s="51" t="str">
        <f t="shared" si="131"/>
        <v>Not in MMS</v>
      </c>
      <c r="AQ162" s="51" t="b">
        <f t="shared" si="110"/>
        <v>0</v>
      </c>
      <c r="AR162" s="51" t="b">
        <f t="shared" si="111"/>
        <v>0</v>
      </c>
      <c r="AS162" s="51" t="str">
        <f t="shared" si="112"/>
        <v/>
      </c>
      <c r="AT162" s="51" t="str">
        <f t="shared" si="113"/>
        <v/>
      </c>
      <c r="AU162" s="51" t="str">
        <f t="shared" si="114"/>
        <v/>
      </c>
      <c r="AV162" s="51" t="str">
        <f t="shared" si="115"/>
        <v/>
      </c>
      <c r="AW162" s="51" t="str">
        <f t="shared" si="116"/>
        <v/>
      </c>
      <c r="AX162" s="51" t="str">
        <f t="shared" si="117"/>
        <v/>
      </c>
      <c r="AY162" s="51" t="str">
        <f t="shared" si="118"/>
        <v/>
      </c>
      <c r="AZ162" s="51" t="str">
        <f t="shared" si="119"/>
        <v/>
      </c>
      <c r="BA162" s="51" t="str">
        <f t="shared" si="120"/>
        <v/>
      </c>
      <c r="BB162" s="51" t="str">
        <f t="shared" si="121"/>
        <v/>
      </c>
      <c r="BC162" s="51" t="str">
        <f t="shared" si="122"/>
        <v/>
      </c>
      <c r="BD162" s="51" t="str">
        <f t="shared" si="123"/>
        <v/>
      </c>
      <c r="BE162" s="51" t="str">
        <f t="shared" si="124"/>
        <v/>
      </c>
      <c r="BF162" s="51" t="str">
        <f t="shared" si="125"/>
        <v/>
      </c>
      <c r="BG162" s="51" t="str">
        <f t="shared" si="126"/>
        <v/>
      </c>
      <c r="BH162" s="51" t="b">
        <f t="shared" si="127"/>
        <v>0</v>
      </c>
      <c r="BI162" s="51" t="str">
        <f t="shared" si="128"/>
        <v/>
      </c>
      <c r="BJ162" s="51" t="str">
        <f t="shared" si="129"/>
        <v/>
      </c>
      <c r="BK162" s="51" t="b">
        <f t="shared" si="130"/>
        <v>0</v>
      </c>
      <c r="BL162" s="192"/>
    </row>
    <row r="163" spans="1:64" ht="13.5" thickBot="1" x14ac:dyDescent="0.25">
      <c r="A163" s="185" t="s">
        <v>855</v>
      </c>
      <c r="B163" s="194" t="s">
        <v>695</v>
      </c>
      <c r="C163" s="194" t="s">
        <v>695</v>
      </c>
      <c r="D163" s="194" t="s">
        <v>695</v>
      </c>
      <c r="E163" s="193" t="s">
        <v>694</v>
      </c>
      <c r="F163" s="160" t="s">
        <v>20</v>
      </c>
      <c r="G163" s="161"/>
      <c r="H163" s="186" t="str">
        <f t="shared" si="88"/>
        <v>N/A</v>
      </c>
      <c r="I163" s="186" t="b">
        <f t="shared" si="89"/>
        <v>1</v>
      </c>
      <c r="J163" s="186" t="str">
        <f t="shared" si="90"/>
        <v>N/A</v>
      </c>
      <c r="K163" s="186" t="b">
        <f t="shared" si="91"/>
        <v>1</v>
      </c>
      <c r="L163" s="186" t="str">
        <f t="shared" si="92"/>
        <v>N/A</v>
      </c>
      <c r="M163" s="186" t="b">
        <f t="shared" si="93"/>
        <v>1</v>
      </c>
      <c r="N163" s="186" t="str">
        <f t="shared" si="94"/>
        <v>Used?</v>
      </c>
      <c r="O163" s="186" t="b">
        <f t="shared" si="95"/>
        <v>0</v>
      </c>
      <c r="P163" s="26" t="s">
        <v>696</v>
      </c>
      <c r="Q163" s="160" t="s">
        <v>20</v>
      </c>
      <c r="R163" s="160" t="s">
        <v>20</v>
      </c>
      <c r="S163" s="26" t="s">
        <v>697</v>
      </c>
      <c r="T163" s="165" t="str">
        <f t="shared" si="96"/>
        <v>Not Used</v>
      </c>
      <c r="U163" s="162"/>
      <c r="V163" s="55"/>
      <c r="W163" s="51" t="b">
        <f t="shared" si="97"/>
        <v>1</v>
      </c>
      <c r="X163" s="51" t="str">
        <f t="shared" si="98"/>
        <v>Not Used</v>
      </c>
      <c r="Y163" s="51" t="str">
        <f t="shared" si="99"/>
        <v>Not Used</v>
      </c>
      <c r="Z163" s="51" t="str">
        <f t="shared" si="100"/>
        <v>Not Used</v>
      </c>
      <c r="AA163" s="51" t="str">
        <f t="shared" si="100"/>
        <v>Not Used</v>
      </c>
      <c r="AB163" s="51" t="str">
        <f t="shared" si="101"/>
        <v>Not Used</v>
      </c>
      <c r="AC163" s="51" t="b">
        <f t="shared" si="102"/>
        <v>1</v>
      </c>
      <c r="AD163" s="51">
        <f>COUNTIF($X$5:$X$163, "Not Used")</f>
        <v>159</v>
      </c>
      <c r="AE163" s="51">
        <f>COUNTIF($X$5:$X$163, "TRUE")</f>
        <v>0</v>
      </c>
      <c r="AF163" s="51" t="b">
        <f t="shared" si="103"/>
        <v>1</v>
      </c>
      <c r="AI163" s="51" t="b">
        <f t="shared" si="104"/>
        <v>0</v>
      </c>
      <c r="AJ163" s="51" t="b">
        <f t="shared" si="105"/>
        <v>0</v>
      </c>
      <c r="AK163" s="51" t="b">
        <f t="shared" si="106"/>
        <v>0</v>
      </c>
      <c r="AL163" s="51" t="b">
        <f t="shared" si="107"/>
        <v>0</v>
      </c>
      <c r="AM163" s="51" t="b">
        <f t="shared" si="108"/>
        <v>0</v>
      </c>
      <c r="AN163" s="51"/>
      <c r="AO163" s="51" t="b">
        <f t="shared" si="109"/>
        <v>0</v>
      </c>
      <c r="AP163" s="51" t="str">
        <f t="shared" si="131"/>
        <v>Not in MMS</v>
      </c>
      <c r="AQ163" s="51" t="b">
        <f t="shared" si="110"/>
        <v>0</v>
      </c>
      <c r="AR163" s="51" t="b">
        <f t="shared" si="111"/>
        <v>0</v>
      </c>
      <c r="AS163" s="51" t="str">
        <f t="shared" si="112"/>
        <v/>
      </c>
      <c r="AT163" s="51" t="str">
        <f t="shared" si="113"/>
        <v/>
      </c>
      <c r="AU163" s="51" t="str">
        <f t="shared" si="114"/>
        <v/>
      </c>
      <c r="AV163" s="51" t="str">
        <f t="shared" si="115"/>
        <v/>
      </c>
      <c r="AW163" s="51" t="str">
        <f t="shared" si="116"/>
        <v/>
      </c>
      <c r="AX163" s="51" t="str">
        <f t="shared" si="117"/>
        <v/>
      </c>
      <c r="AY163" s="51" t="str">
        <f t="shared" si="118"/>
        <v/>
      </c>
      <c r="AZ163" s="51" t="str">
        <f t="shared" si="119"/>
        <v/>
      </c>
      <c r="BA163" s="51" t="str">
        <f t="shared" si="120"/>
        <v/>
      </c>
      <c r="BB163" s="51" t="str">
        <f t="shared" si="121"/>
        <v/>
      </c>
      <c r="BC163" s="51" t="str">
        <f t="shared" si="122"/>
        <v/>
      </c>
      <c r="BD163" s="51" t="str">
        <f t="shared" si="123"/>
        <v/>
      </c>
      <c r="BE163" s="51" t="str">
        <f t="shared" si="124"/>
        <v/>
      </c>
      <c r="BF163" s="51" t="str">
        <f t="shared" si="125"/>
        <v/>
      </c>
      <c r="BG163" s="51" t="str">
        <f t="shared" si="126"/>
        <v/>
      </c>
      <c r="BH163" s="51" t="b">
        <f t="shared" si="127"/>
        <v>0</v>
      </c>
      <c r="BI163" s="51" t="str">
        <f t="shared" si="128"/>
        <v/>
      </c>
      <c r="BJ163" s="51" t="str">
        <f t="shared" si="129"/>
        <v/>
      </c>
      <c r="BK163" s="51" t="b">
        <f t="shared" si="130"/>
        <v>0</v>
      </c>
      <c r="BL163" s="192"/>
    </row>
    <row r="164" spans="1:64" ht="13.5" thickBot="1" x14ac:dyDescent="0.25">
      <c r="A164" s="185" t="s">
        <v>856</v>
      </c>
      <c r="B164" s="194" t="s">
        <v>695</v>
      </c>
      <c r="C164" s="194" t="s">
        <v>695</v>
      </c>
      <c r="D164" s="194" t="s">
        <v>695</v>
      </c>
      <c r="E164" s="193" t="s">
        <v>694</v>
      </c>
      <c r="F164" s="160" t="s">
        <v>20</v>
      </c>
      <c r="G164" s="161"/>
      <c r="H164" s="186" t="str">
        <f t="shared" si="88"/>
        <v>N/A</v>
      </c>
      <c r="I164" s="186" t="b">
        <f t="shared" si="89"/>
        <v>1</v>
      </c>
      <c r="J164" s="186" t="str">
        <f t="shared" si="90"/>
        <v>N/A</v>
      </c>
      <c r="K164" s="186" t="b">
        <f t="shared" si="91"/>
        <v>1</v>
      </c>
      <c r="L164" s="186" t="str">
        <f t="shared" si="92"/>
        <v>N/A</v>
      </c>
      <c r="M164" s="186" t="b">
        <f t="shared" si="93"/>
        <v>1</v>
      </c>
      <c r="N164" s="186" t="str">
        <f t="shared" si="94"/>
        <v>Used?</v>
      </c>
      <c r="O164" s="186" t="b">
        <f t="shared" si="95"/>
        <v>0</v>
      </c>
      <c r="P164" s="26" t="s">
        <v>696</v>
      </c>
      <c r="Q164" s="160" t="s">
        <v>20</v>
      </c>
      <c r="R164" s="160" t="s">
        <v>20</v>
      </c>
      <c r="S164" s="26" t="s">
        <v>697</v>
      </c>
      <c r="T164" s="165" t="str">
        <f t="shared" si="96"/>
        <v>Not Used</v>
      </c>
      <c r="U164" s="162"/>
      <c r="V164" s="55"/>
      <c r="W164" s="51" t="b">
        <f t="shared" si="97"/>
        <v>1</v>
      </c>
      <c r="X164" s="51" t="str">
        <f t="shared" si="98"/>
        <v>Not Used</v>
      </c>
      <c r="Y164" s="51" t="str">
        <f t="shared" si="99"/>
        <v>Not Used</v>
      </c>
      <c r="Z164" s="51" t="str">
        <f t="shared" si="100"/>
        <v>Not Used</v>
      </c>
      <c r="AA164" s="51" t="str">
        <f t="shared" si="100"/>
        <v>Not Used</v>
      </c>
      <c r="AB164" s="51" t="str">
        <f t="shared" si="101"/>
        <v>Not Used</v>
      </c>
      <c r="AC164" s="51" t="b">
        <f t="shared" si="102"/>
        <v>1</v>
      </c>
      <c r="AD164" s="51">
        <f>COUNTIF($X$5:$X$164, "Not Used")</f>
        <v>160</v>
      </c>
      <c r="AE164" s="51">
        <f>COUNTIF($X$5:$X$164, "TRUE")</f>
        <v>0</v>
      </c>
      <c r="AF164" s="51" t="b">
        <f t="shared" si="103"/>
        <v>1</v>
      </c>
      <c r="AI164" s="51" t="b">
        <f t="shared" si="104"/>
        <v>0</v>
      </c>
      <c r="AJ164" s="51" t="b">
        <f t="shared" si="105"/>
        <v>0</v>
      </c>
      <c r="AK164" s="51" t="b">
        <f t="shared" si="106"/>
        <v>0</v>
      </c>
      <c r="AL164" s="51" t="b">
        <f t="shared" si="107"/>
        <v>0</v>
      </c>
      <c r="AM164" s="51" t="b">
        <f t="shared" si="108"/>
        <v>0</v>
      </c>
      <c r="AN164" s="51"/>
      <c r="AO164" s="51" t="b">
        <f t="shared" si="109"/>
        <v>0</v>
      </c>
      <c r="AP164" s="51" t="str">
        <f t="shared" si="131"/>
        <v>Not in MMS</v>
      </c>
      <c r="AQ164" s="51" t="b">
        <f t="shared" si="110"/>
        <v>0</v>
      </c>
      <c r="AR164" s="51" t="b">
        <f t="shared" si="111"/>
        <v>0</v>
      </c>
      <c r="AS164" s="51" t="str">
        <f t="shared" si="112"/>
        <v/>
      </c>
      <c r="AT164" s="51" t="str">
        <f t="shared" si="113"/>
        <v/>
      </c>
      <c r="AU164" s="51" t="str">
        <f t="shared" si="114"/>
        <v/>
      </c>
      <c r="AV164" s="51" t="str">
        <f t="shared" si="115"/>
        <v/>
      </c>
      <c r="AW164" s="51" t="str">
        <f t="shared" si="116"/>
        <v/>
      </c>
      <c r="AX164" s="51" t="str">
        <f t="shared" si="117"/>
        <v/>
      </c>
      <c r="AY164" s="51" t="str">
        <f t="shared" si="118"/>
        <v/>
      </c>
      <c r="AZ164" s="51" t="str">
        <f t="shared" si="119"/>
        <v/>
      </c>
      <c r="BA164" s="51" t="str">
        <f t="shared" si="120"/>
        <v/>
      </c>
      <c r="BB164" s="51" t="str">
        <f t="shared" si="121"/>
        <v/>
      </c>
      <c r="BC164" s="51" t="str">
        <f t="shared" si="122"/>
        <v/>
      </c>
      <c r="BD164" s="51" t="str">
        <f t="shared" si="123"/>
        <v/>
      </c>
      <c r="BE164" s="51" t="str">
        <f t="shared" si="124"/>
        <v/>
      </c>
      <c r="BF164" s="51" t="str">
        <f t="shared" si="125"/>
        <v/>
      </c>
      <c r="BG164" s="51" t="str">
        <f t="shared" si="126"/>
        <v/>
      </c>
      <c r="BH164" s="51" t="b">
        <f t="shared" si="127"/>
        <v>0</v>
      </c>
      <c r="BI164" s="51" t="str">
        <f t="shared" si="128"/>
        <v/>
      </c>
      <c r="BJ164" s="51" t="str">
        <f t="shared" si="129"/>
        <v/>
      </c>
      <c r="BK164" s="51" t="b">
        <f t="shared" si="130"/>
        <v>0</v>
      </c>
      <c r="BL164" s="192"/>
    </row>
    <row r="165" spans="1:64" ht="13.5" thickBot="1" x14ac:dyDescent="0.25">
      <c r="A165" s="185" t="s">
        <v>857</v>
      </c>
      <c r="B165" s="194" t="s">
        <v>695</v>
      </c>
      <c r="C165" s="194" t="s">
        <v>695</v>
      </c>
      <c r="D165" s="194" t="s">
        <v>695</v>
      </c>
      <c r="E165" s="193" t="s">
        <v>694</v>
      </c>
      <c r="F165" s="160" t="s">
        <v>20</v>
      </c>
      <c r="G165" s="161"/>
      <c r="H165" s="186" t="str">
        <f t="shared" si="88"/>
        <v>N/A</v>
      </c>
      <c r="I165" s="186" t="b">
        <f t="shared" si="89"/>
        <v>1</v>
      </c>
      <c r="J165" s="186" t="str">
        <f t="shared" si="90"/>
        <v>N/A</v>
      </c>
      <c r="K165" s="186" t="b">
        <f t="shared" si="91"/>
        <v>1</v>
      </c>
      <c r="L165" s="186" t="str">
        <f t="shared" si="92"/>
        <v>N/A</v>
      </c>
      <c r="M165" s="186" t="b">
        <f t="shared" si="93"/>
        <v>1</v>
      </c>
      <c r="N165" s="186" t="str">
        <f t="shared" si="94"/>
        <v>Used?</v>
      </c>
      <c r="O165" s="186" t="b">
        <f t="shared" si="95"/>
        <v>0</v>
      </c>
      <c r="P165" s="26" t="s">
        <v>696</v>
      </c>
      <c r="Q165" s="160" t="s">
        <v>20</v>
      </c>
      <c r="R165" s="160" t="s">
        <v>20</v>
      </c>
      <c r="S165" s="26" t="s">
        <v>697</v>
      </c>
      <c r="T165" s="165" t="str">
        <f t="shared" si="96"/>
        <v>Not Used</v>
      </c>
      <c r="U165" s="162"/>
      <c r="V165" s="55"/>
      <c r="W165" s="51" t="b">
        <f t="shared" si="97"/>
        <v>1</v>
      </c>
      <c r="X165" s="51" t="str">
        <f t="shared" si="98"/>
        <v>Not Used</v>
      </c>
      <c r="Y165" s="51" t="str">
        <f t="shared" si="99"/>
        <v>Not Used</v>
      </c>
      <c r="Z165" s="51" t="str">
        <f t="shared" si="100"/>
        <v>Not Used</v>
      </c>
      <c r="AA165" s="51" t="str">
        <f t="shared" si="100"/>
        <v>Not Used</v>
      </c>
      <c r="AB165" s="51" t="str">
        <f t="shared" si="101"/>
        <v>Not Used</v>
      </c>
      <c r="AC165" s="51" t="b">
        <f t="shared" si="102"/>
        <v>1</v>
      </c>
      <c r="AD165" s="51">
        <f>COUNTIF($X$5:$X$165, "Not Used")</f>
        <v>161</v>
      </c>
      <c r="AE165" s="51">
        <f>COUNTIF($X$5:$X$165, "TRUE")</f>
        <v>0</v>
      </c>
      <c r="AF165" s="51" t="b">
        <f t="shared" si="103"/>
        <v>1</v>
      </c>
      <c r="AI165" s="51" t="b">
        <f t="shared" si="104"/>
        <v>0</v>
      </c>
      <c r="AJ165" s="51" t="b">
        <f t="shared" si="105"/>
        <v>0</v>
      </c>
      <c r="AK165" s="51" t="b">
        <f t="shared" si="106"/>
        <v>0</v>
      </c>
      <c r="AL165" s="51" t="b">
        <f t="shared" si="107"/>
        <v>0</v>
      </c>
      <c r="AM165" s="51" t="b">
        <f t="shared" si="108"/>
        <v>0</v>
      </c>
      <c r="AN165" s="51"/>
      <c r="AO165" s="51" t="b">
        <f t="shared" si="109"/>
        <v>0</v>
      </c>
      <c r="AP165" s="51" t="str">
        <f t="shared" si="131"/>
        <v>Not in MMS</v>
      </c>
      <c r="AQ165" s="51" t="b">
        <f t="shared" si="110"/>
        <v>0</v>
      </c>
      <c r="AR165" s="51" t="b">
        <f t="shared" si="111"/>
        <v>0</v>
      </c>
      <c r="AS165" s="51" t="str">
        <f t="shared" si="112"/>
        <v/>
      </c>
      <c r="AT165" s="51" t="str">
        <f t="shared" si="113"/>
        <v/>
      </c>
      <c r="AU165" s="51" t="str">
        <f t="shared" si="114"/>
        <v/>
      </c>
      <c r="AV165" s="51" t="str">
        <f t="shared" si="115"/>
        <v/>
      </c>
      <c r="AW165" s="51" t="str">
        <f t="shared" si="116"/>
        <v/>
      </c>
      <c r="AX165" s="51" t="str">
        <f t="shared" si="117"/>
        <v/>
      </c>
      <c r="AY165" s="51" t="str">
        <f t="shared" si="118"/>
        <v/>
      </c>
      <c r="AZ165" s="51" t="str">
        <f t="shared" si="119"/>
        <v/>
      </c>
      <c r="BA165" s="51" t="str">
        <f t="shared" si="120"/>
        <v/>
      </c>
      <c r="BB165" s="51" t="str">
        <f t="shared" si="121"/>
        <v/>
      </c>
      <c r="BC165" s="51" t="str">
        <f t="shared" si="122"/>
        <v/>
      </c>
      <c r="BD165" s="51" t="str">
        <f t="shared" si="123"/>
        <v/>
      </c>
      <c r="BE165" s="51" t="str">
        <f t="shared" si="124"/>
        <v/>
      </c>
      <c r="BF165" s="51" t="str">
        <f t="shared" si="125"/>
        <v/>
      </c>
      <c r="BG165" s="51" t="str">
        <f t="shared" si="126"/>
        <v/>
      </c>
      <c r="BH165" s="51" t="b">
        <f t="shared" si="127"/>
        <v>0</v>
      </c>
      <c r="BI165" s="51" t="str">
        <f t="shared" si="128"/>
        <v/>
      </c>
      <c r="BJ165" s="51" t="str">
        <f t="shared" si="129"/>
        <v/>
      </c>
      <c r="BK165" s="51" t="b">
        <f t="shared" si="130"/>
        <v>0</v>
      </c>
      <c r="BL165" s="192"/>
    </row>
    <row r="166" spans="1:64" ht="13.5" thickBot="1" x14ac:dyDescent="0.25">
      <c r="A166" s="185" t="s">
        <v>858</v>
      </c>
      <c r="B166" s="194" t="s">
        <v>695</v>
      </c>
      <c r="C166" s="194" t="s">
        <v>695</v>
      </c>
      <c r="D166" s="194" t="s">
        <v>695</v>
      </c>
      <c r="E166" s="193" t="s">
        <v>694</v>
      </c>
      <c r="F166" s="160" t="s">
        <v>20</v>
      </c>
      <c r="G166" s="161"/>
      <c r="H166" s="186" t="str">
        <f t="shared" si="88"/>
        <v>N/A</v>
      </c>
      <c r="I166" s="186" t="b">
        <f t="shared" si="89"/>
        <v>1</v>
      </c>
      <c r="J166" s="186" t="str">
        <f t="shared" si="90"/>
        <v>N/A</v>
      </c>
      <c r="K166" s="186" t="b">
        <f t="shared" si="91"/>
        <v>1</v>
      </c>
      <c r="L166" s="186" t="str">
        <f t="shared" si="92"/>
        <v>N/A</v>
      </c>
      <c r="M166" s="186" t="b">
        <f t="shared" si="93"/>
        <v>1</v>
      </c>
      <c r="N166" s="186" t="str">
        <f t="shared" si="94"/>
        <v>Used?</v>
      </c>
      <c r="O166" s="186" t="b">
        <f t="shared" si="95"/>
        <v>0</v>
      </c>
      <c r="P166" s="26" t="s">
        <v>696</v>
      </c>
      <c r="Q166" s="160" t="s">
        <v>20</v>
      </c>
      <c r="R166" s="160" t="s">
        <v>20</v>
      </c>
      <c r="S166" s="26" t="s">
        <v>697</v>
      </c>
      <c r="T166" s="165" t="str">
        <f t="shared" si="96"/>
        <v>Not Used</v>
      </c>
      <c r="U166" s="162"/>
      <c r="V166" s="55"/>
      <c r="W166" s="51" t="b">
        <f t="shared" si="97"/>
        <v>1</v>
      </c>
      <c r="X166" s="51" t="str">
        <f t="shared" si="98"/>
        <v>Not Used</v>
      </c>
      <c r="Y166" s="51" t="str">
        <f t="shared" si="99"/>
        <v>Not Used</v>
      </c>
      <c r="Z166" s="51" t="str">
        <f t="shared" si="100"/>
        <v>Not Used</v>
      </c>
      <c r="AA166" s="51" t="str">
        <f t="shared" si="100"/>
        <v>Not Used</v>
      </c>
      <c r="AB166" s="51" t="str">
        <f t="shared" si="101"/>
        <v>Not Used</v>
      </c>
      <c r="AC166" s="51" t="b">
        <f t="shared" si="102"/>
        <v>1</v>
      </c>
      <c r="AD166" s="51">
        <f>COUNTIF($X$5:$X$166, "Not Used")</f>
        <v>162</v>
      </c>
      <c r="AE166" s="51">
        <f>COUNTIF($X$5:$X$166, "TRUE")</f>
        <v>0</v>
      </c>
      <c r="AF166" s="51" t="b">
        <f t="shared" si="103"/>
        <v>1</v>
      </c>
      <c r="AI166" s="51" t="b">
        <f t="shared" si="104"/>
        <v>0</v>
      </c>
      <c r="AJ166" s="51" t="b">
        <f t="shared" si="105"/>
        <v>0</v>
      </c>
      <c r="AK166" s="51" t="b">
        <f t="shared" si="106"/>
        <v>0</v>
      </c>
      <c r="AL166" s="51" t="b">
        <f t="shared" si="107"/>
        <v>0</v>
      </c>
      <c r="AM166" s="51" t="b">
        <f t="shared" si="108"/>
        <v>0</v>
      </c>
      <c r="AN166" s="51"/>
      <c r="AO166" s="51" t="b">
        <f t="shared" si="109"/>
        <v>0</v>
      </c>
      <c r="AP166" s="51" t="str">
        <f t="shared" si="131"/>
        <v>Not in MMS</v>
      </c>
      <c r="AQ166" s="51" t="b">
        <f t="shared" si="110"/>
        <v>0</v>
      </c>
      <c r="AR166" s="51" t="b">
        <f t="shared" si="111"/>
        <v>0</v>
      </c>
      <c r="AS166" s="51" t="str">
        <f t="shared" si="112"/>
        <v/>
      </c>
      <c r="AT166" s="51" t="str">
        <f t="shared" si="113"/>
        <v/>
      </c>
      <c r="AU166" s="51" t="str">
        <f t="shared" si="114"/>
        <v/>
      </c>
      <c r="AV166" s="51" t="str">
        <f t="shared" si="115"/>
        <v/>
      </c>
      <c r="AW166" s="51" t="str">
        <f t="shared" si="116"/>
        <v/>
      </c>
      <c r="AX166" s="51" t="str">
        <f t="shared" si="117"/>
        <v/>
      </c>
      <c r="AY166" s="51" t="str">
        <f t="shared" si="118"/>
        <v/>
      </c>
      <c r="AZ166" s="51" t="str">
        <f t="shared" si="119"/>
        <v/>
      </c>
      <c r="BA166" s="51" t="str">
        <f t="shared" si="120"/>
        <v/>
      </c>
      <c r="BB166" s="51" t="str">
        <f t="shared" si="121"/>
        <v/>
      </c>
      <c r="BC166" s="51" t="str">
        <f t="shared" si="122"/>
        <v/>
      </c>
      <c r="BD166" s="51" t="str">
        <f t="shared" si="123"/>
        <v/>
      </c>
      <c r="BE166" s="51" t="str">
        <f t="shared" si="124"/>
        <v/>
      </c>
      <c r="BF166" s="51" t="str">
        <f t="shared" si="125"/>
        <v/>
      </c>
      <c r="BG166" s="51" t="str">
        <f t="shared" si="126"/>
        <v/>
      </c>
      <c r="BH166" s="51" t="b">
        <f t="shared" si="127"/>
        <v>0</v>
      </c>
      <c r="BI166" s="51" t="str">
        <f t="shared" si="128"/>
        <v/>
      </c>
      <c r="BJ166" s="51" t="str">
        <f t="shared" si="129"/>
        <v/>
      </c>
      <c r="BK166" s="51" t="b">
        <f t="shared" si="130"/>
        <v>0</v>
      </c>
      <c r="BL166" s="192"/>
    </row>
    <row r="167" spans="1:64" ht="13.5" thickBot="1" x14ac:dyDescent="0.25">
      <c r="A167" s="185" t="s">
        <v>859</v>
      </c>
      <c r="B167" s="194" t="s">
        <v>695</v>
      </c>
      <c r="C167" s="194" t="s">
        <v>695</v>
      </c>
      <c r="D167" s="194" t="s">
        <v>695</v>
      </c>
      <c r="E167" s="193" t="s">
        <v>694</v>
      </c>
      <c r="F167" s="160" t="s">
        <v>20</v>
      </c>
      <c r="G167" s="161"/>
      <c r="H167" s="186" t="str">
        <f t="shared" si="88"/>
        <v>N/A</v>
      </c>
      <c r="I167" s="186" t="b">
        <f t="shared" si="89"/>
        <v>1</v>
      </c>
      <c r="J167" s="186" t="str">
        <f t="shared" si="90"/>
        <v>N/A</v>
      </c>
      <c r="K167" s="186" t="b">
        <f t="shared" si="91"/>
        <v>1</v>
      </c>
      <c r="L167" s="186" t="str">
        <f t="shared" si="92"/>
        <v>N/A</v>
      </c>
      <c r="M167" s="186" t="b">
        <f t="shared" si="93"/>
        <v>1</v>
      </c>
      <c r="N167" s="186" t="str">
        <f t="shared" si="94"/>
        <v>Used?</v>
      </c>
      <c r="O167" s="186" t="b">
        <f t="shared" si="95"/>
        <v>0</v>
      </c>
      <c r="P167" s="26" t="s">
        <v>696</v>
      </c>
      <c r="Q167" s="160" t="s">
        <v>20</v>
      </c>
      <c r="R167" s="160" t="s">
        <v>20</v>
      </c>
      <c r="S167" s="26" t="s">
        <v>697</v>
      </c>
      <c r="T167" s="165" t="str">
        <f t="shared" si="96"/>
        <v>Not Used</v>
      </c>
      <c r="U167" s="162"/>
      <c r="V167" s="55"/>
      <c r="W167" s="51" t="b">
        <f t="shared" si="97"/>
        <v>1</v>
      </c>
      <c r="X167" s="51" t="str">
        <f t="shared" si="98"/>
        <v>Not Used</v>
      </c>
      <c r="Y167" s="51" t="str">
        <f t="shared" si="99"/>
        <v>Not Used</v>
      </c>
      <c r="Z167" s="51" t="str">
        <f t="shared" si="100"/>
        <v>Not Used</v>
      </c>
      <c r="AA167" s="51" t="str">
        <f t="shared" si="100"/>
        <v>Not Used</v>
      </c>
      <c r="AB167" s="51" t="str">
        <f t="shared" si="101"/>
        <v>Not Used</v>
      </c>
      <c r="AC167" s="51" t="b">
        <f t="shared" si="102"/>
        <v>1</v>
      </c>
      <c r="AD167" s="51">
        <f>COUNTIF($X$5:$X$167, "Not Used")</f>
        <v>163</v>
      </c>
      <c r="AE167" s="51">
        <f>COUNTIF($X$5:$X$167, "TRUE")</f>
        <v>0</v>
      </c>
      <c r="AF167" s="51" t="b">
        <f t="shared" si="103"/>
        <v>1</v>
      </c>
      <c r="AI167" s="51" t="b">
        <f t="shared" si="104"/>
        <v>0</v>
      </c>
      <c r="AJ167" s="51" t="b">
        <f t="shared" si="105"/>
        <v>0</v>
      </c>
      <c r="AK167" s="51" t="b">
        <f t="shared" si="106"/>
        <v>0</v>
      </c>
      <c r="AL167" s="51" t="b">
        <f t="shared" si="107"/>
        <v>0</v>
      </c>
      <c r="AM167" s="51" t="b">
        <f t="shared" si="108"/>
        <v>0</v>
      </c>
      <c r="AN167" s="51"/>
      <c r="AO167" s="51" t="b">
        <f t="shared" si="109"/>
        <v>0</v>
      </c>
      <c r="AP167" s="51" t="str">
        <f t="shared" si="131"/>
        <v>Not in MMS</v>
      </c>
      <c r="AQ167" s="51" t="b">
        <f t="shared" si="110"/>
        <v>0</v>
      </c>
      <c r="AR167" s="51" t="b">
        <f t="shared" si="111"/>
        <v>0</v>
      </c>
      <c r="AS167" s="51" t="str">
        <f t="shared" si="112"/>
        <v/>
      </c>
      <c r="AT167" s="51" t="str">
        <f t="shared" si="113"/>
        <v/>
      </c>
      <c r="AU167" s="51" t="str">
        <f t="shared" si="114"/>
        <v/>
      </c>
      <c r="AV167" s="51" t="str">
        <f t="shared" si="115"/>
        <v/>
      </c>
      <c r="AW167" s="51" t="str">
        <f t="shared" si="116"/>
        <v/>
      </c>
      <c r="AX167" s="51" t="str">
        <f t="shared" si="117"/>
        <v/>
      </c>
      <c r="AY167" s="51" t="str">
        <f t="shared" si="118"/>
        <v/>
      </c>
      <c r="AZ167" s="51" t="str">
        <f t="shared" si="119"/>
        <v/>
      </c>
      <c r="BA167" s="51" t="str">
        <f t="shared" si="120"/>
        <v/>
      </c>
      <c r="BB167" s="51" t="str">
        <f t="shared" si="121"/>
        <v/>
      </c>
      <c r="BC167" s="51" t="str">
        <f t="shared" si="122"/>
        <v/>
      </c>
      <c r="BD167" s="51" t="str">
        <f t="shared" si="123"/>
        <v/>
      </c>
      <c r="BE167" s="51" t="str">
        <f t="shared" si="124"/>
        <v/>
      </c>
      <c r="BF167" s="51" t="str">
        <f t="shared" si="125"/>
        <v/>
      </c>
      <c r="BG167" s="51" t="str">
        <f t="shared" si="126"/>
        <v/>
      </c>
      <c r="BH167" s="51" t="b">
        <f t="shared" si="127"/>
        <v>0</v>
      </c>
      <c r="BI167" s="51" t="str">
        <f t="shared" si="128"/>
        <v/>
      </c>
      <c r="BJ167" s="51" t="str">
        <f t="shared" si="129"/>
        <v/>
      </c>
      <c r="BK167" s="51" t="b">
        <f t="shared" si="130"/>
        <v>0</v>
      </c>
      <c r="BL167" s="192"/>
    </row>
    <row r="168" spans="1:64" ht="13.5" thickBot="1" x14ac:dyDescent="0.25">
      <c r="A168" s="185" t="s">
        <v>860</v>
      </c>
      <c r="B168" s="194" t="s">
        <v>695</v>
      </c>
      <c r="C168" s="194" t="s">
        <v>695</v>
      </c>
      <c r="D168" s="194" t="s">
        <v>695</v>
      </c>
      <c r="E168" s="193" t="s">
        <v>694</v>
      </c>
      <c r="F168" s="160" t="s">
        <v>20</v>
      </c>
      <c r="G168" s="161"/>
      <c r="H168" s="186" t="str">
        <f t="shared" si="88"/>
        <v>N/A</v>
      </c>
      <c r="I168" s="186" t="b">
        <f t="shared" si="89"/>
        <v>1</v>
      </c>
      <c r="J168" s="186" t="str">
        <f t="shared" si="90"/>
        <v>N/A</v>
      </c>
      <c r="K168" s="186" t="b">
        <f t="shared" si="91"/>
        <v>1</v>
      </c>
      <c r="L168" s="186" t="str">
        <f t="shared" si="92"/>
        <v>N/A</v>
      </c>
      <c r="M168" s="186" t="b">
        <f t="shared" si="93"/>
        <v>1</v>
      </c>
      <c r="N168" s="186" t="str">
        <f t="shared" si="94"/>
        <v>Used?</v>
      </c>
      <c r="O168" s="186" t="b">
        <f t="shared" si="95"/>
        <v>0</v>
      </c>
      <c r="P168" s="26" t="s">
        <v>696</v>
      </c>
      <c r="Q168" s="160" t="s">
        <v>20</v>
      </c>
      <c r="R168" s="160" t="s">
        <v>20</v>
      </c>
      <c r="S168" s="26" t="s">
        <v>697</v>
      </c>
      <c r="T168" s="165" t="str">
        <f t="shared" si="96"/>
        <v>Not Used</v>
      </c>
      <c r="U168" s="162"/>
      <c r="V168" s="55"/>
      <c r="W168" s="51" t="b">
        <f t="shared" si="97"/>
        <v>1</v>
      </c>
      <c r="X168" s="51" t="str">
        <f t="shared" si="98"/>
        <v>Not Used</v>
      </c>
      <c r="Y168" s="51" t="str">
        <f t="shared" si="99"/>
        <v>Not Used</v>
      </c>
      <c r="Z168" s="51" t="str">
        <f t="shared" si="100"/>
        <v>Not Used</v>
      </c>
      <c r="AA168" s="51" t="str">
        <f t="shared" si="100"/>
        <v>Not Used</v>
      </c>
      <c r="AB168" s="51" t="str">
        <f t="shared" si="101"/>
        <v>Not Used</v>
      </c>
      <c r="AC168" s="51" t="b">
        <f t="shared" si="102"/>
        <v>1</v>
      </c>
      <c r="AD168" s="51">
        <f>COUNTIF($X$5:$X$168, "Not Used")</f>
        <v>164</v>
      </c>
      <c r="AE168" s="51">
        <f>COUNTIF($X$5:$X$168, "TRUE")</f>
        <v>0</v>
      </c>
      <c r="AF168" s="51" t="b">
        <f t="shared" si="103"/>
        <v>1</v>
      </c>
      <c r="AI168" s="51" t="b">
        <f t="shared" si="104"/>
        <v>0</v>
      </c>
      <c r="AJ168" s="51" t="b">
        <f t="shared" si="105"/>
        <v>0</v>
      </c>
      <c r="AK168" s="51" t="b">
        <f t="shared" si="106"/>
        <v>0</v>
      </c>
      <c r="AL168" s="51" t="b">
        <f t="shared" si="107"/>
        <v>0</v>
      </c>
      <c r="AM168" s="51" t="b">
        <f t="shared" si="108"/>
        <v>0</v>
      </c>
      <c r="AN168" s="51"/>
      <c r="AO168" s="51" t="b">
        <f t="shared" si="109"/>
        <v>0</v>
      </c>
      <c r="AP168" s="51" t="str">
        <f t="shared" si="131"/>
        <v>Not in MMS</v>
      </c>
      <c r="AQ168" s="51" t="b">
        <f t="shared" si="110"/>
        <v>0</v>
      </c>
      <c r="AR168" s="51" t="b">
        <f t="shared" si="111"/>
        <v>0</v>
      </c>
      <c r="AS168" s="51" t="str">
        <f t="shared" si="112"/>
        <v/>
      </c>
      <c r="AT168" s="51" t="str">
        <f t="shared" si="113"/>
        <v/>
      </c>
      <c r="AU168" s="51" t="str">
        <f t="shared" si="114"/>
        <v/>
      </c>
      <c r="AV168" s="51" t="str">
        <f t="shared" si="115"/>
        <v/>
      </c>
      <c r="AW168" s="51" t="str">
        <f t="shared" si="116"/>
        <v/>
      </c>
      <c r="AX168" s="51" t="str">
        <f t="shared" si="117"/>
        <v/>
      </c>
      <c r="AY168" s="51" t="str">
        <f t="shared" si="118"/>
        <v/>
      </c>
      <c r="AZ168" s="51" t="str">
        <f t="shared" si="119"/>
        <v/>
      </c>
      <c r="BA168" s="51" t="str">
        <f t="shared" si="120"/>
        <v/>
      </c>
      <c r="BB168" s="51" t="str">
        <f t="shared" si="121"/>
        <v/>
      </c>
      <c r="BC168" s="51" t="str">
        <f t="shared" si="122"/>
        <v/>
      </c>
      <c r="BD168" s="51" t="str">
        <f t="shared" si="123"/>
        <v/>
      </c>
      <c r="BE168" s="51" t="str">
        <f t="shared" si="124"/>
        <v/>
      </c>
      <c r="BF168" s="51" t="str">
        <f t="shared" si="125"/>
        <v/>
      </c>
      <c r="BG168" s="51" t="str">
        <f t="shared" si="126"/>
        <v/>
      </c>
      <c r="BH168" s="51" t="b">
        <f t="shared" si="127"/>
        <v>0</v>
      </c>
      <c r="BI168" s="51" t="str">
        <f t="shared" si="128"/>
        <v/>
      </c>
      <c r="BJ168" s="51" t="str">
        <f t="shared" si="129"/>
        <v/>
      </c>
      <c r="BK168" s="51" t="b">
        <f t="shared" si="130"/>
        <v>0</v>
      </c>
      <c r="BL168" s="192"/>
    </row>
    <row r="169" spans="1:64" ht="13.5" thickBot="1" x14ac:dyDescent="0.25">
      <c r="A169" s="185" t="s">
        <v>861</v>
      </c>
      <c r="B169" s="194" t="s">
        <v>695</v>
      </c>
      <c r="C169" s="194" t="s">
        <v>695</v>
      </c>
      <c r="D169" s="194" t="s">
        <v>695</v>
      </c>
      <c r="E169" s="193" t="s">
        <v>694</v>
      </c>
      <c r="F169" s="160" t="s">
        <v>20</v>
      </c>
      <c r="G169" s="161"/>
      <c r="H169" s="186" t="str">
        <f t="shared" si="88"/>
        <v>N/A</v>
      </c>
      <c r="I169" s="186" t="b">
        <f t="shared" si="89"/>
        <v>1</v>
      </c>
      <c r="J169" s="186" t="str">
        <f t="shared" si="90"/>
        <v>N/A</v>
      </c>
      <c r="K169" s="186" t="b">
        <f t="shared" si="91"/>
        <v>1</v>
      </c>
      <c r="L169" s="186" t="str">
        <f t="shared" si="92"/>
        <v>N/A</v>
      </c>
      <c r="M169" s="186" t="b">
        <f t="shared" si="93"/>
        <v>1</v>
      </c>
      <c r="N169" s="186" t="str">
        <f t="shared" si="94"/>
        <v>Used?</v>
      </c>
      <c r="O169" s="186" t="b">
        <f t="shared" si="95"/>
        <v>0</v>
      </c>
      <c r="P169" s="26" t="s">
        <v>696</v>
      </c>
      <c r="Q169" s="160" t="s">
        <v>20</v>
      </c>
      <c r="R169" s="160" t="s">
        <v>20</v>
      </c>
      <c r="S169" s="26" t="s">
        <v>697</v>
      </c>
      <c r="T169" s="165" t="str">
        <f t="shared" si="96"/>
        <v>Not Used</v>
      </c>
      <c r="U169" s="162"/>
      <c r="V169" s="55"/>
      <c r="W169" s="51" t="b">
        <f t="shared" si="97"/>
        <v>1</v>
      </c>
      <c r="X169" s="51" t="str">
        <f t="shared" si="98"/>
        <v>Not Used</v>
      </c>
      <c r="Y169" s="51" t="str">
        <f t="shared" si="99"/>
        <v>Not Used</v>
      </c>
      <c r="Z169" s="51" t="str">
        <f t="shared" si="100"/>
        <v>Not Used</v>
      </c>
      <c r="AA169" s="51" t="str">
        <f t="shared" si="100"/>
        <v>Not Used</v>
      </c>
      <c r="AB169" s="51" t="str">
        <f t="shared" si="101"/>
        <v>Not Used</v>
      </c>
      <c r="AC169" s="51" t="b">
        <f t="shared" si="102"/>
        <v>1</v>
      </c>
      <c r="AD169" s="51">
        <f>COUNTIF($X$5:$X$169, "Not Used")</f>
        <v>165</v>
      </c>
      <c r="AE169" s="51">
        <f>COUNTIF($X$5:$X$169, "TRUE")</f>
        <v>0</v>
      </c>
      <c r="AF169" s="51" t="b">
        <f t="shared" si="103"/>
        <v>1</v>
      </c>
      <c r="AI169" s="51" t="b">
        <f t="shared" si="104"/>
        <v>0</v>
      </c>
      <c r="AJ169" s="51" t="b">
        <f t="shared" si="105"/>
        <v>0</v>
      </c>
      <c r="AK169" s="51" t="b">
        <f t="shared" si="106"/>
        <v>0</v>
      </c>
      <c r="AL169" s="51" t="b">
        <f t="shared" si="107"/>
        <v>0</v>
      </c>
      <c r="AM169" s="51" t="b">
        <f t="shared" si="108"/>
        <v>0</v>
      </c>
      <c r="AN169" s="51"/>
      <c r="AO169" s="51" t="b">
        <f t="shared" si="109"/>
        <v>0</v>
      </c>
      <c r="AP169" s="51" t="str">
        <f t="shared" si="131"/>
        <v>Not in MMS</v>
      </c>
      <c r="AQ169" s="51" t="b">
        <f t="shared" si="110"/>
        <v>0</v>
      </c>
      <c r="AR169" s="51" t="b">
        <f t="shared" si="111"/>
        <v>0</v>
      </c>
      <c r="AS169" s="51" t="str">
        <f t="shared" si="112"/>
        <v/>
      </c>
      <c r="AT169" s="51" t="str">
        <f t="shared" si="113"/>
        <v/>
      </c>
      <c r="AU169" s="51" t="str">
        <f t="shared" si="114"/>
        <v/>
      </c>
      <c r="AV169" s="51" t="str">
        <f t="shared" si="115"/>
        <v/>
      </c>
      <c r="AW169" s="51" t="str">
        <f t="shared" si="116"/>
        <v/>
      </c>
      <c r="AX169" s="51" t="str">
        <f t="shared" si="117"/>
        <v/>
      </c>
      <c r="AY169" s="51" t="str">
        <f t="shared" si="118"/>
        <v/>
      </c>
      <c r="AZ169" s="51" t="str">
        <f t="shared" si="119"/>
        <v/>
      </c>
      <c r="BA169" s="51" t="str">
        <f t="shared" si="120"/>
        <v/>
      </c>
      <c r="BB169" s="51" t="str">
        <f t="shared" si="121"/>
        <v/>
      </c>
      <c r="BC169" s="51" t="str">
        <f t="shared" si="122"/>
        <v/>
      </c>
      <c r="BD169" s="51" t="str">
        <f t="shared" si="123"/>
        <v/>
      </c>
      <c r="BE169" s="51" t="str">
        <f t="shared" si="124"/>
        <v/>
      </c>
      <c r="BF169" s="51" t="str">
        <f t="shared" si="125"/>
        <v/>
      </c>
      <c r="BG169" s="51" t="str">
        <f t="shared" si="126"/>
        <v/>
      </c>
      <c r="BH169" s="51" t="b">
        <f t="shared" si="127"/>
        <v>0</v>
      </c>
      <c r="BI169" s="51" t="str">
        <f t="shared" si="128"/>
        <v/>
      </c>
      <c r="BJ169" s="51" t="str">
        <f t="shared" si="129"/>
        <v/>
      </c>
      <c r="BK169" s="51" t="b">
        <f t="shared" si="130"/>
        <v>0</v>
      </c>
      <c r="BL169" s="192"/>
    </row>
    <row r="170" spans="1:64" ht="13.5" thickBot="1" x14ac:dyDescent="0.25">
      <c r="A170" s="185" t="s">
        <v>862</v>
      </c>
      <c r="B170" s="194" t="s">
        <v>695</v>
      </c>
      <c r="C170" s="194" t="s">
        <v>695</v>
      </c>
      <c r="D170" s="194" t="s">
        <v>695</v>
      </c>
      <c r="E170" s="193" t="s">
        <v>694</v>
      </c>
      <c r="F170" s="160" t="s">
        <v>20</v>
      </c>
      <c r="G170" s="161"/>
      <c r="H170" s="186" t="str">
        <f t="shared" si="88"/>
        <v>N/A</v>
      </c>
      <c r="I170" s="186" t="b">
        <f t="shared" si="89"/>
        <v>1</v>
      </c>
      <c r="J170" s="186" t="str">
        <f t="shared" si="90"/>
        <v>N/A</v>
      </c>
      <c r="K170" s="186" t="b">
        <f t="shared" si="91"/>
        <v>1</v>
      </c>
      <c r="L170" s="186" t="str">
        <f t="shared" si="92"/>
        <v>N/A</v>
      </c>
      <c r="M170" s="186" t="b">
        <f t="shared" si="93"/>
        <v>1</v>
      </c>
      <c r="N170" s="186" t="str">
        <f t="shared" si="94"/>
        <v>Used?</v>
      </c>
      <c r="O170" s="186" t="b">
        <f t="shared" si="95"/>
        <v>0</v>
      </c>
      <c r="P170" s="26" t="s">
        <v>696</v>
      </c>
      <c r="Q170" s="160" t="s">
        <v>20</v>
      </c>
      <c r="R170" s="160" t="s">
        <v>20</v>
      </c>
      <c r="S170" s="26" t="s">
        <v>697</v>
      </c>
      <c r="T170" s="165" t="str">
        <f t="shared" si="96"/>
        <v>Not Used</v>
      </c>
      <c r="U170" s="162"/>
      <c r="V170" s="55"/>
      <c r="W170" s="51" t="b">
        <f t="shared" si="97"/>
        <v>1</v>
      </c>
      <c r="X170" s="51" t="str">
        <f t="shared" si="98"/>
        <v>Not Used</v>
      </c>
      <c r="Y170" s="51" t="str">
        <f t="shared" si="99"/>
        <v>Not Used</v>
      </c>
      <c r="Z170" s="51" t="str">
        <f t="shared" si="100"/>
        <v>Not Used</v>
      </c>
      <c r="AA170" s="51" t="str">
        <f t="shared" si="100"/>
        <v>Not Used</v>
      </c>
      <c r="AB170" s="51" t="str">
        <f t="shared" si="101"/>
        <v>Not Used</v>
      </c>
      <c r="AC170" s="51" t="b">
        <f t="shared" si="102"/>
        <v>1</v>
      </c>
      <c r="AD170" s="51">
        <f>COUNTIF($X$5:$X$170, "Not Used")</f>
        <v>166</v>
      </c>
      <c r="AE170" s="51">
        <f>COUNTIF($X$5:$X$170, "TRUE")</f>
        <v>0</v>
      </c>
      <c r="AF170" s="51" t="b">
        <f t="shared" si="103"/>
        <v>1</v>
      </c>
      <c r="AI170" s="51" t="b">
        <f t="shared" si="104"/>
        <v>0</v>
      </c>
      <c r="AJ170" s="51" t="b">
        <f t="shared" si="105"/>
        <v>0</v>
      </c>
      <c r="AK170" s="51" t="b">
        <f t="shared" si="106"/>
        <v>0</v>
      </c>
      <c r="AL170" s="51" t="b">
        <f t="shared" si="107"/>
        <v>0</v>
      </c>
      <c r="AM170" s="51" t="b">
        <f t="shared" si="108"/>
        <v>0</v>
      </c>
      <c r="AN170" s="51"/>
      <c r="AO170" s="51" t="b">
        <f t="shared" si="109"/>
        <v>0</v>
      </c>
      <c r="AP170" s="51" t="str">
        <f t="shared" si="131"/>
        <v>Not in MMS</v>
      </c>
      <c r="AQ170" s="51" t="b">
        <f t="shared" si="110"/>
        <v>0</v>
      </c>
      <c r="AR170" s="51" t="b">
        <f t="shared" si="111"/>
        <v>0</v>
      </c>
      <c r="AS170" s="51" t="str">
        <f t="shared" si="112"/>
        <v/>
      </c>
      <c r="AT170" s="51" t="str">
        <f t="shared" si="113"/>
        <v/>
      </c>
      <c r="AU170" s="51" t="str">
        <f t="shared" si="114"/>
        <v/>
      </c>
      <c r="AV170" s="51" t="str">
        <f t="shared" si="115"/>
        <v/>
      </c>
      <c r="AW170" s="51" t="str">
        <f t="shared" si="116"/>
        <v/>
      </c>
      <c r="AX170" s="51" t="str">
        <f t="shared" si="117"/>
        <v/>
      </c>
      <c r="AY170" s="51" t="str">
        <f t="shared" si="118"/>
        <v/>
      </c>
      <c r="AZ170" s="51" t="str">
        <f t="shared" si="119"/>
        <v/>
      </c>
      <c r="BA170" s="51" t="str">
        <f t="shared" si="120"/>
        <v/>
      </c>
      <c r="BB170" s="51" t="str">
        <f t="shared" si="121"/>
        <v/>
      </c>
      <c r="BC170" s="51" t="str">
        <f t="shared" si="122"/>
        <v/>
      </c>
      <c r="BD170" s="51" t="str">
        <f t="shared" si="123"/>
        <v/>
      </c>
      <c r="BE170" s="51" t="str">
        <f t="shared" si="124"/>
        <v/>
      </c>
      <c r="BF170" s="51" t="str">
        <f t="shared" si="125"/>
        <v/>
      </c>
      <c r="BG170" s="51" t="str">
        <f t="shared" si="126"/>
        <v/>
      </c>
      <c r="BH170" s="51" t="b">
        <f t="shared" si="127"/>
        <v>0</v>
      </c>
      <c r="BI170" s="51" t="str">
        <f t="shared" si="128"/>
        <v/>
      </c>
      <c r="BJ170" s="51" t="str">
        <f t="shared" si="129"/>
        <v/>
      </c>
      <c r="BK170" s="51" t="b">
        <f t="shared" si="130"/>
        <v>0</v>
      </c>
      <c r="BL170" s="192"/>
    </row>
    <row r="171" spans="1:64" ht="13.5" thickBot="1" x14ac:dyDescent="0.25">
      <c r="A171" s="185" t="s">
        <v>863</v>
      </c>
      <c r="B171" s="194" t="s">
        <v>695</v>
      </c>
      <c r="C171" s="194" t="s">
        <v>695</v>
      </c>
      <c r="D171" s="194" t="s">
        <v>695</v>
      </c>
      <c r="E171" s="193" t="s">
        <v>694</v>
      </c>
      <c r="F171" s="160" t="s">
        <v>20</v>
      </c>
      <c r="G171" s="161"/>
      <c r="H171" s="186" t="str">
        <f t="shared" si="88"/>
        <v>N/A</v>
      </c>
      <c r="I171" s="186" t="b">
        <f t="shared" si="89"/>
        <v>1</v>
      </c>
      <c r="J171" s="186" t="str">
        <f t="shared" si="90"/>
        <v>N/A</v>
      </c>
      <c r="K171" s="186" t="b">
        <f t="shared" si="91"/>
        <v>1</v>
      </c>
      <c r="L171" s="186" t="str">
        <f t="shared" si="92"/>
        <v>N/A</v>
      </c>
      <c r="M171" s="186" t="b">
        <f t="shared" si="93"/>
        <v>1</v>
      </c>
      <c r="N171" s="186" t="str">
        <f t="shared" si="94"/>
        <v>Used?</v>
      </c>
      <c r="O171" s="186" t="b">
        <f t="shared" si="95"/>
        <v>0</v>
      </c>
      <c r="P171" s="26" t="s">
        <v>696</v>
      </c>
      <c r="Q171" s="160" t="s">
        <v>20</v>
      </c>
      <c r="R171" s="160" t="s">
        <v>20</v>
      </c>
      <c r="S171" s="26" t="s">
        <v>697</v>
      </c>
      <c r="T171" s="165" t="str">
        <f t="shared" si="96"/>
        <v>Not Used</v>
      </c>
      <c r="U171" s="162"/>
      <c r="V171" s="55"/>
      <c r="W171" s="51" t="b">
        <f t="shared" si="97"/>
        <v>1</v>
      </c>
      <c r="X171" s="51" t="str">
        <f t="shared" si="98"/>
        <v>Not Used</v>
      </c>
      <c r="Y171" s="51" t="str">
        <f t="shared" si="99"/>
        <v>Not Used</v>
      </c>
      <c r="Z171" s="51" t="str">
        <f t="shared" si="100"/>
        <v>Not Used</v>
      </c>
      <c r="AA171" s="51" t="str">
        <f t="shared" si="100"/>
        <v>Not Used</v>
      </c>
      <c r="AB171" s="51" t="str">
        <f t="shared" si="101"/>
        <v>Not Used</v>
      </c>
      <c r="AC171" s="51" t="b">
        <f t="shared" si="102"/>
        <v>1</v>
      </c>
      <c r="AD171" s="51">
        <f>COUNTIF($X$5:$X$171, "Not Used")</f>
        <v>167</v>
      </c>
      <c r="AE171" s="51">
        <f>COUNTIF($X$5:$X$171, "TRUE")</f>
        <v>0</v>
      </c>
      <c r="AF171" s="51" t="b">
        <f t="shared" si="103"/>
        <v>1</v>
      </c>
      <c r="AI171" s="51" t="b">
        <f t="shared" si="104"/>
        <v>0</v>
      </c>
      <c r="AJ171" s="51" t="b">
        <f t="shared" si="105"/>
        <v>0</v>
      </c>
      <c r="AK171" s="51" t="b">
        <f t="shared" si="106"/>
        <v>0</v>
      </c>
      <c r="AL171" s="51" t="b">
        <f t="shared" si="107"/>
        <v>0</v>
      </c>
      <c r="AM171" s="51" t="b">
        <f t="shared" si="108"/>
        <v>0</v>
      </c>
      <c r="AN171" s="51"/>
      <c r="AO171" s="51" t="b">
        <f t="shared" si="109"/>
        <v>0</v>
      </c>
      <c r="AP171" s="51" t="str">
        <f t="shared" si="131"/>
        <v>Not in MMS</v>
      </c>
      <c r="AQ171" s="51" t="b">
        <f t="shared" si="110"/>
        <v>0</v>
      </c>
      <c r="AR171" s="51" t="b">
        <f t="shared" si="111"/>
        <v>0</v>
      </c>
      <c r="AS171" s="51" t="str">
        <f t="shared" si="112"/>
        <v/>
      </c>
      <c r="AT171" s="51" t="str">
        <f t="shared" si="113"/>
        <v/>
      </c>
      <c r="AU171" s="51" t="str">
        <f t="shared" si="114"/>
        <v/>
      </c>
      <c r="AV171" s="51" t="str">
        <f t="shared" si="115"/>
        <v/>
      </c>
      <c r="AW171" s="51" t="str">
        <f t="shared" si="116"/>
        <v/>
      </c>
      <c r="AX171" s="51" t="str">
        <f t="shared" si="117"/>
        <v/>
      </c>
      <c r="AY171" s="51" t="str">
        <f t="shared" si="118"/>
        <v/>
      </c>
      <c r="AZ171" s="51" t="str">
        <f t="shared" si="119"/>
        <v/>
      </c>
      <c r="BA171" s="51" t="str">
        <f t="shared" si="120"/>
        <v/>
      </c>
      <c r="BB171" s="51" t="str">
        <f t="shared" si="121"/>
        <v/>
      </c>
      <c r="BC171" s="51" t="str">
        <f t="shared" si="122"/>
        <v/>
      </c>
      <c r="BD171" s="51" t="str">
        <f t="shared" si="123"/>
        <v/>
      </c>
      <c r="BE171" s="51" t="str">
        <f t="shared" si="124"/>
        <v/>
      </c>
      <c r="BF171" s="51" t="str">
        <f t="shared" si="125"/>
        <v/>
      </c>
      <c r="BG171" s="51" t="str">
        <f t="shared" si="126"/>
        <v/>
      </c>
      <c r="BH171" s="51" t="b">
        <f t="shared" si="127"/>
        <v>0</v>
      </c>
      <c r="BI171" s="51" t="str">
        <f t="shared" si="128"/>
        <v/>
      </c>
      <c r="BJ171" s="51" t="str">
        <f t="shared" si="129"/>
        <v/>
      </c>
      <c r="BK171" s="51" t="b">
        <f t="shared" si="130"/>
        <v>0</v>
      </c>
      <c r="BL171" s="192"/>
    </row>
    <row r="172" spans="1:64" ht="13.5" thickBot="1" x14ac:dyDescent="0.25">
      <c r="A172" s="185" t="s">
        <v>864</v>
      </c>
      <c r="B172" s="194" t="s">
        <v>695</v>
      </c>
      <c r="C172" s="194" t="s">
        <v>695</v>
      </c>
      <c r="D172" s="194" t="s">
        <v>695</v>
      </c>
      <c r="E172" s="193" t="s">
        <v>694</v>
      </c>
      <c r="F172" s="160" t="s">
        <v>20</v>
      </c>
      <c r="G172" s="161"/>
      <c r="H172" s="186" t="str">
        <f t="shared" si="88"/>
        <v>N/A</v>
      </c>
      <c r="I172" s="186" t="b">
        <f t="shared" si="89"/>
        <v>1</v>
      </c>
      <c r="J172" s="186" t="str">
        <f t="shared" si="90"/>
        <v>N/A</v>
      </c>
      <c r="K172" s="186" t="b">
        <f t="shared" si="91"/>
        <v>1</v>
      </c>
      <c r="L172" s="186" t="str">
        <f t="shared" si="92"/>
        <v>N/A</v>
      </c>
      <c r="M172" s="186" t="b">
        <f t="shared" si="93"/>
        <v>1</v>
      </c>
      <c r="N172" s="186" t="str">
        <f t="shared" si="94"/>
        <v>Used?</v>
      </c>
      <c r="O172" s="186" t="b">
        <f t="shared" si="95"/>
        <v>0</v>
      </c>
      <c r="P172" s="26" t="s">
        <v>696</v>
      </c>
      <c r="Q172" s="160" t="s">
        <v>20</v>
      </c>
      <c r="R172" s="160" t="s">
        <v>20</v>
      </c>
      <c r="S172" s="26" t="s">
        <v>697</v>
      </c>
      <c r="T172" s="165" t="str">
        <f t="shared" si="96"/>
        <v>Not Used</v>
      </c>
      <c r="U172" s="162"/>
      <c r="V172" s="55"/>
      <c r="W172" s="51" t="b">
        <f t="shared" si="97"/>
        <v>1</v>
      </c>
      <c r="X172" s="51" t="str">
        <f t="shared" si="98"/>
        <v>Not Used</v>
      </c>
      <c r="Y172" s="51" t="str">
        <f t="shared" si="99"/>
        <v>Not Used</v>
      </c>
      <c r="Z172" s="51" t="str">
        <f t="shared" si="100"/>
        <v>Not Used</v>
      </c>
      <c r="AA172" s="51" t="str">
        <f t="shared" si="100"/>
        <v>Not Used</v>
      </c>
      <c r="AB172" s="51" t="str">
        <f t="shared" si="101"/>
        <v>Not Used</v>
      </c>
      <c r="AC172" s="51" t="b">
        <f t="shared" si="102"/>
        <v>1</v>
      </c>
      <c r="AD172" s="51">
        <f>COUNTIF($X$5:$X$172, "Not Used")</f>
        <v>168</v>
      </c>
      <c r="AE172" s="51">
        <f>COUNTIF($X$5:$X$172, "TRUE")</f>
        <v>0</v>
      </c>
      <c r="AF172" s="51" t="b">
        <f t="shared" si="103"/>
        <v>1</v>
      </c>
      <c r="AI172" s="51" t="b">
        <f t="shared" si="104"/>
        <v>0</v>
      </c>
      <c r="AJ172" s="51" t="b">
        <f t="shared" si="105"/>
        <v>0</v>
      </c>
      <c r="AK172" s="51" t="b">
        <f t="shared" si="106"/>
        <v>0</v>
      </c>
      <c r="AL172" s="51" t="b">
        <f t="shared" si="107"/>
        <v>0</v>
      </c>
      <c r="AM172" s="51" t="b">
        <f t="shared" si="108"/>
        <v>0</v>
      </c>
      <c r="AN172" s="51"/>
      <c r="AO172" s="51" t="b">
        <f t="shared" si="109"/>
        <v>0</v>
      </c>
      <c r="AP172" s="51" t="str">
        <f t="shared" si="131"/>
        <v>Not in MMS</v>
      </c>
      <c r="AQ172" s="51" t="b">
        <f t="shared" si="110"/>
        <v>0</v>
      </c>
      <c r="AR172" s="51" t="b">
        <f t="shared" si="111"/>
        <v>0</v>
      </c>
      <c r="AS172" s="51" t="str">
        <f t="shared" si="112"/>
        <v/>
      </c>
      <c r="AT172" s="51" t="str">
        <f t="shared" si="113"/>
        <v/>
      </c>
      <c r="AU172" s="51" t="str">
        <f t="shared" si="114"/>
        <v/>
      </c>
      <c r="AV172" s="51" t="str">
        <f t="shared" si="115"/>
        <v/>
      </c>
      <c r="AW172" s="51" t="str">
        <f t="shared" si="116"/>
        <v/>
      </c>
      <c r="AX172" s="51" t="str">
        <f t="shared" si="117"/>
        <v/>
      </c>
      <c r="AY172" s="51" t="str">
        <f t="shared" si="118"/>
        <v/>
      </c>
      <c r="AZ172" s="51" t="str">
        <f t="shared" si="119"/>
        <v/>
      </c>
      <c r="BA172" s="51" t="str">
        <f t="shared" si="120"/>
        <v/>
      </c>
      <c r="BB172" s="51" t="str">
        <f t="shared" si="121"/>
        <v/>
      </c>
      <c r="BC172" s="51" t="str">
        <f t="shared" si="122"/>
        <v/>
      </c>
      <c r="BD172" s="51" t="str">
        <f t="shared" si="123"/>
        <v/>
      </c>
      <c r="BE172" s="51" t="str">
        <f t="shared" si="124"/>
        <v/>
      </c>
      <c r="BF172" s="51" t="str">
        <f t="shared" si="125"/>
        <v/>
      </c>
      <c r="BG172" s="51" t="str">
        <f t="shared" si="126"/>
        <v/>
      </c>
      <c r="BH172" s="51" t="b">
        <f t="shared" si="127"/>
        <v>0</v>
      </c>
      <c r="BI172" s="51" t="str">
        <f t="shared" si="128"/>
        <v/>
      </c>
      <c r="BJ172" s="51" t="str">
        <f t="shared" si="129"/>
        <v/>
      </c>
      <c r="BK172" s="51" t="b">
        <f t="shared" si="130"/>
        <v>0</v>
      </c>
      <c r="BL172" s="192"/>
    </row>
    <row r="173" spans="1:64" ht="13.5" thickBot="1" x14ac:dyDescent="0.25">
      <c r="A173" s="185" t="s">
        <v>865</v>
      </c>
      <c r="B173" s="194" t="s">
        <v>695</v>
      </c>
      <c r="C173" s="194" t="s">
        <v>695</v>
      </c>
      <c r="D173" s="194" t="s">
        <v>695</v>
      </c>
      <c r="E173" s="193" t="s">
        <v>694</v>
      </c>
      <c r="F173" s="160" t="s">
        <v>20</v>
      </c>
      <c r="G173" s="161"/>
      <c r="H173" s="186" t="str">
        <f t="shared" si="88"/>
        <v>N/A</v>
      </c>
      <c r="I173" s="186" t="b">
        <f t="shared" si="89"/>
        <v>1</v>
      </c>
      <c r="J173" s="186" t="str">
        <f t="shared" si="90"/>
        <v>N/A</v>
      </c>
      <c r="K173" s="186" t="b">
        <f t="shared" si="91"/>
        <v>1</v>
      </c>
      <c r="L173" s="186" t="str">
        <f t="shared" si="92"/>
        <v>N/A</v>
      </c>
      <c r="M173" s="186" t="b">
        <f t="shared" si="93"/>
        <v>1</v>
      </c>
      <c r="N173" s="186" t="str">
        <f t="shared" si="94"/>
        <v>Used?</v>
      </c>
      <c r="O173" s="186" t="b">
        <f t="shared" si="95"/>
        <v>0</v>
      </c>
      <c r="P173" s="26" t="s">
        <v>696</v>
      </c>
      <c r="Q173" s="160" t="s">
        <v>20</v>
      </c>
      <c r="R173" s="160" t="s">
        <v>20</v>
      </c>
      <c r="S173" s="26" t="s">
        <v>697</v>
      </c>
      <c r="T173" s="165" t="str">
        <f t="shared" si="96"/>
        <v>Not Used</v>
      </c>
      <c r="U173" s="162"/>
      <c r="V173" s="55"/>
      <c r="W173" s="51" t="b">
        <f t="shared" si="97"/>
        <v>1</v>
      </c>
      <c r="X173" s="51" t="str">
        <f t="shared" si="98"/>
        <v>Not Used</v>
      </c>
      <c r="Y173" s="51" t="str">
        <f t="shared" si="99"/>
        <v>Not Used</v>
      </c>
      <c r="Z173" s="51" t="str">
        <f t="shared" si="100"/>
        <v>Not Used</v>
      </c>
      <c r="AA173" s="51" t="str">
        <f t="shared" si="100"/>
        <v>Not Used</v>
      </c>
      <c r="AB173" s="51" t="str">
        <f t="shared" si="101"/>
        <v>Not Used</v>
      </c>
      <c r="AC173" s="51" t="b">
        <f t="shared" si="102"/>
        <v>1</v>
      </c>
      <c r="AD173" s="51">
        <f>COUNTIF($X$5:$X$173, "Not Used")</f>
        <v>169</v>
      </c>
      <c r="AE173" s="51">
        <f>COUNTIF($X$5:$X$173, "TRUE")</f>
        <v>0</v>
      </c>
      <c r="AF173" s="51" t="b">
        <f t="shared" si="103"/>
        <v>1</v>
      </c>
      <c r="AI173" s="51" t="b">
        <f t="shared" si="104"/>
        <v>0</v>
      </c>
      <c r="AJ173" s="51" t="b">
        <f t="shared" si="105"/>
        <v>0</v>
      </c>
      <c r="AK173" s="51" t="b">
        <f t="shared" si="106"/>
        <v>0</v>
      </c>
      <c r="AL173" s="51" t="b">
        <f t="shared" si="107"/>
        <v>0</v>
      </c>
      <c r="AM173" s="51" t="b">
        <f t="shared" si="108"/>
        <v>0</v>
      </c>
      <c r="AN173" s="51"/>
      <c r="AO173" s="51" t="b">
        <f t="shared" si="109"/>
        <v>0</v>
      </c>
      <c r="AP173" s="51" t="str">
        <f t="shared" si="131"/>
        <v>Not in MMS</v>
      </c>
      <c r="AQ173" s="51" t="b">
        <f t="shared" si="110"/>
        <v>0</v>
      </c>
      <c r="AR173" s="51" t="b">
        <f t="shared" si="111"/>
        <v>0</v>
      </c>
      <c r="AS173" s="51" t="str">
        <f t="shared" si="112"/>
        <v/>
      </c>
      <c r="AT173" s="51" t="str">
        <f t="shared" si="113"/>
        <v/>
      </c>
      <c r="AU173" s="51" t="str">
        <f t="shared" si="114"/>
        <v/>
      </c>
      <c r="AV173" s="51" t="str">
        <f t="shared" si="115"/>
        <v/>
      </c>
      <c r="AW173" s="51" t="str">
        <f t="shared" si="116"/>
        <v/>
      </c>
      <c r="AX173" s="51" t="str">
        <f t="shared" si="117"/>
        <v/>
      </c>
      <c r="AY173" s="51" t="str">
        <f t="shared" si="118"/>
        <v/>
      </c>
      <c r="AZ173" s="51" t="str">
        <f t="shared" si="119"/>
        <v/>
      </c>
      <c r="BA173" s="51" t="str">
        <f t="shared" si="120"/>
        <v/>
      </c>
      <c r="BB173" s="51" t="str">
        <f t="shared" si="121"/>
        <v/>
      </c>
      <c r="BC173" s="51" t="str">
        <f t="shared" si="122"/>
        <v/>
      </c>
      <c r="BD173" s="51" t="str">
        <f t="shared" si="123"/>
        <v/>
      </c>
      <c r="BE173" s="51" t="str">
        <f t="shared" si="124"/>
        <v/>
      </c>
      <c r="BF173" s="51" t="str">
        <f t="shared" si="125"/>
        <v/>
      </c>
      <c r="BG173" s="51" t="str">
        <f t="shared" si="126"/>
        <v/>
      </c>
      <c r="BH173" s="51" t="b">
        <f t="shared" si="127"/>
        <v>0</v>
      </c>
      <c r="BI173" s="51" t="str">
        <f t="shared" si="128"/>
        <v/>
      </c>
      <c r="BJ173" s="51" t="str">
        <f t="shared" si="129"/>
        <v/>
      </c>
      <c r="BK173" s="51" t="b">
        <f t="shared" si="130"/>
        <v>0</v>
      </c>
      <c r="BL173" s="192"/>
    </row>
    <row r="174" spans="1:64" ht="13.5" thickBot="1" x14ac:dyDescent="0.25">
      <c r="A174" s="185" t="s">
        <v>866</v>
      </c>
      <c r="B174" s="194" t="s">
        <v>695</v>
      </c>
      <c r="C174" s="194" t="s">
        <v>695</v>
      </c>
      <c r="D174" s="194" t="s">
        <v>695</v>
      </c>
      <c r="E174" s="193" t="s">
        <v>694</v>
      </c>
      <c r="F174" s="160" t="s">
        <v>20</v>
      </c>
      <c r="G174" s="161"/>
      <c r="H174" s="186" t="str">
        <f t="shared" si="88"/>
        <v>N/A</v>
      </c>
      <c r="I174" s="186" t="b">
        <f t="shared" si="89"/>
        <v>1</v>
      </c>
      <c r="J174" s="186" t="str">
        <f t="shared" si="90"/>
        <v>N/A</v>
      </c>
      <c r="K174" s="186" t="b">
        <f t="shared" si="91"/>
        <v>1</v>
      </c>
      <c r="L174" s="186" t="str">
        <f t="shared" si="92"/>
        <v>N/A</v>
      </c>
      <c r="M174" s="186" t="b">
        <f t="shared" si="93"/>
        <v>1</v>
      </c>
      <c r="N174" s="186" t="str">
        <f t="shared" si="94"/>
        <v>Used?</v>
      </c>
      <c r="O174" s="186" t="b">
        <f t="shared" si="95"/>
        <v>0</v>
      </c>
      <c r="P174" s="26" t="s">
        <v>696</v>
      </c>
      <c r="Q174" s="160" t="s">
        <v>20</v>
      </c>
      <c r="R174" s="160" t="s">
        <v>20</v>
      </c>
      <c r="S174" s="26" t="s">
        <v>697</v>
      </c>
      <c r="T174" s="165" t="str">
        <f t="shared" si="96"/>
        <v>Not Used</v>
      </c>
      <c r="U174" s="162"/>
      <c r="V174" s="55"/>
      <c r="W174" s="51" t="b">
        <f t="shared" si="97"/>
        <v>1</v>
      </c>
      <c r="X174" s="51" t="str">
        <f t="shared" si="98"/>
        <v>Not Used</v>
      </c>
      <c r="Y174" s="51" t="str">
        <f t="shared" si="99"/>
        <v>Not Used</v>
      </c>
      <c r="Z174" s="51" t="str">
        <f t="shared" si="100"/>
        <v>Not Used</v>
      </c>
      <c r="AA174" s="51" t="str">
        <f t="shared" si="100"/>
        <v>Not Used</v>
      </c>
      <c r="AB174" s="51" t="str">
        <f t="shared" si="101"/>
        <v>Not Used</v>
      </c>
      <c r="AC174" s="51" t="b">
        <f t="shared" si="102"/>
        <v>1</v>
      </c>
      <c r="AD174" s="51">
        <f>COUNTIF($X$5:$X$174, "Not Used")</f>
        <v>170</v>
      </c>
      <c r="AE174" s="51">
        <f>COUNTIF($X$5:$X$174, "TRUE")</f>
        <v>0</v>
      </c>
      <c r="AF174" s="51" t="b">
        <f t="shared" si="103"/>
        <v>1</v>
      </c>
      <c r="AI174" s="51" t="b">
        <f t="shared" si="104"/>
        <v>0</v>
      </c>
      <c r="AJ174" s="51" t="b">
        <f t="shared" si="105"/>
        <v>0</v>
      </c>
      <c r="AK174" s="51" t="b">
        <f t="shared" si="106"/>
        <v>0</v>
      </c>
      <c r="AL174" s="51" t="b">
        <f t="shared" si="107"/>
        <v>0</v>
      </c>
      <c r="AM174" s="51" t="b">
        <f t="shared" si="108"/>
        <v>0</v>
      </c>
      <c r="AN174" s="51"/>
      <c r="AO174" s="51" t="b">
        <f t="shared" si="109"/>
        <v>0</v>
      </c>
      <c r="AP174" s="51" t="str">
        <f t="shared" si="131"/>
        <v>Not in MMS</v>
      </c>
      <c r="AQ174" s="51" t="b">
        <f t="shared" si="110"/>
        <v>0</v>
      </c>
      <c r="AR174" s="51" t="b">
        <f t="shared" si="111"/>
        <v>0</v>
      </c>
      <c r="AS174" s="51" t="str">
        <f t="shared" si="112"/>
        <v/>
      </c>
      <c r="AT174" s="51" t="str">
        <f t="shared" si="113"/>
        <v/>
      </c>
      <c r="AU174" s="51" t="str">
        <f t="shared" si="114"/>
        <v/>
      </c>
      <c r="AV174" s="51" t="str">
        <f t="shared" si="115"/>
        <v/>
      </c>
      <c r="AW174" s="51" t="str">
        <f t="shared" si="116"/>
        <v/>
      </c>
      <c r="AX174" s="51" t="str">
        <f t="shared" si="117"/>
        <v/>
      </c>
      <c r="AY174" s="51" t="str">
        <f t="shared" si="118"/>
        <v/>
      </c>
      <c r="AZ174" s="51" t="str">
        <f t="shared" si="119"/>
        <v/>
      </c>
      <c r="BA174" s="51" t="str">
        <f t="shared" si="120"/>
        <v/>
      </c>
      <c r="BB174" s="51" t="str">
        <f t="shared" si="121"/>
        <v/>
      </c>
      <c r="BC174" s="51" t="str">
        <f t="shared" si="122"/>
        <v/>
      </c>
      <c r="BD174" s="51" t="str">
        <f t="shared" si="123"/>
        <v/>
      </c>
      <c r="BE174" s="51" t="str">
        <f t="shared" si="124"/>
        <v/>
      </c>
      <c r="BF174" s="51" t="str">
        <f t="shared" si="125"/>
        <v/>
      </c>
      <c r="BG174" s="51" t="str">
        <f t="shared" si="126"/>
        <v/>
      </c>
      <c r="BH174" s="51" t="b">
        <f t="shared" si="127"/>
        <v>0</v>
      </c>
      <c r="BI174" s="51" t="str">
        <f t="shared" si="128"/>
        <v/>
      </c>
      <c r="BJ174" s="51" t="str">
        <f t="shared" si="129"/>
        <v/>
      </c>
      <c r="BK174" s="51" t="b">
        <f t="shared" si="130"/>
        <v>0</v>
      </c>
      <c r="BL174" s="192"/>
    </row>
    <row r="175" spans="1:64" ht="13.5" thickBot="1" x14ac:dyDescent="0.25">
      <c r="A175" s="185" t="s">
        <v>867</v>
      </c>
      <c r="B175" s="194" t="s">
        <v>695</v>
      </c>
      <c r="C175" s="194" t="s">
        <v>695</v>
      </c>
      <c r="D175" s="194" t="s">
        <v>695</v>
      </c>
      <c r="E175" s="193" t="s">
        <v>694</v>
      </c>
      <c r="F175" s="160" t="s">
        <v>20</v>
      </c>
      <c r="G175" s="161"/>
      <c r="H175" s="186" t="str">
        <f t="shared" si="88"/>
        <v>N/A</v>
      </c>
      <c r="I175" s="186" t="b">
        <f t="shared" si="89"/>
        <v>1</v>
      </c>
      <c r="J175" s="186" t="str">
        <f t="shared" si="90"/>
        <v>N/A</v>
      </c>
      <c r="K175" s="186" t="b">
        <f t="shared" si="91"/>
        <v>1</v>
      </c>
      <c r="L175" s="186" t="str">
        <f t="shared" si="92"/>
        <v>N/A</v>
      </c>
      <c r="M175" s="186" t="b">
        <f t="shared" si="93"/>
        <v>1</v>
      </c>
      <c r="N175" s="186" t="str">
        <f t="shared" si="94"/>
        <v>Used?</v>
      </c>
      <c r="O175" s="186" t="b">
        <f t="shared" si="95"/>
        <v>0</v>
      </c>
      <c r="P175" s="26" t="s">
        <v>696</v>
      </c>
      <c r="Q175" s="160" t="s">
        <v>20</v>
      </c>
      <c r="R175" s="160" t="s">
        <v>20</v>
      </c>
      <c r="S175" s="26" t="s">
        <v>697</v>
      </c>
      <c r="T175" s="165" t="str">
        <f t="shared" si="96"/>
        <v>Not Used</v>
      </c>
      <c r="U175" s="162"/>
      <c r="V175" s="55"/>
      <c r="W175" s="51" t="b">
        <f t="shared" si="97"/>
        <v>1</v>
      </c>
      <c r="X175" s="51" t="str">
        <f t="shared" si="98"/>
        <v>Not Used</v>
      </c>
      <c r="Y175" s="51" t="str">
        <f t="shared" si="99"/>
        <v>Not Used</v>
      </c>
      <c r="Z175" s="51" t="str">
        <f t="shared" si="100"/>
        <v>Not Used</v>
      </c>
      <c r="AA175" s="51" t="str">
        <f t="shared" si="100"/>
        <v>Not Used</v>
      </c>
      <c r="AB175" s="51" t="str">
        <f t="shared" si="101"/>
        <v>Not Used</v>
      </c>
      <c r="AC175" s="51" t="b">
        <f t="shared" si="102"/>
        <v>1</v>
      </c>
      <c r="AD175" s="51">
        <f>COUNTIF($X$5:$X$175, "Not Used")</f>
        <v>171</v>
      </c>
      <c r="AE175" s="51">
        <f>COUNTIF($X$5:$X$175, "TRUE")</f>
        <v>0</v>
      </c>
      <c r="AF175" s="51" t="b">
        <f t="shared" si="103"/>
        <v>1</v>
      </c>
      <c r="AI175" s="51" t="b">
        <f t="shared" si="104"/>
        <v>0</v>
      </c>
      <c r="AJ175" s="51" t="b">
        <f t="shared" si="105"/>
        <v>0</v>
      </c>
      <c r="AK175" s="51" t="b">
        <f t="shared" si="106"/>
        <v>0</v>
      </c>
      <c r="AL175" s="51" t="b">
        <f t="shared" si="107"/>
        <v>0</v>
      </c>
      <c r="AM175" s="51" t="b">
        <f t="shared" si="108"/>
        <v>0</v>
      </c>
      <c r="AN175" s="51"/>
      <c r="AO175" s="51" t="b">
        <f t="shared" si="109"/>
        <v>0</v>
      </c>
      <c r="AP175" s="51" t="str">
        <f t="shared" si="131"/>
        <v>Not in MMS</v>
      </c>
      <c r="AQ175" s="51" t="b">
        <f t="shared" si="110"/>
        <v>0</v>
      </c>
      <c r="AR175" s="51" t="b">
        <f t="shared" si="111"/>
        <v>0</v>
      </c>
      <c r="AS175" s="51" t="str">
        <f t="shared" si="112"/>
        <v/>
      </c>
      <c r="AT175" s="51" t="str">
        <f t="shared" si="113"/>
        <v/>
      </c>
      <c r="AU175" s="51" t="str">
        <f t="shared" si="114"/>
        <v/>
      </c>
      <c r="AV175" s="51" t="str">
        <f t="shared" si="115"/>
        <v/>
      </c>
      <c r="AW175" s="51" t="str">
        <f t="shared" si="116"/>
        <v/>
      </c>
      <c r="AX175" s="51" t="str">
        <f t="shared" si="117"/>
        <v/>
      </c>
      <c r="AY175" s="51" t="str">
        <f t="shared" si="118"/>
        <v/>
      </c>
      <c r="AZ175" s="51" t="str">
        <f t="shared" si="119"/>
        <v/>
      </c>
      <c r="BA175" s="51" t="str">
        <f t="shared" si="120"/>
        <v/>
      </c>
      <c r="BB175" s="51" t="str">
        <f t="shared" si="121"/>
        <v/>
      </c>
      <c r="BC175" s="51" t="str">
        <f t="shared" si="122"/>
        <v/>
      </c>
      <c r="BD175" s="51" t="str">
        <f t="shared" si="123"/>
        <v/>
      </c>
      <c r="BE175" s="51" t="str">
        <f t="shared" si="124"/>
        <v/>
      </c>
      <c r="BF175" s="51" t="str">
        <f t="shared" si="125"/>
        <v/>
      </c>
      <c r="BG175" s="51" t="str">
        <f t="shared" si="126"/>
        <v/>
      </c>
      <c r="BH175" s="51" t="b">
        <f t="shared" si="127"/>
        <v>0</v>
      </c>
      <c r="BI175" s="51" t="str">
        <f t="shared" si="128"/>
        <v/>
      </c>
      <c r="BJ175" s="51" t="str">
        <f t="shared" si="129"/>
        <v/>
      </c>
      <c r="BK175" s="51" t="b">
        <f t="shared" si="130"/>
        <v>0</v>
      </c>
      <c r="BL175" s="192"/>
    </row>
    <row r="176" spans="1:64" ht="13.5" thickBot="1" x14ac:dyDescent="0.25">
      <c r="A176" s="185" t="s">
        <v>868</v>
      </c>
      <c r="B176" s="194" t="s">
        <v>695</v>
      </c>
      <c r="C176" s="194" t="s">
        <v>695</v>
      </c>
      <c r="D176" s="194" t="s">
        <v>695</v>
      </c>
      <c r="E176" s="193" t="s">
        <v>694</v>
      </c>
      <c r="F176" s="160" t="s">
        <v>20</v>
      </c>
      <c r="G176" s="161"/>
      <c r="H176" s="186" t="str">
        <f t="shared" si="88"/>
        <v>N/A</v>
      </c>
      <c r="I176" s="186" t="b">
        <f t="shared" si="89"/>
        <v>1</v>
      </c>
      <c r="J176" s="186" t="str">
        <f t="shared" si="90"/>
        <v>N/A</v>
      </c>
      <c r="K176" s="186" t="b">
        <f t="shared" si="91"/>
        <v>1</v>
      </c>
      <c r="L176" s="186" t="str">
        <f t="shared" si="92"/>
        <v>N/A</v>
      </c>
      <c r="M176" s="186" t="b">
        <f t="shared" si="93"/>
        <v>1</v>
      </c>
      <c r="N176" s="186" t="str">
        <f t="shared" si="94"/>
        <v>Used?</v>
      </c>
      <c r="O176" s="186" t="b">
        <f t="shared" si="95"/>
        <v>0</v>
      </c>
      <c r="P176" s="26" t="s">
        <v>696</v>
      </c>
      <c r="Q176" s="160" t="s">
        <v>20</v>
      </c>
      <c r="R176" s="160" t="s">
        <v>20</v>
      </c>
      <c r="S176" s="26" t="s">
        <v>697</v>
      </c>
      <c r="T176" s="165" t="str">
        <f t="shared" si="96"/>
        <v>Not Used</v>
      </c>
      <c r="U176" s="162"/>
      <c r="V176" s="55"/>
      <c r="W176" s="51" t="b">
        <f t="shared" si="97"/>
        <v>1</v>
      </c>
      <c r="X176" s="51" t="str">
        <f t="shared" si="98"/>
        <v>Not Used</v>
      </c>
      <c r="Y176" s="51" t="str">
        <f t="shared" si="99"/>
        <v>Not Used</v>
      </c>
      <c r="Z176" s="51" t="str">
        <f t="shared" si="100"/>
        <v>Not Used</v>
      </c>
      <c r="AA176" s="51" t="str">
        <f t="shared" si="100"/>
        <v>Not Used</v>
      </c>
      <c r="AB176" s="51" t="str">
        <f t="shared" si="101"/>
        <v>Not Used</v>
      </c>
      <c r="AC176" s="51" t="b">
        <f t="shared" si="102"/>
        <v>1</v>
      </c>
      <c r="AD176" s="51">
        <f>COUNTIF($X$5:$X$176, "Not Used")</f>
        <v>172</v>
      </c>
      <c r="AE176" s="51">
        <f>COUNTIF($X$5:$X$176, "TRUE")</f>
        <v>0</v>
      </c>
      <c r="AF176" s="51" t="b">
        <f t="shared" si="103"/>
        <v>1</v>
      </c>
      <c r="AI176" s="51" t="b">
        <f t="shared" si="104"/>
        <v>0</v>
      </c>
      <c r="AJ176" s="51" t="b">
        <f t="shared" si="105"/>
        <v>0</v>
      </c>
      <c r="AK176" s="51" t="b">
        <f t="shared" si="106"/>
        <v>0</v>
      </c>
      <c r="AL176" s="51" t="b">
        <f t="shared" si="107"/>
        <v>0</v>
      </c>
      <c r="AM176" s="51" t="b">
        <f t="shared" si="108"/>
        <v>0</v>
      </c>
      <c r="AN176" s="51"/>
      <c r="AO176" s="51" t="b">
        <f t="shared" si="109"/>
        <v>0</v>
      </c>
      <c r="AP176" s="51" t="str">
        <f t="shared" si="131"/>
        <v>Not in MMS</v>
      </c>
      <c r="AQ176" s="51" t="b">
        <f t="shared" si="110"/>
        <v>0</v>
      </c>
      <c r="AR176" s="51" t="b">
        <f t="shared" si="111"/>
        <v>0</v>
      </c>
      <c r="AS176" s="51" t="str">
        <f t="shared" si="112"/>
        <v/>
      </c>
      <c r="AT176" s="51" t="str">
        <f t="shared" si="113"/>
        <v/>
      </c>
      <c r="AU176" s="51" t="str">
        <f t="shared" si="114"/>
        <v/>
      </c>
      <c r="AV176" s="51" t="str">
        <f t="shared" si="115"/>
        <v/>
      </c>
      <c r="AW176" s="51" t="str">
        <f t="shared" si="116"/>
        <v/>
      </c>
      <c r="AX176" s="51" t="str">
        <f t="shared" si="117"/>
        <v/>
      </c>
      <c r="AY176" s="51" t="str">
        <f t="shared" si="118"/>
        <v/>
      </c>
      <c r="AZ176" s="51" t="str">
        <f t="shared" si="119"/>
        <v/>
      </c>
      <c r="BA176" s="51" t="str">
        <f t="shared" si="120"/>
        <v/>
      </c>
      <c r="BB176" s="51" t="str">
        <f t="shared" si="121"/>
        <v/>
      </c>
      <c r="BC176" s="51" t="str">
        <f t="shared" si="122"/>
        <v/>
      </c>
      <c r="BD176" s="51" t="str">
        <f t="shared" si="123"/>
        <v/>
      </c>
      <c r="BE176" s="51" t="str">
        <f t="shared" si="124"/>
        <v/>
      </c>
      <c r="BF176" s="51" t="str">
        <f t="shared" si="125"/>
        <v/>
      </c>
      <c r="BG176" s="51" t="str">
        <f t="shared" si="126"/>
        <v/>
      </c>
      <c r="BH176" s="51" t="b">
        <f t="shared" si="127"/>
        <v>0</v>
      </c>
      <c r="BI176" s="51" t="str">
        <f t="shared" si="128"/>
        <v/>
      </c>
      <c r="BJ176" s="51" t="str">
        <f t="shared" si="129"/>
        <v/>
      </c>
      <c r="BK176" s="51" t="b">
        <f t="shared" si="130"/>
        <v>0</v>
      </c>
      <c r="BL176" s="192"/>
    </row>
    <row r="177" spans="1:64" ht="13.5" thickBot="1" x14ac:dyDescent="0.25">
      <c r="A177" s="185" t="s">
        <v>869</v>
      </c>
      <c r="B177" s="194" t="s">
        <v>695</v>
      </c>
      <c r="C177" s="194" t="s">
        <v>695</v>
      </c>
      <c r="D177" s="194" t="s">
        <v>695</v>
      </c>
      <c r="E177" s="193" t="s">
        <v>694</v>
      </c>
      <c r="F177" s="160" t="s">
        <v>20</v>
      </c>
      <c r="G177" s="161"/>
      <c r="H177" s="186" t="str">
        <f t="shared" si="88"/>
        <v>N/A</v>
      </c>
      <c r="I177" s="186" t="b">
        <f t="shared" si="89"/>
        <v>1</v>
      </c>
      <c r="J177" s="186" t="str">
        <f t="shared" si="90"/>
        <v>N/A</v>
      </c>
      <c r="K177" s="186" t="b">
        <f t="shared" si="91"/>
        <v>1</v>
      </c>
      <c r="L177" s="186" t="str">
        <f t="shared" si="92"/>
        <v>N/A</v>
      </c>
      <c r="M177" s="186" t="b">
        <f t="shared" si="93"/>
        <v>1</v>
      </c>
      <c r="N177" s="186" t="str">
        <f t="shared" si="94"/>
        <v>Used?</v>
      </c>
      <c r="O177" s="186" t="b">
        <f t="shared" si="95"/>
        <v>0</v>
      </c>
      <c r="P177" s="26" t="s">
        <v>696</v>
      </c>
      <c r="Q177" s="160" t="s">
        <v>20</v>
      </c>
      <c r="R177" s="160" t="s">
        <v>20</v>
      </c>
      <c r="S177" s="26" t="s">
        <v>697</v>
      </c>
      <c r="T177" s="165" t="str">
        <f t="shared" si="96"/>
        <v>Not Used</v>
      </c>
      <c r="U177" s="162"/>
      <c r="V177" s="55"/>
      <c r="W177" s="51" t="b">
        <f t="shared" si="97"/>
        <v>1</v>
      </c>
      <c r="X177" s="51" t="str">
        <f t="shared" si="98"/>
        <v>Not Used</v>
      </c>
      <c r="Y177" s="51" t="str">
        <f t="shared" si="99"/>
        <v>Not Used</v>
      </c>
      <c r="Z177" s="51" t="str">
        <f t="shared" si="100"/>
        <v>Not Used</v>
      </c>
      <c r="AA177" s="51" t="str">
        <f t="shared" si="100"/>
        <v>Not Used</v>
      </c>
      <c r="AB177" s="51" t="str">
        <f t="shared" si="101"/>
        <v>Not Used</v>
      </c>
      <c r="AC177" s="51" t="b">
        <f t="shared" si="102"/>
        <v>1</v>
      </c>
      <c r="AD177" s="51">
        <f>COUNTIF($X$5:$X$177, "Not Used")</f>
        <v>173</v>
      </c>
      <c r="AE177" s="51">
        <f>COUNTIF($X$5:$X$177, "TRUE")</f>
        <v>0</v>
      </c>
      <c r="AF177" s="51" t="b">
        <f t="shared" si="103"/>
        <v>1</v>
      </c>
      <c r="AI177" s="51" t="b">
        <f t="shared" si="104"/>
        <v>0</v>
      </c>
      <c r="AJ177" s="51" t="b">
        <f t="shared" si="105"/>
        <v>0</v>
      </c>
      <c r="AK177" s="51" t="b">
        <f t="shared" si="106"/>
        <v>0</v>
      </c>
      <c r="AL177" s="51" t="b">
        <f t="shared" si="107"/>
        <v>0</v>
      </c>
      <c r="AM177" s="51" t="b">
        <f t="shared" si="108"/>
        <v>0</v>
      </c>
      <c r="AN177" s="51"/>
      <c r="AO177" s="51" t="b">
        <f t="shared" si="109"/>
        <v>0</v>
      </c>
      <c r="AP177" s="51" t="str">
        <f t="shared" si="131"/>
        <v>Not in MMS</v>
      </c>
      <c r="AQ177" s="51" t="b">
        <f t="shared" si="110"/>
        <v>0</v>
      </c>
      <c r="AR177" s="51" t="b">
        <f t="shared" si="111"/>
        <v>0</v>
      </c>
      <c r="AS177" s="51" t="str">
        <f t="shared" si="112"/>
        <v/>
      </c>
      <c r="AT177" s="51" t="str">
        <f t="shared" si="113"/>
        <v/>
      </c>
      <c r="AU177" s="51" t="str">
        <f t="shared" si="114"/>
        <v/>
      </c>
      <c r="AV177" s="51" t="str">
        <f t="shared" si="115"/>
        <v/>
      </c>
      <c r="AW177" s="51" t="str">
        <f t="shared" si="116"/>
        <v/>
      </c>
      <c r="AX177" s="51" t="str">
        <f t="shared" si="117"/>
        <v/>
      </c>
      <c r="AY177" s="51" t="str">
        <f t="shared" si="118"/>
        <v/>
      </c>
      <c r="AZ177" s="51" t="str">
        <f t="shared" si="119"/>
        <v/>
      </c>
      <c r="BA177" s="51" t="str">
        <f t="shared" si="120"/>
        <v/>
      </c>
      <c r="BB177" s="51" t="str">
        <f t="shared" si="121"/>
        <v/>
      </c>
      <c r="BC177" s="51" t="str">
        <f t="shared" si="122"/>
        <v/>
      </c>
      <c r="BD177" s="51" t="str">
        <f t="shared" si="123"/>
        <v/>
      </c>
      <c r="BE177" s="51" t="str">
        <f t="shared" si="124"/>
        <v/>
      </c>
      <c r="BF177" s="51" t="str">
        <f t="shared" si="125"/>
        <v/>
      </c>
      <c r="BG177" s="51" t="str">
        <f t="shared" si="126"/>
        <v/>
      </c>
      <c r="BH177" s="51" t="b">
        <f t="shared" si="127"/>
        <v>0</v>
      </c>
      <c r="BI177" s="51" t="str">
        <f t="shared" si="128"/>
        <v/>
      </c>
      <c r="BJ177" s="51" t="str">
        <f t="shared" si="129"/>
        <v/>
      </c>
      <c r="BK177" s="51" t="b">
        <f t="shared" si="130"/>
        <v>0</v>
      </c>
      <c r="BL177" s="192"/>
    </row>
    <row r="178" spans="1:64" ht="13.5" thickBot="1" x14ac:dyDescent="0.25">
      <c r="A178" s="185" t="s">
        <v>870</v>
      </c>
      <c r="B178" s="194" t="s">
        <v>695</v>
      </c>
      <c r="C178" s="194" t="s">
        <v>695</v>
      </c>
      <c r="D178" s="194" t="s">
        <v>695</v>
      </c>
      <c r="E178" s="193" t="s">
        <v>694</v>
      </c>
      <c r="F178" s="160" t="s">
        <v>20</v>
      </c>
      <c r="G178" s="161"/>
      <c r="H178" s="186" t="str">
        <f t="shared" si="88"/>
        <v>N/A</v>
      </c>
      <c r="I178" s="186" t="b">
        <f t="shared" si="89"/>
        <v>1</v>
      </c>
      <c r="J178" s="186" t="str">
        <f t="shared" si="90"/>
        <v>N/A</v>
      </c>
      <c r="K178" s="186" t="b">
        <f t="shared" si="91"/>
        <v>1</v>
      </c>
      <c r="L178" s="186" t="str">
        <f t="shared" si="92"/>
        <v>N/A</v>
      </c>
      <c r="M178" s="186" t="b">
        <f t="shared" si="93"/>
        <v>1</v>
      </c>
      <c r="N178" s="186" t="str">
        <f t="shared" si="94"/>
        <v>Used?</v>
      </c>
      <c r="O178" s="186" t="b">
        <f t="shared" si="95"/>
        <v>0</v>
      </c>
      <c r="P178" s="26" t="s">
        <v>696</v>
      </c>
      <c r="Q178" s="160" t="s">
        <v>20</v>
      </c>
      <c r="R178" s="160" t="s">
        <v>20</v>
      </c>
      <c r="S178" s="26" t="s">
        <v>697</v>
      </c>
      <c r="T178" s="165" t="str">
        <f t="shared" si="96"/>
        <v>Not Used</v>
      </c>
      <c r="U178" s="162"/>
      <c r="V178" s="55"/>
      <c r="W178" s="51" t="b">
        <f t="shared" si="97"/>
        <v>1</v>
      </c>
      <c r="X178" s="51" t="str">
        <f t="shared" si="98"/>
        <v>Not Used</v>
      </c>
      <c r="Y178" s="51" t="str">
        <f t="shared" si="99"/>
        <v>Not Used</v>
      </c>
      <c r="Z178" s="51" t="str">
        <f t="shared" si="100"/>
        <v>Not Used</v>
      </c>
      <c r="AA178" s="51" t="str">
        <f t="shared" si="100"/>
        <v>Not Used</v>
      </c>
      <c r="AB178" s="51" t="str">
        <f t="shared" si="101"/>
        <v>Not Used</v>
      </c>
      <c r="AC178" s="51" t="b">
        <f t="shared" si="102"/>
        <v>1</v>
      </c>
      <c r="AD178" s="51">
        <f>COUNTIF($X$5:$X$178, "Not Used")</f>
        <v>174</v>
      </c>
      <c r="AE178" s="51">
        <f>COUNTIF($X$5:$X$178, "TRUE")</f>
        <v>0</v>
      </c>
      <c r="AF178" s="51" t="b">
        <f t="shared" si="103"/>
        <v>1</v>
      </c>
      <c r="AI178" s="51" t="b">
        <f t="shared" si="104"/>
        <v>0</v>
      </c>
      <c r="AJ178" s="51" t="b">
        <f t="shared" si="105"/>
        <v>0</v>
      </c>
      <c r="AK178" s="51" t="b">
        <f t="shared" si="106"/>
        <v>0</v>
      </c>
      <c r="AL178" s="51" t="b">
        <f t="shared" si="107"/>
        <v>0</v>
      </c>
      <c r="AM178" s="51" t="b">
        <f t="shared" si="108"/>
        <v>0</v>
      </c>
      <c r="AN178" s="51"/>
      <c r="AO178" s="51" t="b">
        <f t="shared" si="109"/>
        <v>0</v>
      </c>
      <c r="AP178" s="51" t="str">
        <f t="shared" si="131"/>
        <v>Not in MMS</v>
      </c>
      <c r="AQ178" s="51" t="b">
        <f t="shared" si="110"/>
        <v>0</v>
      </c>
      <c r="AR178" s="51" t="b">
        <f t="shared" si="111"/>
        <v>0</v>
      </c>
      <c r="AS178" s="51" t="str">
        <f t="shared" si="112"/>
        <v/>
      </c>
      <c r="AT178" s="51" t="str">
        <f t="shared" si="113"/>
        <v/>
      </c>
      <c r="AU178" s="51" t="str">
        <f t="shared" si="114"/>
        <v/>
      </c>
      <c r="AV178" s="51" t="str">
        <f t="shared" si="115"/>
        <v/>
      </c>
      <c r="AW178" s="51" t="str">
        <f t="shared" si="116"/>
        <v/>
      </c>
      <c r="AX178" s="51" t="str">
        <f t="shared" si="117"/>
        <v/>
      </c>
      <c r="AY178" s="51" t="str">
        <f t="shared" si="118"/>
        <v/>
      </c>
      <c r="AZ178" s="51" t="str">
        <f t="shared" si="119"/>
        <v/>
      </c>
      <c r="BA178" s="51" t="str">
        <f t="shared" si="120"/>
        <v/>
      </c>
      <c r="BB178" s="51" t="str">
        <f t="shared" si="121"/>
        <v/>
      </c>
      <c r="BC178" s="51" t="str">
        <f t="shared" si="122"/>
        <v/>
      </c>
      <c r="BD178" s="51" t="str">
        <f t="shared" si="123"/>
        <v/>
      </c>
      <c r="BE178" s="51" t="str">
        <f t="shared" si="124"/>
        <v/>
      </c>
      <c r="BF178" s="51" t="str">
        <f t="shared" si="125"/>
        <v/>
      </c>
      <c r="BG178" s="51" t="str">
        <f t="shared" si="126"/>
        <v/>
      </c>
      <c r="BH178" s="51" t="b">
        <f t="shared" si="127"/>
        <v>0</v>
      </c>
      <c r="BI178" s="51" t="str">
        <f t="shared" si="128"/>
        <v/>
      </c>
      <c r="BJ178" s="51" t="str">
        <f t="shared" si="129"/>
        <v/>
      </c>
      <c r="BK178" s="51" t="b">
        <f t="shared" si="130"/>
        <v>0</v>
      </c>
      <c r="BL178" s="192"/>
    </row>
    <row r="179" spans="1:64" ht="13.5" thickBot="1" x14ac:dyDescent="0.25">
      <c r="A179" s="185" t="s">
        <v>871</v>
      </c>
      <c r="B179" s="194" t="s">
        <v>695</v>
      </c>
      <c r="C179" s="194" t="s">
        <v>695</v>
      </c>
      <c r="D179" s="194" t="s">
        <v>695</v>
      </c>
      <c r="E179" s="193" t="s">
        <v>694</v>
      </c>
      <c r="F179" s="160" t="s">
        <v>20</v>
      </c>
      <c r="G179" s="161"/>
      <c r="H179" s="186" t="str">
        <f t="shared" si="88"/>
        <v>N/A</v>
      </c>
      <c r="I179" s="186" t="b">
        <f t="shared" si="89"/>
        <v>1</v>
      </c>
      <c r="J179" s="186" t="str">
        <f t="shared" si="90"/>
        <v>N/A</v>
      </c>
      <c r="K179" s="186" t="b">
        <f t="shared" si="91"/>
        <v>1</v>
      </c>
      <c r="L179" s="186" t="str">
        <f t="shared" si="92"/>
        <v>N/A</v>
      </c>
      <c r="M179" s="186" t="b">
        <f t="shared" si="93"/>
        <v>1</v>
      </c>
      <c r="N179" s="186" t="str">
        <f t="shared" si="94"/>
        <v>Used?</v>
      </c>
      <c r="O179" s="186" t="b">
        <f t="shared" si="95"/>
        <v>0</v>
      </c>
      <c r="P179" s="26" t="s">
        <v>696</v>
      </c>
      <c r="Q179" s="160" t="s">
        <v>20</v>
      </c>
      <c r="R179" s="160" t="s">
        <v>20</v>
      </c>
      <c r="S179" s="26" t="s">
        <v>697</v>
      </c>
      <c r="T179" s="165" t="str">
        <f t="shared" si="96"/>
        <v>Not Used</v>
      </c>
      <c r="U179" s="162"/>
      <c r="V179" s="55"/>
      <c r="W179" s="51" t="b">
        <f t="shared" si="97"/>
        <v>1</v>
      </c>
      <c r="X179" s="51" t="str">
        <f t="shared" si="98"/>
        <v>Not Used</v>
      </c>
      <c r="Y179" s="51" t="str">
        <f t="shared" si="99"/>
        <v>Not Used</v>
      </c>
      <c r="Z179" s="51" t="str">
        <f t="shared" si="100"/>
        <v>Not Used</v>
      </c>
      <c r="AA179" s="51" t="str">
        <f t="shared" si="100"/>
        <v>Not Used</v>
      </c>
      <c r="AB179" s="51" t="str">
        <f t="shared" si="101"/>
        <v>Not Used</v>
      </c>
      <c r="AC179" s="51" t="b">
        <f t="shared" si="102"/>
        <v>1</v>
      </c>
      <c r="AD179" s="51">
        <f>COUNTIF($X$5:$X$179, "Not Used")</f>
        <v>175</v>
      </c>
      <c r="AE179" s="51">
        <f>COUNTIF($X$5:$X$179, "TRUE")</f>
        <v>0</v>
      </c>
      <c r="AF179" s="51" t="b">
        <f t="shared" si="103"/>
        <v>1</v>
      </c>
      <c r="AI179" s="51" t="b">
        <f t="shared" si="104"/>
        <v>0</v>
      </c>
      <c r="AJ179" s="51" t="b">
        <f t="shared" si="105"/>
        <v>0</v>
      </c>
      <c r="AK179" s="51" t="b">
        <f t="shared" si="106"/>
        <v>0</v>
      </c>
      <c r="AL179" s="51" t="b">
        <f t="shared" si="107"/>
        <v>0</v>
      </c>
      <c r="AM179" s="51" t="b">
        <f t="shared" si="108"/>
        <v>0</v>
      </c>
      <c r="AN179" s="51"/>
      <c r="AO179" s="51" t="b">
        <f t="shared" si="109"/>
        <v>0</v>
      </c>
      <c r="AP179" s="51" t="str">
        <f t="shared" si="131"/>
        <v>Not in MMS</v>
      </c>
      <c r="AQ179" s="51" t="b">
        <f t="shared" si="110"/>
        <v>0</v>
      </c>
      <c r="AR179" s="51" t="b">
        <f t="shared" si="111"/>
        <v>0</v>
      </c>
      <c r="AS179" s="51" t="str">
        <f t="shared" si="112"/>
        <v/>
      </c>
      <c r="AT179" s="51" t="str">
        <f t="shared" si="113"/>
        <v/>
      </c>
      <c r="AU179" s="51" t="str">
        <f t="shared" si="114"/>
        <v/>
      </c>
      <c r="AV179" s="51" t="str">
        <f t="shared" si="115"/>
        <v/>
      </c>
      <c r="AW179" s="51" t="str">
        <f t="shared" si="116"/>
        <v/>
      </c>
      <c r="AX179" s="51" t="str">
        <f t="shared" si="117"/>
        <v/>
      </c>
      <c r="AY179" s="51" t="str">
        <f t="shared" si="118"/>
        <v/>
      </c>
      <c r="AZ179" s="51" t="str">
        <f t="shared" si="119"/>
        <v/>
      </c>
      <c r="BA179" s="51" t="str">
        <f t="shared" si="120"/>
        <v/>
      </c>
      <c r="BB179" s="51" t="str">
        <f t="shared" si="121"/>
        <v/>
      </c>
      <c r="BC179" s="51" t="str">
        <f t="shared" si="122"/>
        <v/>
      </c>
      <c r="BD179" s="51" t="str">
        <f t="shared" si="123"/>
        <v/>
      </c>
      <c r="BE179" s="51" t="str">
        <f t="shared" si="124"/>
        <v/>
      </c>
      <c r="BF179" s="51" t="str">
        <f t="shared" si="125"/>
        <v/>
      </c>
      <c r="BG179" s="51" t="str">
        <f t="shared" si="126"/>
        <v/>
      </c>
      <c r="BH179" s="51" t="b">
        <f t="shared" si="127"/>
        <v>0</v>
      </c>
      <c r="BI179" s="51" t="str">
        <f t="shared" si="128"/>
        <v/>
      </c>
      <c r="BJ179" s="51" t="str">
        <f t="shared" si="129"/>
        <v/>
      </c>
      <c r="BK179" s="51" t="b">
        <f t="shared" si="130"/>
        <v>0</v>
      </c>
      <c r="BL179" s="192"/>
    </row>
    <row r="180" spans="1:64" ht="13.5" thickBot="1" x14ac:dyDescent="0.25">
      <c r="A180" s="185" t="s">
        <v>872</v>
      </c>
      <c r="B180" s="194" t="s">
        <v>695</v>
      </c>
      <c r="C180" s="194" t="s">
        <v>695</v>
      </c>
      <c r="D180" s="194" t="s">
        <v>695</v>
      </c>
      <c r="E180" s="193" t="s">
        <v>694</v>
      </c>
      <c r="F180" s="160" t="s">
        <v>20</v>
      </c>
      <c r="G180" s="161"/>
      <c r="H180" s="186" t="str">
        <f t="shared" si="88"/>
        <v>N/A</v>
      </c>
      <c r="I180" s="186" t="b">
        <f t="shared" si="89"/>
        <v>1</v>
      </c>
      <c r="J180" s="186" t="str">
        <f t="shared" si="90"/>
        <v>N/A</v>
      </c>
      <c r="K180" s="186" t="b">
        <f t="shared" si="91"/>
        <v>1</v>
      </c>
      <c r="L180" s="186" t="str">
        <f t="shared" si="92"/>
        <v>N/A</v>
      </c>
      <c r="M180" s="186" t="b">
        <f t="shared" si="93"/>
        <v>1</v>
      </c>
      <c r="N180" s="186" t="str">
        <f t="shared" si="94"/>
        <v>Used?</v>
      </c>
      <c r="O180" s="186" t="b">
        <f t="shared" si="95"/>
        <v>0</v>
      </c>
      <c r="P180" s="26" t="s">
        <v>696</v>
      </c>
      <c r="Q180" s="160" t="s">
        <v>20</v>
      </c>
      <c r="R180" s="160" t="s">
        <v>20</v>
      </c>
      <c r="S180" s="26" t="s">
        <v>697</v>
      </c>
      <c r="T180" s="165" t="str">
        <f t="shared" si="96"/>
        <v>Not Used</v>
      </c>
      <c r="U180" s="162"/>
      <c r="V180" s="55"/>
      <c r="W180" s="51" t="b">
        <f t="shared" si="97"/>
        <v>1</v>
      </c>
      <c r="X180" s="51" t="str">
        <f t="shared" si="98"/>
        <v>Not Used</v>
      </c>
      <c r="Y180" s="51" t="str">
        <f t="shared" si="99"/>
        <v>Not Used</v>
      </c>
      <c r="Z180" s="51" t="str">
        <f t="shared" si="100"/>
        <v>Not Used</v>
      </c>
      <c r="AA180" s="51" t="str">
        <f t="shared" si="100"/>
        <v>Not Used</v>
      </c>
      <c r="AB180" s="51" t="str">
        <f t="shared" si="101"/>
        <v>Not Used</v>
      </c>
      <c r="AC180" s="51" t="b">
        <f t="shared" si="102"/>
        <v>1</v>
      </c>
      <c r="AD180" s="51">
        <f>COUNTIF($X$5:$X$180, "Not Used")</f>
        <v>176</v>
      </c>
      <c r="AE180" s="51">
        <f>COUNTIF($X$5:$X$180, "TRUE")</f>
        <v>0</v>
      </c>
      <c r="AF180" s="51" t="b">
        <f t="shared" si="103"/>
        <v>1</v>
      </c>
      <c r="AI180" s="51" t="b">
        <f t="shared" si="104"/>
        <v>0</v>
      </c>
      <c r="AJ180" s="51" t="b">
        <f t="shared" si="105"/>
        <v>0</v>
      </c>
      <c r="AK180" s="51" t="b">
        <f t="shared" si="106"/>
        <v>0</v>
      </c>
      <c r="AL180" s="51" t="b">
        <f t="shared" si="107"/>
        <v>0</v>
      </c>
      <c r="AM180" s="51" t="b">
        <f t="shared" si="108"/>
        <v>0</v>
      </c>
      <c r="AN180" s="51"/>
      <c r="AO180" s="51" t="b">
        <f t="shared" si="109"/>
        <v>0</v>
      </c>
      <c r="AP180" s="51" t="str">
        <f t="shared" si="131"/>
        <v>Not in MMS</v>
      </c>
      <c r="AQ180" s="51" t="b">
        <f t="shared" si="110"/>
        <v>0</v>
      </c>
      <c r="AR180" s="51" t="b">
        <f t="shared" si="111"/>
        <v>0</v>
      </c>
      <c r="AS180" s="51" t="str">
        <f t="shared" si="112"/>
        <v/>
      </c>
      <c r="AT180" s="51" t="str">
        <f t="shared" si="113"/>
        <v/>
      </c>
      <c r="AU180" s="51" t="str">
        <f t="shared" si="114"/>
        <v/>
      </c>
      <c r="AV180" s="51" t="str">
        <f t="shared" si="115"/>
        <v/>
      </c>
      <c r="AW180" s="51" t="str">
        <f t="shared" si="116"/>
        <v/>
      </c>
      <c r="AX180" s="51" t="str">
        <f t="shared" si="117"/>
        <v/>
      </c>
      <c r="AY180" s="51" t="str">
        <f t="shared" si="118"/>
        <v/>
      </c>
      <c r="AZ180" s="51" t="str">
        <f t="shared" si="119"/>
        <v/>
      </c>
      <c r="BA180" s="51" t="str">
        <f t="shared" si="120"/>
        <v/>
      </c>
      <c r="BB180" s="51" t="str">
        <f t="shared" si="121"/>
        <v/>
      </c>
      <c r="BC180" s="51" t="str">
        <f t="shared" si="122"/>
        <v/>
      </c>
      <c r="BD180" s="51" t="str">
        <f t="shared" si="123"/>
        <v/>
      </c>
      <c r="BE180" s="51" t="str">
        <f t="shared" si="124"/>
        <v/>
      </c>
      <c r="BF180" s="51" t="str">
        <f t="shared" si="125"/>
        <v/>
      </c>
      <c r="BG180" s="51" t="str">
        <f t="shared" si="126"/>
        <v/>
      </c>
      <c r="BH180" s="51" t="b">
        <f t="shared" si="127"/>
        <v>0</v>
      </c>
      <c r="BI180" s="51" t="str">
        <f t="shared" si="128"/>
        <v/>
      </c>
      <c r="BJ180" s="51" t="str">
        <f t="shared" si="129"/>
        <v/>
      </c>
      <c r="BK180" s="51" t="b">
        <f t="shared" si="130"/>
        <v>0</v>
      </c>
      <c r="BL180" s="192"/>
    </row>
    <row r="181" spans="1:64" ht="13.5" thickBot="1" x14ac:dyDescent="0.25">
      <c r="A181" s="185" t="s">
        <v>873</v>
      </c>
      <c r="B181" s="194" t="s">
        <v>695</v>
      </c>
      <c r="C181" s="194" t="s">
        <v>695</v>
      </c>
      <c r="D181" s="194" t="s">
        <v>695</v>
      </c>
      <c r="E181" s="193" t="s">
        <v>694</v>
      </c>
      <c r="F181" s="160" t="s">
        <v>20</v>
      </c>
      <c r="G181" s="161"/>
      <c r="H181" s="186" t="str">
        <f t="shared" si="88"/>
        <v>N/A</v>
      </c>
      <c r="I181" s="186" t="b">
        <f t="shared" si="89"/>
        <v>1</v>
      </c>
      <c r="J181" s="186" t="str">
        <f t="shared" si="90"/>
        <v>N/A</v>
      </c>
      <c r="K181" s="186" t="b">
        <f t="shared" si="91"/>
        <v>1</v>
      </c>
      <c r="L181" s="186" t="str">
        <f t="shared" si="92"/>
        <v>N/A</v>
      </c>
      <c r="M181" s="186" t="b">
        <f t="shared" si="93"/>
        <v>1</v>
      </c>
      <c r="N181" s="186" t="str">
        <f t="shared" si="94"/>
        <v>Used?</v>
      </c>
      <c r="O181" s="186" t="b">
        <f t="shared" si="95"/>
        <v>0</v>
      </c>
      <c r="P181" s="26" t="s">
        <v>696</v>
      </c>
      <c r="Q181" s="160" t="s">
        <v>20</v>
      </c>
      <c r="R181" s="160" t="s">
        <v>20</v>
      </c>
      <c r="S181" s="26" t="s">
        <v>697</v>
      </c>
      <c r="T181" s="165" t="str">
        <f t="shared" si="96"/>
        <v>Not Used</v>
      </c>
      <c r="U181" s="162"/>
      <c r="V181" s="55"/>
      <c r="W181" s="51" t="b">
        <f t="shared" si="97"/>
        <v>1</v>
      </c>
      <c r="X181" s="51" t="str">
        <f t="shared" si="98"/>
        <v>Not Used</v>
      </c>
      <c r="Y181" s="51" t="str">
        <f t="shared" si="99"/>
        <v>Not Used</v>
      </c>
      <c r="Z181" s="51" t="str">
        <f t="shared" si="100"/>
        <v>Not Used</v>
      </c>
      <c r="AA181" s="51" t="str">
        <f t="shared" si="100"/>
        <v>Not Used</v>
      </c>
      <c r="AB181" s="51" t="str">
        <f t="shared" si="101"/>
        <v>Not Used</v>
      </c>
      <c r="AC181" s="51" t="b">
        <f t="shared" si="102"/>
        <v>1</v>
      </c>
      <c r="AD181" s="51">
        <f>COUNTIF($X$5:$X$181, "Not Used")</f>
        <v>177</v>
      </c>
      <c r="AE181" s="51">
        <f>COUNTIF($X$5:$X$181, "TRUE")</f>
        <v>0</v>
      </c>
      <c r="AF181" s="51" t="b">
        <f t="shared" si="103"/>
        <v>1</v>
      </c>
      <c r="AI181" s="51" t="b">
        <f t="shared" si="104"/>
        <v>0</v>
      </c>
      <c r="AJ181" s="51" t="b">
        <f t="shared" si="105"/>
        <v>0</v>
      </c>
      <c r="AK181" s="51" t="b">
        <f t="shared" si="106"/>
        <v>0</v>
      </c>
      <c r="AL181" s="51" t="b">
        <f t="shared" si="107"/>
        <v>0</v>
      </c>
      <c r="AM181" s="51" t="b">
        <f t="shared" si="108"/>
        <v>0</v>
      </c>
      <c r="AN181" s="51"/>
      <c r="AO181" s="51" t="b">
        <f t="shared" si="109"/>
        <v>0</v>
      </c>
      <c r="AP181" s="51" t="str">
        <f t="shared" si="131"/>
        <v>Not in MMS</v>
      </c>
      <c r="AQ181" s="51" t="b">
        <f t="shared" si="110"/>
        <v>0</v>
      </c>
      <c r="AR181" s="51" t="b">
        <f t="shared" si="111"/>
        <v>0</v>
      </c>
      <c r="AS181" s="51" t="str">
        <f t="shared" si="112"/>
        <v/>
      </c>
      <c r="AT181" s="51" t="str">
        <f t="shared" si="113"/>
        <v/>
      </c>
      <c r="AU181" s="51" t="str">
        <f t="shared" si="114"/>
        <v/>
      </c>
      <c r="AV181" s="51" t="str">
        <f t="shared" si="115"/>
        <v/>
      </c>
      <c r="AW181" s="51" t="str">
        <f t="shared" si="116"/>
        <v/>
      </c>
      <c r="AX181" s="51" t="str">
        <f t="shared" si="117"/>
        <v/>
      </c>
      <c r="AY181" s="51" t="str">
        <f t="shared" si="118"/>
        <v/>
      </c>
      <c r="AZ181" s="51" t="str">
        <f t="shared" si="119"/>
        <v/>
      </c>
      <c r="BA181" s="51" t="str">
        <f t="shared" si="120"/>
        <v/>
      </c>
      <c r="BB181" s="51" t="str">
        <f t="shared" si="121"/>
        <v/>
      </c>
      <c r="BC181" s="51" t="str">
        <f t="shared" si="122"/>
        <v/>
      </c>
      <c r="BD181" s="51" t="str">
        <f t="shared" si="123"/>
        <v/>
      </c>
      <c r="BE181" s="51" t="str">
        <f t="shared" si="124"/>
        <v/>
      </c>
      <c r="BF181" s="51" t="str">
        <f t="shared" si="125"/>
        <v/>
      </c>
      <c r="BG181" s="51" t="str">
        <f t="shared" si="126"/>
        <v/>
      </c>
      <c r="BH181" s="51" t="b">
        <f t="shared" si="127"/>
        <v>0</v>
      </c>
      <c r="BI181" s="51" t="str">
        <f t="shared" si="128"/>
        <v/>
      </c>
      <c r="BJ181" s="51" t="str">
        <f t="shared" si="129"/>
        <v/>
      </c>
      <c r="BK181" s="51" t="b">
        <f t="shared" si="130"/>
        <v>0</v>
      </c>
      <c r="BL181" s="192"/>
    </row>
    <row r="182" spans="1:64" ht="13.5" thickBot="1" x14ac:dyDescent="0.25">
      <c r="A182" s="185" t="s">
        <v>874</v>
      </c>
      <c r="B182" s="194" t="s">
        <v>695</v>
      </c>
      <c r="C182" s="194" t="s">
        <v>695</v>
      </c>
      <c r="D182" s="194" t="s">
        <v>695</v>
      </c>
      <c r="E182" s="193" t="s">
        <v>694</v>
      </c>
      <c r="F182" s="160" t="s">
        <v>20</v>
      </c>
      <c r="G182" s="161"/>
      <c r="H182" s="186" t="str">
        <f t="shared" si="88"/>
        <v>N/A</v>
      </c>
      <c r="I182" s="186" t="b">
        <f t="shared" si="89"/>
        <v>1</v>
      </c>
      <c r="J182" s="186" t="str">
        <f t="shared" si="90"/>
        <v>N/A</v>
      </c>
      <c r="K182" s="186" t="b">
        <f t="shared" si="91"/>
        <v>1</v>
      </c>
      <c r="L182" s="186" t="str">
        <f t="shared" si="92"/>
        <v>N/A</v>
      </c>
      <c r="M182" s="186" t="b">
        <f t="shared" si="93"/>
        <v>1</v>
      </c>
      <c r="N182" s="186" t="str">
        <f t="shared" si="94"/>
        <v>Used?</v>
      </c>
      <c r="O182" s="186" t="b">
        <f t="shared" si="95"/>
        <v>0</v>
      </c>
      <c r="P182" s="26" t="s">
        <v>696</v>
      </c>
      <c r="Q182" s="160" t="s">
        <v>20</v>
      </c>
      <c r="R182" s="160" t="s">
        <v>20</v>
      </c>
      <c r="S182" s="26" t="s">
        <v>697</v>
      </c>
      <c r="T182" s="165" t="str">
        <f t="shared" si="96"/>
        <v>Not Used</v>
      </c>
      <c r="U182" s="162"/>
      <c r="V182" s="55"/>
      <c r="W182" s="51" t="b">
        <f t="shared" si="97"/>
        <v>1</v>
      </c>
      <c r="X182" s="51" t="str">
        <f t="shared" si="98"/>
        <v>Not Used</v>
      </c>
      <c r="Y182" s="51" t="str">
        <f t="shared" si="99"/>
        <v>Not Used</v>
      </c>
      <c r="Z182" s="51" t="str">
        <f t="shared" si="100"/>
        <v>Not Used</v>
      </c>
      <c r="AA182" s="51" t="str">
        <f t="shared" si="100"/>
        <v>Not Used</v>
      </c>
      <c r="AB182" s="51" t="str">
        <f t="shared" si="101"/>
        <v>Not Used</v>
      </c>
      <c r="AC182" s="51" t="b">
        <f t="shared" si="102"/>
        <v>1</v>
      </c>
      <c r="AD182" s="51">
        <f>COUNTIF($X$5:$X$182, "Not Used")</f>
        <v>178</v>
      </c>
      <c r="AE182" s="51">
        <f>COUNTIF($X$5:$X$182, "TRUE")</f>
        <v>0</v>
      </c>
      <c r="AF182" s="51" t="b">
        <f t="shared" si="103"/>
        <v>1</v>
      </c>
      <c r="AI182" s="51" t="b">
        <f t="shared" si="104"/>
        <v>0</v>
      </c>
      <c r="AJ182" s="51" t="b">
        <f t="shared" si="105"/>
        <v>0</v>
      </c>
      <c r="AK182" s="51" t="b">
        <f t="shared" si="106"/>
        <v>0</v>
      </c>
      <c r="AL182" s="51" t="b">
        <f t="shared" si="107"/>
        <v>0</v>
      </c>
      <c r="AM182" s="51" t="b">
        <f t="shared" si="108"/>
        <v>0</v>
      </c>
      <c r="AN182" s="51"/>
      <c r="AO182" s="51" t="b">
        <f t="shared" si="109"/>
        <v>0</v>
      </c>
      <c r="AP182" s="51" t="str">
        <f t="shared" si="131"/>
        <v>Not in MMS</v>
      </c>
      <c r="AQ182" s="51" t="b">
        <f t="shared" si="110"/>
        <v>0</v>
      </c>
      <c r="AR182" s="51" t="b">
        <f t="shared" si="111"/>
        <v>0</v>
      </c>
      <c r="AS182" s="51" t="str">
        <f t="shared" si="112"/>
        <v/>
      </c>
      <c r="AT182" s="51" t="str">
        <f t="shared" si="113"/>
        <v/>
      </c>
      <c r="AU182" s="51" t="str">
        <f t="shared" si="114"/>
        <v/>
      </c>
      <c r="AV182" s="51" t="str">
        <f t="shared" si="115"/>
        <v/>
      </c>
      <c r="AW182" s="51" t="str">
        <f t="shared" si="116"/>
        <v/>
      </c>
      <c r="AX182" s="51" t="str">
        <f t="shared" si="117"/>
        <v/>
      </c>
      <c r="AY182" s="51" t="str">
        <f t="shared" si="118"/>
        <v/>
      </c>
      <c r="AZ182" s="51" t="str">
        <f t="shared" si="119"/>
        <v/>
      </c>
      <c r="BA182" s="51" t="str">
        <f t="shared" si="120"/>
        <v/>
      </c>
      <c r="BB182" s="51" t="str">
        <f t="shared" si="121"/>
        <v/>
      </c>
      <c r="BC182" s="51" t="str">
        <f t="shared" si="122"/>
        <v/>
      </c>
      <c r="BD182" s="51" t="str">
        <f t="shared" si="123"/>
        <v/>
      </c>
      <c r="BE182" s="51" t="str">
        <f t="shared" si="124"/>
        <v/>
      </c>
      <c r="BF182" s="51" t="str">
        <f t="shared" si="125"/>
        <v/>
      </c>
      <c r="BG182" s="51" t="str">
        <f t="shared" si="126"/>
        <v/>
      </c>
      <c r="BH182" s="51" t="b">
        <f t="shared" si="127"/>
        <v>0</v>
      </c>
      <c r="BI182" s="51" t="str">
        <f t="shared" si="128"/>
        <v/>
      </c>
      <c r="BJ182" s="51" t="str">
        <f t="shared" si="129"/>
        <v/>
      </c>
      <c r="BK182" s="51" t="b">
        <f t="shared" si="130"/>
        <v>0</v>
      </c>
      <c r="BL182" s="192"/>
    </row>
    <row r="183" spans="1:64" ht="13.5" thickBot="1" x14ac:dyDescent="0.25">
      <c r="A183" s="185" t="s">
        <v>875</v>
      </c>
      <c r="B183" s="194" t="s">
        <v>695</v>
      </c>
      <c r="C183" s="194" t="s">
        <v>695</v>
      </c>
      <c r="D183" s="194" t="s">
        <v>695</v>
      </c>
      <c r="E183" s="193" t="s">
        <v>694</v>
      </c>
      <c r="F183" s="160" t="s">
        <v>20</v>
      </c>
      <c r="G183" s="161"/>
      <c r="H183" s="186" t="str">
        <f t="shared" si="88"/>
        <v>N/A</v>
      </c>
      <c r="I183" s="186" t="b">
        <f t="shared" si="89"/>
        <v>1</v>
      </c>
      <c r="J183" s="186" t="str">
        <f t="shared" si="90"/>
        <v>N/A</v>
      </c>
      <c r="K183" s="186" t="b">
        <f t="shared" si="91"/>
        <v>1</v>
      </c>
      <c r="L183" s="186" t="str">
        <f t="shared" si="92"/>
        <v>N/A</v>
      </c>
      <c r="M183" s="186" t="b">
        <f t="shared" si="93"/>
        <v>1</v>
      </c>
      <c r="N183" s="186" t="str">
        <f t="shared" si="94"/>
        <v>Used?</v>
      </c>
      <c r="O183" s="186" t="b">
        <f t="shared" si="95"/>
        <v>0</v>
      </c>
      <c r="P183" s="26" t="s">
        <v>696</v>
      </c>
      <c r="Q183" s="160" t="s">
        <v>20</v>
      </c>
      <c r="R183" s="160" t="s">
        <v>20</v>
      </c>
      <c r="S183" s="26" t="s">
        <v>697</v>
      </c>
      <c r="T183" s="165" t="str">
        <f t="shared" si="96"/>
        <v>Not Used</v>
      </c>
      <c r="U183" s="162"/>
      <c r="V183" s="55"/>
      <c r="W183" s="51" t="b">
        <f t="shared" si="97"/>
        <v>1</v>
      </c>
      <c r="X183" s="51" t="str">
        <f t="shared" si="98"/>
        <v>Not Used</v>
      </c>
      <c r="Y183" s="51" t="str">
        <f t="shared" si="99"/>
        <v>Not Used</v>
      </c>
      <c r="Z183" s="51" t="str">
        <f t="shared" si="100"/>
        <v>Not Used</v>
      </c>
      <c r="AA183" s="51" t="str">
        <f t="shared" si="100"/>
        <v>Not Used</v>
      </c>
      <c r="AB183" s="51" t="str">
        <f t="shared" si="101"/>
        <v>Not Used</v>
      </c>
      <c r="AC183" s="51" t="b">
        <f t="shared" si="102"/>
        <v>1</v>
      </c>
      <c r="AD183" s="51">
        <f>COUNTIF($X$5:$X$183, "Not Used")</f>
        <v>179</v>
      </c>
      <c r="AE183" s="51">
        <f>COUNTIF($X$5:$X$183, "TRUE")</f>
        <v>0</v>
      </c>
      <c r="AF183" s="51" t="b">
        <f t="shared" si="103"/>
        <v>1</v>
      </c>
      <c r="AI183" s="51" t="b">
        <f t="shared" si="104"/>
        <v>0</v>
      </c>
      <c r="AJ183" s="51" t="b">
        <f t="shared" si="105"/>
        <v>0</v>
      </c>
      <c r="AK183" s="51" t="b">
        <f t="shared" si="106"/>
        <v>0</v>
      </c>
      <c r="AL183" s="51" t="b">
        <f t="shared" si="107"/>
        <v>0</v>
      </c>
      <c r="AM183" s="51" t="b">
        <f t="shared" si="108"/>
        <v>0</v>
      </c>
      <c r="AN183" s="51"/>
      <c r="AO183" s="51" t="b">
        <f t="shared" si="109"/>
        <v>0</v>
      </c>
      <c r="AP183" s="51" t="str">
        <f t="shared" si="131"/>
        <v>Not in MMS</v>
      </c>
      <c r="AQ183" s="51" t="b">
        <f t="shared" si="110"/>
        <v>0</v>
      </c>
      <c r="AR183" s="51" t="b">
        <f t="shared" si="111"/>
        <v>0</v>
      </c>
      <c r="AS183" s="51" t="str">
        <f t="shared" si="112"/>
        <v/>
      </c>
      <c r="AT183" s="51" t="str">
        <f t="shared" si="113"/>
        <v/>
      </c>
      <c r="AU183" s="51" t="str">
        <f t="shared" si="114"/>
        <v/>
      </c>
      <c r="AV183" s="51" t="str">
        <f t="shared" si="115"/>
        <v/>
      </c>
      <c r="AW183" s="51" t="str">
        <f t="shared" si="116"/>
        <v/>
      </c>
      <c r="AX183" s="51" t="str">
        <f t="shared" si="117"/>
        <v/>
      </c>
      <c r="AY183" s="51" t="str">
        <f t="shared" si="118"/>
        <v/>
      </c>
      <c r="AZ183" s="51" t="str">
        <f t="shared" si="119"/>
        <v/>
      </c>
      <c r="BA183" s="51" t="str">
        <f t="shared" si="120"/>
        <v/>
      </c>
      <c r="BB183" s="51" t="str">
        <f t="shared" si="121"/>
        <v/>
      </c>
      <c r="BC183" s="51" t="str">
        <f t="shared" si="122"/>
        <v/>
      </c>
      <c r="BD183" s="51" t="str">
        <f t="shared" si="123"/>
        <v/>
      </c>
      <c r="BE183" s="51" t="str">
        <f t="shared" si="124"/>
        <v/>
      </c>
      <c r="BF183" s="51" t="str">
        <f t="shared" si="125"/>
        <v/>
      </c>
      <c r="BG183" s="51" t="str">
        <f t="shared" si="126"/>
        <v/>
      </c>
      <c r="BH183" s="51" t="b">
        <f t="shared" si="127"/>
        <v>0</v>
      </c>
      <c r="BI183" s="51" t="str">
        <f t="shared" si="128"/>
        <v/>
      </c>
      <c r="BJ183" s="51" t="str">
        <f t="shared" si="129"/>
        <v/>
      </c>
      <c r="BK183" s="51" t="b">
        <f t="shared" si="130"/>
        <v>0</v>
      </c>
      <c r="BL183" s="192"/>
    </row>
    <row r="184" spans="1:64" ht="13.5" thickBot="1" x14ac:dyDescent="0.25">
      <c r="A184" s="185" t="s">
        <v>876</v>
      </c>
      <c r="B184" s="194" t="s">
        <v>695</v>
      </c>
      <c r="C184" s="194" t="s">
        <v>695</v>
      </c>
      <c r="D184" s="194" t="s">
        <v>695</v>
      </c>
      <c r="E184" s="193" t="s">
        <v>694</v>
      </c>
      <c r="F184" s="160" t="s">
        <v>20</v>
      </c>
      <c r="G184" s="161"/>
      <c r="H184" s="186" t="str">
        <f t="shared" si="88"/>
        <v>N/A</v>
      </c>
      <c r="I184" s="186" t="b">
        <f t="shared" si="89"/>
        <v>1</v>
      </c>
      <c r="J184" s="186" t="str">
        <f t="shared" si="90"/>
        <v>N/A</v>
      </c>
      <c r="K184" s="186" t="b">
        <f t="shared" si="91"/>
        <v>1</v>
      </c>
      <c r="L184" s="186" t="str">
        <f t="shared" si="92"/>
        <v>N/A</v>
      </c>
      <c r="M184" s="186" t="b">
        <f t="shared" si="93"/>
        <v>1</v>
      </c>
      <c r="N184" s="186" t="str">
        <f t="shared" si="94"/>
        <v>Used?</v>
      </c>
      <c r="O184" s="186" t="b">
        <f t="shared" si="95"/>
        <v>0</v>
      </c>
      <c r="P184" s="26" t="s">
        <v>696</v>
      </c>
      <c r="Q184" s="160" t="s">
        <v>20</v>
      </c>
      <c r="R184" s="160" t="s">
        <v>20</v>
      </c>
      <c r="S184" s="26" t="s">
        <v>697</v>
      </c>
      <c r="T184" s="165" t="str">
        <f t="shared" si="96"/>
        <v>Not Used</v>
      </c>
      <c r="U184" s="162"/>
      <c r="V184" s="55"/>
      <c r="W184" s="51" t="b">
        <f t="shared" si="97"/>
        <v>1</v>
      </c>
      <c r="X184" s="51" t="str">
        <f t="shared" si="98"/>
        <v>Not Used</v>
      </c>
      <c r="Y184" s="51" t="str">
        <f t="shared" si="99"/>
        <v>Not Used</v>
      </c>
      <c r="Z184" s="51" t="str">
        <f t="shared" si="100"/>
        <v>Not Used</v>
      </c>
      <c r="AA184" s="51" t="str">
        <f t="shared" si="100"/>
        <v>Not Used</v>
      </c>
      <c r="AB184" s="51" t="str">
        <f t="shared" si="101"/>
        <v>Not Used</v>
      </c>
      <c r="AC184" s="51" t="b">
        <f t="shared" si="102"/>
        <v>1</v>
      </c>
      <c r="AD184" s="51">
        <f>COUNTIF($X$5:$X$184, "Not Used")</f>
        <v>180</v>
      </c>
      <c r="AE184" s="51">
        <f>COUNTIF($X$5:$X$184, "TRUE")</f>
        <v>0</v>
      </c>
      <c r="AF184" s="51" t="b">
        <f t="shared" si="103"/>
        <v>1</v>
      </c>
      <c r="AI184" s="51" t="b">
        <f t="shared" si="104"/>
        <v>0</v>
      </c>
      <c r="AJ184" s="51" t="b">
        <f t="shared" si="105"/>
        <v>0</v>
      </c>
      <c r="AK184" s="51" t="b">
        <f t="shared" si="106"/>
        <v>0</v>
      </c>
      <c r="AL184" s="51" t="b">
        <f t="shared" si="107"/>
        <v>0</v>
      </c>
      <c r="AM184" s="51" t="b">
        <f t="shared" si="108"/>
        <v>0</v>
      </c>
      <c r="AN184" s="51"/>
      <c r="AO184" s="51" t="b">
        <f t="shared" si="109"/>
        <v>0</v>
      </c>
      <c r="AP184" s="51" t="str">
        <f t="shared" si="131"/>
        <v>Not in MMS</v>
      </c>
      <c r="AQ184" s="51" t="b">
        <f t="shared" si="110"/>
        <v>0</v>
      </c>
      <c r="AR184" s="51" t="b">
        <f t="shared" si="111"/>
        <v>0</v>
      </c>
      <c r="AS184" s="51" t="str">
        <f t="shared" si="112"/>
        <v/>
      </c>
      <c r="AT184" s="51" t="str">
        <f t="shared" si="113"/>
        <v/>
      </c>
      <c r="AU184" s="51" t="str">
        <f t="shared" si="114"/>
        <v/>
      </c>
      <c r="AV184" s="51" t="str">
        <f t="shared" si="115"/>
        <v/>
      </c>
      <c r="AW184" s="51" t="str">
        <f t="shared" si="116"/>
        <v/>
      </c>
      <c r="AX184" s="51" t="str">
        <f t="shared" si="117"/>
        <v/>
      </c>
      <c r="AY184" s="51" t="str">
        <f t="shared" si="118"/>
        <v/>
      </c>
      <c r="AZ184" s="51" t="str">
        <f t="shared" si="119"/>
        <v/>
      </c>
      <c r="BA184" s="51" t="str">
        <f t="shared" si="120"/>
        <v/>
      </c>
      <c r="BB184" s="51" t="str">
        <f t="shared" si="121"/>
        <v/>
      </c>
      <c r="BC184" s="51" t="str">
        <f t="shared" si="122"/>
        <v/>
      </c>
      <c r="BD184" s="51" t="str">
        <f t="shared" si="123"/>
        <v/>
      </c>
      <c r="BE184" s="51" t="str">
        <f t="shared" si="124"/>
        <v/>
      </c>
      <c r="BF184" s="51" t="str">
        <f t="shared" si="125"/>
        <v/>
      </c>
      <c r="BG184" s="51" t="str">
        <f t="shared" si="126"/>
        <v/>
      </c>
      <c r="BH184" s="51" t="b">
        <f t="shared" si="127"/>
        <v>0</v>
      </c>
      <c r="BI184" s="51" t="str">
        <f t="shared" si="128"/>
        <v/>
      </c>
      <c r="BJ184" s="51" t="str">
        <f t="shared" si="129"/>
        <v/>
      </c>
      <c r="BK184" s="51" t="b">
        <f t="shared" si="130"/>
        <v>0</v>
      </c>
      <c r="BL184" s="192"/>
    </row>
    <row r="185" spans="1:64" ht="13.5" thickBot="1" x14ac:dyDescent="0.25">
      <c r="A185" s="185" t="s">
        <v>877</v>
      </c>
      <c r="B185" s="194" t="s">
        <v>695</v>
      </c>
      <c r="C185" s="194" t="s">
        <v>695</v>
      </c>
      <c r="D185" s="194" t="s">
        <v>695</v>
      </c>
      <c r="E185" s="193" t="s">
        <v>694</v>
      </c>
      <c r="F185" s="160" t="s">
        <v>20</v>
      </c>
      <c r="G185" s="161"/>
      <c r="H185" s="186" t="str">
        <f t="shared" si="88"/>
        <v>N/A</v>
      </c>
      <c r="I185" s="186" t="b">
        <f t="shared" si="89"/>
        <v>1</v>
      </c>
      <c r="J185" s="186" t="str">
        <f t="shared" si="90"/>
        <v>N/A</v>
      </c>
      <c r="K185" s="186" t="b">
        <f t="shared" si="91"/>
        <v>1</v>
      </c>
      <c r="L185" s="186" t="str">
        <f t="shared" si="92"/>
        <v>N/A</v>
      </c>
      <c r="M185" s="186" t="b">
        <f t="shared" si="93"/>
        <v>1</v>
      </c>
      <c r="N185" s="186" t="str">
        <f t="shared" si="94"/>
        <v>Used?</v>
      </c>
      <c r="O185" s="186" t="b">
        <f t="shared" si="95"/>
        <v>0</v>
      </c>
      <c r="P185" s="26" t="s">
        <v>696</v>
      </c>
      <c r="Q185" s="160" t="s">
        <v>20</v>
      </c>
      <c r="R185" s="160" t="s">
        <v>20</v>
      </c>
      <c r="S185" s="26" t="s">
        <v>697</v>
      </c>
      <c r="T185" s="165" t="str">
        <f t="shared" si="96"/>
        <v>Not Used</v>
      </c>
      <c r="U185" s="162"/>
      <c r="V185" s="55"/>
      <c r="W185" s="51" t="b">
        <f t="shared" si="97"/>
        <v>1</v>
      </c>
      <c r="X185" s="51" t="str">
        <f t="shared" si="98"/>
        <v>Not Used</v>
      </c>
      <c r="Y185" s="51" t="str">
        <f t="shared" si="99"/>
        <v>Not Used</v>
      </c>
      <c r="Z185" s="51" t="str">
        <f t="shared" si="100"/>
        <v>Not Used</v>
      </c>
      <c r="AA185" s="51" t="str">
        <f t="shared" si="100"/>
        <v>Not Used</v>
      </c>
      <c r="AB185" s="51" t="str">
        <f t="shared" si="101"/>
        <v>Not Used</v>
      </c>
      <c r="AC185" s="51" t="b">
        <f t="shared" si="102"/>
        <v>1</v>
      </c>
      <c r="AD185" s="51">
        <f>COUNTIF($X$5:$X$185, "Not Used")</f>
        <v>181</v>
      </c>
      <c r="AE185" s="51">
        <f>COUNTIF($X$5:$X$185, "TRUE")</f>
        <v>0</v>
      </c>
      <c r="AF185" s="51" t="b">
        <f t="shared" si="103"/>
        <v>1</v>
      </c>
      <c r="AI185" s="51" t="b">
        <f t="shared" si="104"/>
        <v>0</v>
      </c>
      <c r="AJ185" s="51" t="b">
        <f t="shared" si="105"/>
        <v>0</v>
      </c>
      <c r="AK185" s="51" t="b">
        <f t="shared" si="106"/>
        <v>0</v>
      </c>
      <c r="AL185" s="51" t="b">
        <f t="shared" si="107"/>
        <v>0</v>
      </c>
      <c r="AM185" s="51" t="b">
        <f t="shared" si="108"/>
        <v>0</v>
      </c>
      <c r="AN185" s="51"/>
      <c r="AO185" s="51" t="b">
        <f t="shared" si="109"/>
        <v>0</v>
      </c>
      <c r="AP185" s="51" t="str">
        <f t="shared" si="131"/>
        <v>Not in MMS</v>
      </c>
      <c r="AQ185" s="51" t="b">
        <f t="shared" si="110"/>
        <v>0</v>
      </c>
      <c r="AR185" s="51" t="b">
        <f t="shared" si="111"/>
        <v>0</v>
      </c>
      <c r="AS185" s="51" t="str">
        <f t="shared" si="112"/>
        <v/>
      </c>
      <c r="AT185" s="51" t="str">
        <f t="shared" si="113"/>
        <v/>
      </c>
      <c r="AU185" s="51" t="str">
        <f t="shared" si="114"/>
        <v/>
      </c>
      <c r="AV185" s="51" t="str">
        <f t="shared" si="115"/>
        <v/>
      </c>
      <c r="AW185" s="51" t="str">
        <f t="shared" si="116"/>
        <v/>
      </c>
      <c r="AX185" s="51" t="str">
        <f t="shared" si="117"/>
        <v/>
      </c>
      <c r="AY185" s="51" t="str">
        <f t="shared" si="118"/>
        <v/>
      </c>
      <c r="AZ185" s="51" t="str">
        <f t="shared" si="119"/>
        <v/>
      </c>
      <c r="BA185" s="51" t="str">
        <f t="shared" si="120"/>
        <v/>
      </c>
      <c r="BB185" s="51" t="str">
        <f t="shared" si="121"/>
        <v/>
      </c>
      <c r="BC185" s="51" t="str">
        <f t="shared" si="122"/>
        <v/>
      </c>
      <c r="BD185" s="51" t="str">
        <f t="shared" si="123"/>
        <v/>
      </c>
      <c r="BE185" s="51" t="str">
        <f t="shared" si="124"/>
        <v/>
      </c>
      <c r="BF185" s="51" t="str">
        <f t="shared" si="125"/>
        <v/>
      </c>
      <c r="BG185" s="51" t="str">
        <f t="shared" si="126"/>
        <v/>
      </c>
      <c r="BH185" s="51" t="b">
        <f t="shared" si="127"/>
        <v>0</v>
      </c>
      <c r="BI185" s="51" t="str">
        <f t="shared" si="128"/>
        <v/>
      </c>
      <c r="BJ185" s="51" t="str">
        <f t="shared" si="129"/>
        <v/>
      </c>
      <c r="BK185" s="51" t="b">
        <f t="shared" si="130"/>
        <v>0</v>
      </c>
      <c r="BL185" s="192"/>
    </row>
    <row r="186" spans="1:64" ht="13.5" thickBot="1" x14ac:dyDescent="0.25">
      <c r="A186" s="185" t="s">
        <v>1891</v>
      </c>
      <c r="B186" s="194" t="s">
        <v>695</v>
      </c>
      <c r="C186" s="194" t="s">
        <v>695</v>
      </c>
      <c r="D186" s="194" t="s">
        <v>695</v>
      </c>
      <c r="E186" s="193" t="s">
        <v>694</v>
      </c>
      <c r="F186" s="160" t="s">
        <v>20</v>
      </c>
      <c r="G186" s="161"/>
      <c r="H186" s="186" t="str">
        <f t="shared" si="88"/>
        <v>N/A</v>
      </c>
      <c r="I186" s="186" t="b">
        <f t="shared" si="89"/>
        <v>1</v>
      </c>
      <c r="J186" s="186" t="str">
        <f t="shared" si="90"/>
        <v>N/A</v>
      </c>
      <c r="K186" s="186" t="b">
        <f t="shared" si="91"/>
        <v>1</v>
      </c>
      <c r="L186" s="186" t="str">
        <f t="shared" si="92"/>
        <v>N/A</v>
      </c>
      <c r="M186" s="186" t="b">
        <f t="shared" si="93"/>
        <v>1</v>
      </c>
      <c r="N186" s="186" t="str">
        <f t="shared" si="94"/>
        <v>Used?</v>
      </c>
      <c r="O186" s="186" t="b">
        <f t="shared" si="95"/>
        <v>0</v>
      </c>
      <c r="P186" s="26" t="s">
        <v>696</v>
      </c>
      <c r="Q186" s="160" t="s">
        <v>20</v>
      </c>
      <c r="R186" s="160" t="s">
        <v>20</v>
      </c>
      <c r="S186" s="26" t="s">
        <v>697</v>
      </c>
      <c r="T186" s="165" t="str">
        <f t="shared" si="96"/>
        <v>Not Used</v>
      </c>
      <c r="U186" s="162"/>
      <c r="V186" s="55"/>
      <c r="W186" s="51" t="b">
        <f t="shared" si="97"/>
        <v>1</v>
      </c>
      <c r="X186" s="51" t="str">
        <f t="shared" si="98"/>
        <v>Not Used</v>
      </c>
      <c r="Y186" s="51" t="str">
        <f t="shared" si="99"/>
        <v>Not Used</v>
      </c>
      <c r="Z186" s="51" t="str">
        <f t="shared" si="100"/>
        <v>Not Used</v>
      </c>
      <c r="AA186" s="51" t="str">
        <f t="shared" si="100"/>
        <v>Not Used</v>
      </c>
      <c r="AB186" s="51" t="str">
        <f t="shared" si="101"/>
        <v>Not Used</v>
      </c>
      <c r="AC186" s="51" t="b">
        <f t="shared" si="102"/>
        <v>1</v>
      </c>
      <c r="AD186" s="51">
        <f>COUNTIF($X$5:$X$187, "Not Used")</f>
        <v>183</v>
      </c>
      <c r="AE186" s="51">
        <f>COUNTIF($X$5:$X$187, "TRUE")</f>
        <v>0</v>
      </c>
      <c r="AF186" s="51" t="b">
        <f t="shared" si="103"/>
        <v>1</v>
      </c>
      <c r="AI186" s="51" t="b">
        <f t="shared" si="104"/>
        <v>0</v>
      </c>
      <c r="AJ186" s="51" t="b">
        <f t="shared" si="105"/>
        <v>0</v>
      </c>
      <c r="AK186" s="51" t="b">
        <f t="shared" si="106"/>
        <v>0</v>
      </c>
      <c r="AL186" s="51" t="b">
        <f t="shared" si="107"/>
        <v>0</v>
      </c>
      <c r="AM186" s="51" t="b">
        <f t="shared" si="108"/>
        <v>0</v>
      </c>
      <c r="AN186" s="51"/>
      <c r="AO186" s="51" t="b">
        <f t="shared" si="109"/>
        <v>0</v>
      </c>
      <c r="AP186" s="51" t="str">
        <f t="shared" si="131"/>
        <v>Not in MMS</v>
      </c>
      <c r="AQ186" s="51" t="b">
        <f t="shared" si="110"/>
        <v>0</v>
      </c>
      <c r="AR186" s="51" t="b">
        <f t="shared" si="111"/>
        <v>0</v>
      </c>
      <c r="AS186" s="51" t="str">
        <f t="shared" si="112"/>
        <v/>
      </c>
      <c r="AT186" s="51" t="str">
        <f t="shared" si="113"/>
        <v/>
      </c>
      <c r="AU186" s="51" t="str">
        <f t="shared" si="114"/>
        <v/>
      </c>
      <c r="AV186" s="51" t="str">
        <f t="shared" si="115"/>
        <v/>
      </c>
      <c r="AW186" s="51" t="str">
        <f t="shared" si="116"/>
        <v/>
      </c>
      <c r="AX186" s="51" t="str">
        <f t="shared" si="117"/>
        <v/>
      </c>
      <c r="AY186" s="51" t="str">
        <f t="shared" si="118"/>
        <v/>
      </c>
      <c r="AZ186" s="51" t="str">
        <f t="shared" si="119"/>
        <v/>
      </c>
      <c r="BA186" s="51" t="str">
        <f t="shared" si="120"/>
        <v/>
      </c>
      <c r="BB186" s="51" t="str">
        <f t="shared" si="121"/>
        <v/>
      </c>
      <c r="BC186" s="51" t="str">
        <f t="shared" si="122"/>
        <v/>
      </c>
      <c r="BD186" s="51" t="str">
        <f t="shared" si="123"/>
        <v/>
      </c>
      <c r="BE186" s="51" t="str">
        <f t="shared" si="124"/>
        <v/>
      </c>
      <c r="BF186" s="51" t="str">
        <f t="shared" si="125"/>
        <v/>
      </c>
      <c r="BG186" s="51" t="str">
        <f t="shared" si="126"/>
        <v/>
      </c>
      <c r="BH186" s="51" t="b">
        <f t="shared" si="127"/>
        <v>0</v>
      </c>
      <c r="BI186" s="51" t="str">
        <f t="shared" si="128"/>
        <v/>
      </c>
      <c r="BJ186" s="51" t="str">
        <f t="shared" si="129"/>
        <v/>
      </c>
      <c r="BK186" s="51" t="b">
        <f t="shared" si="130"/>
        <v>0</v>
      </c>
      <c r="BL186" s="192"/>
    </row>
    <row r="187" spans="1:64" ht="13.5" thickBot="1" x14ac:dyDescent="0.25">
      <c r="A187" s="185" t="s">
        <v>878</v>
      </c>
      <c r="B187" s="194" t="s">
        <v>695</v>
      </c>
      <c r="C187" s="194" t="s">
        <v>695</v>
      </c>
      <c r="D187" s="194" t="s">
        <v>695</v>
      </c>
      <c r="E187" s="193" t="s">
        <v>694</v>
      </c>
      <c r="F187" s="160" t="s">
        <v>20</v>
      </c>
      <c r="G187" s="161"/>
      <c r="H187" s="186" t="str">
        <f t="shared" si="88"/>
        <v>N/A</v>
      </c>
      <c r="I187" s="186" t="b">
        <f t="shared" si="89"/>
        <v>1</v>
      </c>
      <c r="J187" s="186" t="str">
        <f t="shared" si="90"/>
        <v>N/A</v>
      </c>
      <c r="K187" s="186" t="b">
        <f t="shared" si="91"/>
        <v>1</v>
      </c>
      <c r="L187" s="186" t="str">
        <f t="shared" si="92"/>
        <v>N/A</v>
      </c>
      <c r="M187" s="186" t="b">
        <f t="shared" si="93"/>
        <v>1</v>
      </c>
      <c r="N187" s="186" t="str">
        <f t="shared" si="94"/>
        <v>Used?</v>
      </c>
      <c r="O187" s="186" t="b">
        <f t="shared" si="95"/>
        <v>0</v>
      </c>
      <c r="P187" s="26" t="s">
        <v>696</v>
      </c>
      <c r="Q187" s="160" t="s">
        <v>20</v>
      </c>
      <c r="R187" s="160" t="s">
        <v>20</v>
      </c>
      <c r="S187" s="26" t="s">
        <v>697</v>
      </c>
      <c r="T187" s="165" t="str">
        <f t="shared" si="96"/>
        <v>Not Used</v>
      </c>
      <c r="U187" s="162"/>
      <c r="V187" s="55"/>
      <c r="W187" s="51" t="b">
        <f t="shared" si="97"/>
        <v>1</v>
      </c>
      <c r="X187" s="51" t="str">
        <f t="shared" si="98"/>
        <v>Not Used</v>
      </c>
      <c r="Y187" s="51" t="str">
        <f t="shared" si="99"/>
        <v>Not Used</v>
      </c>
      <c r="Z187" s="51" t="str">
        <f t="shared" si="100"/>
        <v>Not Used</v>
      </c>
      <c r="AA187" s="51" t="str">
        <f t="shared" si="100"/>
        <v>Not Used</v>
      </c>
      <c r="AB187" s="51" t="str">
        <f t="shared" si="101"/>
        <v>Not Used</v>
      </c>
      <c r="AC187" s="51" t="b">
        <f t="shared" si="102"/>
        <v>1</v>
      </c>
      <c r="AD187" s="51">
        <f>COUNTIF($X$5:$X$187, "Not Used")</f>
        <v>183</v>
      </c>
      <c r="AE187" s="51">
        <f>COUNTIF($X$5:$X$187, "TRUE")</f>
        <v>0</v>
      </c>
      <c r="AF187" s="51" t="b">
        <f t="shared" si="103"/>
        <v>1</v>
      </c>
      <c r="AI187" s="51" t="b">
        <f t="shared" si="104"/>
        <v>0</v>
      </c>
      <c r="AJ187" s="51" t="b">
        <f t="shared" si="105"/>
        <v>0</v>
      </c>
      <c r="AK187" s="51" t="b">
        <f t="shared" si="106"/>
        <v>0</v>
      </c>
      <c r="AL187" s="51" t="b">
        <f t="shared" si="107"/>
        <v>0</v>
      </c>
      <c r="AM187" s="51" t="b">
        <f t="shared" si="108"/>
        <v>0</v>
      </c>
      <c r="AN187" s="51"/>
      <c r="AO187" s="51" t="b">
        <f t="shared" si="109"/>
        <v>0</v>
      </c>
      <c r="AP187" s="51" t="str">
        <f t="shared" si="131"/>
        <v>Not in MMS</v>
      </c>
      <c r="AQ187" s="51" t="b">
        <f t="shared" si="110"/>
        <v>0</v>
      </c>
      <c r="AR187" s="51" t="b">
        <f t="shared" si="111"/>
        <v>0</v>
      </c>
      <c r="AS187" s="51" t="str">
        <f t="shared" si="112"/>
        <v/>
      </c>
      <c r="AT187" s="51" t="str">
        <f t="shared" si="113"/>
        <v/>
      </c>
      <c r="AU187" s="51" t="str">
        <f t="shared" si="114"/>
        <v/>
      </c>
      <c r="AV187" s="51" t="str">
        <f t="shared" si="115"/>
        <v/>
      </c>
      <c r="AW187" s="51" t="str">
        <f t="shared" si="116"/>
        <v/>
      </c>
      <c r="AX187" s="51" t="str">
        <f t="shared" si="117"/>
        <v/>
      </c>
      <c r="AY187" s="51" t="str">
        <f t="shared" si="118"/>
        <v/>
      </c>
      <c r="AZ187" s="51" t="str">
        <f t="shared" si="119"/>
        <v/>
      </c>
      <c r="BA187" s="51" t="str">
        <f t="shared" si="120"/>
        <v/>
      </c>
      <c r="BB187" s="51" t="str">
        <f t="shared" si="121"/>
        <v/>
      </c>
      <c r="BC187" s="51" t="str">
        <f t="shared" si="122"/>
        <v/>
      </c>
      <c r="BD187" s="51" t="str">
        <f t="shared" si="123"/>
        <v/>
      </c>
      <c r="BE187" s="51" t="str">
        <f t="shared" si="124"/>
        <v/>
      </c>
      <c r="BF187" s="51" t="str">
        <f t="shared" si="125"/>
        <v/>
      </c>
      <c r="BG187" s="51" t="str">
        <f t="shared" si="126"/>
        <v/>
      </c>
      <c r="BH187" s="51" t="b">
        <f t="shared" si="127"/>
        <v>0</v>
      </c>
      <c r="BI187" s="51" t="str">
        <f t="shared" si="128"/>
        <v/>
      </c>
      <c r="BJ187" s="51" t="str">
        <f t="shared" si="129"/>
        <v/>
      </c>
      <c r="BK187" s="51" t="b">
        <f t="shared" si="130"/>
        <v>0</v>
      </c>
      <c r="BL187" s="192"/>
    </row>
    <row r="188" spans="1:64" ht="13.5" thickBot="1" x14ac:dyDescent="0.25">
      <c r="A188" s="185" t="s">
        <v>879</v>
      </c>
      <c r="B188" s="194" t="s">
        <v>695</v>
      </c>
      <c r="C188" s="194" t="s">
        <v>695</v>
      </c>
      <c r="D188" s="194" t="s">
        <v>695</v>
      </c>
      <c r="E188" s="193" t="s">
        <v>694</v>
      </c>
      <c r="F188" s="160" t="s">
        <v>20</v>
      </c>
      <c r="G188" s="161"/>
      <c r="H188" s="186" t="str">
        <f t="shared" si="88"/>
        <v>N/A</v>
      </c>
      <c r="I188" s="186" t="b">
        <f t="shared" si="89"/>
        <v>1</v>
      </c>
      <c r="J188" s="186" t="str">
        <f t="shared" si="90"/>
        <v>N/A</v>
      </c>
      <c r="K188" s="186" t="b">
        <f t="shared" si="91"/>
        <v>1</v>
      </c>
      <c r="L188" s="186" t="str">
        <f t="shared" si="92"/>
        <v>N/A</v>
      </c>
      <c r="M188" s="186" t="b">
        <f t="shared" si="93"/>
        <v>1</v>
      </c>
      <c r="N188" s="186" t="str">
        <f t="shared" si="94"/>
        <v>Used?</v>
      </c>
      <c r="O188" s="186" t="b">
        <f t="shared" si="95"/>
        <v>0</v>
      </c>
      <c r="P188" s="26" t="s">
        <v>696</v>
      </c>
      <c r="Q188" s="160" t="s">
        <v>20</v>
      </c>
      <c r="R188" s="160" t="s">
        <v>20</v>
      </c>
      <c r="S188" s="26" t="s">
        <v>697</v>
      </c>
      <c r="T188" s="165" t="str">
        <f t="shared" si="96"/>
        <v>Not Used</v>
      </c>
      <c r="U188" s="162"/>
      <c r="V188" s="55"/>
      <c r="W188" s="51" t="b">
        <f t="shared" si="97"/>
        <v>1</v>
      </c>
      <c r="X188" s="51" t="str">
        <f t="shared" si="98"/>
        <v>Not Used</v>
      </c>
      <c r="Y188" s="51" t="str">
        <f t="shared" si="99"/>
        <v>Not Used</v>
      </c>
      <c r="Z188" s="51" t="str">
        <f t="shared" si="100"/>
        <v>Not Used</v>
      </c>
      <c r="AA188" s="51" t="str">
        <f t="shared" si="100"/>
        <v>Not Used</v>
      </c>
      <c r="AB188" s="51" t="str">
        <f t="shared" si="101"/>
        <v>Not Used</v>
      </c>
      <c r="AC188" s="51" t="b">
        <f t="shared" si="102"/>
        <v>1</v>
      </c>
      <c r="AD188" s="51">
        <f>COUNTIF($X$5:$X$188, "Not Used")</f>
        <v>184</v>
      </c>
      <c r="AE188" s="51">
        <f>COUNTIF($X$5:$X$188, "TRUE")</f>
        <v>0</v>
      </c>
      <c r="AF188" s="51" t="b">
        <f t="shared" si="103"/>
        <v>1</v>
      </c>
      <c r="AI188" s="51" t="b">
        <f t="shared" si="104"/>
        <v>0</v>
      </c>
      <c r="AJ188" s="51" t="b">
        <f t="shared" si="105"/>
        <v>0</v>
      </c>
      <c r="AK188" s="51" t="b">
        <f t="shared" si="106"/>
        <v>0</v>
      </c>
      <c r="AL188" s="51" t="b">
        <f t="shared" si="107"/>
        <v>0</v>
      </c>
      <c r="AM188" s="51" t="b">
        <f t="shared" si="108"/>
        <v>0</v>
      </c>
      <c r="AN188" s="51"/>
      <c r="AO188" s="51" t="b">
        <f t="shared" si="109"/>
        <v>0</v>
      </c>
      <c r="AP188" s="51" t="str">
        <f t="shared" si="131"/>
        <v>Not in MMS</v>
      </c>
      <c r="AQ188" s="51" t="b">
        <f t="shared" si="110"/>
        <v>0</v>
      </c>
      <c r="AR188" s="51" t="b">
        <f t="shared" si="111"/>
        <v>0</v>
      </c>
      <c r="AS188" s="51" t="str">
        <f t="shared" si="112"/>
        <v/>
      </c>
      <c r="AT188" s="51" t="str">
        <f t="shared" si="113"/>
        <v/>
      </c>
      <c r="AU188" s="51" t="str">
        <f t="shared" si="114"/>
        <v/>
      </c>
      <c r="AV188" s="51" t="str">
        <f t="shared" si="115"/>
        <v/>
      </c>
      <c r="AW188" s="51" t="str">
        <f t="shared" si="116"/>
        <v/>
      </c>
      <c r="AX188" s="51" t="str">
        <f t="shared" si="117"/>
        <v/>
      </c>
      <c r="AY188" s="51" t="str">
        <f t="shared" si="118"/>
        <v/>
      </c>
      <c r="AZ188" s="51" t="str">
        <f t="shared" si="119"/>
        <v/>
      </c>
      <c r="BA188" s="51" t="str">
        <f t="shared" si="120"/>
        <v/>
      </c>
      <c r="BB188" s="51" t="str">
        <f t="shared" si="121"/>
        <v/>
      </c>
      <c r="BC188" s="51" t="str">
        <f t="shared" si="122"/>
        <v/>
      </c>
      <c r="BD188" s="51" t="str">
        <f t="shared" si="123"/>
        <v/>
      </c>
      <c r="BE188" s="51" t="str">
        <f t="shared" si="124"/>
        <v/>
      </c>
      <c r="BF188" s="51" t="str">
        <f t="shared" si="125"/>
        <v/>
      </c>
      <c r="BG188" s="51" t="str">
        <f t="shared" si="126"/>
        <v/>
      </c>
      <c r="BH188" s="51" t="b">
        <f t="shared" si="127"/>
        <v>0</v>
      </c>
      <c r="BI188" s="51" t="str">
        <f t="shared" si="128"/>
        <v/>
      </c>
      <c r="BJ188" s="51" t="str">
        <f t="shared" si="129"/>
        <v/>
      </c>
      <c r="BK188" s="51" t="b">
        <f t="shared" si="130"/>
        <v>0</v>
      </c>
      <c r="BL188" s="192"/>
    </row>
    <row r="189" spans="1:64" ht="13.5" thickBot="1" x14ac:dyDescent="0.25">
      <c r="A189" s="185" t="s">
        <v>880</v>
      </c>
      <c r="B189" s="194" t="s">
        <v>695</v>
      </c>
      <c r="C189" s="194" t="s">
        <v>695</v>
      </c>
      <c r="D189" s="194" t="s">
        <v>695</v>
      </c>
      <c r="E189" s="193" t="s">
        <v>694</v>
      </c>
      <c r="F189" s="160" t="s">
        <v>20</v>
      </c>
      <c r="G189" s="161"/>
      <c r="H189" s="186" t="str">
        <f t="shared" si="88"/>
        <v>N/A</v>
      </c>
      <c r="I189" s="186" t="b">
        <f t="shared" si="89"/>
        <v>1</v>
      </c>
      <c r="J189" s="186" t="str">
        <f t="shared" si="90"/>
        <v>N/A</v>
      </c>
      <c r="K189" s="186" t="b">
        <f t="shared" si="91"/>
        <v>1</v>
      </c>
      <c r="L189" s="186" t="str">
        <f t="shared" si="92"/>
        <v>N/A</v>
      </c>
      <c r="M189" s="186" t="b">
        <f t="shared" si="93"/>
        <v>1</v>
      </c>
      <c r="N189" s="186" t="str">
        <f t="shared" si="94"/>
        <v>Used?</v>
      </c>
      <c r="O189" s="186" t="b">
        <f t="shared" si="95"/>
        <v>0</v>
      </c>
      <c r="P189" s="26" t="s">
        <v>696</v>
      </c>
      <c r="Q189" s="160" t="s">
        <v>20</v>
      </c>
      <c r="R189" s="160" t="s">
        <v>20</v>
      </c>
      <c r="S189" s="26" t="s">
        <v>697</v>
      </c>
      <c r="T189" s="165" t="str">
        <f t="shared" si="96"/>
        <v>Not Used</v>
      </c>
      <c r="U189" s="162"/>
      <c r="V189" s="55"/>
      <c r="W189" s="51" t="b">
        <f t="shared" si="97"/>
        <v>1</v>
      </c>
      <c r="X189" s="51" t="str">
        <f t="shared" si="98"/>
        <v>Not Used</v>
      </c>
      <c r="Y189" s="51" t="str">
        <f t="shared" si="99"/>
        <v>Not Used</v>
      </c>
      <c r="Z189" s="51" t="str">
        <f t="shared" si="100"/>
        <v>Not Used</v>
      </c>
      <c r="AA189" s="51" t="str">
        <f t="shared" si="100"/>
        <v>Not Used</v>
      </c>
      <c r="AB189" s="51" t="str">
        <f t="shared" si="101"/>
        <v>Not Used</v>
      </c>
      <c r="AC189" s="51" t="b">
        <f t="shared" si="102"/>
        <v>1</v>
      </c>
      <c r="AD189" s="51">
        <f>COUNTIF($X$5:$X$189, "Not Used")</f>
        <v>185</v>
      </c>
      <c r="AE189" s="51">
        <f>COUNTIF($X$5:$X$189, "TRUE")</f>
        <v>0</v>
      </c>
      <c r="AF189" s="51" t="b">
        <f t="shared" si="103"/>
        <v>1</v>
      </c>
      <c r="AI189" s="51" t="b">
        <f t="shared" si="104"/>
        <v>0</v>
      </c>
      <c r="AJ189" s="51" t="b">
        <f t="shared" si="105"/>
        <v>0</v>
      </c>
      <c r="AK189" s="51" t="b">
        <f t="shared" si="106"/>
        <v>0</v>
      </c>
      <c r="AL189" s="51" t="b">
        <f t="shared" si="107"/>
        <v>0</v>
      </c>
      <c r="AM189" s="51" t="b">
        <f t="shared" si="108"/>
        <v>0</v>
      </c>
      <c r="AN189" s="51"/>
      <c r="AO189" s="51" t="b">
        <f t="shared" si="109"/>
        <v>0</v>
      </c>
      <c r="AP189" s="51" t="str">
        <f t="shared" si="131"/>
        <v>Not in MMS</v>
      </c>
      <c r="AQ189" s="51" t="b">
        <f t="shared" si="110"/>
        <v>0</v>
      </c>
      <c r="AR189" s="51" t="b">
        <f t="shared" si="111"/>
        <v>0</v>
      </c>
      <c r="AS189" s="51" t="str">
        <f t="shared" si="112"/>
        <v/>
      </c>
      <c r="AT189" s="51" t="str">
        <f t="shared" si="113"/>
        <v/>
      </c>
      <c r="AU189" s="51" t="str">
        <f t="shared" si="114"/>
        <v/>
      </c>
      <c r="AV189" s="51" t="str">
        <f t="shared" si="115"/>
        <v/>
      </c>
      <c r="AW189" s="51" t="str">
        <f t="shared" si="116"/>
        <v/>
      </c>
      <c r="AX189" s="51" t="str">
        <f t="shared" si="117"/>
        <v/>
      </c>
      <c r="AY189" s="51" t="str">
        <f t="shared" si="118"/>
        <v/>
      </c>
      <c r="AZ189" s="51" t="str">
        <f t="shared" si="119"/>
        <v/>
      </c>
      <c r="BA189" s="51" t="str">
        <f t="shared" si="120"/>
        <v/>
      </c>
      <c r="BB189" s="51" t="str">
        <f t="shared" si="121"/>
        <v/>
      </c>
      <c r="BC189" s="51" t="str">
        <f t="shared" si="122"/>
        <v/>
      </c>
      <c r="BD189" s="51" t="str">
        <f t="shared" si="123"/>
        <v/>
      </c>
      <c r="BE189" s="51" t="str">
        <f t="shared" si="124"/>
        <v/>
      </c>
      <c r="BF189" s="51" t="str">
        <f t="shared" si="125"/>
        <v/>
      </c>
      <c r="BG189" s="51" t="str">
        <f t="shared" si="126"/>
        <v/>
      </c>
      <c r="BH189" s="51" t="b">
        <f t="shared" si="127"/>
        <v>0</v>
      </c>
      <c r="BI189" s="51" t="str">
        <f t="shared" si="128"/>
        <v/>
      </c>
      <c r="BJ189" s="51" t="str">
        <f t="shared" si="129"/>
        <v/>
      </c>
      <c r="BK189" s="51" t="b">
        <f t="shared" si="130"/>
        <v>0</v>
      </c>
      <c r="BL189" s="192"/>
    </row>
    <row r="190" spans="1:64" ht="13.5" thickBot="1" x14ac:dyDescent="0.25">
      <c r="A190" s="185" t="s">
        <v>881</v>
      </c>
      <c r="B190" s="194" t="s">
        <v>695</v>
      </c>
      <c r="C190" s="194" t="s">
        <v>695</v>
      </c>
      <c r="D190" s="194" t="s">
        <v>695</v>
      </c>
      <c r="E190" s="193" t="s">
        <v>694</v>
      </c>
      <c r="F190" s="160" t="s">
        <v>20</v>
      </c>
      <c r="G190" s="161"/>
      <c r="H190" s="186" t="str">
        <f t="shared" si="88"/>
        <v>N/A</v>
      </c>
      <c r="I190" s="186" t="b">
        <f t="shared" si="89"/>
        <v>1</v>
      </c>
      <c r="J190" s="186" t="str">
        <f t="shared" si="90"/>
        <v>N/A</v>
      </c>
      <c r="K190" s="186" t="b">
        <f t="shared" si="91"/>
        <v>1</v>
      </c>
      <c r="L190" s="186" t="str">
        <f t="shared" si="92"/>
        <v>N/A</v>
      </c>
      <c r="M190" s="186" t="b">
        <f t="shared" si="93"/>
        <v>1</v>
      </c>
      <c r="N190" s="186" t="str">
        <f t="shared" si="94"/>
        <v>Used?</v>
      </c>
      <c r="O190" s="186" t="b">
        <f t="shared" si="95"/>
        <v>0</v>
      </c>
      <c r="P190" s="26" t="s">
        <v>696</v>
      </c>
      <c r="Q190" s="160" t="s">
        <v>20</v>
      </c>
      <c r="R190" s="160" t="s">
        <v>20</v>
      </c>
      <c r="S190" s="26" t="s">
        <v>697</v>
      </c>
      <c r="T190" s="165" t="str">
        <f t="shared" si="96"/>
        <v>Not Used</v>
      </c>
      <c r="U190" s="162"/>
      <c r="V190" s="55"/>
      <c r="W190" s="51" t="b">
        <f t="shared" si="97"/>
        <v>1</v>
      </c>
      <c r="X190" s="51" t="str">
        <f t="shared" si="98"/>
        <v>Not Used</v>
      </c>
      <c r="Y190" s="51" t="str">
        <f t="shared" si="99"/>
        <v>Not Used</v>
      </c>
      <c r="Z190" s="51" t="str">
        <f t="shared" si="100"/>
        <v>Not Used</v>
      </c>
      <c r="AA190" s="51" t="str">
        <f t="shared" si="100"/>
        <v>Not Used</v>
      </c>
      <c r="AB190" s="51" t="str">
        <f t="shared" si="101"/>
        <v>Not Used</v>
      </c>
      <c r="AC190" s="51" t="b">
        <f t="shared" si="102"/>
        <v>1</v>
      </c>
      <c r="AD190" s="51">
        <f>COUNTIF($X$5:$X$190, "Not Used")</f>
        <v>186</v>
      </c>
      <c r="AE190" s="51">
        <f>COUNTIF($X$5:$X$190, "TRUE")</f>
        <v>0</v>
      </c>
      <c r="AF190" s="51" t="b">
        <f t="shared" si="103"/>
        <v>1</v>
      </c>
      <c r="AI190" s="51" t="b">
        <f t="shared" si="104"/>
        <v>0</v>
      </c>
      <c r="AJ190" s="51" t="b">
        <f t="shared" si="105"/>
        <v>0</v>
      </c>
      <c r="AK190" s="51" t="b">
        <f t="shared" si="106"/>
        <v>0</v>
      </c>
      <c r="AL190" s="51" t="b">
        <f t="shared" si="107"/>
        <v>0</v>
      </c>
      <c r="AM190" s="51" t="b">
        <f t="shared" si="108"/>
        <v>0</v>
      </c>
      <c r="AN190" s="51"/>
      <c r="AO190" s="51" t="b">
        <f t="shared" si="109"/>
        <v>0</v>
      </c>
      <c r="AP190" s="51" t="str">
        <f t="shared" si="131"/>
        <v>Not in MMS</v>
      </c>
      <c r="AQ190" s="51" t="b">
        <f t="shared" si="110"/>
        <v>0</v>
      </c>
      <c r="AR190" s="51" t="b">
        <f t="shared" si="111"/>
        <v>0</v>
      </c>
      <c r="AS190" s="51" t="str">
        <f t="shared" si="112"/>
        <v/>
      </c>
      <c r="AT190" s="51" t="str">
        <f t="shared" si="113"/>
        <v/>
      </c>
      <c r="AU190" s="51" t="str">
        <f t="shared" si="114"/>
        <v/>
      </c>
      <c r="AV190" s="51" t="str">
        <f t="shared" si="115"/>
        <v/>
      </c>
      <c r="AW190" s="51" t="str">
        <f t="shared" si="116"/>
        <v/>
      </c>
      <c r="AX190" s="51" t="str">
        <f t="shared" si="117"/>
        <v/>
      </c>
      <c r="AY190" s="51" t="str">
        <f t="shared" si="118"/>
        <v/>
      </c>
      <c r="AZ190" s="51" t="str">
        <f t="shared" si="119"/>
        <v/>
      </c>
      <c r="BA190" s="51" t="str">
        <f t="shared" si="120"/>
        <v/>
      </c>
      <c r="BB190" s="51" t="str">
        <f t="shared" si="121"/>
        <v/>
      </c>
      <c r="BC190" s="51" t="str">
        <f t="shared" si="122"/>
        <v/>
      </c>
      <c r="BD190" s="51" t="str">
        <f t="shared" si="123"/>
        <v/>
      </c>
      <c r="BE190" s="51" t="str">
        <f t="shared" si="124"/>
        <v/>
      </c>
      <c r="BF190" s="51" t="str">
        <f t="shared" si="125"/>
        <v/>
      </c>
      <c r="BG190" s="51" t="str">
        <f t="shared" si="126"/>
        <v/>
      </c>
      <c r="BH190" s="51" t="b">
        <f t="shared" si="127"/>
        <v>0</v>
      </c>
      <c r="BI190" s="51" t="str">
        <f t="shared" si="128"/>
        <v/>
      </c>
      <c r="BJ190" s="51" t="str">
        <f t="shared" si="129"/>
        <v/>
      </c>
      <c r="BK190" s="51" t="b">
        <f t="shared" si="130"/>
        <v>0</v>
      </c>
      <c r="BL190" s="192"/>
    </row>
    <row r="191" spans="1:64" ht="13.5" thickBot="1" x14ac:dyDescent="0.25">
      <c r="A191" s="185" t="s">
        <v>882</v>
      </c>
      <c r="B191" s="194" t="s">
        <v>695</v>
      </c>
      <c r="C191" s="194" t="s">
        <v>695</v>
      </c>
      <c r="D191" s="194" t="s">
        <v>695</v>
      </c>
      <c r="E191" s="193" t="s">
        <v>694</v>
      </c>
      <c r="F191" s="160" t="s">
        <v>20</v>
      </c>
      <c r="G191" s="161"/>
      <c r="H191" s="186" t="str">
        <f t="shared" si="88"/>
        <v>N/A</v>
      </c>
      <c r="I191" s="186" t="b">
        <f t="shared" si="89"/>
        <v>1</v>
      </c>
      <c r="J191" s="186" t="str">
        <f t="shared" si="90"/>
        <v>N/A</v>
      </c>
      <c r="K191" s="186" t="b">
        <f t="shared" si="91"/>
        <v>1</v>
      </c>
      <c r="L191" s="186" t="str">
        <f t="shared" si="92"/>
        <v>N/A</v>
      </c>
      <c r="M191" s="186" t="b">
        <f t="shared" si="93"/>
        <v>1</v>
      </c>
      <c r="N191" s="186" t="str">
        <f t="shared" si="94"/>
        <v>Used?</v>
      </c>
      <c r="O191" s="186" t="b">
        <f t="shared" si="95"/>
        <v>0</v>
      </c>
      <c r="P191" s="26" t="s">
        <v>696</v>
      </c>
      <c r="Q191" s="160" t="s">
        <v>20</v>
      </c>
      <c r="R191" s="160" t="s">
        <v>20</v>
      </c>
      <c r="S191" s="26" t="s">
        <v>697</v>
      </c>
      <c r="T191" s="165" t="str">
        <f t="shared" si="96"/>
        <v>Not Used</v>
      </c>
      <c r="U191" s="162"/>
      <c r="V191" s="55"/>
      <c r="W191" s="51" t="b">
        <f t="shared" si="97"/>
        <v>1</v>
      </c>
      <c r="X191" s="51" t="str">
        <f t="shared" si="98"/>
        <v>Not Used</v>
      </c>
      <c r="Y191" s="51" t="str">
        <f t="shared" si="99"/>
        <v>Not Used</v>
      </c>
      <c r="Z191" s="51" t="str">
        <f t="shared" si="100"/>
        <v>Not Used</v>
      </c>
      <c r="AA191" s="51" t="str">
        <f t="shared" si="100"/>
        <v>Not Used</v>
      </c>
      <c r="AB191" s="51" t="str">
        <f t="shared" si="101"/>
        <v>Not Used</v>
      </c>
      <c r="AC191" s="51" t="b">
        <f t="shared" si="102"/>
        <v>1</v>
      </c>
      <c r="AD191" s="51">
        <f>COUNTIF($X$5:$X$191, "Not Used")</f>
        <v>187</v>
      </c>
      <c r="AE191" s="51">
        <f>COUNTIF($X$5:$X$191, "TRUE")</f>
        <v>0</v>
      </c>
      <c r="AF191" s="51" t="b">
        <f t="shared" si="103"/>
        <v>1</v>
      </c>
      <c r="AI191" s="51" t="b">
        <f t="shared" si="104"/>
        <v>0</v>
      </c>
      <c r="AJ191" s="51" t="b">
        <f t="shared" si="105"/>
        <v>0</v>
      </c>
      <c r="AK191" s="51" t="b">
        <f t="shared" si="106"/>
        <v>0</v>
      </c>
      <c r="AL191" s="51" t="b">
        <f t="shared" si="107"/>
        <v>0</v>
      </c>
      <c r="AM191" s="51" t="b">
        <f t="shared" si="108"/>
        <v>0</v>
      </c>
      <c r="AN191" s="51"/>
      <c r="AO191" s="51" t="b">
        <f t="shared" si="109"/>
        <v>0</v>
      </c>
      <c r="AP191" s="51" t="str">
        <f t="shared" si="131"/>
        <v>Not in MMS</v>
      </c>
      <c r="AQ191" s="51" t="b">
        <f t="shared" si="110"/>
        <v>0</v>
      </c>
      <c r="AR191" s="51" t="b">
        <f t="shared" si="111"/>
        <v>0</v>
      </c>
      <c r="AS191" s="51" t="str">
        <f t="shared" si="112"/>
        <v/>
      </c>
      <c r="AT191" s="51" t="str">
        <f t="shared" si="113"/>
        <v/>
      </c>
      <c r="AU191" s="51" t="str">
        <f t="shared" si="114"/>
        <v/>
      </c>
      <c r="AV191" s="51" t="str">
        <f t="shared" si="115"/>
        <v/>
      </c>
      <c r="AW191" s="51" t="str">
        <f t="shared" si="116"/>
        <v/>
      </c>
      <c r="AX191" s="51" t="str">
        <f t="shared" si="117"/>
        <v/>
      </c>
      <c r="AY191" s="51" t="str">
        <f t="shared" si="118"/>
        <v/>
      </c>
      <c r="AZ191" s="51" t="str">
        <f t="shared" si="119"/>
        <v/>
      </c>
      <c r="BA191" s="51" t="str">
        <f t="shared" si="120"/>
        <v/>
      </c>
      <c r="BB191" s="51" t="str">
        <f t="shared" si="121"/>
        <v/>
      </c>
      <c r="BC191" s="51" t="str">
        <f t="shared" si="122"/>
        <v/>
      </c>
      <c r="BD191" s="51" t="str">
        <f t="shared" si="123"/>
        <v/>
      </c>
      <c r="BE191" s="51" t="str">
        <f t="shared" si="124"/>
        <v/>
      </c>
      <c r="BF191" s="51" t="str">
        <f t="shared" si="125"/>
        <v/>
      </c>
      <c r="BG191" s="51" t="str">
        <f t="shared" si="126"/>
        <v/>
      </c>
      <c r="BH191" s="51" t="b">
        <f t="shared" si="127"/>
        <v>0</v>
      </c>
      <c r="BI191" s="51" t="str">
        <f t="shared" si="128"/>
        <v/>
      </c>
      <c r="BJ191" s="51" t="str">
        <f t="shared" si="129"/>
        <v/>
      </c>
      <c r="BK191" s="51" t="b">
        <f t="shared" si="130"/>
        <v>0</v>
      </c>
      <c r="BL191" s="192"/>
    </row>
    <row r="192" spans="1:64" ht="13.5" thickBot="1" x14ac:dyDescent="0.25">
      <c r="A192" s="185" t="s">
        <v>883</v>
      </c>
      <c r="B192" s="194" t="s">
        <v>695</v>
      </c>
      <c r="C192" s="194" t="s">
        <v>695</v>
      </c>
      <c r="D192" s="194" t="s">
        <v>695</v>
      </c>
      <c r="E192" s="193" t="s">
        <v>694</v>
      </c>
      <c r="F192" s="160" t="s">
        <v>20</v>
      </c>
      <c r="G192" s="161"/>
      <c r="H192" s="186" t="str">
        <f t="shared" si="88"/>
        <v>N/A</v>
      </c>
      <c r="I192" s="186" t="b">
        <f t="shared" si="89"/>
        <v>1</v>
      </c>
      <c r="J192" s="186" t="str">
        <f t="shared" si="90"/>
        <v>N/A</v>
      </c>
      <c r="K192" s="186" t="b">
        <f t="shared" si="91"/>
        <v>1</v>
      </c>
      <c r="L192" s="186" t="str">
        <f t="shared" si="92"/>
        <v>N/A</v>
      </c>
      <c r="M192" s="186" t="b">
        <f t="shared" si="93"/>
        <v>1</v>
      </c>
      <c r="N192" s="186" t="str">
        <f t="shared" si="94"/>
        <v>Used?</v>
      </c>
      <c r="O192" s="186" t="b">
        <f t="shared" si="95"/>
        <v>0</v>
      </c>
      <c r="P192" s="26" t="s">
        <v>696</v>
      </c>
      <c r="Q192" s="160" t="s">
        <v>20</v>
      </c>
      <c r="R192" s="160" t="s">
        <v>20</v>
      </c>
      <c r="S192" s="26" t="s">
        <v>697</v>
      </c>
      <c r="T192" s="165" t="str">
        <f t="shared" si="96"/>
        <v>Not Used</v>
      </c>
      <c r="U192" s="162"/>
      <c r="V192" s="55"/>
      <c r="W192" s="51" t="b">
        <f t="shared" si="97"/>
        <v>1</v>
      </c>
      <c r="X192" s="51" t="str">
        <f t="shared" si="98"/>
        <v>Not Used</v>
      </c>
      <c r="Y192" s="51" t="str">
        <f t="shared" si="99"/>
        <v>Not Used</v>
      </c>
      <c r="Z192" s="51" t="str">
        <f t="shared" si="100"/>
        <v>Not Used</v>
      </c>
      <c r="AA192" s="51" t="str">
        <f t="shared" si="100"/>
        <v>Not Used</v>
      </c>
      <c r="AB192" s="51" t="str">
        <f t="shared" si="101"/>
        <v>Not Used</v>
      </c>
      <c r="AC192" s="51" t="b">
        <f t="shared" si="102"/>
        <v>1</v>
      </c>
      <c r="AD192" s="51">
        <f>COUNTIF($X$5:$X$192, "Not Used")</f>
        <v>188</v>
      </c>
      <c r="AE192" s="51">
        <f>COUNTIF($X$5:$X$192, "TRUE")</f>
        <v>0</v>
      </c>
      <c r="AF192" s="51" t="b">
        <f t="shared" si="103"/>
        <v>1</v>
      </c>
      <c r="AI192" s="51" t="b">
        <f t="shared" si="104"/>
        <v>0</v>
      </c>
      <c r="AJ192" s="51" t="b">
        <f t="shared" si="105"/>
        <v>0</v>
      </c>
      <c r="AK192" s="51" t="b">
        <f t="shared" si="106"/>
        <v>0</v>
      </c>
      <c r="AL192" s="51" t="b">
        <f t="shared" si="107"/>
        <v>0</v>
      </c>
      <c r="AM192" s="51" t="b">
        <f t="shared" si="108"/>
        <v>0</v>
      </c>
      <c r="AN192" s="51"/>
      <c r="AO192" s="51" t="b">
        <f t="shared" si="109"/>
        <v>0</v>
      </c>
      <c r="AP192" s="51" t="str">
        <f t="shared" si="131"/>
        <v>Not in MMS</v>
      </c>
      <c r="AQ192" s="51" t="b">
        <f t="shared" si="110"/>
        <v>0</v>
      </c>
      <c r="AR192" s="51" t="b">
        <f t="shared" si="111"/>
        <v>0</v>
      </c>
      <c r="AS192" s="51" t="str">
        <f t="shared" si="112"/>
        <v/>
      </c>
      <c r="AT192" s="51" t="str">
        <f t="shared" si="113"/>
        <v/>
      </c>
      <c r="AU192" s="51" t="str">
        <f t="shared" si="114"/>
        <v/>
      </c>
      <c r="AV192" s="51" t="str">
        <f t="shared" si="115"/>
        <v/>
      </c>
      <c r="AW192" s="51" t="str">
        <f t="shared" si="116"/>
        <v/>
      </c>
      <c r="AX192" s="51" t="str">
        <f t="shared" si="117"/>
        <v/>
      </c>
      <c r="AY192" s="51" t="str">
        <f t="shared" si="118"/>
        <v/>
      </c>
      <c r="AZ192" s="51" t="str">
        <f t="shared" si="119"/>
        <v/>
      </c>
      <c r="BA192" s="51" t="str">
        <f t="shared" si="120"/>
        <v/>
      </c>
      <c r="BB192" s="51" t="str">
        <f t="shared" si="121"/>
        <v/>
      </c>
      <c r="BC192" s="51" t="str">
        <f t="shared" si="122"/>
        <v/>
      </c>
      <c r="BD192" s="51" t="str">
        <f t="shared" si="123"/>
        <v/>
      </c>
      <c r="BE192" s="51" t="str">
        <f t="shared" si="124"/>
        <v/>
      </c>
      <c r="BF192" s="51" t="str">
        <f t="shared" si="125"/>
        <v/>
      </c>
      <c r="BG192" s="51" t="str">
        <f t="shared" si="126"/>
        <v/>
      </c>
      <c r="BH192" s="51" t="b">
        <f t="shared" si="127"/>
        <v>0</v>
      </c>
      <c r="BI192" s="51" t="str">
        <f t="shared" si="128"/>
        <v/>
      </c>
      <c r="BJ192" s="51" t="str">
        <f t="shared" si="129"/>
        <v/>
      </c>
      <c r="BK192" s="51" t="b">
        <f t="shared" si="130"/>
        <v>0</v>
      </c>
      <c r="BL192" s="192"/>
    </row>
    <row r="193" spans="1:64" ht="13.5" thickBot="1" x14ac:dyDescent="0.25">
      <c r="A193" s="185" t="s">
        <v>884</v>
      </c>
      <c r="B193" s="194" t="s">
        <v>695</v>
      </c>
      <c r="C193" s="194" t="s">
        <v>695</v>
      </c>
      <c r="D193" s="194" t="s">
        <v>695</v>
      </c>
      <c r="E193" s="193" t="s">
        <v>694</v>
      </c>
      <c r="F193" s="160" t="s">
        <v>20</v>
      </c>
      <c r="G193" s="161"/>
      <c r="H193" s="186" t="str">
        <f t="shared" si="88"/>
        <v>N/A</v>
      </c>
      <c r="I193" s="186" t="b">
        <f t="shared" si="89"/>
        <v>1</v>
      </c>
      <c r="J193" s="186" t="str">
        <f t="shared" si="90"/>
        <v>N/A</v>
      </c>
      <c r="K193" s="186" t="b">
        <f t="shared" si="91"/>
        <v>1</v>
      </c>
      <c r="L193" s="186" t="str">
        <f t="shared" si="92"/>
        <v>N/A</v>
      </c>
      <c r="M193" s="186" t="b">
        <f t="shared" si="93"/>
        <v>1</v>
      </c>
      <c r="N193" s="186" t="str">
        <f t="shared" si="94"/>
        <v>Used?</v>
      </c>
      <c r="O193" s="186" t="b">
        <f t="shared" si="95"/>
        <v>0</v>
      </c>
      <c r="P193" s="26" t="s">
        <v>696</v>
      </c>
      <c r="Q193" s="160" t="s">
        <v>20</v>
      </c>
      <c r="R193" s="160" t="s">
        <v>20</v>
      </c>
      <c r="S193" s="26" t="s">
        <v>697</v>
      </c>
      <c r="T193" s="165" t="str">
        <f t="shared" si="96"/>
        <v>Not Used</v>
      </c>
      <c r="U193" s="162"/>
      <c r="V193" s="55"/>
      <c r="W193" s="51" t="b">
        <f t="shared" si="97"/>
        <v>1</v>
      </c>
      <c r="X193" s="51" t="str">
        <f t="shared" si="98"/>
        <v>Not Used</v>
      </c>
      <c r="Y193" s="51" t="str">
        <f t="shared" si="99"/>
        <v>Not Used</v>
      </c>
      <c r="Z193" s="51" t="str">
        <f t="shared" si="100"/>
        <v>Not Used</v>
      </c>
      <c r="AA193" s="51" t="str">
        <f t="shared" si="100"/>
        <v>Not Used</v>
      </c>
      <c r="AB193" s="51" t="str">
        <f t="shared" si="101"/>
        <v>Not Used</v>
      </c>
      <c r="AC193" s="51" t="b">
        <f t="shared" si="102"/>
        <v>1</v>
      </c>
      <c r="AD193" s="51">
        <f>COUNTIF($X$5:$X$193, "Not Used")</f>
        <v>189</v>
      </c>
      <c r="AE193" s="51">
        <f>COUNTIF($X$5:$X$193, "TRUE")</f>
        <v>0</v>
      </c>
      <c r="AF193" s="51" t="b">
        <f t="shared" si="103"/>
        <v>1</v>
      </c>
      <c r="AI193" s="51" t="b">
        <f t="shared" si="104"/>
        <v>0</v>
      </c>
      <c r="AJ193" s="51" t="b">
        <f t="shared" si="105"/>
        <v>0</v>
      </c>
      <c r="AK193" s="51" t="b">
        <f t="shared" si="106"/>
        <v>0</v>
      </c>
      <c r="AL193" s="51" t="b">
        <f t="shared" si="107"/>
        <v>0</v>
      </c>
      <c r="AM193" s="51" t="b">
        <f t="shared" si="108"/>
        <v>0</v>
      </c>
      <c r="AN193" s="51"/>
      <c r="AO193" s="51" t="b">
        <f t="shared" si="109"/>
        <v>0</v>
      </c>
      <c r="AP193" s="51" t="str">
        <f t="shared" si="131"/>
        <v>Not in MMS</v>
      </c>
      <c r="AQ193" s="51" t="b">
        <f t="shared" si="110"/>
        <v>0</v>
      </c>
      <c r="AR193" s="51" t="b">
        <f t="shared" si="111"/>
        <v>0</v>
      </c>
      <c r="AS193" s="51" t="str">
        <f t="shared" si="112"/>
        <v/>
      </c>
      <c r="AT193" s="51" t="str">
        <f t="shared" si="113"/>
        <v/>
      </c>
      <c r="AU193" s="51" t="str">
        <f t="shared" si="114"/>
        <v/>
      </c>
      <c r="AV193" s="51" t="str">
        <f t="shared" si="115"/>
        <v/>
      </c>
      <c r="AW193" s="51" t="str">
        <f t="shared" si="116"/>
        <v/>
      </c>
      <c r="AX193" s="51" t="str">
        <f t="shared" si="117"/>
        <v/>
      </c>
      <c r="AY193" s="51" t="str">
        <f t="shared" si="118"/>
        <v/>
      </c>
      <c r="AZ193" s="51" t="str">
        <f t="shared" si="119"/>
        <v/>
      </c>
      <c r="BA193" s="51" t="str">
        <f t="shared" si="120"/>
        <v/>
      </c>
      <c r="BB193" s="51" t="str">
        <f t="shared" si="121"/>
        <v/>
      </c>
      <c r="BC193" s="51" t="str">
        <f t="shared" si="122"/>
        <v/>
      </c>
      <c r="BD193" s="51" t="str">
        <f t="shared" si="123"/>
        <v/>
      </c>
      <c r="BE193" s="51" t="str">
        <f t="shared" si="124"/>
        <v/>
      </c>
      <c r="BF193" s="51" t="str">
        <f t="shared" si="125"/>
        <v/>
      </c>
      <c r="BG193" s="51" t="str">
        <f t="shared" si="126"/>
        <v/>
      </c>
      <c r="BH193" s="51" t="b">
        <f t="shared" si="127"/>
        <v>0</v>
      </c>
      <c r="BI193" s="51" t="str">
        <f t="shared" si="128"/>
        <v/>
      </c>
      <c r="BJ193" s="51" t="str">
        <f t="shared" si="129"/>
        <v/>
      </c>
      <c r="BK193" s="51" t="b">
        <f t="shared" si="130"/>
        <v>0</v>
      </c>
      <c r="BL193" s="192"/>
    </row>
    <row r="194" spans="1:64" ht="13.5" thickBot="1" x14ac:dyDescent="0.25">
      <c r="A194" s="185" t="s">
        <v>885</v>
      </c>
      <c r="B194" s="194" t="s">
        <v>695</v>
      </c>
      <c r="C194" s="194" t="s">
        <v>695</v>
      </c>
      <c r="D194" s="194" t="s">
        <v>695</v>
      </c>
      <c r="E194" s="193" t="s">
        <v>694</v>
      </c>
      <c r="F194" s="160" t="s">
        <v>20</v>
      </c>
      <c r="G194" s="161"/>
      <c r="H194" s="186" t="str">
        <f t="shared" si="88"/>
        <v>N/A</v>
      </c>
      <c r="I194" s="186" t="b">
        <f t="shared" si="89"/>
        <v>1</v>
      </c>
      <c r="J194" s="186" t="str">
        <f t="shared" si="90"/>
        <v>N/A</v>
      </c>
      <c r="K194" s="186" t="b">
        <f t="shared" si="91"/>
        <v>1</v>
      </c>
      <c r="L194" s="186" t="str">
        <f t="shared" si="92"/>
        <v>N/A</v>
      </c>
      <c r="M194" s="186" t="b">
        <f t="shared" si="93"/>
        <v>1</v>
      </c>
      <c r="N194" s="186" t="str">
        <f t="shared" si="94"/>
        <v>Used?</v>
      </c>
      <c r="O194" s="186" t="b">
        <f t="shared" si="95"/>
        <v>0</v>
      </c>
      <c r="P194" s="26" t="s">
        <v>696</v>
      </c>
      <c r="Q194" s="160" t="s">
        <v>20</v>
      </c>
      <c r="R194" s="160" t="s">
        <v>20</v>
      </c>
      <c r="S194" s="26" t="s">
        <v>697</v>
      </c>
      <c r="T194" s="165" t="str">
        <f t="shared" si="96"/>
        <v>Not Used</v>
      </c>
      <c r="U194" s="162"/>
      <c r="V194" s="55"/>
      <c r="W194" s="51" t="b">
        <f t="shared" si="97"/>
        <v>1</v>
      </c>
      <c r="X194" s="51" t="str">
        <f t="shared" si="98"/>
        <v>Not Used</v>
      </c>
      <c r="Y194" s="51" t="str">
        <f t="shared" si="99"/>
        <v>Not Used</v>
      </c>
      <c r="Z194" s="51" t="str">
        <f t="shared" si="100"/>
        <v>Not Used</v>
      </c>
      <c r="AA194" s="51" t="str">
        <f t="shared" si="100"/>
        <v>Not Used</v>
      </c>
      <c r="AB194" s="51" t="str">
        <f t="shared" si="101"/>
        <v>Not Used</v>
      </c>
      <c r="AC194" s="51" t="b">
        <f t="shared" si="102"/>
        <v>1</v>
      </c>
      <c r="AD194" s="51">
        <f>COUNTIF($X$5:$X$194, "Not Used")</f>
        <v>190</v>
      </c>
      <c r="AE194" s="51">
        <f>COUNTIF($X$5:$X$194, "TRUE")</f>
        <v>0</v>
      </c>
      <c r="AF194" s="51" t="b">
        <f t="shared" si="103"/>
        <v>1</v>
      </c>
      <c r="AI194" s="51" t="b">
        <f t="shared" si="104"/>
        <v>0</v>
      </c>
      <c r="AJ194" s="51" t="b">
        <f t="shared" si="105"/>
        <v>0</v>
      </c>
      <c r="AK194" s="51" t="b">
        <f t="shared" si="106"/>
        <v>0</v>
      </c>
      <c r="AL194" s="51" t="b">
        <f t="shared" si="107"/>
        <v>0</v>
      </c>
      <c r="AM194" s="51" t="b">
        <f t="shared" si="108"/>
        <v>0</v>
      </c>
      <c r="AN194" s="51"/>
      <c r="AO194" s="51" t="b">
        <f t="shared" si="109"/>
        <v>0</v>
      </c>
      <c r="AP194" s="51" t="str">
        <f t="shared" si="131"/>
        <v>Not in MMS</v>
      </c>
      <c r="AQ194" s="51" t="b">
        <f t="shared" si="110"/>
        <v>0</v>
      </c>
      <c r="AR194" s="51" t="b">
        <f t="shared" si="111"/>
        <v>0</v>
      </c>
      <c r="AS194" s="51" t="str">
        <f t="shared" si="112"/>
        <v/>
      </c>
      <c r="AT194" s="51" t="str">
        <f t="shared" si="113"/>
        <v/>
      </c>
      <c r="AU194" s="51" t="str">
        <f t="shared" si="114"/>
        <v/>
      </c>
      <c r="AV194" s="51" t="str">
        <f t="shared" si="115"/>
        <v/>
      </c>
      <c r="AW194" s="51" t="str">
        <f t="shared" si="116"/>
        <v/>
      </c>
      <c r="AX194" s="51" t="str">
        <f t="shared" si="117"/>
        <v/>
      </c>
      <c r="AY194" s="51" t="str">
        <f t="shared" si="118"/>
        <v/>
      </c>
      <c r="AZ194" s="51" t="str">
        <f t="shared" si="119"/>
        <v/>
      </c>
      <c r="BA194" s="51" t="str">
        <f t="shared" si="120"/>
        <v/>
      </c>
      <c r="BB194" s="51" t="str">
        <f t="shared" si="121"/>
        <v/>
      </c>
      <c r="BC194" s="51" t="str">
        <f t="shared" si="122"/>
        <v/>
      </c>
      <c r="BD194" s="51" t="str">
        <f t="shared" si="123"/>
        <v/>
      </c>
      <c r="BE194" s="51" t="str">
        <f t="shared" si="124"/>
        <v/>
      </c>
      <c r="BF194" s="51" t="str">
        <f t="shared" si="125"/>
        <v/>
      </c>
      <c r="BG194" s="51" t="str">
        <f t="shared" si="126"/>
        <v/>
      </c>
      <c r="BH194" s="51" t="b">
        <f t="shared" si="127"/>
        <v>0</v>
      </c>
      <c r="BI194" s="51" t="str">
        <f t="shared" si="128"/>
        <v/>
      </c>
      <c r="BJ194" s="51" t="str">
        <f t="shared" si="129"/>
        <v/>
      </c>
      <c r="BK194" s="51" t="b">
        <f t="shared" si="130"/>
        <v>0</v>
      </c>
      <c r="BL194" s="192"/>
    </row>
    <row r="195" spans="1:64" ht="13.5" thickBot="1" x14ac:dyDescent="0.25">
      <c r="A195" s="185" t="s">
        <v>886</v>
      </c>
      <c r="B195" s="194" t="s">
        <v>695</v>
      </c>
      <c r="C195" s="194" t="s">
        <v>695</v>
      </c>
      <c r="D195" s="194" t="s">
        <v>695</v>
      </c>
      <c r="E195" s="193" t="s">
        <v>694</v>
      </c>
      <c r="F195" s="160" t="s">
        <v>20</v>
      </c>
      <c r="G195" s="161"/>
      <c r="H195" s="186" t="str">
        <f t="shared" si="88"/>
        <v>N/A</v>
      </c>
      <c r="I195" s="186" t="b">
        <f t="shared" si="89"/>
        <v>1</v>
      </c>
      <c r="J195" s="186" t="str">
        <f t="shared" si="90"/>
        <v>N/A</v>
      </c>
      <c r="K195" s="186" t="b">
        <f t="shared" si="91"/>
        <v>1</v>
      </c>
      <c r="L195" s="186" t="str">
        <f t="shared" si="92"/>
        <v>N/A</v>
      </c>
      <c r="M195" s="186" t="b">
        <f t="shared" si="93"/>
        <v>1</v>
      </c>
      <c r="N195" s="186" t="str">
        <f t="shared" si="94"/>
        <v>Used?</v>
      </c>
      <c r="O195" s="186" t="b">
        <f t="shared" si="95"/>
        <v>0</v>
      </c>
      <c r="P195" s="26" t="s">
        <v>696</v>
      </c>
      <c r="Q195" s="160" t="s">
        <v>20</v>
      </c>
      <c r="R195" s="160" t="s">
        <v>20</v>
      </c>
      <c r="S195" s="26" t="s">
        <v>697</v>
      </c>
      <c r="T195" s="165" t="str">
        <f t="shared" si="96"/>
        <v>Not Used</v>
      </c>
      <c r="U195" s="162"/>
      <c r="V195" s="55"/>
      <c r="W195" s="51" t="b">
        <f t="shared" si="97"/>
        <v>1</v>
      </c>
      <c r="X195" s="51" t="str">
        <f t="shared" si="98"/>
        <v>Not Used</v>
      </c>
      <c r="Y195" s="51" t="str">
        <f t="shared" si="99"/>
        <v>Not Used</v>
      </c>
      <c r="Z195" s="51" t="str">
        <f t="shared" si="100"/>
        <v>Not Used</v>
      </c>
      <c r="AA195" s="51" t="str">
        <f t="shared" si="100"/>
        <v>Not Used</v>
      </c>
      <c r="AB195" s="51" t="str">
        <f t="shared" si="101"/>
        <v>Not Used</v>
      </c>
      <c r="AC195" s="51" t="b">
        <f t="shared" si="102"/>
        <v>1</v>
      </c>
      <c r="AD195" s="51">
        <f>COUNTIF($X$5:$X$195, "Not Used")</f>
        <v>191</v>
      </c>
      <c r="AE195" s="51">
        <f>COUNTIF($X$5:$X$195, "TRUE")</f>
        <v>0</v>
      </c>
      <c r="AF195" s="51" t="b">
        <f t="shared" si="103"/>
        <v>1</v>
      </c>
      <c r="AI195" s="51" t="b">
        <f t="shared" si="104"/>
        <v>0</v>
      </c>
      <c r="AJ195" s="51" t="b">
        <f t="shared" si="105"/>
        <v>0</v>
      </c>
      <c r="AK195" s="51" t="b">
        <f t="shared" si="106"/>
        <v>0</v>
      </c>
      <c r="AL195" s="51" t="b">
        <f t="shared" si="107"/>
        <v>0</v>
      </c>
      <c r="AM195" s="51" t="b">
        <f t="shared" si="108"/>
        <v>0</v>
      </c>
      <c r="AN195" s="51"/>
      <c r="AO195" s="51" t="b">
        <f t="shared" si="109"/>
        <v>0</v>
      </c>
      <c r="AP195" s="51" t="str">
        <f t="shared" si="131"/>
        <v>Not in MMS</v>
      </c>
      <c r="AQ195" s="51" t="b">
        <f t="shared" si="110"/>
        <v>0</v>
      </c>
      <c r="AR195" s="51" t="b">
        <f t="shared" si="111"/>
        <v>0</v>
      </c>
      <c r="AS195" s="51" t="str">
        <f t="shared" si="112"/>
        <v/>
      </c>
      <c r="AT195" s="51" t="str">
        <f t="shared" si="113"/>
        <v/>
      </c>
      <c r="AU195" s="51" t="str">
        <f t="shared" si="114"/>
        <v/>
      </c>
      <c r="AV195" s="51" t="str">
        <f t="shared" si="115"/>
        <v/>
      </c>
      <c r="AW195" s="51" t="str">
        <f t="shared" si="116"/>
        <v/>
      </c>
      <c r="AX195" s="51" t="str">
        <f t="shared" si="117"/>
        <v/>
      </c>
      <c r="AY195" s="51" t="str">
        <f t="shared" si="118"/>
        <v/>
      </c>
      <c r="AZ195" s="51" t="str">
        <f t="shared" si="119"/>
        <v/>
      </c>
      <c r="BA195" s="51" t="str">
        <f t="shared" si="120"/>
        <v/>
      </c>
      <c r="BB195" s="51" t="str">
        <f t="shared" si="121"/>
        <v/>
      </c>
      <c r="BC195" s="51" t="str">
        <f t="shared" si="122"/>
        <v/>
      </c>
      <c r="BD195" s="51" t="str">
        <f t="shared" si="123"/>
        <v/>
      </c>
      <c r="BE195" s="51" t="str">
        <f t="shared" si="124"/>
        <v/>
      </c>
      <c r="BF195" s="51" t="str">
        <f t="shared" si="125"/>
        <v/>
      </c>
      <c r="BG195" s="51" t="str">
        <f t="shared" si="126"/>
        <v/>
      </c>
      <c r="BH195" s="51" t="b">
        <f t="shared" si="127"/>
        <v>0</v>
      </c>
      <c r="BI195" s="51" t="str">
        <f t="shared" si="128"/>
        <v/>
      </c>
      <c r="BJ195" s="51" t="str">
        <f t="shared" si="129"/>
        <v/>
      </c>
      <c r="BK195" s="51" t="b">
        <f t="shared" si="130"/>
        <v>0</v>
      </c>
      <c r="BL195" s="192"/>
    </row>
    <row r="196" spans="1:64" ht="13.5" thickBot="1" x14ac:dyDescent="0.25">
      <c r="A196" s="185" t="s">
        <v>887</v>
      </c>
      <c r="B196" s="194" t="s">
        <v>695</v>
      </c>
      <c r="C196" s="194" t="s">
        <v>695</v>
      </c>
      <c r="D196" s="194" t="s">
        <v>695</v>
      </c>
      <c r="E196" s="193" t="s">
        <v>694</v>
      </c>
      <c r="F196" s="160" t="s">
        <v>20</v>
      </c>
      <c r="G196" s="161"/>
      <c r="H196" s="186" t="str">
        <f t="shared" si="88"/>
        <v>N/A</v>
      </c>
      <c r="I196" s="186" t="b">
        <f t="shared" si="89"/>
        <v>1</v>
      </c>
      <c r="J196" s="186" t="str">
        <f t="shared" si="90"/>
        <v>N/A</v>
      </c>
      <c r="K196" s="186" t="b">
        <f t="shared" si="91"/>
        <v>1</v>
      </c>
      <c r="L196" s="186" t="str">
        <f t="shared" si="92"/>
        <v>N/A</v>
      </c>
      <c r="M196" s="186" t="b">
        <f t="shared" si="93"/>
        <v>1</v>
      </c>
      <c r="N196" s="186" t="str">
        <f t="shared" si="94"/>
        <v>Used?</v>
      </c>
      <c r="O196" s="186" t="b">
        <f t="shared" si="95"/>
        <v>0</v>
      </c>
      <c r="P196" s="26" t="s">
        <v>696</v>
      </c>
      <c r="Q196" s="160" t="s">
        <v>20</v>
      </c>
      <c r="R196" s="160" t="s">
        <v>20</v>
      </c>
      <c r="S196" s="26" t="s">
        <v>697</v>
      </c>
      <c r="T196" s="165" t="str">
        <f t="shared" si="96"/>
        <v>Not Used</v>
      </c>
      <c r="U196" s="162"/>
      <c r="V196" s="55"/>
      <c r="W196" s="51" t="b">
        <f t="shared" si="97"/>
        <v>1</v>
      </c>
      <c r="X196" s="51" t="str">
        <f t="shared" si="98"/>
        <v>Not Used</v>
      </c>
      <c r="Y196" s="51" t="str">
        <f t="shared" si="99"/>
        <v>Not Used</v>
      </c>
      <c r="Z196" s="51" t="str">
        <f t="shared" si="100"/>
        <v>Not Used</v>
      </c>
      <c r="AA196" s="51" t="str">
        <f t="shared" si="100"/>
        <v>Not Used</v>
      </c>
      <c r="AB196" s="51" t="str">
        <f t="shared" si="101"/>
        <v>Not Used</v>
      </c>
      <c r="AC196" s="51" t="b">
        <f t="shared" si="102"/>
        <v>1</v>
      </c>
      <c r="AD196" s="51">
        <f>COUNTIF($X$5:$X$196, "Not Used")</f>
        <v>192</v>
      </c>
      <c r="AE196" s="51">
        <f>COUNTIF($X$5:$X$196, "TRUE")</f>
        <v>0</v>
      </c>
      <c r="AF196" s="51" t="b">
        <f t="shared" si="103"/>
        <v>1</v>
      </c>
      <c r="AI196" s="51" t="b">
        <f t="shared" si="104"/>
        <v>0</v>
      </c>
      <c r="AJ196" s="51" t="b">
        <f t="shared" si="105"/>
        <v>0</v>
      </c>
      <c r="AK196" s="51" t="b">
        <f t="shared" si="106"/>
        <v>0</v>
      </c>
      <c r="AL196" s="51" t="b">
        <f t="shared" si="107"/>
        <v>0</v>
      </c>
      <c r="AM196" s="51" t="b">
        <f t="shared" si="108"/>
        <v>0</v>
      </c>
      <c r="AN196" s="51"/>
      <c r="AO196" s="51" t="b">
        <f t="shared" si="109"/>
        <v>0</v>
      </c>
      <c r="AP196" s="51" t="str">
        <f t="shared" si="131"/>
        <v>Not in MMS</v>
      </c>
      <c r="AQ196" s="51" t="b">
        <f t="shared" si="110"/>
        <v>0</v>
      </c>
      <c r="AR196" s="51" t="b">
        <f t="shared" si="111"/>
        <v>0</v>
      </c>
      <c r="AS196" s="51" t="str">
        <f t="shared" si="112"/>
        <v/>
      </c>
      <c r="AT196" s="51" t="str">
        <f t="shared" si="113"/>
        <v/>
      </c>
      <c r="AU196" s="51" t="str">
        <f t="shared" si="114"/>
        <v/>
      </c>
      <c r="AV196" s="51" t="str">
        <f t="shared" si="115"/>
        <v/>
      </c>
      <c r="AW196" s="51" t="str">
        <f t="shared" si="116"/>
        <v/>
      </c>
      <c r="AX196" s="51" t="str">
        <f t="shared" si="117"/>
        <v/>
      </c>
      <c r="AY196" s="51" t="str">
        <f t="shared" si="118"/>
        <v/>
      </c>
      <c r="AZ196" s="51" t="str">
        <f t="shared" si="119"/>
        <v/>
      </c>
      <c r="BA196" s="51" t="str">
        <f t="shared" si="120"/>
        <v/>
      </c>
      <c r="BB196" s="51" t="str">
        <f t="shared" si="121"/>
        <v/>
      </c>
      <c r="BC196" s="51" t="str">
        <f t="shared" si="122"/>
        <v/>
      </c>
      <c r="BD196" s="51" t="str">
        <f t="shared" si="123"/>
        <v/>
      </c>
      <c r="BE196" s="51" t="str">
        <f t="shared" si="124"/>
        <v/>
      </c>
      <c r="BF196" s="51" t="str">
        <f t="shared" si="125"/>
        <v/>
      </c>
      <c r="BG196" s="51" t="str">
        <f t="shared" si="126"/>
        <v/>
      </c>
      <c r="BH196" s="51" t="b">
        <f t="shared" si="127"/>
        <v>0</v>
      </c>
      <c r="BI196" s="51" t="str">
        <f t="shared" si="128"/>
        <v/>
      </c>
      <c r="BJ196" s="51" t="str">
        <f t="shared" si="129"/>
        <v/>
      </c>
      <c r="BK196" s="51" t="b">
        <f t="shared" si="130"/>
        <v>0</v>
      </c>
      <c r="BL196" s="192"/>
    </row>
    <row r="197" spans="1:64" ht="13.5" thickBot="1" x14ac:dyDescent="0.25">
      <c r="A197" s="185" t="s">
        <v>888</v>
      </c>
      <c r="B197" s="194" t="s">
        <v>695</v>
      </c>
      <c r="C197" s="194" t="s">
        <v>695</v>
      </c>
      <c r="D197" s="194" t="s">
        <v>695</v>
      </c>
      <c r="E197" s="193" t="s">
        <v>694</v>
      </c>
      <c r="F197" s="160" t="s">
        <v>20</v>
      </c>
      <c r="G197" s="161"/>
      <c r="H197" s="186" t="str">
        <f t="shared" si="88"/>
        <v>N/A</v>
      </c>
      <c r="I197" s="186" t="b">
        <f t="shared" si="89"/>
        <v>1</v>
      </c>
      <c r="J197" s="186" t="str">
        <f t="shared" si="90"/>
        <v>N/A</v>
      </c>
      <c r="K197" s="186" t="b">
        <f t="shared" si="91"/>
        <v>1</v>
      </c>
      <c r="L197" s="186" t="str">
        <f t="shared" si="92"/>
        <v>N/A</v>
      </c>
      <c r="M197" s="186" t="b">
        <f t="shared" si="93"/>
        <v>1</v>
      </c>
      <c r="N197" s="186" t="str">
        <f t="shared" si="94"/>
        <v>Used?</v>
      </c>
      <c r="O197" s="186" t="b">
        <f t="shared" si="95"/>
        <v>0</v>
      </c>
      <c r="P197" s="26" t="s">
        <v>696</v>
      </c>
      <c r="Q197" s="160" t="s">
        <v>20</v>
      </c>
      <c r="R197" s="160" t="s">
        <v>20</v>
      </c>
      <c r="S197" s="26" t="s">
        <v>697</v>
      </c>
      <c r="T197" s="165" t="str">
        <f t="shared" si="96"/>
        <v>Not Used</v>
      </c>
      <c r="U197" s="162"/>
      <c r="V197" s="55"/>
      <c r="W197" s="51" t="b">
        <f t="shared" si="97"/>
        <v>1</v>
      </c>
      <c r="X197" s="51" t="str">
        <f t="shared" si="98"/>
        <v>Not Used</v>
      </c>
      <c r="Y197" s="51" t="str">
        <f t="shared" si="99"/>
        <v>Not Used</v>
      </c>
      <c r="Z197" s="51" t="str">
        <f t="shared" si="100"/>
        <v>Not Used</v>
      </c>
      <c r="AA197" s="51" t="str">
        <f t="shared" si="100"/>
        <v>Not Used</v>
      </c>
      <c r="AB197" s="51" t="str">
        <f t="shared" si="101"/>
        <v>Not Used</v>
      </c>
      <c r="AC197" s="51" t="b">
        <f t="shared" si="102"/>
        <v>1</v>
      </c>
      <c r="AD197" s="51">
        <f>COUNTIF($X$5:$X$197, "Not Used")</f>
        <v>193</v>
      </c>
      <c r="AE197" s="51">
        <f>COUNTIF($X$5:$X$197, "TRUE")</f>
        <v>0</v>
      </c>
      <c r="AF197" s="51" t="b">
        <f t="shared" si="103"/>
        <v>1</v>
      </c>
      <c r="AI197" s="51" t="b">
        <f t="shared" si="104"/>
        <v>0</v>
      </c>
      <c r="AJ197" s="51" t="b">
        <f t="shared" si="105"/>
        <v>0</v>
      </c>
      <c r="AK197" s="51" t="b">
        <f t="shared" si="106"/>
        <v>0</v>
      </c>
      <c r="AL197" s="51" t="b">
        <f t="shared" si="107"/>
        <v>0</v>
      </c>
      <c r="AM197" s="51" t="b">
        <f t="shared" si="108"/>
        <v>0</v>
      </c>
      <c r="AN197" s="51"/>
      <c r="AO197" s="51" t="b">
        <f t="shared" si="109"/>
        <v>0</v>
      </c>
      <c r="AP197" s="51" t="str">
        <f t="shared" si="131"/>
        <v>Not in MMS</v>
      </c>
      <c r="AQ197" s="51" t="b">
        <f t="shared" si="110"/>
        <v>0</v>
      </c>
      <c r="AR197" s="51" t="b">
        <f t="shared" si="111"/>
        <v>0</v>
      </c>
      <c r="AS197" s="51" t="str">
        <f t="shared" si="112"/>
        <v/>
      </c>
      <c r="AT197" s="51" t="str">
        <f t="shared" si="113"/>
        <v/>
      </c>
      <c r="AU197" s="51" t="str">
        <f t="shared" si="114"/>
        <v/>
      </c>
      <c r="AV197" s="51" t="str">
        <f t="shared" si="115"/>
        <v/>
      </c>
      <c r="AW197" s="51" t="str">
        <f t="shared" si="116"/>
        <v/>
      </c>
      <c r="AX197" s="51" t="str">
        <f t="shared" si="117"/>
        <v/>
      </c>
      <c r="AY197" s="51" t="str">
        <f t="shared" si="118"/>
        <v/>
      </c>
      <c r="AZ197" s="51" t="str">
        <f t="shared" si="119"/>
        <v/>
      </c>
      <c r="BA197" s="51" t="str">
        <f t="shared" si="120"/>
        <v/>
      </c>
      <c r="BB197" s="51" t="str">
        <f t="shared" si="121"/>
        <v/>
      </c>
      <c r="BC197" s="51" t="str">
        <f t="shared" si="122"/>
        <v/>
      </c>
      <c r="BD197" s="51" t="str">
        <f t="shared" si="123"/>
        <v/>
      </c>
      <c r="BE197" s="51" t="str">
        <f t="shared" si="124"/>
        <v/>
      </c>
      <c r="BF197" s="51" t="str">
        <f t="shared" si="125"/>
        <v/>
      </c>
      <c r="BG197" s="51" t="str">
        <f t="shared" si="126"/>
        <v/>
      </c>
      <c r="BH197" s="51" t="b">
        <f t="shared" si="127"/>
        <v>0</v>
      </c>
      <c r="BI197" s="51" t="str">
        <f t="shared" si="128"/>
        <v/>
      </c>
      <c r="BJ197" s="51" t="str">
        <f t="shared" si="129"/>
        <v/>
      </c>
      <c r="BK197" s="51" t="b">
        <f t="shared" si="130"/>
        <v>0</v>
      </c>
      <c r="BL197" s="192"/>
    </row>
    <row r="198" spans="1:64" ht="13.5" thickBot="1" x14ac:dyDescent="0.25">
      <c r="A198" s="185" t="s">
        <v>889</v>
      </c>
      <c r="B198" s="194" t="s">
        <v>695</v>
      </c>
      <c r="C198" s="194" t="s">
        <v>695</v>
      </c>
      <c r="D198" s="194" t="s">
        <v>695</v>
      </c>
      <c r="E198" s="193" t="s">
        <v>694</v>
      </c>
      <c r="F198" s="160" t="s">
        <v>20</v>
      </c>
      <c r="G198" s="161"/>
      <c r="H198" s="186" t="str">
        <f t="shared" ref="H198:H261" si="132">IF(B198="YES",(IF(F198="Yes",TRUE,(IF(F198="YES WITH MODIFICATION",(IF((NOT(ISBLANK(U198))),"Used with modification","Change Request?")),(IF(F198="N/A",(IF((NOT(ISBLANK(G198))),"Not Used","Rationale?")),(IF(F198="&lt;Select&gt;","Used?",FALSE)))))))),"N/A")</f>
        <v>N/A</v>
      </c>
      <c r="I198" s="186" t="b">
        <f t="shared" ref="I198:I261" si="133">IF(B198="YES",OR(IF(F198="YES",TRUE,FALSE),IF(AND(F198="YES WITH MODIFICATION",NOT(ISBLANK(U198))),TRUE,FALSE),(IF(F198="N/A",NOT(ISBLANK(G198))))),TRUE)</f>
        <v>1</v>
      </c>
      <c r="J198" s="186" t="str">
        <f t="shared" ref="J198:J261" si="134">IF(C198="YES",(IF(F198="YES",TRUE,(IF(F198="YES WITH MODIFICATION",(IF((NOT(ISBLANK(U198))),"Used with modification","Change Request?")),(IF(F198="N/A",(IF((NOT(ISBLANK(G198))),"Not Used","Rationale?")),(IF(F198="&lt;Select&gt;","Used?",FALSE)))))))),"N/A")</f>
        <v>N/A</v>
      </c>
      <c r="K198" s="186" t="b">
        <f t="shared" ref="K198:K261" si="135">IF(C198="YES",OR(IF(F198="YES",TRUE,FALSE),IF(AND(F198="YES WITH MODIFICATION",NOT(ISBLANK(U198))),TRUE,FALSE),(IF(F198="N/A",NOT(ISBLANK(G198))))),TRUE)</f>
        <v>1</v>
      </c>
      <c r="L198" s="186" t="str">
        <f t="shared" ref="L198:L261" si="136">IF(D198="YES",(IF(F198="YES",TRUE,(IF(F198="YES WITH MODIFICATION",(IF((NOT(ISBLANK(U198))),"Used with modification","Change Request?")),(IF(F198="N/A",(IF((NOT(ISBLANK(G198))),"Not Used","Rationale?")),(IF(F198="&lt;Select&gt;","Used?",FALSE)))))))),"N/A")</f>
        <v>N/A</v>
      </c>
      <c r="M198" s="186" t="b">
        <f t="shared" ref="M198:M261" si="137">IF(D198="YES",OR(IF(F198="YES",TRUE,FALSE),IF(AND(F198="YES WITH MODIFICATION",NOT(ISBLANK(U198))),TRUE,FALSE),(IF(F198="N/A",NOT(ISBLANK(G198))))),TRUE)</f>
        <v>1</v>
      </c>
      <c r="N198" s="186" t="str">
        <f t="shared" ref="N198:N261" si="138">IF(E198="YES",(IF(F198="YES",TRUE,(IF(F198="YES WITH MODIFICATION",(IF((NOT(ISBLANK(U198))),"Used with modification","Change Request?")),(IF(F198="N/A",(IF((NOT(ISBLANK(G198))),"Not Used","Rationale?")),(IF(F198="&lt;Select&gt;","Used?",FALSE)))))))),"N/A")</f>
        <v>Used?</v>
      </c>
      <c r="O198" s="186" t="b">
        <f t="shared" ref="O198:O261" si="139">IF(E198="YES",OR(IF(F198="YES",TRUE,FALSE),IF(AND(F198="YES WITH MODIFICATION",NOT(ISBLANK(U198))),TRUE,FALSE),(IF(F198="N/A",NOT(ISBLANK(G198))))),TRUE)</f>
        <v>0</v>
      </c>
      <c r="P198" s="26" t="s">
        <v>696</v>
      </c>
      <c r="Q198" s="160" t="s">
        <v>20</v>
      </c>
      <c r="R198" s="160" t="s">
        <v>20</v>
      </c>
      <c r="S198" s="26" t="s">
        <v>697</v>
      </c>
      <c r="T198" s="165" t="str">
        <f t="shared" ref="T198:T261" si="140">IF(NOT(OR(F198="Yes",F198="YES WITH MODIFICATION")),"Not Used",(AND(X198=Y198,X198=(OR(Z198=TRUE,AA198=TRUE)), X198=AB198, X198=AC198)))</f>
        <v>Not Used</v>
      </c>
      <c r="U198" s="162"/>
      <c r="V198" s="55"/>
      <c r="W198" s="51" t="b">
        <f t="shared" ref="W198:W261" si="141">IF(T198=TRUE,TRUE,(IF(T198="Not Used", TRUE,FALSE)))</f>
        <v>1</v>
      </c>
      <c r="X198" s="51" t="str">
        <f t="shared" ref="X198:X261" si="142">IF(OR(F198="YES",F198="YES WITH MODIFICATION"),TRUE,"Not Used")</f>
        <v>Not Used</v>
      </c>
      <c r="Y198" s="51" t="str">
        <f t="shared" ref="Y198:Y261" si="143">IF(OR(P198="SC §3.X.X.X", ISBLANK(P198)),"Not Used", TRUE)</f>
        <v>Not Used</v>
      </c>
      <c r="Z198" s="51" t="str">
        <f t="shared" ref="Z198:AA261" si="144">IF(OR(Q198="&lt;Select&gt;",(ISBLANK(Q198))),"Not Used",TRUE)</f>
        <v>Not Used</v>
      </c>
      <c r="AA198" s="51" t="str">
        <f t="shared" si="144"/>
        <v>Not Used</v>
      </c>
      <c r="AB198" s="51" t="str">
        <f t="shared" ref="AB198:AB261" si="145">IF(OR(S198="&lt;enter location here&gt;",(ISBLANK(S198))),"Not Used",TRUE)</f>
        <v>Not Used</v>
      </c>
      <c r="AC198" s="51" t="b">
        <f t="shared" ref="AC198:AC261" si="146">IF(F198="YES WITH MODIFICATION",IF(NOT(ISBLANK(U198)),TRUE,FALSE),TRUE)</f>
        <v>1</v>
      </c>
      <c r="AD198" s="51">
        <f>COUNTIF($X$5:$X$198, "Not Used")</f>
        <v>194</v>
      </c>
      <c r="AE198" s="51">
        <f>COUNTIF($X$5:$X$198, "TRUE")</f>
        <v>0</v>
      </c>
      <c r="AF198" s="51" t="b">
        <f t="shared" ref="AF198:AF261" si="147">IF(F198="&lt;Select&gt;", TRUE,FALSE)</f>
        <v>1</v>
      </c>
      <c r="AI198" s="51" t="b">
        <f t="shared" ref="AI198:AI261" si="148">IF(F198="N/A", TRUE, FALSE)</f>
        <v>0</v>
      </c>
      <c r="AJ198" s="51" t="b">
        <f t="shared" ref="AJ198:AJ261" si="149">IF(AI198=TRUE, IF(NOT(ISBLANK(G198)), TRUE, FALSE))</f>
        <v>0</v>
      </c>
      <c r="AK198" s="51" t="b">
        <f t="shared" ref="AK198:AK261" si="150">IF(F198="YES WITH MODIFICATION", TRUE, FALSE)</f>
        <v>0</v>
      </c>
      <c r="AL198" s="51" t="b">
        <f t="shared" ref="AL198:AL261" si="151">IF(ISBLANK(U198), FALSE, TRUE)</f>
        <v>0</v>
      </c>
      <c r="AM198" s="51" t="b">
        <f t="shared" ref="AM198:AM261" si="152">IF(AND(AK198=TRUE, AL198=TRUE), TRUE, FALSE)</f>
        <v>0</v>
      </c>
      <c r="AN198" s="51"/>
      <c r="AO198" s="51" t="b">
        <f t="shared" ref="AO198:AO261" si="153">IF(AND(F198="YES WITH MODIFICATION", NOT(ISBLANK(U198))), TRUE, FALSE)</f>
        <v>0</v>
      </c>
      <c r="AP198" s="51" t="str">
        <f t="shared" si="131"/>
        <v>Not in MMS</v>
      </c>
      <c r="AQ198" s="51" t="b">
        <f t="shared" ref="AQ198:AQ261" si="154">IF(S198="&lt;enter location here&gt;", FALSE, TRUE)</f>
        <v>0</v>
      </c>
      <c r="AR198" s="51" t="b">
        <f t="shared" ref="AR198:AR261" si="155">IF(F198="&lt;Select&gt;", FALSE, IF(T198=FALSE, FALSE, TRUE))</f>
        <v>0</v>
      </c>
      <c r="AS198" s="51" t="str">
        <f t="shared" ref="AS198:AS261" si="156">IF(ISNUMBER(SEARCH("Tier 1 Sub MMS",AP198)), IF(F198="&lt;Select&gt;", FALSE, IF(AND(F198="N/A", J198="Rationale?"), FALSE, TRUE)), "")</f>
        <v/>
      </c>
      <c r="AT198" s="51" t="str">
        <f t="shared" ref="AT198:AT261" si="157">IF(ISNUMBER(SEARCH("Tier 1 MMS",AP198)), IF(F198="&lt;Select&gt;", FALSE, IF(AND(F198="N/A", H198="Rationale?"), FALSE, TRUE)), "")</f>
        <v/>
      </c>
      <c r="AU198" s="51" t="str">
        <f t="shared" ref="AU198:AU261" si="158">IF(ISNUMBER(SEARCH("Tier 1 MMS",AP198)), IF(F198="&lt;Select&gt;", FALSE, IF(AND(F198="YES WITH MODIFICATION", H198="Change Request?"), FALSE, TRUE)), "")</f>
        <v/>
      </c>
      <c r="AV198" s="51" t="str">
        <f t="shared" ref="AV198:AV261" si="159">IF(ISNUMBER(SEARCH("Tier 1 MMS",AP198)), IF(AK198=TRUE, TRUE, ""),"")</f>
        <v/>
      </c>
      <c r="AW198" s="51" t="str">
        <f t="shared" ref="AW198:AW261" si="160">IF(ISNUMBER(SEARCH("Tier 1 MMS",AP198)), IF(AL198=TRUE, TRUE, ""),"")</f>
        <v/>
      </c>
      <c r="AX198" s="51" t="str">
        <f t="shared" ref="AX198:AX261" si="161">IF(ISNUMBER(SEARCH("Tier 1 MMS",AP198)), IF(AI198=TRUE, TRUE, ""),"")</f>
        <v/>
      </c>
      <c r="AY198" s="51" t="str">
        <f t="shared" ref="AY198:AY261" si="162">IF(ISNUMBER(SEARCH("Tier 1 MMS",AP198)), IF(AJ198=TRUE, TRUE, ""),"")</f>
        <v/>
      </c>
      <c r="AZ198" s="51" t="str">
        <f t="shared" ref="AZ198:AZ261" si="163">IF(ISNUMBER(SEARCH("Tier 1 Sub MMS",AP198)), IF(AK198=TRUE, TRUE, ""),"")</f>
        <v/>
      </c>
      <c r="BA198" s="51" t="str">
        <f t="shared" ref="BA198:BA261" si="164">IF(ISNUMBER(SEARCH("Tier 1 Sub MMS",AP198)), IF(AL198=TRUE, TRUE, ""),"")</f>
        <v/>
      </c>
      <c r="BB198" s="51" t="str">
        <f t="shared" ref="BB198:BB261" si="165">IF(ISNUMBER(SEARCH("Tier 1 Sub MMS",AP198)), IF(AI198=TRUE, TRUE, ""),"")</f>
        <v/>
      </c>
      <c r="BC198" s="51" t="str">
        <f t="shared" ref="BC198:BC261" si="166">IF(ISNUMBER(SEARCH("Tier 1 Sub MMS",AP198)), IF(AJ198=TRUE, TRUE, ""),"")</f>
        <v/>
      </c>
      <c r="BD198" s="51" t="str">
        <f t="shared" ref="BD198:BD261" si="167">IF(ISNUMBER(SEARCH("Tier 2 MMS",AP198)), IF(AK198=TRUE, TRUE, ""),"")</f>
        <v/>
      </c>
      <c r="BE198" s="51" t="str">
        <f t="shared" ref="BE198:BE261" si="168">IF(ISNUMBER(SEARCH("Tier 2 MMS",AP198)), IF(AL198=TRUE, TRUE, ""),"")</f>
        <v/>
      </c>
      <c r="BF198" s="51" t="str">
        <f t="shared" ref="BF198:BF261" si="169">IF(ISNUMBER(SEARCH("Tier 2 MMS",AP198)), IF(AI198=TRUE, TRUE, ""),"")</f>
        <v/>
      </c>
      <c r="BG198" s="51" t="str">
        <f t="shared" ref="BG198:BG261" si="170">IF(ISNUMBER(SEARCH("Tier 2 MMS",AP198)), IF(AJ198=TRUE, TRUE, ""),"")</f>
        <v/>
      </c>
      <c r="BH198" s="51" t="b">
        <f t="shared" ref="BH198:BH261" si="171" xml:space="preserve"> IF(OR(F198="&lt;Select&gt;", AQ198=FALSE), FALSE, TRUE)</f>
        <v>0</v>
      </c>
      <c r="BI198" s="51" t="str">
        <f t="shared" ref="BI198:BI261" si="172">IF(E198="YES", "", IF(E198="NO", IF(F198="N/A",TRUE,IF(F198="YES",FALSE))))</f>
        <v/>
      </c>
      <c r="BJ198" s="51" t="str">
        <f t="shared" ref="BJ198:BJ261" si="173">IF(E198="YES", "", IF(E198="NO", IF(AND(F198="N/A", NOT(ISBLANK(G198))), TRUE, IF(AND(F198="YES",AL198=TRUE),TRUE,FALSE))))</f>
        <v/>
      </c>
      <c r="BK198" s="51" t="b">
        <f t="shared" ref="BK198:BK261" si="174" xml:space="preserve"> IF(OR(F198="&lt;Select&gt;", T198=FALSE), FALSE, TRUE)</f>
        <v>0</v>
      </c>
      <c r="BL198" s="192"/>
    </row>
    <row r="199" spans="1:64" ht="13.5" thickBot="1" x14ac:dyDescent="0.25">
      <c r="A199" s="185" t="s">
        <v>890</v>
      </c>
      <c r="B199" s="194" t="s">
        <v>695</v>
      </c>
      <c r="C199" s="194" t="s">
        <v>695</v>
      </c>
      <c r="D199" s="194" t="s">
        <v>695</v>
      </c>
      <c r="E199" s="193" t="s">
        <v>694</v>
      </c>
      <c r="F199" s="160" t="s">
        <v>20</v>
      </c>
      <c r="G199" s="161"/>
      <c r="H199" s="186" t="str">
        <f t="shared" si="132"/>
        <v>N/A</v>
      </c>
      <c r="I199" s="186" t="b">
        <f t="shared" si="133"/>
        <v>1</v>
      </c>
      <c r="J199" s="186" t="str">
        <f t="shared" si="134"/>
        <v>N/A</v>
      </c>
      <c r="K199" s="186" t="b">
        <f t="shared" si="135"/>
        <v>1</v>
      </c>
      <c r="L199" s="186" t="str">
        <f t="shared" si="136"/>
        <v>N/A</v>
      </c>
      <c r="M199" s="186" t="b">
        <f t="shared" si="137"/>
        <v>1</v>
      </c>
      <c r="N199" s="186" t="str">
        <f t="shared" si="138"/>
        <v>Used?</v>
      </c>
      <c r="O199" s="186" t="b">
        <f t="shared" si="139"/>
        <v>0</v>
      </c>
      <c r="P199" s="26" t="s">
        <v>696</v>
      </c>
      <c r="Q199" s="160" t="s">
        <v>20</v>
      </c>
      <c r="R199" s="160" t="s">
        <v>20</v>
      </c>
      <c r="S199" s="26" t="s">
        <v>697</v>
      </c>
      <c r="T199" s="165" t="str">
        <f t="shared" si="140"/>
        <v>Not Used</v>
      </c>
      <c r="U199" s="162"/>
      <c r="V199" s="55"/>
      <c r="W199" s="51" t="b">
        <f t="shared" si="141"/>
        <v>1</v>
      </c>
      <c r="X199" s="51" t="str">
        <f t="shared" si="142"/>
        <v>Not Used</v>
      </c>
      <c r="Y199" s="51" t="str">
        <f t="shared" si="143"/>
        <v>Not Used</v>
      </c>
      <c r="Z199" s="51" t="str">
        <f t="shared" si="144"/>
        <v>Not Used</v>
      </c>
      <c r="AA199" s="51" t="str">
        <f t="shared" si="144"/>
        <v>Not Used</v>
      </c>
      <c r="AB199" s="51" t="str">
        <f t="shared" si="145"/>
        <v>Not Used</v>
      </c>
      <c r="AC199" s="51" t="b">
        <f t="shared" si="146"/>
        <v>1</v>
      </c>
      <c r="AD199" s="51">
        <f>COUNTIF($X$5:$X$199, "Not Used")</f>
        <v>195</v>
      </c>
      <c r="AE199" s="51">
        <f>COUNTIF($X$5:$X$199, "TRUE")</f>
        <v>0</v>
      </c>
      <c r="AF199" s="51" t="b">
        <f t="shared" si="147"/>
        <v>1</v>
      </c>
      <c r="AI199" s="51" t="b">
        <f t="shared" si="148"/>
        <v>0</v>
      </c>
      <c r="AJ199" s="51" t="b">
        <f t="shared" si="149"/>
        <v>0</v>
      </c>
      <c r="AK199" s="51" t="b">
        <f t="shared" si="150"/>
        <v>0</v>
      </c>
      <c r="AL199" s="51" t="b">
        <f t="shared" si="151"/>
        <v>0</v>
      </c>
      <c r="AM199" s="51" t="b">
        <f t="shared" si="152"/>
        <v>0</v>
      </c>
      <c r="AN199" s="51"/>
      <c r="AO199" s="51" t="b">
        <f t="shared" si="153"/>
        <v>0</v>
      </c>
      <c r="AP199" s="51" t="str">
        <f t="shared" ref="AP199:AP262" si="175">IF(AND(B199="YES", C199="YES", D199="YES"), "Tier 1 MMS, Tier 1 Sub MMS, Tier 2 MMS", IF(AND(B199="YES", C199="YES"), "Tier 1 MMS, Tier 1 Sub MMS", IF(AND(B199="YES", D199="YES"), "Tier 1 MMS, Tier 2 MMS", IF(AND(C199="YES", D199="YES"), "Tier 1 Sub MMS, Tier 2 MMS", IF(B199="YES", "Tier 1 MMS", IF(C199="YES", "Tier 1 Sub MMS", IF(D199="YES", "Tier 2 MMS", "Not in MMS")))))))</f>
        <v>Not in MMS</v>
      </c>
      <c r="AQ199" s="51" t="b">
        <f t="shared" si="154"/>
        <v>0</v>
      </c>
      <c r="AR199" s="51" t="b">
        <f t="shared" si="155"/>
        <v>0</v>
      </c>
      <c r="AS199" s="51" t="str">
        <f t="shared" si="156"/>
        <v/>
      </c>
      <c r="AT199" s="51" t="str">
        <f t="shared" si="157"/>
        <v/>
      </c>
      <c r="AU199" s="51" t="str">
        <f t="shared" si="158"/>
        <v/>
      </c>
      <c r="AV199" s="51" t="str">
        <f t="shared" si="159"/>
        <v/>
      </c>
      <c r="AW199" s="51" t="str">
        <f t="shared" si="160"/>
        <v/>
      </c>
      <c r="AX199" s="51" t="str">
        <f t="shared" si="161"/>
        <v/>
      </c>
      <c r="AY199" s="51" t="str">
        <f t="shared" si="162"/>
        <v/>
      </c>
      <c r="AZ199" s="51" t="str">
        <f t="shared" si="163"/>
        <v/>
      </c>
      <c r="BA199" s="51" t="str">
        <f t="shared" si="164"/>
        <v/>
      </c>
      <c r="BB199" s="51" t="str">
        <f t="shared" si="165"/>
        <v/>
      </c>
      <c r="BC199" s="51" t="str">
        <f t="shared" si="166"/>
        <v/>
      </c>
      <c r="BD199" s="51" t="str">
        <f t="shared" si="167"/>
        <v/>
      </c>
      <c r="BE199" s="51" t="str">
        <f t="shared" si="168"/>
        <v/>
      </c>
      <c r="BF199" s="51" t="str">
        <f t="shared" si="169"/>
        <v/>
      </c>
      <c r="BG199" s="51" t="str">
        <f t="shared" si="170"/>
        <v/>
      </c>
      <c r="BH199" s="51" t="b">
        <f t="shared" si="171"/>
        <v>0</v>
      </c>
      <c r="BI199" s="51" t="str">
        <f t="shared" si="172"/>
        <v/>
      </c>
      <c r="BJ199" s="51" t="str">
        <f t="shared" si="173"/>
        <v/>
      </c>
      <c r="BK199" s="51" t="b">
        <f t="shared" si="174"/>
        <v>0</v>
      </c>
      <c r="BL199" s="192"/>
    </row>
    <row r="200" spans="1:64" ht="13.5" thickBot="1" x14ac:dyDescent="0.25">
      <c r="A200" s="185" t="s">
        <v>891</v>
      </c>
      <c r="B200" s="194" t="s">
        <v>695</v>
      </c>
      <c r="C200" s="194" t="s">
        <v>695</v>
      </c>
      <c r="D200" s="194" t="s">
        <v>695</v>
      </c>
      <c r="E200" s="193" t="s">
        <v>694</v>
      </c>
      <c r="F200" s="160" t="s">
        <v>20</v>
      </c>
      <c r="G200" s="161"/>
      <c r="H200" s="186" t="str">
        <f t="shared" si="132"/>
        <v>N/A</v>
      </c>
      <c r="I200" s="186" t="b">
        <f t="shared" si="133"/>
        <v>1</v>
      </c>
      <c r="J200" s="186" t="str">
        <f t="shared" si="134"/>
        <v>N/A</v>
      </c>
      <c r="K200" s="186" t="b">
        <f t="shared" si="135"/>
        <v>1</v>
      </c>
      <c r="L200" s="186" t="str">
        <f t="shared" si="136"/>
        <v>N/A</v>
      </c>
      <c r="M200" s="186" t="b">
        <f t="shared" si="137"/>
        <v>1</v>
      </c>
      <c r="N200" s="186" t="str">
        <f t="shared" si="138"/>
        <v>Used?</v>
      </c>
      <c r="O200" s="186" t="b">
        <f t="shared" si="139"/>
        <v>0</v>
      </c>
      <c r="P200" s="26" t="s">
        <v>696</v>
      </c>
      <c r="Q200" s="160" t="s">
        <v>20</v>
      </c>
      <c r="R200" s="160" t="s">
        <v>20</v>
      </c>
      <c r="S200" s="26" t="s">
        <v>697</v>
      </c>
      <c r="T200" s="165" t="str">
        <f t="shared" si="140"/>
        <v>Not Used</v>
      </c>
      <c r="U200" s="162"/>
      <c r="V200" s="55"/>
      <c r="W200" s="51" t="b">
        <f t="shared" si="141"/>
        <v>1</v>
      </c>
      <c r="X200" s="51" t="str">
        <f t="shared" si="142"/>
        <v>Not Used</v>
      </c>
      <c r="Y200" s="51" t="str">
        <f t="shared" si="143"/>
        <v>Not Used</v>
      </c>
      <c r="Z200" s="51" t="str">
        <f t="shared" si="144"/>
        <v>Not Used</v>
      </c>
      <c r="AA200" s="51" t="str">
        <f t="shared" si="144"/>
        <v>Not Used</v>
      </c>
      <c r="AB200" s="51" t="str">
        <f t="shared" si="145"/>
        <v>Not Used</v>
      </c>
      <c r="AC200" s="51" t="b">
        <f t="shared" si="146"/>
        <v>1</v>
      </c>
      <c r="AD200" s="51">
        <f>COUNTIF($X$5:$X$200, "Not Used")</f>
        <v>196</v>
      </c>
      <c r="AE200" s="51">
        <f>COUNTIF($X$5:$X$200, "TRUE")</f>
        <v>0</v>
      </c>
      <c r="AF200" s="51" t="b">
        <f t="shared" si="147"/>
        <v>1</v>
      </c>
      <c r="AI200" s="51" t="b">
        <f t="shared" si="148"/>
        <v>0</v>
      </c>
      <c r="AJ200" s="51" t="b">
        <f t="shared" si="149"/>
        <v>0</v>
      </c>
      <c r="AK200" s="51" t="b">
        <f t="shared" si="150"/>
        <v>0</v>
      </c>
      <c r="AL200" s="51" t="b">
        <f t="shared" si="151"/>
        <v>0</v>
      </c>
      <c r="AM200" s="51" t="b">
        <f t="shared" si="152"/>
        <v>0</v>
      </c>
      <c r="AN200" s="51"/>
      <c r="AO200" s="51" t="b">
        <f t="shared" si="153"/>
        <v>0</v>
      </c>
      <c r="AP200" s="51" t="str">
        <f t="shared" si="175"/>
        <v>Not in MMS</v>
      </c>
      <c r="AQ200" s="51" t="b">
        <f t="shared" si="154"/>
        <v>0</v>
      </c>
      <c r="AR200" s="51" t="b">
        <f t="shared" si="155"/>
        <v>0</v>
      </c>
      <c r="AS200" s="51" t="str">
        <f t="shared" si="156"/>
        <v/>
      </c>
      <c r="AT200" s="51" t="str">
        <f t="shared" si="157"/>
        <v/>
      </c>
      <c r="AU200" s="51" t="str">
        <f t="shared" si="158"/>
        <v/>
      </c>
      <c r="AV200" s="51" t="str">
        <f t="shared" si="159"/>
        <v/>
      </c>
      <c r="AW200" s="51" t="str">
        <f t="shared" si="160"/>
        <v/>
      </c>
      <c r="AX200" s="51" t="str">
        <f t="shared" si="161"/>
        <v/>
      </c>
      <c r="AY200" s="51" t="str">
        <f t="shared" si="162"/>
        <v/>
      </c>
      <c r="AZ200" s="51" t="str">
        <f t="shared" si="163"/>
        <v/>
      </c>
      <c r="BA200" s="51" t="str">
        <f t="shared" si="164"/>
        <v/>
      </c>
      <c r="BB200" s="51" t="str">
        <f t="shared" si="165"/>
        <v/>
      </c>
      <c r="BC200" s="51" t="str">
        <f t="shared" si="166"/>
        <v/>
      </c>
      <c r="BD200" s="51" t="str">
        <f t="shared" si="167"/>
        <v/>
      </c>
      <c r="BE200" s="51" t="str">
        <f t="shared" si="168"/>
        <v/>
      </c>
      <c r="BF200" s="51" t="str">
        <f t="shared" si="169"/>
        <v/>
      </c>
      <c r="BG200" s="51" t="str">
        <f t="shared" si="170"/>
        <v/>
      </c>
      <c r="BH200" s="51" t="b">
        <f t="shared" si="171"/>
        <v>0</v>
      </c>
      <c r="BI200" s="51" t="str">
        <f t="shared" si="172"/>
        <v/>
      </c>
      <c r="BJ200" s="51" t="str">
        <f t="shared" si="173"/>
        <v/>
      </c>
      <c r="BK200" s="51" t="b">
        <f t="shared" si="174"/>
        <v>0</v>
      </c>
      <c r="BL200" s="192"/>
    </row>
    <row r="201" spans="1:64" ht="13.5" thickBot="1" x14ac:dyDescent="0.25">
      <c r="A201" s="185" t="s">
        <v>892</v>
      </c>
      <c r="B201" s="194" t="s">
        <v>695</v>
      </c>
      <c r="C201" s="194" t="s">
        <v>695</v>
      </c>
      <c r="D201" s="194" t="s">
        <v>695</v>
      </c>
      <c r="E201" s="193" t="s">
        <v>694</v>
      </c>
      <c r="F201" s="160" t="s">
        <v>20</v>
      </c>
      <c r="G201" s="161"/>
      <c r="H201" s="186" t="str">
        <f t="shared" si="132"/>
        <v>N/A</v>
      </c>
      <c r="I201" s="186" t="b">
        <f t="shared" si="133"/>
        <v>1</v>
      </c>
      <c r="J201" s="186" t="str">
        <f t="shared" si="134"/>
        <v>N/A</v>
      </c>
      <c r="K201" s="186" t="b">
        <f t="shared" si="135"/>
        <v>1</v>
      </c>
      <c r="L201" s="186" t="str">
        <f t="shared" si="136"/>
        <v>N/A</v>
      </c>
      <c r="M201" s="186" t="b">
        <f t="shared" si="137"/>
        <v>1</v>
      </c>
      <c r="N201" s="186" t="str">
        <f t="shared" si="138"/>
        <v>Used?</v>
      </c>
      <c r="O201" s="186" t="b">
        <f t="shared" si="139"/>
        <v>0</v>
      </c>
      <c r="P201" s="26" t="s">
        <v>696</v>
      </c>
      <c r="Q201" s="160" t="s">
        <v>20</v>
      </c>
      <c r="R201" s="160" t="s">
        <v>20</v>
      </c>
      <c r="S201" s="26" t="s">
        <v>697</v>
      </c>
      <c r="T201" s="165" t="str">
        <f t="shared" si="140"/>
        <v>Not Used</v>
      </c>
      <c r="U201" s="162"/>
      <c r="V201" s="55"/>
      <c r="W201" s="51" t="b">
        <f t="shared" si="141"/>
        <v>1</v>
      </c>
      <c r="X201" s="51" t="str">
        <f t="shared" si="142"/>
        <v>Not Used</v>
      </c>
      <c r="Y201" s="51" t="str">
        <f t="shared" si="143"/>
        <v>Not Used</v>
      </c>
      <c r="Z201" s="51" t="str">
        <f t="shared" si="144"/>
        <v>Not Used</v>
      </c>
      <c r="AA201" s="51" t="str">
        <f t="shared" si="144"/>
        <v>Not Used</v>
      </c>
      <c r="AB201" s="51" t="str">
        <f t="shared" si="145"/>
        <v>Not Used</v>
      </c>
      <c r="AC201" s="51" t="b">
        <f t="shared" si="146"/>
        <v>1</v>
      </c>
      <c r="AD201" s="51">
        <f>COUNTIF($X$5:$X$201, "Not Used")</f>
        <v>197</v>
      </c>
      <c r="AE201" s="51">
        <f>COUNTIF($X$5:$X$201, "TRUE")</f>
        <v>0</v>
      </c>
      <c r="AF201" s="51" t="b">
        <f t="shared" si="147"/>
        <v>1</v>
      </c>
      <c r="AI201" s="51" t="b">
        <f t="shared" si="148"/>
        <v>0</v>
      </c>
      <c r="AJ201" s="51" t="b">
        <f t="shared" si="149"/>
        <v>0</v>
      </c>
      <c r="AK201" s="51" t="b">
        <f t="shared" si="150"/>
        <v>0</v>
      </c>
      <c r="AL201" s="51" t="b">
        <f t="shared" si="151"/>
        <v>0</v>
      </c>
      <c r="AM201" s="51" t="b">
        <f t="shared" si="152"/>
        <v>0</v>
      </c>
      <c r="AN201" s="51"/>
      <c r="AO201" s="51" t="b">
        <f t="shared" si="153"/>
        <v>0</v>
      </c>
      <c r="AP201" s="51" t="str">
        <f t="shared" si="175"/>
        <v>Not in MMS</v>
      </c>
      <c r="AQ201" s="51" t="b">
        <f t="shared" si="154"/>
        <v>0</v>
      </c>
      <c r="AR201" s="51" t="b">
        <f t="shared" si="155"/>
        <v>0</v>
      </c>
      <c r="AS201" s="51" t="str">
        <f t="shared" si="156"/>
        <v/>
      </c>
      <c r="AT201" s="51" t="str">
        <f t="shared" si="157"/>
        <v/>
      </c>
      <c r="AU201" s="51" t="str">
        <f t="shared" si="158"/>
        <v/>
      </c>
      <c r="AV201" s="51" t="str">
        <f t="shared" si="159"/>
        <v/>
      </c>
      <c r="AW201" s="51" t="str">
        <f t="shared" si="160"/>
        <v/>
      </c>
      <c r="AX201" s="51" t="str">
        <f t="shared" si="161"/>
        <v/>
      </c>
      <c r="AY201" s="51" t="str">
        <f t="shared" si="162"/>
        <v/>
      </c>
      <c r="AZ201" s="51" t="str">
        <f t="shared" si="163"/>
        <v/>
      </c>
      <c r="BA201" s="51" t="str">
        <f t="shared" si="164"/>
        <v/>
      </c>
      <c r="BB201" s="51" t="str">
        <f t="shared" si="165"/>
        <v/>
      </c>
      <c r="BC201" s="51" t="str">
        <f t="shared" si="166"/>
        <v/>
      </c>
      <c r="BD201" s="51" t="str">
        <f t="shared" si="167"/>
        <v/>
      </c>
      <c r="BE201" s="51" t="str">
        <f t="shared" si="168"/>
        <v/>
      </c>
      <c r="BF201" s="51" t="str">
        <f t="shared" si="169"/>
        <v/>
      </c>
      <c r="BG201" s="51" t="str">
        <f t="shared" si="170"/>
        <v/>
      </c>
      <c r="BH201" s="51" t="b">
        <f t="shared" si="171"/>
        <v>0</v>
      </c>
      <c r="BI201" s="51" t="str">
        <f t="shared" si="172"/>
        <v/>
      </c>
      <c r="BJ201" s="51" t="str">
        <f t="shared" si="173"/>
        <v/>
      </c>
      <c r="BK201" s="51" t="b">
        <f t="shared" si="174"/>
        <v>0</v>
      </c>
      <c r="BL201" s="192"/>
    </row>
    <row r="202" spans="1:64" ht="13.5" thickBot="1" x14ac:dyDescent="0.25">
      <c r="A202" s="185" t="s">
        <v>893</v>
      </c>
      <c r="B202" s="194" t="s">
        <v>695</v>
      </c>
      <c r="C202" s="194" t="s">
        <v>695</v>
      </c>
      <c r="D202" s="194" t="s">
        <v>695</v>
      </c>
      <c r="E202" s="193" t="s">
        <v>694</v>
      </c>
      <c r="F202" s="160" t="s">
        <v>20</v>
      </c>
      <c r="G202" s="161"/>
      <c r="H202" s="186" t="str">
        <f t="shared" si="132"/>
        <v>N/A</v>
      </c>
      <c r="I202" s="186" t="b">
        <f t="shared" si="133"/>
        <v>1</v>
      </c>
      <c r="J202" s="186" t="str">
        <f t="shared" si="134"/>
        <v>N/A</v>
      </c>
      <c r="K202" s="186" t="b">
        <f t="shared" si="135"/>
        <v>1</v>
      </c>
      <c r="L202" s="186" t="str">
        <f t="shared" si="136"/>
        <v>N/A</v>
      </c>
      <c r="M202" s="186" t="b">
        <f t="shared" si="137"/>
        <v>1</v>
      </c>
      <c r="N202" s="186" t="str">
        <f t="shared" si="138"/>
        <v>Used?</v>
      </c>
      <c r="O202" s="186" t="b">
        <f t="shared" si="139"/>
        <v>0</v>
      </c>
      <c r="P202" s="26" t="s">
        <v>696</v>
      </c>
      <c r="Q202" s="160" t="s">
        <v>20</v>
      </c>
      <c r="R202" s="160" t="s">
        <v>20</v>
      </c>
      <c r="S202" s="26" t="s">
        <v>697</v>
      </c>
      <c r="T202" s="165" t="str">
        <f t="shared" si="140"/>
        <v>Not Used</v>
      </c>
      <c r="U202" s="162"/>
      <c r="V202" s="55"/>
      <c r="W202" s="51" t="b">
        <f t="shared" si="141"/>
        <v>1</v>
      </c>
      <c r="X202" s="51" t="str">
        <f t="shared" si="142"/>
        <v>Not Used</v>
      </c>
      <c r="Y202" s="51" t="str">
        <f t="shared" si="143"/>
        <v>Not Used</v>
      </c>
      <c r="Z202" s="51" t="str">
        <f t="shared" si="144"/>
        <v>Not Used</v>
      </c>
      <c r="AA202" s="51" t="str">
        <f t="shared" si="144"/>
        <v>Not Used</v>
      </c>
      <c r="AB202" s="51" t="str">
        <f t="shared" si="145"/>
        <v>Not Used</v>
      </c>
      <c r="AC202" s="51" t="b">
        <f t="shared" si="146"/>
        <v>1</v>
      </c>
      <c r="AD202" s="51">
        <f>COUNTIF($X$5:$X$202, "Not Used")</f>
        <v>198</v>
      </c>
      <c r="AE202" s="51">
        <f>COUNTIF($X$5:$X$202, "TRUE")</f>
        <v>0</v>
      </c>
      <c r="AF202" s="51" t="b">
        <f t="shared" si="147"/>
        <v>1</v>
      </c>
      <c r="AI202" s="51" t="b">
        <f t="shared" si="148"/>
        <v>0</v>
      </c>
      <c r="AJ202" s="51" t="b">
        <f t="shared" si="149"/>
        <v>0</v>
      </c>
      <c r="AK202" s="51" t="b">
        <f t="shared" si="150"/>
        <v>0</v>
      </c>
      <c r="AL202" s="51" t="b">
        <f t="shared" si="151"/>
        <v>0</v>
      </c>
      <c r="AM202" s="51" t="b">
        <f t="shared" si="152"/>
        <v>0</v>
      </c>
      <c r="AN202" s="51"/>
      <c r="AO202" s="51" t="b">
        <f t="shared" si="153"/>
        <v>0</v>
      </c>
      <c r="AP202" s="51" t="str">
        <f t="shared" si="175"/>
        <v>Not in MMS</v>
      </c>
      <c r="AQ202" s="51" t="b">
        <f t="shared" si="154"/>
        <v>0</v>
      </c>
      <c r="AR202" s="51" t="b">
        <f t="shared" si="155"/>
        <v>0</v>
      </c>
      <c r="AS202" s="51" t="str">
        <f t="shared" si="156"/>
        <v/>
      </c>
      <c r="AT202" s="51" t="str">
        <f t="shared" si="157"/>
        <v/>
      </c>
      <c r="AU202" s="51" t="str">
        <f t="shared" si="158"/>
        <v/>
      </c>
      <c r="AV202" s="51" t="str">
        <f t="shared" si="159"/>
        <v/>
      </c>
      <c r="AW202" s="51" t="str">
        <f t="shared" si="160"/>
        <v/>
      </c>
      <c r="AX202" s="51" t="str">
        <f t="shared" si="161"/>
        <v/>
      </c>
      <c r="AY202" s="51" t="str">
        <f t="shared" si="162"/>
        <v/>
      </c>
      <c r="AZ202" s="51" t="str">
        <f t="shared" si="163"/>
        <v/>
      </c>
      <c r="BA202" s="51" t="str">
        <f t="shared" si="164"/>
        <v/>
      </c>
      <c r="BB202" s="51" t="str">
        <f t="shared" si="165"/>
        <v/>
      </c>
      <c r="BC202" s="51" t="str">
        <f t="shared" si="166"/>
        <v/>
      </c>
      <c r="BD202" s="51" t="str">
        <f t="shared" si="167"/>
        <v/>
      </c>
      <c r="BE202" s="51" t="str">
        <f t="shared" si="168"/>
        <v/>
      </c>
      <c r="BF202" s="51" t="str">
        <f t="shared" si="169"/>
        <v/>
      </c>
      <c r="BG202" s="51" t="str">
        <f t="shared" si="170"/>
        <v/>
      </c>
      <c r="BH202" s="51" t="b">
        <f t="shared" si="171"/>
        <v>0</v>
      </c>
      <c r="BI202" s="51" t="str">
        <f t="shared" si="172"/>
        <v/>
      </c>
      <c r="BJ202" s="51" t="str">
        <f t="shared" si="173"/>
        <v/>
      </c>
      <c r="BK202" s="51" t="b">
        <f t="shared" si="174"/>
        <v>0</v>
      </c>
      <c r="BL202" s="192"/>
    </row>
    <row r="203" spans="1:64" ht="13.5" thickBot="1" x14ac:dyDescent="0.25">
      <c r="A203" s="185" t="s">
        <v>894</v>
      </c>
      <c r="B203" s="194" t="s">
        <v>695</v>
      </c>
      <c r="C203" s="194" t="s">
        <v>695</v>
      </c>
      <c r="D203" s="194" t="s">
        <v>695</v>
      </c>
      <c r="E203" s="193" t="s">
        <v>694</v>
      </c>
      <c r="F203" s="160" t="s">
        <v>20</v>
      </c>
      <c r="G203" s="161"/>
      <c r="H203" s="186" t="str">
        <f t="shared" si="132"/>
        <v>N/A</v>
      </c>
      <c r="I203" s="186" t="b">
        <f t="shared" si="133"/>
        <v>1</v>
      </c>
      <c r="J203" s="186" t="str">
        <f t="shared" si="134"/>
        <v>N/A</v>
      </c>
      <c r="K203" s="186" t="b">
        <f t="shared" si="135"/>
        <v>1</v>
      </c>
      <c r="L203" s="186" t="str">
        <f t="shared" si="136"/>
        <v>N/A</v>
      </c>
      <c r="M203" s="186" t="b">
        <f t="shared" si="137"/>
        <v>1</v>
      </c>
      <c r="N203" s="186" t="str">
        <f t="shared" si="138"/>
        <v>Used?</v>
      </c>
      <c r="O203" s="186" t="b">
        <f t="shared" si="139"/>
        <v>0</v>
      </c>
      <c r="P203" s="26" t="s">
        <v>696</v>
      </c>
      <c r="Q203" s="160" t="s">
        <v>20</v>
      </c>
      <c r="R203" s="160" t="s">
        <v>20</v>
      </c>
      <c r="S203" s="26" t="s">
        <v>697</v>
      </c>
      <c r="T203" s="165" t="str">
        <f t="shared" si="140"/>
        <v>Not Used</v>
      </c>
      <c r="U203" s="162"/>
      <c r="V203" s="55"/>
      <c r="W203" s="51" t="b">
        <f t="shared" si="141"/>
        <v>1</v>
      </c>
      <c r="X203" s="51" t="str">
        <f t="shared" si="142"/>
        <v>Not Used</v>
      </c>
      <c r="Y203" s="51" t="str">
        <f t="shared" si="143"/>
        <v>Not Used</v>
      </c>
      <c r="Z203" s="51" t="str">
        <f t="shared" si="144"/>
        <v>Not Used</v>
      </c>
      <c r="AA203" s="51" t="str">
        <f t="shared" si="144"/>
        <v>Not Used</v>
      </c>
      <c r="AB203" s="51" t="str">
        <f t="shared" si="145"/>
        <v>Not Used</v>
      </c>
      <c r="AC203" s="51" t="b">
        <f t="shared" si="146"/>
        <v>1</v>
      </c>
      <c r="AD203" s="51">
        <f>COUNTIF($X$5:$X$203, "Not Used")</f>
        <v>199</v>
      </c>
      <c r="AE203" s="51">
        <f>COUNTIF($X$5:$X$203, "TRUE")</f>
        <v>0</v>
      </c>
      <c r="AF203" s="51" t="b">
        <f t="shared" si="147"/>
        <v>1</v>
      </c>
      <c r="AI203" s="51" t="b">
        <f t="shared" si="148"/>
        <v>0</v>
      </c>
      <c r="AJ203" s="51" t="b">
        <f t="shared" si="149"/>
        <v>0</v>
      </c>
      <c r="AK203" s="51" t="b">
        <f t="shared" si="150"/>
        <v>0</v>
      </c>
      <c r="AL203" s="51" t="b">
        <f t="shared" si="151"/>
        <v>0</v>
      </c>
      <c r="AM203" s="51" t="b">
        <f t="shared" si="152"/>
        <v>0</v>
      </c>
      <c r="AN203" s="51"/>
      <c r="AO203" s="51" t="b">
        <f t="shared" si="153"/>
        <v>0</v>
      </c>
      <c r="AP203" s="51" t="str">
        <f t="shared" si="175"/>
        <v>Not in MMS</v>
      </c>
      <c r="AQ203" s="51" t="b">
        <f t="shared" si="154"/>
        <v>0</v>
      </c>
      <c r="AR203" s="51" t="b">
        <f t="shared" si="155"/>
        <v>0</v>
      </c>
      <c r="AS203" s="51" t="str">
        <f t="shared" si="156"/>
        <v/>
      </c>
      <c r="AT203" s="51" t="str">
        <f t="shared" si="157"/>
        <v/>
      </c>
      <c r="AU203" s="51" t="str">
        <f t="shared" si="158"/>
        <v/>
      </c>
      <c r="AV203" s="51" t="str">
        <f t="shared" si="159"/>
        <v/>
      </c>
      <c r="AW203" s="51" t="str">
        <f t="shared" si="160"/>
        <v/>
      </c>
      <c r="AX203" s="51" t="str">
        <f t="shared" si="161"/>
        <v/>
      </c>
      <c r="AY203" s="51" t="str">
        <f t="shared" si="162"/>
        <v/>
      </c>
      <c r="AZ203" s="51" t="str">
        <f t="shared" si="163"/>
        <v/>
      </c>
      <c r="BA203" s="51" t="str">
        <f t="shared" si="164"/>
        <v/>
      </c>
      <c r="BB203" s="51" t="str">
        <f t="shared" si="165"/>
        <v/>
      </c>
      <c r="BC203" s="51" t="str">
        <f t="shared" si="166"/>
        <v/>
      </c>
      <c r="BD203" s="51" t="str">
        <f t="shared" si="167"/>
        <v/>
      </c>
      <c r="BE203" s="51" t="str">
        <f t="shared" si="168"/>
        <v/>
      </c>
      <c r="BF203" s="51" t="str">
        <f t="shared" si="169"/>
        <v/>
      </c>
      <c r="BG203" s="51" t="str">
        <f t="shared" si="170"/>
        <v/>
      </c>
      <c r="BH203" s="51" t="b">
        <f t="shared" si="171"/>
        <v>0</v>
      </c>
      <c r="BI203" s="51" t="str">
        <f t="shared" si="172"/>
        <v/>
      </c>
      <c r="BJ203" s="51" t="str">
        <f t="shared" si="173"/>
        <v/>
      </c>
      <c r="BK203" s="51" t="b">
        <f t="shared" si="174"/>
        <v>0</v>
      </c>
      <c r="BL203" s="192"/>
    </row>
    <row r="204" spans="1:64" ht="13.5" thickBot="1" x14ac:dyDescent="0.25">
      <c r="A204" s="185" t="s">
        <v>895</v>
      </c>
      <c r="B204" s="194" t="s">
        <v>695</v>
      </c>
      <c r="C204" s="194" t="s">
        <v>695</v>
      </c>
      <c r="D204" s="194" t="s">
        <v>695</v>
      </c>
      <c r="E204" s="193" t="s">
        <v>694</v>
      </c>
      <c r="F204" s="160" t="s">
        <v>20</v>
      </c>
      <c r="G204" s="161"/>
      <c r="H204" s="186" t="str">
        <f t="shared" si="132"/>
        <v>N/A</v>
      </c>
      <c r="I204" s="186" t="b">
        <f t="shared" si="133"/>
        <v>1</v>
      </c>
      <c r="J204" s="186" t="str">
        <f t="shared" si="134"/>
        <v>N/A</v>
      </c>
      <c r="K204" s="186" t="b">
        <f t="shared" si="135"/>
        <v>1</v>
      </c>
      <c r="L204" s="186" t="str">
        <f t="shared" si="136"/>
        <v>N/A</v>
      </c>
      <c r="M204" s="186" t="b">
        <f t="shared" si="137"/>
        <v>1</v>
      </c>
      <c r="N204" s="186" t="str">
        <f t="shared" si="138"/>
        <v>Used?</v>
      </c>
      <c r="O204" s="186" t="b">
        <f t="shared" si="139"/>
        <v>0</v>
      </c>
      <c r="P204" s="26" t="s">
        <v>696</v>
      </c>
      <c r="Q204" s="160" t="s">
        <v>20</v>
      </c>
      <c r="R204" s="160" t="s">
        <v>20</v>
      </c>
      <c r="S204" s="26" t="s">
        <v>697</v>
      </c>
      <c r="T204" s="165" t="str">
        <f t="shared" si="140"/>
        <v>Not Used</v>
      </c>
      <c r="U204" s="162"/>
      <c r="V204" s="55"/>
      <c r="W204" s="51" t="b">
        <f t="shared" si="141"/>
        <v>1</v>
      </c>
      <c r="X204" s="51" t="str">
        <f t="shared" si="142"/>
        <v>Not Used</v>
      </c>
      <c r="Y204" s="51" t="str">
        <f t="shared" si="143"/>
        <v>Not Used</v>
      </c>
      <c r="Z204" s="51" t="str">
        <f t="shared" si="144"/>
        <v>Not Used</v>
      </c>
      <c r="AA204" s="51" t="str">
        <f t="shared" si="144"/>
        <v>Not Used</v>
      </c>
      <c r="AB204" s="51" t="str">
        <f t="shared" si="145"/>
        <v>Not Used</v>
      </c>
      <c r="AC204" s="51" t="b">
        <f t="shared" si="146"/>
        <v>1</v>
      </c>
      <c r="AD204" s="51">
        <f>COUNTIF($X$5:$X$204, "Not Used")</f>
        <v>200</v>
      </c>
      <c r="AE204" s="51">
        <f>COUNTIF($X$5:$X$204, "TRUE")</f>
        <v>0</v>
      </c>
      <c r="AF204" s="51" t="b">
        <f t="shared" si="147"/>
        <v>1</v>
      </c>
      <c r="AI204" s="51" t="b">
        <f t="shared" si="148"/>
        <v>0</v>
      </c>
      <c r="AJ204" s="51" t="b">
        <f t="shared" si="149"/>
        <v>0</v>
      </c>
      <c r="AK204" s="51" t="b">
        <f t="shared" si="150"/>
        <v>0</v>
      </c>
      <c r="AL204" s="51" t="b">
        <f t="shared" si="151"/>
        <v>0</v>
      </c>
      <c r="AM204" s="51" t="b">
        <f t="shared" si="152"/>
        <v>0</v>
      </c>
      <c r="AN204" s="51"/>
      <c r="AO204" s="51" t="b">
        <f t="shared" si="153"/>
        <v>0</v>
      </c>
      <c r="AP204" s="51" t="str">
        <f t="shared" si="175"/>
        <v>Not in MMS</v>
      </c>
      <c r="AQ204" s="51" t="b">
        <f t="shared" si="154"/>
        <v>0</v>
      </c>
      <c r="AR204" s="51" t="b">
        <f t="shared" si="155"/>
        <v>0</v>
      </c>
      <c r="AS204" s="51" t="str">
        <f t="shared" si="156"/>
        <v/>
      </c>
      <c r="AT204" s="51" t="str">
        <f t="shared" si="157"/>
        <v/>
      </c>
      <c r="AU204" s="51" t="str">
        <f t="shared" si="158"/>
        <v/>
      </c>
      <c r="AV204" s="51" t="str">
        <f t="shared" si="159"/>
        <v/>
      </c>
      <c r="AW204" s="51" t="str">
        <f t="shared" si="160"/>
        <v/>
      </c>
      <c r="AX204" s="51" t="str">
        <f t="shared" si="161"/>
        <v/>
      </c>
      <c r="AY204" s="51" t="str">
        <f t="shared" si="162"/>
        <v/>
      </c>
      <c r="AZ204" s="51" t="str">
        <f t="shared" si="163"/>
        <v/>
      </c>
      <c r="BA204" s="51" t="str">
        <f t="shared" si="164"/>
        <v/>
      </c>
      <c r="BB204" s="51" t="str">
        <f t="shared" si="165"/>
        <v/>
      </c>
      <c r="BC204" s="51" t="str">
        <f t="shared" si="166"/>
        <v/>
      </c>
      <c r="BD204" s="51" t="str">
        <f t="shared" si="167"/>
        <v/>
      </c>
      <c r="BE204" s="51" t="str">
        <f t="shared" si="168"/>
        <v/>
      </c>
      <c r="BF204" s="51" t="str">
        <f t="shared" si="169"/>
        <v/>
      </c>
      <c r="BG204" s="51" t="str">
        <f t="shared" si="170"/>
        <v/>
      </c>
      <c r="BH204" s="51" t="b">
        <f t="shared" si="171"/>
        <v>0</v>
      </c>
      <c r="BI204" s="51" t="str">
        <f t="shared" si="172"/>
        <v/>
      </c>
      <c r="BJ204" s="51" t="str">
        <f t="shared" si="173"/>
        <v/>
      </c>
      <c r="BK204" s="51" t="b">
        <f t="shared" si="174"/>
        <v>0</v>
      </c>
      <c r="BL204" s="192"/>
    </row>
    <row r="205" spans="1:64" ht="13.5" thickBot="1" x14ac:dyDescent="0.25">
      <c r="A205" s="185" t="s">
        <v>896</v>
      </c>
      <c r="B205" s="194" t="s">
        <v>695</v>
      </c>
      <c r="C205" s="194" t="s">
        <v>695</v>
      </c>
      <c r="D205" s="194" t="s">
        <v>695</v>
      </c>
      <c r="E205" s="193" t="s">
        <v>694</v>
      </c>
      <c r="F205" s="160" t="s">
        <v>20</v>
      </c>
      <c r="G205" s="161"/>
      <c r="H205" s="186" t="str">
        <f t="shared" si="132"/>
        <v>N/A</v>
      </c>
      <c r="I205" s="186" t="b">
        <f t="shared" si="133"/>
        <v>1</v>
      </c>
      <c r="J205" s="186" t="str">
        <f t="shared" si="134"/>
        <v>N/A</v>
      </c>
      <c r="K205" s="186" t="b">
        <f t="shared" si="135"/>
        <v>1</v>
      </c>
      <c r="L205" s="186" t="str">
        <f t="shared" si="136"/>
        <v>N/A</v>
      </c>
      <c r="M205" s="186" t="b">
        <f t="shared" si="137"/>
        <v>1</v>
      </c>
      <c r="N205" s="186" t="str">
        <f t="shared" si="138"/>
        <v>Used?</v>
      </c>
      <c r="O205" s="186" t="b">
        <f t="shared" si="139"/>
        <v>0</v>
      </c>
      <c r="P205" s="26" t="s">
        <v>696</v>
      </c>
      <c r="Q205" s="160" t="s">
        <v>20</v>
      </c>
      <c r="R205" s="160" t="s">
        <v>20</v>
      </c>
      <c r="S205" s="26" t="s">
        <v>697</v>
      </c>
      <c r="T205" s="165" t="str">
        <f t="shared" si="140"/>
        <v>Not Used</v>
      </c>
      <c r="U205" s="162"/>
      <c r="V205" s="55"/>
      <c r="W205" s="51" t="b">
        <f t="shared" si="141"/>
        <v>1</v>
      </c>
      <c r="X205" s="51" t="str">
        <f t="shared" si="142"/>
        <v>Not Used</v>
      </c>
      <c r="Y205" s="51" t="str">
        <f t="shared" si="143"/>
        <v>Not Used</v>
      </c>
      <c r="Z205" s="51" t="str">
        <f t="shared" si="144"/>
        <v>Not Used</v>
      </c>
      <c r="AA205" s="51" t="str">
        <f t="shared" si="144"/>
        <v>Not Used</v>
      </c>
      <c r="AB205" s="51" t="str">
        <f t="shared" si="145"/>
        <v>Not Used</v>
      </c>
      <c r="AC205" s="51" t="b">
        <f t="shared" si="146"/>
        <v>1</v>
      </c>
      <c r="AD205" s="51">
        <f>COUNTIF($X$5:$X$205, "Not Used")</f>
        <v>201</v>
      </c>
      <c r="AE205" s="51">
        <f>COUNTIF($X$5:$X$205, "TRUE")</f>
        <v>0</v>
      </c>
      <c r="AF205" s="51" t="b">
        <f t="shared" si="147"/>
        <v>1</v>
      </c>
      <c r="AI205" s="51" t="b">
        <f t="shared" si="148"/>
        <v>0</v>
      </c>
      <c r="AJ205" s="51" t="b">
        <f t="shared" si="149"/>
        <v>0</v>
      </c>
      <c r="AK205" s="51" t="b">
        <f t="shared" si="150"/>
        <v>0</v>
      </c>
      <c r="AL205" s="51" t="b">
        <f t="shared" si="151"/>
        <v>0</v>
      </c>
      <c r="AM205" s="51" t="b">
        <f t="shared" si="152"/>
        <v>0</v>
      </c>
      <c r="AN205" s="51"/>
      <c r="AO205" s="51" t="b">
        <f t="shared" si="153"/>
        <v>0</v>
      </c>
      <c r="AP205" s="51" t="str">
        <f t="shared" si="175"/>
        <v>Not in MMS</v>
      </c>
      <c r="AQ205" s="51" t="b">
        <f t="shared" si="154"/>
        <v>0</v>
      </c>
      <c r="AR205" s="51" t="b">
        <f t="shared" si="155"/>
        <v>0</v>
      </c>
      <c r="AS205" s="51" t="str">
        <f t="shared" si="156"/>
        <v/>
      </c>
      <c r="AT205" s="51" t="str">
        <f t="shared" si="157"/>
        <v/>
      </c>
      <c r="AU205" s="51" t="str">
        <f t="shared" si="158"/>
        <v/>
      </c>
      <c r="AV205" s="51" t="str">
        <f t="shared" si="159"/>
        <v/>
      </c>
      <c r="AW205" s="51" t="str">
        <f t="shared" si="160"/>
        <v/>
      </c>
      <c r="AX205" s="51" t="str">
        <f t="shared" si="161"/>
        <v/>
      </c>
      <c r="AY205" s="51" t="str">
        <f t="shared" si="162"/>
        <v/>
      </c>
      <c r="AZ205" s="51" t="str">
        <f t="shared" si="163"/>
        <v/>
      </c>
      <c r="BA205" s="51" t="str">
        <f t="shared" si="164"/>
        <v/>
      </c>
      <c r="BB205" s="51" t="str">
        <f t="shared" si="165"/>
        <v/>
      </c>
      <c r="BC205" s="51" t="str">
        <f t="shared" si="166"/>
        <v/>
      </c>
      <c r="BD205" s="51" t="str">
        <f t="shared" si="167"/>
        <v/>
      </c>
      <c r="BE205" s="51" t="str">
        <f t="shared" si="168"/>
        <v/>
      </c>
      <c r="BF205" s="51" t="str">
        <f t="shared" si="169"/>
        <v/>
      </c>
      <c r="BG205" s="51" t="str">
        <f t="shared" si="170"/>
        <v/>
      </c>
      <c r="BH205" s="51" t="b">
        <f t="shared" si="171"/>
        <v>0</v>
      </c>
      <c r="BI205" s="51" t="str">
        <f t="shared" si="172"/>
        <v/>
      </c>
      <c r="BJ205" s="51" t="str">
        <f t="shared" si="173"/>
        <v/>
      </c>
      <c r="BK205" s="51" t="b">
        <f t="shared" si="174"/>
        <v>0</v>
      </c>
      <c r="BL205" s="192"/>
    </row>
    <row r="206" spans="1:64" ht="13.5" thickBot="1" x14ac:dyDescent="0.25">
      <c r="A206" s="185" t="s">
        <v>897</v>
      </c>
      <c r="B206" s="194" t="s">
        <v>695</v>
      </c>
      <c r="C206" s="194" t="s">
        <v>695</v>
      </c>
      <c r="D206" s="194" t="s">
        <v>695</v>
      </c>
      <c r="E206" s="193" t="s">
        <v>694</v>
      </c>
      <c r="F206" s="160" t="s">
        <v>20</v>
      </c>
      <c r="G206" s="161"/>
      <c r="H206" s="186" t="str">
        <f t="shared" si="132"/>
        <v>N/A</v>
      </c>
      <c r="I206" s="186" t="b">
        <f t="shared" si="133"/>
        <v>1</v>
      </c>
      <c r="J206" s="186" t="str">
        <f t="shared" si="134"/>
        <v>N/A</v>
      </c>
      <c r="K206" s="186" t="b">
        <f t="shared" si="135"/>
        <v>1</v>
      </c>
      <c r="L206" s="186" t="str">
        <f t="shared" si="136"/>
        <v>N/A</v>
      </c>
      <c r="M206" s="186" t="b">
        <f t="shared" si="137"/>
        <v>1</v>
      </c>
      <c r="N206" s="186" t="str">
        <f t="shared" si="138"/>
        <v>Used?</v>
      </c>
      <c r="O206" s="186" t="b">
        <f t="shared" si="139"/>
        <v>0</v>
      </c>
      <c r="P206" s="26" t="s">
        <v>696</v>
      </c>
      <c r="Q206" s="160" t="s">
        <v>20</v>
      </c>
      <c r="R206" s="160" t="s">
        <v>20</v>
      </c>
      <c r="S206" s="26" t="s">
        <v>697</v>
      </c>
      <c r="T206" s="165" t="str">
        <f t="shared" si="140"/>
        <v>Not Used</v>
      </c>
      <c r="U206" s="162"/>
      <c r="V206" s="55"/>
      <c r="W206" s="51" t="b">
        <f t="shared" si="141"/>
        <v>1</v>
      </c>
      <c r="X206" s="51" t="str">
        <f t="shared" si="142"/>
        <v>Not Used</v>
      </c>
      <c r="Y206" s="51" t="str">
        <f t="shared" si="143"/>
        <v>Not Used</v>
      </c>
      <c r="Z206" s="51" t="str">
        <f t="shared" si="144"/>
        <v>Not Used</v>
      </c>
      <c r="AA206" s="51" t="str">
        <f t="shared" si="144"/>
        <v>Not Used</v>
      </c>
      <c r="AB206" s="51" t="str">
        <f t="shared" si="145"/>
        <v>Not Used</v>
      </c>
      <c r="AC206" s="51" t="b">
        <f t="shared" si="146"/>
        <v>1</v>
      </c>
      <c r="AD206" s="51">
        <f>COUNTIF($X$5:$X$206, "Not Used")</f>
        <v>202</v>
      </c>
      <c r="AE206" s="51">
        <f>COUNTIF($X$5:$X$206, "TRUE")</f>
        <v>0</v>
      </c>
      <c r="AF206" s="51" t="b">
        <f t="shared" si="147"/>
        <v>1</v>
      </c>
      <c r="AI206" s="51" t="b">
        <f t="shared" si="148"/>
        <v>0</v>
      </c>
      <c r="AJ206" s="51" t="b">
        <f t="shared" si="149"/>
        <v>0</v>
      </c>
      <c r="AK206" s="51" t="b">
        <f t="shared" si="150"/>
        <v>0</v>
      </c>
      <c r="AL206" s="51" t="b">
        <f t="shared" si="151"/>
        <v>0</v>
      </c>
      <c r="AM206" s="51" t="b">
        <f t="shared" si="152"/>
        <v>0</v>
      </c>
      <c r="AN206" s="51"/>
      <c r="AO206" s="51" t="b">
        <f t="shared" si="153"/>
        <v>0</v>
      </c>
      <c r="AP206" s="51" t="str">
        <f t="shared" si="175"/>
        <v>Not in MMS</v>
      </c>
      <c r="AQ206" s="51" t="b">
        <f t="shared" si="154"/>
        <v>0</v>
      </c>
      <c r="AR206" s="51" t="b">
        <f t="shared" si="155"/>
        <v>0</v>
      </c>
      <c r="AS206" s="51" t="str">
        <f t="shared" si="156"/>
        <v/>
      </c>
      <c r="AT206" s="51" t="str">
        <f t="shared" si="157"/>
        <v/>
      </c>
      <c r="AU206" s="51" t="str">
        <f t="shared" si="158"/>
        <v/>
      </c>
      <c r="AV206" s="51" t="str">
        <f t="shared" si="159"/>
        <v/>
      </c>
      <c r="AW206" s="51" t="str">
        <f t="shared" si="160"/>
        <v/>
      </c>
      <c r="AX206" s="51" t="str">
        <f t="shared" si="161"/>
        <v/>
      </c>
      <c r="AY206" s="51" t="str">
        <f t="shared" si="162"/>
        <v/>
      </c>
      <c r="AZ206" s="51" t="str">
        <f t="shared" si="163"/>
        <v/>
      </c>
      <c r="BA206" s="51" t="str">
        <f t="shared" si="164"/>
        <v/>
      </c>
      <c r="BB206" s="51" t="str">
        <f t="shared" si="165"/>
        <v/>
      </c>
      <c r="BC206" s="51" t="str">
        <f t="shared" si="166"/>
        <v/>
      </c>
      <c r="BD206" s="51" t="str">
        <f t="shared" si="167"/>
        <v/>
      </c>
      <c r="BE206" s="51" t="str">
        <f t="shared" si="168"/>
        <v/>
      </c>
      <c r="BF206" s="51" t="str">
        <f t="shared" si="169"/>
        <v/>
      </c>
      <c r="BG206" s="51" t="str">
        <f t="shared" si="170"/>
        <v/>
      </c>
      <c r="BH206" s="51" t="b">
        <f t="shared" si="171"/>
        <v>0</v>
      </c>
      <c r="BI206" s="51" t="str">
        <f t="shared" si="172"/>
        <v/>
      </c>
      <c r="BJ206" s="51" t="str">
        <f t="shared" si="173"/>
        <v/>
      </c>
      <c r="BK206" s="51" t="b">
        <f t="shared" si="174"/>
        <v>0</v>
      </c>
      <c r="BL206" s="192"/>
    </row>
    <row r="207" spans="1:64" ht="13.5" thickBot="1" x14ac:dyDescent="0.25">
      <c r="A207" s="185" t="s">
        <v>898</v>
      </c>
      <c r="B207" s="194" t="s">
        <v>695</v>
      </c>
      <c r="C207" s="194" t="s">
        <v>695</v>
      </c>
      <c r="D207" s="194" t="s">
        <v>695</v>
      </c>
      <c r="E207" s="193" t="s">
        <v>694</v>
      </c>
      <c r="F207" s="160" t="s">
        <v>20</v>
      </c>
      <c r="G207" s="161"/>
      <c r="H207" s="186" t="str">
        <f t="shared" si="132"/>
        <v>N/A</v>
      </c>
      <c r="I207" s="186" t="b">
        <f t="shared" si="133"/>
        <v>1</v>
      </c>
      <c r="J207" s="186" t="str">
        <f t="shared" si="134"/>
        <v>N/A</v>
      </c>
      <c r="K207" s="186" t="b">
        <f t="shared" si="135"/>
        <v>1</v>
      </c>
      <c r="L207" s="186" t="str">
        <f t="shared" si="136"/>
        <v>N/A</v>
      </c>
      <c r="M207" s="186" t="b">
        <f t="shared" si="137"/>
        <v>1</v>
      </c>
      <c r="N207" s="186" t="str">
        <f t="shared" si="138"/>
        <v>Used?</v>
      </c>
      <c r="O207" s="186" t="b">
        <f t="shared" si="139"/>
        <v>0</v>
      </c>
      <c r="P207" s="26" t="s">
        <v>696</v>
      </c>
      <c r="Q207" s="160" t="s">
        <v>20</v>
      </c>
      <c r="R207" s="160" t="s">
        <v>20</v>
      </c>
      <c r="S207" s="26" t="s">
        <v>697</v>
      </c>
      <c r="T207" s="165" t="str">
        <f t="shared" si="140"/>
        <v>Not Used</v>
      </c>
      <c r="U207" s="162"/>
      <c r="V207" s="55"/>
      <c r="W207" s="51" t="b">
        <f t="shared" si="141"/>
        <v>1</v>
      </c>
      <c r="X207" s="51" t="str">
        <f t="shared" si="142"/>
        <v>Not Used</v>
      </c>
      <c r="Y207" s="51" t="str">
        <f t="shared" si="143"/>
        <v>Not Used</v>
      </c>
      <c r="Z207" s="51" t="str">
        <f t="shared" si="144"/>
        <v>Not Used</v>
      </c>
      <c r="AA207" s="51" t="str">
        <f t="shared" si="144"/>
        <v>Not Used</v>
      </c>
      <c r="AB207" s="51" t="str">
        <f t="shared" si="145"/>
        <v>Not Used</v>
      </c>
      <c r="AC207" s="51" t="b">
        <f t="shared" si="146"/>
        <v>1</v>
      </c>
      <c r="AD207" s="51">
        <f>COUNTIF($X$5:$X$207, "Not Used")</f>
        <v>203</v>
      </c>
      <c r="AE207" s="51">
        <f>COUNTIF($X$5:$X$207, "TRUE")</f>
        <v>0</v>
      </c>
      <c r="AF207" s="51" t="b">
        <f t="shared" si="147"/>
        <v>1</v>
      </c>
      <c r="AI207" s="51" t="b">
        <f t="shared" si="148"/>
        <v>0</v>
      </c>
      <c r="AJ207" s="51" t="b">
        <f t="shared" si="149"/>
        <v>0</v>
      </c>
      <c r="AK207" s="51" t="b">
        <f t="shared" si="150"/>
        <v>0</v>
      </c>
      <c r="AL207" s="51" t="b">
        <f t="shared" si="151"/>
        <v>0</v>
      </c>
      <c r="AM207" s="51" t="b">
        <f t="shared" si="152"/>
        <v>0</v>
      </c>
      <c r="AN207" s="51"/>
      <c r="AO207" s="51" t="b">
        <f t="shared" si="153"/>
        <v>0</v>
      </c>
      <c r="AP207" s="51" t="str">
        <f t="shared" si="175"/>
        <v>Not in MMS</v>
      </c>
      <c r="AQ207" s="51" t="b">
        <f t="shared" si="154"/>
        <v>0</v>
      </c>
      <c r="AR207" s="51" t="b">
        <f t="shared" si="155"/>
        <v>0</v>
      </c>
      <c r="AS207" s="51" t="str">
        <f t="shared" si="156"/>
        <v/>
      </c>
      <c r="AT207" s="51" t="str">
        <f t="shared" si="157"/>
        <v/>
      </c>
      <c r="AU207" s="51" t="str">
        <f t="shared" si="158"/>
        <v/>
      </c>
      <c r="AV207" s="51" t="str">
        <f t="shared" si="159"/>
        <v/>
      </c>
      <c r="AW207" s="51" t="str">
        <f t="shared" si="160"/>
        <v/>
      </c>
      <c r="AX207" s="51" t="str">
        <f t="shared" si="161"/>
        <v/>
      </c>
      <c r="AY207" s="51" t="str">
        <f t="shared" si="162"/>
        <v/>
      </c>
      <c r="AZ207" s="51" t="str">
        <f t="shared" si="163"/>
        <v/>
      </c>
      <c r="BA207" s="51" t="str">
        <f t="shared" si="164"/>
        <v/>
      </c>
      <c r="BB207" s="51" t="str">
        <f t="shared" si="165"/>
        <v/>
      </c>
      <c r="BC207" s="51" t="str">
        <f t="shared" si="166"/>
        <v/>
      </c>
      <c r="BD207" s="51" t="str">
        <f t="shared" si="167"/>
        <v/>
      </c>
      <c r="BE207" s="51" t="str">
        <f t="shared" si="168"/>
        <v/>
      </c>
      <c r="BF207" s="51" t="str">
        <f t="shared" si="169"/>
        <v/>
      </c>
      <c r="BG207" s="51" t="str">
        <f t="shared" si="170"/>
        <v/>
      </c>
      <c r="BH207" s="51" t="b">
        <f t="shared" si="171"/>
        <v>0</v>
      </c>
      <c r="BI207" s="51" t="str">
        <f t="shared" si="172"/>
        <v/>
      </c>
      <c r="BJ207" s="51" t="str">
        <f t="shared" si="173"/>
        <v/>
      </c>
      <c r="BK207" s="51" t="b">
        <f t="shared" si="174"/>
        <v>0</v>
      </c>
      <c r="BL207" s="192"/>
    </row>
    <row r="208" spans="1:64" ht="13.5" thickBot="1" x14ac:dyDescent="0.25">
      <c r="A208" s="185" t="s">
        <v>899</v>
      </c>
      <c r="B208" s="194" t="s">
        <v>695</v>
      </c>
      <c r="C208" s="194" t="s">
        <v>695</v>
      </c>
      <c r="D208" s="194" t="s">
        <v>695</v>
      </c>
      <c r="E208" s="193" t="s">
        <v>694</v>
      </c>
      <c r="F208" s="160" t="s">
        <v>20</v>
      </c>
      <c r="G208" s="161"/>
      <c r="H208" s="186" t="str">
        <f t="shared" si="132"/>
        <v>N/A</v>
      </c>
      <c r="I208" s="186" t="b">
        <f t="shared" si="133"/>
        <v>1</v>
      </c>
      <c r="J208" s="186" t="str">
        <f t="shared" si="134"/>
        <v>N/A</v>
      </c>
      <c r="K208" s="186" t="b">
        <f t="shared" si="135"/>
        <v>1</v>
      </c>
      <c r="L208" s="186" t="str">
        <f t="shared" si="136"/>
        <v>N/A</v>
      </c>
      <c r="M208" s="186" t="b">
        <f t="shared" si="137"/>
        <v>1</v>
      </c>
      <c r="N208" s="186" t="str">
        <f t="shared" si="138"/>
        <v>Used?</v>
      </c>
      <c r="O208" s="186" t="b">
        <f t="shared" si="139"/>
        <v>0</v>
      </c>
      <c r="P208" s="26" t="s">
        <v>696</v>
      </c>
      <c r="Q208" s="160" t="s">
        <v>20</v>
      </c>
      <c r="R208" s="160" t="s">
        <v>20</v>
      </c>
      <c r="S208" s="26" t="s">
        <v>697</v>
      </c>
      <c r="T208" s="165" t="str">
        <f t="shared" si="140"/>
        <v>Not Used</v>
      </c>
      <c r="U208" s="162"/>
      <c r="V208" s="55"/>
      <c r="W208" s="51" t="b">
        <f t="shared" si="141"/>
        <v>1</v>
      </c>
      <c r="X208" s="51" t="str">
        <f t="shared" si="142"/>
        <v>Not Used</v>
      </c>
      <c r="Y208" s="51" t="str">
        <f t="shared" si="143"/>
        <v>Not Used</v>
      </c>
      <c r="Z208" s="51" t="str">
        <f t="shared" si="144"/>
        <v>Not Used</v>
      </c>
      <c r="AA208" s="51" t="str">
        <f t="shared" si="144"/>
        <v>Not Used</v>
      </c>
      <c r="AB208" s="51" t="str">
        <f t="shared" si="145"/>
        <v>Not Used</v>
      </c>
      <c r="AC208" s="51" t="b">
        <f t="shared" si="146"/>
        <v>1</v>
      </c>
      <c r="AD208" s="51">
        <f>COUNTIF($X$5:$X$208, "Not Used")</f>
        <v>204</v>
      </c>
      <c r="AE208" s="51">
        <f>COUNTIF($X$5:$X$208, "TRUE")</f>
        <v>0</v>
      </c>
      <c r="AF208" s="51" t="b">
        <f t="shared" si="147"/>
        <v>1</v>
      </c>
      <c r="AI208" s="51" t="b">
        <f t="shared" si="148"/>
        <v>0</v>
      </c>
      <c r="AJ208" s="51" t="b">
        <f t="shared" si="149"/>
        <v>0</v>
      </c>
      <c r="AK208" s="51" t="b">
        <f t="shared" si="150"/>
        <v>0</v>
      </c>
      <c r="AL208" s="51" t="b">
        <f t="shared" si="151"/>
        <v>0</v>
      </c>
      <c r="AM208" s="51" t="b">
        <f t="shared" si="152"/>
        <v>0</v>
      </c>
      <c r="AN208" s="51"/>
      <c r="AO208" s="51" t="b">
        <f t="shared" si="153"/>
        <v>0</v>
      </c>
      <c r="AP208" s="51" t="str">
        <f t="shared" si="175"/>
        <v>Not in MMS</v>
      </c>
      <c r="AQ208" s="51" t="b">
        <f t="shared" si="154"/>
        <v>0</v>
      </c>
      <c r="AR208" s="51" t="b">
        <f t="shared" si="155"/>
        <v>0</v>
      </c>
      <c r="AS208" s="51" t="str">
        <f t="shared" si="156"/>
        <v/>
      </c>
      <c r="AT208" s="51" t="str">
        <f t="shared" si="157"/>
        <v/>
      </c>
      <c r="AU208" s="51" t="str">
        <f t="shared" si="158"/>
        <v/>
      </c>
      <c r="AV208" s="51" t="str">
        <f t="shared" si="159"/>
        <v/>
      </c>
      <c r="AW208" s="51" t="str">
        <f t="shared" si="160"/>
        <v/>
      </c>
      <c r="AX208" s="51" t="str">
        <f t="shared" si="161"/>
        <v/>
      </c>
      <c r="AY208" s="51" t="str">
        <f t="shared" si="162"/>
        <v/>
      </c>
      <c r="AZ208" s="51" t="str">
        <f t="shared" si="163"/>
        <v/>
      </c>
      <c r="BA208" s="51" t="str">
        <f t="shared" si="164"/>
        <v/>
      </c>
      <c r="BB208" s="51" t="str">
        <f t="shared" si="165"/>
        <v/>
      </c>
      <c r="BC208" s="51" t="str">
        <f t="shared" si="166"/>
        <v/>
      </c>
      <c r="BD208" s="51" t="str">
        <f t="shared" si="167"/>
        <v/>
      </c>
      <c r="BE208" s="51" t="str">
        <f t="shared" si="168"/>
        <v/>
      </c>
      <c r="BF208" s="51" t="str">
        <f t="shared" si="169"/>
        <v/>
      </c>
      <c r="BG208" s="51" t="str">
        <f t="shared" si="170"/>
        <v/>
      </c>
      <c r="BH208" s="51" t="b">
        <f t="shared" si="171"/>
        <v>0</v>
      </c>
      <c r="BI208" s="51" t="str">
        <f t="shared" si="172"/>
        <v/>
      </c>
      <c r="BJ208" s="51" t="str">
        <f t="shared" si="173"/>
        <v/>
      </c>
      <c r="BK208" s="51" t="b">
        <f t="shared" si="174"/>
        <v>0</v>
      </c>
      <c r="BL208" s="192"/>
    </row>
    <row r="209" spans="1:64" ht="13.5" thickBot="1" x14ac:dyDescent="0.25">
      <c r="A209" s="185" t="s">
        <v>900</v>
      </c>
      <c r="B209" s="194" t="s">
        <v>695</v>
      </c>
      <c r="C209" s="194" t="s">
        <v>695</v>
      </c>
      <c r="D209" s="194" t="s">
        <v>695</v>
      </c>
      <c r="E209" s="193" t="s">
        <v>694</v>
      </c>
      <c r="F209" s="160" t="s">
        <v>20</v>
      </c>
      <c r="G209" s="161"/>
      <c r="H209" s="186" t="str">
        <f t="shared" si="132"/>
        <v>N/A</v>
      </c>
      <c r="I209" s="186" t="b">
        <f t="shared" si="133"/>
        <v>1</v>
      </c>
      <c r="J209" s="186" t="str">
        <f t="shared" si="134"/>
        <v>N/A</v>
      </c>
      <c r="K209" s="186" t="b">
        <f t="shared" si="135"/>
        <v>1</v>
      </c>
      <c r="L209" s="186" t="str">
        <f t="shared" si="136"/>
        <v>N/A</v>
      </c>
      <c r="M209" s="186" t="b">
        <f t="shared" si="137"/>
        <v>1</v>
      </c>
      <c r="N209" s="186" t="str">
        <f t="shared" si="138"/>
        <v>Used?</v>
      </c>
      <c r="O209" s="186" t="b">
        <f t="shared" si="139"/>
        <v>0</v>
      </c>
      <c r="P209" s="26" t="s">
        <v>696</v>
      </c>
      <c r="Q209" s="160" t="s">
        <v>20</v>
      </c>
      <c r="R209" s="160" t="s">
        <v>20</v>
      </c>
      <c r="S209" s="26" t="s">
        <v>697</v>
      </c>
      <c r="T209" s="165" t="str">
        <f t="shared" si="140"/>
        <v>Not Used</v>
      </c>
      <c r="U209" s="162"/>
      <c r="V209" s="55"/>
      <c r="W209" s="51" t="b">
        <f t="shared" si="141"/>
        <v>1</v>
      </c>
      <c r="X209" s="51" t="str">
        <f t="shared" si="142"/>
        <v>Not Used</v>
      </c>
      <c r="Y209" s="51" t="str">
        <f t="shared" si="143"/>
        <v>Not Used</v>
      </c>
      <c r="Z209" s="51" t="str">
        <f t="shared" si="144"/>
        <v>Not Used</v>
      </c>
      <c r="AA209" s="51" t="str">
        <f t="shared" si="144"/>
        <v>Not Used</v>
      </c>
      <c r="AB209" s="51" t="str">
        <f t="shared" si="145"/>
        <v>Not Used</v>
      </c>
      <c r="AC209" s="51" t="b">
        <f t="shared" si="146"/>
        <v>1</v>
      </c>
      <c r="AD209" s="51">
        <f>COUNTIF($X$5:$X$209, "Not Used")</f>
        <v>205</v>
      </c>
      <c r="AE209" s="51">
        <f>COUNTIF($X$5:$X$209, "TRUE")</f>
        <v>0</v>
      </c>
      <c r="AF209" s="51" t="b">
        <f t="shared" si="147"/>
        <v>1</v>
      </c>
      <c r="AI209" s="51" t="b">
        <f t="shared" si="148"/>
        <v>0</v>
      </c>
      <c r="AJ209" s="51" t="b">
        <f t="shared" si="149"/>
        <v>0</v>
      </c>
      <c r="AK209" s="51" t="b">
        <f t="shared" si="150"/>
        <v>0</v>
      </c>
      <c r="AL209" s="51" t="b">
        <f t="shared" si="151"/>
        <v>0</v>
      </c>
      <c r="AM209" s="51" t="b">
        <f t="shared" si="152"/>
        <v>0</v>
      </c>
      <c r="AN209" s="51"/>
      <c r="AO209" s="51" t="b">
        <f t="shared" si="153"/>
        <v>0</v>
      </c>
      <c r="AP209" s="51" t="str">
        <f t="shared" si="175"/>
        <v>Not in MMS</v>
      </c>
      <c r="AQ209" s="51" t="b">
        <f t="shared" si="154"/>
        <v>0</v>
      </c>
      <c r="AR209" s="51" t="b">
        <f t="shared" si="155"/>
        <v>0</v>
      </c>
      <c r="AS209" s="51" t="str">
        <f t="shared" si="156"/>
        <v/>
      </c>
      <c r="AT209" s="51" t="str">
        <f t="shared" si="157"/>
        <v/>
      </c>
      <c r="AU209" s="51" t="str">
        <f t="shared" si="158"/>
        <v/>
      </c>
      <c r="AV209" s="51" t="str">
        <f t="shared" si="159"/>
        <v/>
      </c>
      <c r="AW209" s="51" t="str">
        <f t="shared" si="160"/>
        <v/>
      </c>
      <c r="AX209" s="51" t="str">
        <f t="shared" si="161"/>
        <v/>
      </c>
      <c r="AY209" s="51" t="str">
        <f t="shared" si="162"/>
        <v/>
      </c>
      <c r="AZ209" s="51" t="str">
        <f t="shared" si="163"/>
        <v/>
      </c>
      <c r="BA209" s="51" t="str">
        <f t="shared" si="164"/>
        <v/>
      </c>
      <c r="BB209" s="51" t="str">
        <f t="shared" si="165"/>
        <v/>
      </c>
      <c r="BC209" s="51" t="str">
        <f t="shared" si="166"/>
        <v/>
      </c>
      <c r="BD209" s="51" t="str">
        <f t="shared" si="167"/>
        <v/>
      </c>
      <c r="BE209" s="51" t="str">
        <f t="shared" si="168"/>
        <v/>
      </c>
      <c r="BF209" s="51" t="str">
        <f t="shared" si="169"/>
        <v/>
      </c>
      <c r="BG209" s="51" t="str">
        <f t="shared" si="170"/>
        <v/>
      </c>
      <c r="BH209" s="51" t="b">
        <f t="shared" si="171"/>
        <v>0</v>
      </c>
      <c r="BI209" s="51" t="str">
        <f t="shared" si="172"/>
        <v/>
      </c>
      <c r="BJ209" s="51" t="str">
        <f t="shared" si="173"/>
        <v/>
      </c>
      <c r="BK209" s="51" t="b">
        <f t="shared" si="174"/>
        <v>0</v>
      </c>
      <c r="BL209" s="192"/>
    </row>
    <row r="210" spans="1:64" ht="13.5" thickBot="1" x14ac:dyDescent="0.25">
      <c r="A210" s="185" t="s">
        <v>901</v>
      </c>
      <c r="B210" s="194" t="s">
        <v>695</v>
      </c>
      <c r="C210" s="194" t="s">
        <v>695</v>
      </c>
      <c r="D210" s="194" t="s">
        <v>695</v>
      </c>
      <c r="E210" s="193" t="s">
        <v>694</v>
      </c>
      <c r="F210" s="160" t="s">
        <v>20</v>
      </c>
      <c r="G210" s="161"/>
      <c r="H210" s="186" t="str">
        <f t="shared" si="132"/>
        <v>N/A</v>
      </c>
      <c r="I210" s="186" t="b">
        <f t="shared" si="133"/>
        <v>1</v>
      </c>
      <c r="J210" s="186" t="str">
        <f t="shared" si="134"/>
        <v>N/A</v>
      </c>
      <c r="K210" s="186" t="b">
        <f t="shared" si="135"/>
        <v>1</v>
      </c>
      <c r="L210" s="186" t="str">
        <f t="shared" si="136"/>
        <v>N/A</v>
      </c>
      <c r="M210" s="186" t="b">
        <f t="shared" si="137"/>
        <v>1</v>
      </c>
      <c r="N210" s="186" t="str">
        <f t="shared" si="138"/>
        <v>Used?</v>
      </c>
      <c r="O210" s="186" t="b">
        <f t="shared" si="139"/>
        <v>0</v>
      </c>
      <c r="P210" s="26" t="s">
        <v>696</v>
      </c>
      <c r="Q210" s="160" t="s">
        <v>20</v>
      </c>
      <c r="R210" s="160" t="s">
        <v>20</v>
      </c>
      <c r="S210" s="26" t="s">
        <v>697</v>
      </c>
      <c r="T210" s="165" t="str">
        <f t="shared" si="140"/>
        <v>Not Used</v>
      </c>
      <c r="U210" s="162"/>
      <c r="V210" s="55"/>
      <c r="W210" s="51" t="b">
        <f t="shared" si="141"/>
        <v>1</v>
      </c>
      <c r="X210" s="51" t="str">
        <f t="shared" si="142"/>
        <v>Not Used</v>
      </c>
      <c r="Y210" s="51" t="str">
        <f t="shared" si="143"/>
        <v>Not Used</v>
      </c>
      <c r="Z210" s="51" t="str">
        <f t="shared" si="144"/>
        <v>Not Used</v>
      </c>
      <c r="AA210" s="51" t="str">
        <f t="shared" si="144"/>
        <v>Not Used</v>
      </c>
      <c r="AB210" s="51" t="str">
        <f t="shared" si="145"/>
        <v>Not Used</v>
      </c>
      <c r="AC210" s="51" t="b">
        <f t="shared" si="146"/>
        <v>1</v>
      </c>
      <c r="AD210" s="51">
        <f>COUNTIF($X$5:$X$210, "Not Used")</f>
        <v>206</v>
      </c>
      <c r="AE210" s="51">
        <f>COUNTIF($X$5:$X$210, "TRUE")</f>
        <v>0</v>
      </c>
      <c r="AF210" s="51" t="b">
        <f t="shared" si="147"/>
        <v>1</v>
      </c>
      <c r="AI210" s="51" t="b">
        <f t="shared" si="148"/>
        <v>0</v>
      </c>
      <c r="AJ210" s="51" t="b">
        <f t="shared" si="149"/>
        <v>0</v>
      </c>
      <c r="AK210" s="51" t="b">
        <f t="shared" si="150"/>
        <v>0</v>
      </c>
      <c r="AL210" s="51" t="b">
        <f t="shared" si="151"/>
        <v>0</v>
      </c>
      <c r="AM210" s="51" t="b">
        <f t="shared" si="152"/>
        <v>0</v>
      </c>
      <c r="AN210" s="51"/>
      <c r="AO210" s="51" t="b">
        <f t="shared" si="153"/>
        <v>0</v>
      </c>
      <c r="AP210" s="51" t="str">
        <f t="shared" si="175"/>
        <v>Not in MMS</v>
      </c>
      <c r="AQ210" s="51" t="b">
        <f t="shared" si="154"/>
        <v>0</v>
      </c>
      <c r="AR210" s="51" t="b">
        <f t="shared" si="155"/>
        <v>0</v>
      </c>
      <c r="AS210" s="51" t="str">
        <f t="shared" si="156"/>
        <v/>
      </c>
      <c r="AT210" s="51" t="str">
        <f t="shared" si="157"/>
        <v/>
      </c>
      <c r="AU210" s="51" t="str">
        <f t="shared" si="158"/>
        <v/>
      </c>
      <c r="AV210" s="51" t="str">
        <f t="shared" si="159"/>
        <v/>
      </c>
      <c r="AW210" s="51" t="str">
        <f t="shared" si="160"/>
        <v/>
      </c>
      <c r="AX210" s="51" t="str">
        <f t="shared" si="161"/>
        <v/>
      </c>
      <c r="AY210" s="51" t="str">
        <f t="shared" si="162"/>
        <v/>
      </c>
      <c r="AZ210" s="51" t="str">
        <f t="shared" si="163"/>
        <v/>
      </c>
      <c r="BA210" s="51" t="str">
        <f t="shared" si="164"/>
        <v/>
      </c>
      <c r="BB210" s="51" t="str">
        <f t="shared" si="165"/>
        <v/>
      </c>
      <c r="BC210" s="51" t="str">
        <f t="shared" si="166"/>
        <v/>
      </c>
      <c r="BD210" s="51" t="str">
        <f t="shared" si="167"/>
        <v/>
      </c>
      <c r="BE210" s="51" t="str">
        <f t="shared" si="168"/>
        <v/>
      </c>
      <c r="BF210" s="51" t="str">
        <f t="shared" si="169"/>
        <v/>
      </c>
      <c r="BG210" s="51" t="str">
        <f t="shared" si="170"/>
        <v/>
      </c>
      <c r="BH210" s="51" t="b">
        <f t="shared" si="171"/>
        <v>0</v>
      </c>
      <c r="BI210" s="51" t="str">
        <f t="shared" si="172"/>
        <v/>
      </c>
      <c r="BJ210" s="51" t="str">
        <f t="shared" si="173"/>
        <v/>
      </c>
      <c r="BK210" s="51" t="b">
        <f t="shared" si="174"/>
        <v>0</v>
      </c>
      <c r="BL210" s="192"/>
    </row>
    <row r="211" spans="1:64" ht="13.5" thickBot="1" x14ac:dyDescent="0.25">
      <c r="A211" s="185" t="s">
        <v>902</v>
      </c>
      <c r="B211" s="194" t="s">
        <v>695</v>
      </c>
      <c r="C211" s="194" t="s">
        <v>695</v>
      </c>
      <c r="D211" s="194" t="s">
        <v>695</v>
      </c>
      <c r="E211" s="193" t="s">
        <v>694</v>
      </c>
      <c r="F211" s="160" t="s">
        <v>20</v>
      </c>
      <c r="G211" s="161"/>
      <c r="H211" s="186" t="str">
        <f t="shared" si="132"/>
        <v>N/A</v>
      </c>
      <c r="I211" s="186" t="b">
        <f t="shared" si="133"/>
        <v>1</v>
      </c>
      <c r="J211" s="186" t="str">
        <f t="shared" si="134"/>
        <v>N/A</v>
      </c>
      <c r="K211" s="186" t="b">
        <f t="shared" si="135"/>
        <v>1</v>
      </c>
      <c r="L211" s="186" t="str">
        <f t="shared" si="136"/>
        <v>N/A</v>
      </c>
      <c r="M211" s="186" t="b">
        <f t="shared" si="137"/>
        <v>1</v>
      </c>
      <c r="N211" s="186" t="str">
        <f t="shared" si="138"/>
        <v>Used?</v>
      </c>
      <c r="O211" s="186" t="b">
        <f t="shared" si="139"/>
        <v>0</v>
      </c>
      <c r="P211" s="26" t="s">
        <v>696</v>
      </c>
      <c r="Q211" s="160" t="s">
        <v>20</v>
      </c>
      <c r="R211" s="160" t="s">
        <v>20</v>
      </c>
      <c r="S211" s="26" t="s">
        <v>697</v>
      </c>
      <c r="T211" s="165" t="str">
        <f t="shared" si="140"/>
        <v>Not Used</v>
      </c>
      <c r="U211" s="162"/>
      <c r="V211" s="55"/>
      <c r="W211" s="51" t="b">
        <f t="shared" si="141"/>
        <v>1</v>
      </c>
      <c r="X211" s="51" t="str">
        <f t="shared" si="142"/>
        <v>Not Used</v>
      </c>
      <c r="Y211" s="51" t="str">
        <f t="shared" si="143"/>
        <v>Not Used</v>
      </c>
      <c r="Z211" s="51" t="str">
        <f t="shared" si="144"/>
        <v>Not Used</v>
      </c>
      <c r="AA211" s="51" t="str">
        <f t="shared" si="144"/>
        <v>Not Used</v>
      </c>
      <c r="AB211" s="51" t="str">
        <f t="shared" si="145"/>
        <v>Not Used</v>
      </c>
      <c r="AC211" s="51" t="b">
        <f t="shared" si="146"/>
        <v>1</v>
      </c>
      <c r="AD211" s="51">
        <f>COUNTIF($X$5:$X$211, "Not Used")</f>
        <v>207</v>
      </c>
      <c r="AE211" s="51">
        <f>COUNTIF($X$5:$X$211, "TRUE")</f>
        <v>0</v>
      </c>
      <c r="AF211" s="51" t="b">
        <f t="shared" si="147"/>
        <v>1</v>
      </c>
      <c r="AI211" s="51" t="b">
        <f t="shared" si="148"/>
        <v>0</v>
      </c>
      <c r="AJ211" s="51" t="b">
        <f t="shared" si="149"/>
        <v>0</v>
      </c>
      <c r="AK211" s="51" t="b">
        <f t="shared" si="150"/>
        <v>0</v>
      </c>
      <c r="AL211" s="51" t="b">
        <f t="shared" si="151"/>
        <v>0</v>
      </c>
      <c r="AM211" s="51" t="b">
        <f t="shared" si="152"/>
        <v>0</v>
      </c>
      <c r="AN211" s="51"/>
      <c r="AO211" s="51" t="b">
        <f t="shared" si="153"/>
        <v>0</v>
      </c>
      <c r="AP211" s="51" t="str">
        <f t="shared" si="175"/>
        <v>Not in MMS</v>
      </c>
      <c r="AQ211" s="51" t="b">
        <f t="shared" si="154"/>
        <v>0</v>
      </c>
      <c r="AR211" s="51" t="b">
        <f t="shared" si="155"/>
        <v>0</v>
      </c>
      <c r="AS211" s="51" t="str">
        <f t="shared" si="156"/>
        <v/>
      </c>
      <c r="AT211" s="51" t="str">
        <f t="shared" si="157"/>
        <v/>
      </c>
      <c r="AU211" s="51" t="str">
        <f t="shared" si="158"/>
        <v/>
      </c>
      <c r="AV211" s="51" t="str">
        <f t="shared" si="159"/>
        <v/>
      </c>
      <c r="AW211" s="51" t="str">
        <f t="shared" si="160"/>
        <v/>
      </c>
      <c r="AX211" s="51" t="str">
        <f t="shared" si="161"/>
        <v/>
      </c>
      <c r="AY211" s="51" t="str">
        <f t="shared" si="162"/>
        <v/>
      </c>
      <c r="AZ211" s="51" t="str">
        <f t="shared" si="163"/>
        <v/>
      </c>
      <c r="BA211" s="51" t="str">
        <f t="shared" si="164"/>
        <v/>
      </c>
      <c r="BB211" s="51" t="str">
        <f t="shared" si="165"/>
        <v/>
      </c>
      <c r="BC211" s="51" t="str">
        <f t="shared" si="166"/>
        <v/>
      </c>
      <c r="BD211" s="51" t="str">
        <f t="shared" si="167"/>
        <v/>
      </c>
      <c r="BE211" s="51" t="str">
        <f t="shared" si="168"/>
        <v/>
      </c>
      <c r="BF211" s="51" t="str">
        <f t="shared" si="169"/>
        <v/>
      </c>
      <c r="BG211" s="51" t="str">
        <f t="shared" si="170"/>
        <v/>
      </c>
      <c r="BH211" s="51" t="b">
        <f t="shared" si="171"/>
        <v>0</v>
      </c>
      <c r="BI211" s="51" t="str">
        <f t="shared" si="172"/>
        <v/>
      </c>
      <c r="BJ211" s="51" t="str">
        <f t="shared" si="173"/>
        <v/>
      </c>
      <c r="BK211" s="51" t="b">
        <f t="shared" si="174"/>
        <v>0</v>
      </c>
      <c r="BL211" s="192"/>
    </row>
    <row r="212" spans="1:64" ht="13.5" thickBot="1" x14ac:dyDescent="0.25">
      <c r="A212" s="185" t="s">
        <v>903</v>
      </c>
      <c r="B212" s="194" t="s">
        <v>695</v>
      </c>
      <c r="C212" s="194" t="s">
        <v>695</v>
      </c>
      <c r="D212" s="194" t="s">
        <v>695</v>
      </c>
      <c r="E212" s="193" t="s">
        <v>694</v>
      </c>
      <c r="F212" s="160" t="s">
        <v>20</v>
      </c>
      <c r="G212" s="161"/>
      <c r="H212" s="186" t="str">
        <f t="shared" si="132"/>
        <v>N/A</v>
      </c>
      <c r="I212" s="186" t="b">
        <f t="shared" si="133"/>
        <v>1</v>
      </c>
      <c r="J212" s="186" t="str">
        <f t="shared" si="134"/>
        <v>N/A</v>
      </c>
      <c r="K212" s="186" t="b">
        <f t="shared" si="135"/>
        <v>1</v>
      </c>
      <c r="L212" s="186" t="str">
        <f t="shared" si="136"/>
        <v>N/A</v>
      </c>
      <c r="M212" s="186" t="b">
        <f t="shared" si="137"/>
        <v>1</v>
      </c>
      <c r="N212" s="186" t="str">
        <f t="shared" si="138"/>
        <v>Used?</v>
      </c>
      <c r="O212" s="186" t="b">
        <f t="shared" si="139"/>
        <v>0</v>
      </c>
      <c r="P212" s="26" t="s">
        <v>696</v>
      </c>
      <c r="Q212" s="160" t="s">
        <v>20</v>
      </c>
      <c r="R212" s="160" t="s">
        <v>20</v>
      </c>
      <c r="S212" s="26" t="s">
        <v>697</v>
      </c>
      <c r="T212" s="165" t="str">
        <f t="shared" si="140"/>
        <v>Not Used</v>
      </c>
      <c r="U212" s="162"/>
      <c r="V212" s="55"/>
      <c r="W212" s="51" t="b">
        <f t="shared" si="141"/>
        <v>1</v>
      </c>
      <c r="X212" s="51" t="str">
        <f t="shared" si="142"/>
        <v>Not Used</v>
      </c>
      <c r="Y212" s="51" t="str">
        <f t="shared" si="143"/>
        <v>Not Used</v>
      </c>
      <c r="Z212" s="51" t="str">
        <f t="shared" si="144"/>
        <v>Not Used</v>
      </c>
      <c r="AA212" s="51" t="str">
        <f t="shared" si="144"/>
        <v>Not Used</v>
      </c>
      <c r="AB212" s="51" t="str">
        <f t="shared" si="145"/>
        <v>Not Used</v>
      </c>
      <c r="AC212" s="51" t="b">
        <f t="shared" si="146"/>
        <v>1</v>
      </c>
      <c r="AD212" s="51">
        <f>COUNTIF($X$5:$X$212, "Not Used")</f>
        <v>208</v>
      </c>
      <c r="AE212" s="51">
        <f>COUNTIF($X$5:$X$212, "TRUE")</f>
        <v>0</v>
      </c>
      <c r="AF212" s="51" t="b">
        <f t="shared" si="147"/>
        <v>1</v>
      </c>
      <c r="AI212" s="51" t="b">
        <f t="shared" si="148"/>
        <v>0</v>
      </c>
      <c r="AJ212" s="51" t="b">
        <f t="shared" si="149"/>
        <v>0</v>
      </c>
      <c r="AK212" s="51" t="b">
        <f t="shared" si="150"/>
        <v>0</v>
      </c>
      <c r="AL212" s="51" t="b">
        <f t="shared" si="151"/>
        <v>0</v>
      </c>
      <c r="AM212" s="51" t="b">
        <f t="shared" si="152"/>
        <v>0</v>
      </c>
      <c r="AN212" s="51"/>
      <c r="AO212" s="51" t="b">
        <f t="shared" si="153"/>
        <v>0</v>
      </c>
      <c r="AP212" s="51" t="str">
        <f t="shared" si="175"/>
        <v>Not in MMS</v>
      </c>
      <c r="AQ212" s="51" t="b">
        <f t="shared" si="154"/>
        <v>0</v>
      </c>
      <c r="AR212" s="51" t="b">
        <f t="shared" si="155"/>
        <v>0</v>
      </c>
      <c r="AS212" s="51" t="str">
        <f t="shared" si="156"/>
        <v/>
      </c>
      <c r="AT212" s="51" t="str">
        <f t="shared" si="157"/>
        <v/>
      </c>
      <c r="AU212" s="51" t="str">
        <f t="shared" si="158"/>
        <v/>
      </c>
      <c r="AV212" s="51" t="str">
        <f t="shared" si="159"/>
        <v/>
      </c>
      <c r="AW212" s="51" t="str">
        <f t="shared" si="160"/>
        <v/>
      </c>
      <c r="AX212" s="51" t="str">
        <f t="shared" si="161"/>
        <v/>
      </c>
      <c r="AY212" s="51" t="str">
        <f t="shared" si="162"/>
        <v/>
      </c>
      <c r="AZ212" s="51" t="str">
        <f t="shared" si="163"/>
        <v/>
      </c>
      <c r="BA212" s="51" t="str">
        <f t="shared" si="164"/>
        <v/>
      </c>
      <c r="BB212" s="51" t="str">
        <f t="shared" si="165"/>
        <v/>
      </c>
      <c r="BC212" s="51" t="str">
        <f t="shared" si="166"/>
        <v/>
      </c>
      <c r="BD212" s="51" t="str">
        <f t="shared" si="167"/>
        <v/>
      </c>
      <c r="BE212" s="51" t="str">
        <f t="shared" si="168"/>
        <v/>
      </c>
      <c r="BF212" s="51" t="str">
        <f t="shared" si="169"/>
        <v/>
      </c>
      <c r="BG212" s="51" t="str">
        <f t="shared" si="170"/>
        <v/>
      </c>
      <c r="BH212" s="51" t="b">
        <f t="shared" si="171"/>
        <v>0</v>
      </c>
      <c r="BI212" s="51" t="str">
        <f t="shared" si="172"/>
        <v/>
      </c>
      <c r="BJ212" s="51" t="str">
        <f t="shared" si="173"/>
        <v/>
      </c>
      <c r="BK212" s="51" t="b">
        <f t="shared" si="174"/>
        <v>0</v>
      </c>
      <c r="BL212" s="192"/>
    </row>
    <row r="213" spans="1:64" ht="13.5" thickBot="1" x14ac:dyDescent="0.25">
      <c r="A213" s="185" t="s">
        <v>904</v>
      </c>
      <c r="B213" s="194" t="s">
        <v>695</v>
      </c>
      <c r="C213" s="194" t="s">
        <v>695</v>
      </c>
      <c r="D213" s="194" t="s">
        <v>695</v>
      </c>
      <c r="E213" s="193" t="s">
        <v>694</v>
      </c>
      <c r="F213" s="160" t="s">
        <v>20</v>
      </c>
      <c r="G213" s="161"/>
      <c r="H213" s="186" t="str">
        <f t="shared" si="132"/>
        <v>N/A</v>
      </c>
      <c r="I213" s="186" t="b">
        <f t="shared" si="133"/>
        <v>1</v>
      </c>
      <c r="J213" s="186" t="str">
        <f t="shared" si="134"/>
        <v>N/A</v>
      </c>
      <c r="K213" s="186" t="b">
        <f t="shared" si="135"/>
        <v>1</v>
      </c>
      <c r="L213" s="186" t="str">
        <f t="shared" si="136"/>
        <v>N/A</v>
      </c>
      <c r="M213" s="186" t="b">
        <f t="shared" si="137"/>
        <v>1</v>
      </c>
      <c r="N213" s="186" t="str">
        <f t="shared" si="138"/>
        <v>Used?</v>
      </c>
      <c r="O213" s="186" t="b">
        <f t="shared" si="139"/>
        <v>0</v>
      </c>
      <c r="P213" s="26" t="s">
        <v>696</v>
      </c>
      <c r="Q213" s="160" t="s">
        <v>20</v>
      </c>
      <c r="R213" s="160" t="s">
        <v>20</v>
      </c>
      <c r="S213" s="26" t="s">
        <v>697</v>
      </c>
      <c r="T213" s="165" t="str">
        <f t="shared" si="140"/>
        <v>Not Used</v>
      </c>
      <c r="U213" s="162"/>
      <c r="V213" s="55"/>
      <c r="W213" s="51" t="b">
        <f t="shared" si="141"/>
        <v>1</v>
      </c>
      <c r="X213" s="51" t="str">
        <f t="shared" si="142"/>
        <v>Not Used</v>
      </c>
      <c r="Y213" s="51" t="str">
        <f t="shared" si="143"/>
        <v>Not Used</v>
      </c>
      <c r="Z213" s="51" t="str">
        <f t="shared" si="144"/>
        <v>Not Used</v>
      </c>
      <c r="AA213" s="51" t="str">
        <f t="shared" si="144"/>
        <v>Not Used</v>
      </c>
      <c r="AB213" s="51" t="str">
        <f t="shared" si="145"/>
        <v>Not Used</v>
      </c>
      <c r="AC213" s="51" t="b">
        <f t="shared" si="146"/>
        <v>1</v>
      </c>
      <c r="AD213" s="51">
        <f>COUNTIF($X$5:$X$213, "Not Used")</f>
        <v>209</v>
      </c>
      <c r="AE213" s="51">
        <f>COUNTIF($X$5:$X$213, "TRUE")</f>
        <v>0</v>
      </c>
      <c r="AF213" s="51" t="b">
        <f t="shared" si="147"/>
        <v>1</v>
      </c>
      <c r="AI213" s="51" t="b">
        <f t="shared" si="148"/>
        <v>0</v>
      </c>
      <c r="AJ213" s="51" t="b">
        <f t="shared" si="149"/>
        <v>0</v>
      </c>
      <c r="AK213" s="51" t="b">
        <f t="shared" si="150"/>
        <v>0</v>
      </c>
      <c r="AL213" s="51" t="b">
        <f t="shared" si="151"/>
        <v>0</v>
      </c>
      <c r="AM213" s="51" t="b">
        <f t="shared" si="152"/>
        <v>0</v>
      </c>
      <c r="AN213" s="51"/>
      <c r="AO213" s="51" t="b">
        <f t="shared" si="153"/>
        <v>0</v>
      </c>
      <c r="AP213" s="51" t="str">
        <f t="shared" si="175"/>
        <v>Not in MMS</v>
      </c>
      <c r="AQ213" s="51" t="b">
        <f t="shared" si="154"/>
        <v>0</v>
      </c>
      <c r="AR213" s="51" t="b">
        <f t="shared" si="155"/>
        <v>0</v>
      </c>
      <c r="AS213" s="51" t="str">
        <f t="shared" si="156"/>
        <v/>
      </c>
      <c r="AT213" s="51" t="str">
        <f t="shared" si="157"/>
        <v/>
      </c>
      <c r="AU213" s="51" t="str">
        <f t="shared" si="158"/>
        <v/>
      </c>
      <c r="AV213" s="51" t="str">
        <f t="shared" si="159"/>
        <v/>
      </c>
      <c r="AW213" s="51" t="str">
        <f t="shared" si="160"/>
        <v/>
      </c>
      <c r="AX213" s="51" t="str">
        <f t="shared" si="161"/>
        <v/>
      </c>
      <c r="AY213" s="51" t="str">
        <f t="shared" si="162"/>
        <v/>
      </c>
      <c r="AZ213" s="51" t="str">
        <f t="shared" si="163"/>
        <v/>
      </c>
      <c r="BA213" s="51" t="str">
        <f t="shared" si="164"/>
        <v/>
      </c>
      <c r="BB213" s="51" t="str">
        <f t="shared" si="165"/>
        <v/>
      </c>
      <c r="BC213" s="51" t="str">
        <f t="shared" si="166"/>
        <v/>
      </c>
      <c r="BD213" s="51" t="str">
        <f t="shared" si="167"/>
        <v/>
      </c>
      <c r="BE213" s="51" t="str">
        <f t="shared" si="168"/>
        <v/>
      </c>
      <c r="BF213" s="51" t="str">
        <f t="shared" si="169"/>
        <v/>
      </c>
      <c r="BG213" s="51" t="str">
        <f t="shared" si="170"/>
        <v/>
      </c>
      <c r="BH213" s="51" t="b">
        <f t="shared" si="171"/>
        <v>0</v>
      </c>
      <c r="BI213" s="51" t="str">
        <f t="shared" si="172"/>
        <v/>
      </c>
      <c r="BJ213" s="51" t="str">
        <f t="shared" si="173"/>
        <v/>
      </c>
      <c r="BK213" s="51" t="b">
        <f t="shared" si="174"/>
        <v>0</v>
      </c>
      <c r="BL213" s="192"/>
    </row>
    <row r="214" spans="1:64" ht="13.5" thickBot="1" x14ac:dyDescent="0.25">
      <c r="A214" s="185" t="s">
        <v>905</v>
      </c>
      <c r="B214" s="194" t="s">
        <v>695</v>
      </c>
      <c r="C214" s="194" t="s">
        <v>695</v>
      </c>
      <c r="D214" s="194" t="s">
        <v>695</v>
      </c>
      <c r="E214" s="193" t="s">
        <v>694</v>
      </c>
      <c r="F214" s="160" t="s">
        <v>20</v>
      </c>
      <c r="G214" s="161"/>
      <c r="H214" s="186" t="str">
        <f t="shared" si="132"/>
        <v>N/A</v>
      </c>
      <c r="I214" s="186" t="b">
        <f t="shared" si="133"/>
        <v>1</v>
      </c>
      <c r="J214" s="186" t="str">
        <f t="shared" si="134"/>
        <v>N/A</v>
      </c>
      <c r="K214" s="186" t="b">
        <f t="shared" si="135"/>
        <v>1</v>
      </c>
      <c r="L214" s="186" t="str">
        <f t="shared" si="136"/>
        <v>N/A</v>
      </c>
      <c r="M214" s="186" t="b">
        <f t="shared" si="137"/>
        <v>1</v>
      </c>
      <c r="N214" s="186" t="str">
        <f t="shared" si="138"/>
        <v>Used?</v>
      </c>
      <c r="O214" s="186" t="b">
        <f t="shared" si="139"/>
        <v>0</v>
      </c>
      <c r="P214" s="26" t="s">
        <v>696</v>
      </c>
      <c r="Q214" s="160" t="s">
        <v>20</v>
      </c>
      <c r="R214" s="160" t="s">
        <v>20</v>
      </c>
      <c r="S214" s="26" t="s">
        <v>697</v>
      </c>
      <c r="T214" s="165" t="str">
        <f t="shared" si="140"/>
        <v>Not Used</v>
      </c>
      <c r="U214" s="162"/>
      <c r="V214" s="55"/>
      <c r="W214" s="51" t="b">
        <f t="shared" si="141"/>
        <v>1</v>
      </c>
      <c r="X214" s="51" t="str">
        <f t="shared" si="142"/>
        <v>Not Used</v>
      </c>
      <c r="Y214" s="51" t="str">
        <f t="shared" si="143"/>
        <v>Not Used</v>
      </c>
      <c r="Z214" s="51" t="str">
        <f t="shared" si="144"/>
        <v>Not Used</v>
      </c>
      <c r="AA214" s="51" t="str">
        <f t="shared" si="144"/>
        <v>Not Used</v>
      </c>
      <c r="AB214" s="51" t="str">
        <f t="shared" si="145"/>
        <v>Not Used</v>
      </c>
      <c r="AC214" s="51" t="b">
        <f t="shared" si="146"/>
        <v>1</v>
      </c>
      <c r="AD214" s="51">
        <f>COUNTIF($X$5:$X$214, "Not Used")</f>
        <v>210</v>
      </c>
      <c r="AE214" s="51">
        <f>COUNTIF($X$5:$X$214, "TRUE")</f>
        <v>0</v>
      </c>
      <c r="AF214" s="51" t="b">
        <f t="shared" si="147"/>
        <v>1</v>
      </c>
      <c r="AI214" s="51" t="b">
        <f t="shared" si="148"/>
        <v>0</v>
      </c>
      <c r="AJ214" s="51" t="b">
        <f t="shared" si="149"/>
        <v>0</v>
      </c>
      <c r="AK214" s="51" t="b">
        <f t="shared" si="150"/>
        <v>0</v>
      </c>
      <c r="AL214" s="51" t="b">
        <f t="shared" si="151"/>
        <v>0</v>
      </c>
      <c r="AM214" s="51" t="b">
        <f t="shared" si="152"/>
        <v>0</v>
      </c>
      <c r="AN214" s="51"/>
      <c r="AO214" s="51" t="b">
        <f t="shared" si="153"/>
        <v>0</v>
      </c>
      <c r="AP214" s="51" t="str">
        <f t="shared" si="175"/>
        <v>Not in MMS</v>
      </c>
      <c r="AQ214" s="51" t="b">
        <f t="shared" si="154"/>
        <v>0</v>
      </c>
      <c r="AR214" s="51" t="b">
        <f t="shared" si="155"/>
        <v>0</v>
      </c>
      <c r="AS214" s="51" t="str">
        <f t="shared" si="156"/>
        <v/>
      </c>
      <c r="AT214" s="51" t="str">
        <f t="shared" si="157"/>
        <v/>
      </c>
      <c r="AU214" s="51" t="str">
        <f t="shared" si="158"/>
        <v/>
      </c>
      <c r="AV214" s="51" t="str">
        <f t="shared" si="159"/>
        <v/>
      </c>
      <c r="AW214" s="51" t="str">
        <f t="shared" si="160"/>
        <v/>
      </c>
      <c r="AX214" s="51" t="str">
        <f t="shared" si="161"/>
        <v/>
      </c>
      <c r="AY214" s="51" t="str">
        <f t="shared" si="162"/>
        <v/>
      </c>
      <c r="AZ214" s="51" t="str">
        <f t="shared" si="163"/>
        <v/>
      </c>
      <c r="BA214" s="51" t="str">
        <f t="shared" si="164"/>
        <v/>
      </c>
      <c r="BB214" s="51" t="str">
        <f t="shared" si="165"/>
        <v/>
      </c>
      <c r="BC214" s="51" t="str">
        <f t="shared" si="166"/>
        <v/>
      </c>
      <c r="BD214" s="51" t="str">
        <f t="shared" si="167"/>
        <v/>
      </c>
      <c r="BE214" s="51" t="str">
        <f t="shared" si="168"/>
        <v/>
      </c>
      <c r="BF214" s="51" t="str">
        <f t="shared" si="169"/>
        <v/>
      </c>
      <c r="BG214" s="51" t="str">
        <f t="shared" si="170"/>
        <v/>
      </c>
      <c r="BH214" s="51" t="b">
        <f t="shared" si="171"/>
        <v>0</v>
      </c>
      <c r="BI214" s="51" t="str">
        <f t="shared" si="172"/>
        <v/>
      </c>
      <c r="BJ214" s="51" t="str">
        <f t="shared" si="173"/>
        <v/>
      </c>
      <c r="BK214" s="51" t="b">
        <f t="shared" si="174"/>
        <v>0</v>
      </c>
      <c r="BL214" s="192"/>
    </row>
    <row r="215" spans="1:64" ht="13.5" thickBot="1" x14ac:dyDescent="0.25">
      <c r="A215" s="185" t="s">
        <v>906</v>
      </c>
      <c r="B215" s="194" t="s">
        <v>695</v>
      </c>
      <c r="C215" s="194" t="s">
        <v>695</v>
      </c>
      <c r="D215" s="194" t="s">
        <v>695</v>
      </c>
      <c r="E215" s="193" t="s">
        <v>694</v>
      </c>
      <c r="F215" s="160" t="s">
        <v>20</v>
      </c>
      <c r="G215" s="161"/>
      <c r="H215" s="186" t="str">
        <f t="shared" si="132"/>
        <v>N/A</v>
      </c>
      <c r="I215" s="186" t="b">
        <f t="shared" si="133"/>
        <v>1</v>
      </c>
      <c r="J215" s="186" t="str">
        <f t="shared" si="134"/>
        <v>N/A</v>
      </c>
      <c r="K215" s="186" t="b">
        <f t="shared" si="135"/>
        <v>1</v>
      </c>
      <c r="L215" s="186" t="str">
        <f t="shared" si="136"/>
        <v>N/A</v>
      </c>
      <c r="M215" s="186" t="b">
        <f t="shared" si="137"/>
        <v>1</v>
      </c>
      <c r="N215" s="186" t="str">
        <f t="shared" si="138"/>
        <v>Used?</v>
      </c>
      <c r="O215" s="186" t="b">
        <f t="shared" si="139"/>
        <v>0</v>
      </c>
      <c r="P215" s="26" t="s">
        <v>696</v>
      </c>
      <c r="Q215" s="160" t="s">
        <v>20</v>
      </c>
      <c r="R215" s="160" t="s">
        <v>20</v>
      </c>
      <c r="S215" s="26" t="s">
        <v>697</v>
      </c>
      <c r="T215" s="165" t="str">
        <f t="shared" si="140"/>
        <v>Not Used</v>
      </c>
      <c r="U215" s="162"/>
      <c r="V215" s="55"/>
      <c r="W215" s="51" t="b">
        <f t="shared" si="141"/>
        <v>1</v>
      </c>
      <c r="X215" s="51" t="str">
        <f t="shared" si="142"/>
        <v>Not Used</v>
      </c>
      <c r="Y215" s="51" t="str">
        <f t="shared" si="143"/>
        <v>Not Used</v>
      </c>
      <c r="Z215" s="51" t="str">
        <f t="shared" si="144"/>
        <v>Not Used</v>
      </c>
      <c r="AA215" s="51" t="str">
        <f t="shared" si="144"/>
        <v>Not Used</v>
      </c>
      <c r="AB215" s="51" t="str">
        <f t="shared" si="145"/>
        <v>Not Used</v>
      </c>
      <c r="AC215" s="51" t="b">
        <f t="shared" si="146"/>
        <v>1</v>
      </c>
      <c r="AD215" s="51">
        <f>COUNTIF($X$5:$X$215, "Not Used")</f>
        <v>211</v>
      </c>
      <c r="AE215" s="51">
        <f>COUNTIF($X$5:$X$215, "TRUE")</f>
        <v>0</v>
      </c>
      <c r="AF215" s="51" t="b">
        <f t="shared" si="147"/>
        <v>1</v>
      </c>
      <c r="AI215" s="51" t="b">
        <f t="shared" si="148"/>
        <v>0</v>
      </c>
      <c r="AJ215" s="51" t="b">
        <f t="shared" si="149"/>
        <v>0</v>
      </c>
      <c r="AK215" s="51" t="b">
        <f t="shared" si="150"/>
        <v>0</v>
      </c>
      <c r="AL215" s="51" t="b">
        <f t="shared" si="151"/>
        <v>0</v>
      </c>
      <c r="AM215" s="51" t="b">
        <f t="shared" si="152"/>
        <v>0</v>
      </c>
      <c r="AN215" s="51"/>
      <c r="AO215" s="51" t="b">
        <f t="shared" si="153"/>
        <v>0</v>
      </c>
      <c r="AP215" s="51" t="str">
        <f t="shared" si="175"/>
        <v>Not in MMS</v>
      </c>
      <c r="AQ215" s="51" t="b">
        <f t="shared" si="154"/>
        <v>0</v>
      </c>
      <c r="AR215" s="51" t="b">
        <f t="shared" si="155"/>
        <v>0</v>
      </c>
      <c r="AS215" s="51" t="str">
        <f t="shared" si="156"/>
        <v/>
      </c>
      <c r="AT215" s="51" t="str">
        <f t="shared" si="157"/>
        <v/>
      </c>
      <c r="AU215" s="51" t="str">
        <f t="shared" si="158"/>
        <v/>
      </c>
      <c r="AV215" s="51" t="str">
        <f t="shared" si="159"/>
        <v/>
      </c>
      <c r="AW215" s="51" t="str">
        <f t="shared" si="160"/>
        <v/>
      </c>
      <c r="AX215" s="51" t="str">
        <f t="shared" si="161"/>
        <v/>
      </c>
      <c r="AY215" s="51" t="str">
        <f t="shared" si="162"/>
        <v/>
      </c>
      <c r="AZ215" s="51" t="str">
        <f t="shared" si="163"/>
        <v/>
      </c>
      <c r="BA215" s="51" t="str">
        <f t="shared" si="164"/>
        <v/>
      </c>
      <c r="BB215" s="51" t="str">
        <f t="shared" si="165"/>
        <v/>
      </c>
      <c r="BC215" s="51" t="str">
        <f t="shared" si="166"/>
        <v/>
      </c>
      <c r="BD215" s="51" t="str">
        <f t="shared" si="167"/>
        <v/>
      </c>
      <c r="BE215" s="51" t="str">
        <f t="shared" si="168"/>
        <v/>
      </c>
      <c r="BF215" s="51" t="str">
        <f t="shared" si="169"/>
        <v/>
      </c>
      <c r="BG215" s="51" t="str">
        <f t="shared" si="170"/>
        <v/>
      </c>
      <c r="BH215" s="51" t="b">
        <f t="shared" si="171"/>
        <v>0</v>
      </c>
      <c r="BI215" s="51" t="str">
        <f t="shared" si="172"/>
        <v/>
      </c>
      <c r="BJ215" s="51" t="str">
        <f t="shared" si="173"/>
        <v/>
      </c>
      <c r="BK215" s="51" t="b">
        <f t="shared" si="174"/>
        <v>0</v>
      </c>
      <c r="BL215" s="192"/>
    </row>
    <row r="216" spans="1:64" ht="13.5" thickBot="1" x14ac:dyDescent="0.25">
      <c r="A216" s="185" t="s">
        <v>907</v>
      </c>
      <c r="B216" s="194" t="s">
        <v>695</v>
      </c>
      <c r="C216" s="194" t="s">
        <v>695</v>
      </c>
      <c r="D216" s="194" t="s">
        <v>695</v>
      </c>
      <c r="E216" s="193" t="s">
        <v>694</v>
      </c>
      <c r="F216" s="160" t="s">
        <v>20</v>
      </c>
      <c r="G216" s="161"/>
      <c r="H216" s="186" t="str">
        <f t="shared" si="132"/>
        <v>N/A</v>
      </c>
      <c r="I216" s="186" t="b">
        <f t="shared" si="133"/>
        <v>1</v>
      </c>
      <c r="J216" s="186" t="str">
        <f t="shared" si="134"/>
        <v>N/A</v>
      </c>
      <c r="K216" s="186" t="b">
        <f t="shared" si="135"/>
        <v>1</v>
      </c>
      <c r="L216" s="186" t="str">
        <f t="shared" si="136"/>
        <v>N/A</v>
      </c>
      <c r="M216" s="186" t="b">
        <f t="shared" si="137"/>
        <v>1</v>
      </c>
      <c r="N216" s="186" t="str">
        <f t="shared" si="138"/>
        <v>Used?</v>
      </c>
      <c r="O216" s="186" t="b">
        <f t="shared" si="139"/>
        <v>0</v>
      </c>
      <c r="P216" s="26" t="s">
        <v>696</v>
      </c>
      <c r="Q216" s="160" t="s">
        <v>20</v>
      </c>
      <c r="R216" s="160" t="s">
        <v>20</v>
      </c>
      <c r="S216" s="26" t="s">
        <v>697</v>
      </c>
      <c r="T216" s="165" t="str">
        <f t="shared" si="140"/>
        <v>Not Used</v>
      </c>
      <c r="U216" s="162"/>
      <c r="V216" s="55"/>
      <c r="W216" s="51" t="b">
        <f t="shared" si="141"/>
        <v>1</v>
      </c>
      <c r="X216" s="51" t="str">
        <f t="shared" si="142"/>
        <v>Not Used</v>
      </c>
      <c r="Y216" s="51" t="str">
        <f t="shared" si="143"/>
        <v>Not Used</v>
      </c>
      <c r="Z216" s="51" t="str">
        <f t="shared" si="144"/>
        <v>Not Used</v>
      </c>
      <c r="AA216" s="51" t="str">
        <f t="shared" si="144"/>
        <v>Not Used</v>
      </c>
      <c r="AB216" s="51" t="str">
        <f t="shared" si="145"/>
        <v>Not Used</v>
      </c>
      <c r="AC216" s="51" t="b">
        <f t="shared" si="146"/>
        <v>1</v>
      </c>
      <c r="AD216" s="51">
        <f>COUNTIF($X$5:$X$216, "Not Used")</f>
        <v>212</v>
      </c>
      <c r="AE216" s="51">
        <f>COUNTIF($X$5:$X$216, "TRUE")</f>
        <v>0</v>
      </c>
      <c r="AF216" s="51" t="b">
        <f t="shared" si="147"/>
        <v>1</v>
      </c>
      <c r="AI216" s="51" t="b">
        <f t="shared" si="148"/>
        <v>0</v>
      </c>
      <c r="AJ216" s="51" t="b">
        <f t="shared" si="149"/>
        <v>0</v>
      </c>
      <c r="AK216" s="51" t="b">
        <f t="shared" si="150"/>
        <v>0</v>
      </c>
      <c r="AL216" s="51" t="b">
        <f t="shared" si="151"/>
        <v>0</v>
      </c>
      <c r="AM216" s="51" t="b">
        <f t="shared" si="152"/>
        <v>0</v>
      </c>
      <c r="AN216" s="51"/>
      <c r="AO216" s="51" t="b">
        <f t="shared" si="153"/>
        <v>0</v>
      </c>
      <c r="AP216" s="51" t="str">
        <f t="shared" si="175"/>
        <v>Not in MMS</v>
      </c>
      <c r="AQ216" s="51" t="b">
        <f t="shared" si="154"/>
        <v>0</v>
      </c>
      <c r="AR216" s="51" t="b">
        <f t="shared" si="155"/>
        <v>0</v>
      </c>
      <c r="AS216" s="51" t="str">
        <f t="shared" si="156"/>
        <v/>
      </c>
      <c r="AT216" s="51" t="str">
        <f t="shared" si="157"/>
        <v/>
      </c>
      <c r="AU216" s="51" t="str">
        <f t="shared" si="158"/>
        <v/>
      </c>
      <c r="AV216" s="51" t="str">
        <f t="shared" si="159"/>
        <v/>
      </c>
      <c r="AW216" s="51" t="str">
        <f t="shared" si="160"/>
        <v/>
      </c>
      <c r="AX216" s="51" t="str">
        <f t="shared" si="161"/>
        <v/>
      </c>
      <c r="AY216" s="51" t="str">
        <f t="shared" si="162"/>
        <v/>
      </c>
      <c r="AZ216" s="51" t="str">
        <f t="shared" si="163"/>
        <v/>
      </c>
      <c r="BA216" s="51" t="str">
        <f t="shared" si="164"/>
        <v/>
      </c>
      <c r="BB216" s="51" t="str">
        <f t="shared" si="165"/>
        <v/>
      </c>
      <c r="BC216" s="51" t="str">
        <f t="shared" si="166"/>
        <v/>
      </c>
      <c r="BD216" s="51" t="str">
        <f t="shared" si="167"/>
        <v/>
      </c>
      <c r="BE216" s="51" t="str">
        <f t="shared" si="168"/>
        <v/>
      </c>
      <c r="BF216" s="51" t="str">
        <f t="shared" si="169"/>
        <v/>
      </c>
      <c r="BG216" s="51" t="str">
        <f t="shared" si="170"/>
        <v/>
      </c>
      <c r="BH216" s="51" t="b">
        <f t="shared" si="171"/>
        <v>0</v>
      </c>
      <c r="BI216" s="51" t="str">
        <f t="shared" si="172"/>
        <v/>
      </c>
      <c r="BJ216" s="51" t="str">
        <f t="shared" si="173"/>
        <v/>
      </c>
      <c r="BK216" s="51" t="b">
        <f t="shared" si="174"/>
        <v>0</v>
      </c>
      <c r="BL216" s="192"/>
    </row>
    <row r="217" spans="1:64" ht="13.5" thickBot="1" x14ac:dyDescent="0.25">
      <c r="A217" s="185" t="s">
        <v>908</v>
      </c>
      <c r="B217" s="194" t="s">
        <v>695</v>
      </c>
      <c r="C217" s="194" t="s">
        <v>695</v>
      </c>
      <c r="D217" s="194" t="s">
        <v>695</v>
      </c>
      <c r="E217" s="193" t="s">
        <v>694</v>
      </c>
      <c r="F217" s="160" t="s">
        <v>20</v>
      </c>
      <c r="G217" s="161"/>
      <c r="H217" s="186" t="str">
        <f t="shared" si="132"/>
        <v>N/A</v>
      </c>
      <c r="I217" s="186" t="b">
        <f t="shared" si="133"/>
        <v>1</v>
      </c>
      <c r="J217" s="186" t="str">
        <f t="shared" si="134"/>
        <v>N/A</v>
      </c>
      <c r="K217" s="186" t="b">
        <f t="shared" si="135"/>
        <v>1</v>
      </c>
      <c r="L217" s="186" t="str">
        <f t="shared" si="136"/>
        <v>N/A</v>
      </c>
      <c r="M217" s="186" t="b">
        <f t="shared" si="137"/>
        <v>1</v>
      </c>
      <c r="N217" s="186" t="str">
        <f t="shared" si="138"/>
        <v>Used?</v>
      </c>
      <c r="O217" s="186" t="b">
        <f t="shared" si="139"/>
        <v>0</v>
      </c>
      <c r="P217" s="26" t="s">
        <v>696</v>
      </c>
      <c r="Q217" s="160" t="s">
        <v>20</v>
      </c>
      <c r="R217" s="160" t="s">
        <v>20</v>
      </c>
      <c r="S217" s="26" t="s">
        <v>697</v>
      </c>
      <c r="T217" s="165" t="str">
        <f t="shared" si="140"/>
        <v>Not Used</v>
      </c>
      <c r="U217" s="162"/>
      <c r="V217" s="55"/>
      <c r="W217" s="51" t="b">
        <f t="shared" si="141"/>
        <v>1</v>
      </c>
      <c r="X217" s="51" t="str">
        <f t="shared" si="142"/>
        <v>Not Used</v>
      </c>
      <c r="Y217" s="51" t="str">
        <f t="shared" si="143"/>
        <v>Not Used</v>
      </c>
      <c r="Z217" s="51" t="str">
        <f t="shared" si="144"/>
        <v>Not Used</v>
      </c>
      <c r="AA217" s="51" t="str">
        <f t="shared" si="144"/>
        <v>Not Used</v>
      </c>
      <c r="AB217" s="51" t="str">
        <f t="shared" si="145"/>
        <v>Not Used</v>
      </c>
      <c r="AC217" s="51" t="b">
        <f t="shared" si="146"/>
        <v>1</v>
      </c>
      <c r="AD217" s="51">
        <f>COUNTIF($X$5:$X$217, "Not Used")</f>
        <v>213</v>
      </c>
      <c r="AE217" s="51">
        <f>COUNTIF($X$5:$X$217, "TRUE")</f>
        <v>0</v>
      </c>
      <c r="AF217" s="51" t="b">
        <f t="shared" si="147"/>
        <v>1</v>
      </c>
      <c r="AI217" s="51" t="b">
        <f t="shared" si="148"/>
        <v>0</v>
      </c>
      <c r="AJ217" s="51" t="b">
        <f t="shared" si="149"/>
        <v>0</v>
      </c>
      <c r="AK217" s="51" t="b">
        <f t="shared" si="150"/>
        <v>0</v>
      </c>
      <c r="AL217" s="51" t="b">
        <f t="shared" si="151"/>
        <v>0</v>
      </c>
      <c r="AM217" s="51" t="b">
        <f t="shared" si="152"/>
        <v>0</v>
      </c>
      <c r="AN217" s="51"/>
      <c r="AO217" s="51" t="b">
        <f t="shared" si="153"/>
        <v>0</v>
      </c>
      <c r="AP217" s="51" t="str">
        <f t="shared" si="175"/>
        <v>Not in MMS</v>
      </c>
      <c r="AQ217" s="51" t="b">
        <f t="shared" si="154"/>
        <v>0</v>
      </c>
      <c r="AR217" s="51" t="b">
        <f t="shared" si="155"/>
        <v>0</v>
      </c>
      <c r="AS217" s="51" t="str">
        <f t="shared" si="156"/>
        <v/>
      </c>
      <c r="AT217" s="51" t="str">
        <f t="shared" si="157"/>
        <v/>
      </c>
      <c r="AU217" s="51" t="str">
        <f t="shared" si="158"/>
        <v/>
      </c>
      <c r="AV217" s="51" t="str">
        <f t="shared" si="159"/>
        <v/>
      </c>
      <c r="AW217" s="51" t="str">
        <f t="shared" si="160"/>
        <v/>
      </c>
      <c r="AX217" s="51" t="str">
        <f t="shared" si="161"/>
        <v/>
      </c>
      <c r="AY217" s="51" t="str">
        <f t="shared" si="162"/>
        <v/>
      </c>
      <c r="AZ217" s="51" t="str">
        <f t="shared" si="163"/>
        <v/>
      </c>
      <c r="BA217" s="51" t="str">
        <f t="shared" si="164"/>
        <v/>
      </c>
      <c r="BB217" s="51" t="str">
        <f t="shared" si="165"/>
        <v/>
      </c>
      <c r="BC217" s="51" t="str">
        <f t="shared" si="166"/>
        <v/>
      </c>
      <c r="BD217" s="51" t="str">
        <f t="shared" si="167"/>
        <v/>
      </c>
      <c r="BE217" s="51" t="str">
        <f t="shared" si="168"/>
        <v/>
      </c>
      <c r="BF217" s="51" t="str">
        <f t="shared" si="169"/>
        <v/>
      </c>
      <c r="BG217" s="51" t="str">
        <f t="shared" si="170"/>
        <v/>
      </c>
      <c r="BH217" s="51" t="b">
        <f t="shared" si="171"/>
        <v>0</v>
      </c>
      <c r="BI217" s="51" t="str">
        <f t="shared" si="172"/>
        <v/>
      </c>
      <c r="BJ217" s="51" t="str">
        <f t="shared" si="173"/>
        <v/>
      </c>
      <c r="BK217" s="51" t="b">
        <f t="shared" si="174"/>
        <v>0</v>
      </c>
      <c r="BL217" s="192"/>
    </row>
    <row r="218" spans="1:64" ht="13.5" thickBot="1" x14ac:dyDescent="0.25">
      <c r="A218" s="185" t="s">
        <v>909</v>
      </c>
      <c r="B218" s="194" t="s">
        <v>695</v>
      </c>
      <c r="C218" s="194" t="s">
        <v>695</v>
      </c>
      <c r="D218" s="194" t="s">
        <v>695</v>
      </c>
      <c r="E218" s="193" t="s">
        <v>694</v>
      </c>
      <c r="F218" s="160" t="s">
        <v>20</v>
      </c>
      <c r="G218" s="161"/>
      <c r="H218" s="186" t="str">
        <f t="shared" si="132"/>
        <v>N/A</v>
      </c>
      <c r="I218" s="186" t="b">
        <f t="shared" si="133"/>
        <v>1</v>
      </c>
      <c r="J218" s="186" t="str">
        <f t="shared" si="134"/>
        <v>N/A</v>
      </c>
      <c r="K218" s="186" t="b">
        <f t="shared" si="135"/>
        <v>1</v>
      </c>
      <c r="L218" s="186" t="str">
        <f t="shared" si="136"/>
        <v>N/A</v>
      </c>
      <c r="M218" s="186" t="b">
        <f t="shared" si="137"/>
        <v>1</v>
      </c>
      <c r="N218" s="186" t="str">
        <f t="shared" si="138"/>
        <v>Used?</v>
      </c>
      <c r="O218" s="186" t="b">
        <f t="shared" si="139"/>
        <v>0</v>
      </c>
      <c r="P218" s="26" t="s">
        <v>696</v>
      </c>
      <c r="Q218" s="160" t="s">
        <v>20</v>
      </c>
      <c r="R218" s="160" t="s">
        <v>20</v>
      </c>
      <c r="S218" s="26" t="s">
        <v>697</v>
      </c>
      <c r="T218" s="165" t="str">
        <f t="shared" si="140"/>
        <v>Not Used</v>
      </c>
      <c r="U218" s="162"/>
      <c r="V218" s="55"/>
      <c r="W218" s="51" t="b">
        <f t="shared" si="141"/>
        <v>1</v>
      </c>
      <c r="X218" s="51" t="str">
        <f t="shared" si="142"/>
        <v>Not Used</v>
      </c>
      <c r="Y218" s="51" t="str">
        <f t="shared" si="143"/>
        <v>Not Used</v>
      </c>
      <c r="Z218" s="51" t="str">
        <f t="shared" si="144"/>
        <v>Not Used</v>
      </c>
      <c r="AA218" s="51" t="str">
        <f t="shared" si="144"/>
        <v>Not Used</v>
      </c>
      <c r="AB218" s="51" t="str">
        <f t="shared" si="145"/>
        <v>Not Used</v>
      </c>
      <c r="AC218" s="51" t="b">
        <f t="shared" si="146"/>
        <v>1</v>
      </c>
      <c r="AD218" s="51">
        <f>COUNTIF($X$5:$X$218, "Not Used")</f>
        <v>214</v>
      </c>
      <c r="AE218" s="51">
        <f>COUNTIF($X$5:$X$218, "TRUE")</f>
        <v>0</v>
      </c>
      <c r="AF218" s="51" t="b">
        <f t="shared" si="147"/>
        <v>1</v>
      </c>
      <c r="AI218" s="51" t="b">
        <f t="shared" si="148"/>
        <v>0</v>
      </c>
      <c r="AJ218" s="51" t="b">
        <f t="shared" si="149"/>
        <v>0</v>
      </c>
      <c r="AK218" s="51" t="b">
        <f t="shared" si="150"/>
        <v>0</v>
      </c>
      <c r="AL218" s="51" t="b">
        <f t="shared" si="151"/>
        <v>0</v>
      </c>
      <c r="AM218" s="51" t="b">
        <f t="shared" si="152"/>
        <v>0</v>
      </c>
      <c r="AN218" s="51"/>
      <c r="AO218" s="51" t="b">
        <f t="shared" si="153"/>
        <v>0</v>
      </c>
      <c r="AP218" s="51" t="str">
        <f t="shared" si="175"/>
        <v>Not in MMS</v>
      </c>
      <c r="AQ218" s="51" t="b">
        <f t="shared" si="154"/>
        <v>0</v>
      </c>
      <c r="AR218" s="51" t="b">
        <f t="shared" si="155"/>
        <v>0</v>
      </c>
      <c r="AS218" s="51" t="str">
        <f t="shared" si="156"/>
        <v/>
      </c>
      <c r="AT218" s="51" t="str">
        <f t="shared" si="157"/>
        <v/>
      </c>
      <c r="AU218" s="51" t="str">
        <f t="shared" si="158"/>
        <v/>
      </c>
      <c r="AV218" s="51" t="str">
        <f t="shared" si="159"/>
        <v/>
      </c>
      <c r="AW218" s="51" t="str">
        <f t="shared" si="160"/>
        <v/>
      </c>
      <c r="AX218" s="51" t="str">
        <f t="shared" si="161"/>
        <v/>
      </c>
      <c r="AY218" s="51" t="str">
        <f t="shared" si="162"/>
        <v/>
      </c>
      <c r="AZ218" s="51" t="str">
        <f t="shared" si="163"/>
        <v/>
      </c>
      <c r="BA218" s="51" t="str">
        <f t="shared" si="164"/>
        <v/>
      </c>
      <c r="BB218" s="51" t="str">
        <f t="shared" si="165"/>
        <v/>
      </c>
      <c r="BC218" s="51" t="str">
        <f t="shared" si="166"/>
        <v/>
      </c>
      <c r="BD218" s="51" t="str">
        <f t="shared" si="167"/>
        <v/>
      </c>
      <c r="BE218" s="51" t="str">
        <f t="shared" si="168"/>
        <v/>
      </c>
      <c r="BF218" s="51" t="str">
        <f t="shared" si="169"/>
        <v/>
      </c>
      <c r="BG218" s="51" t="str">
        <f t="shared" si="170"/>
        <v/>
      </c>
      <c r="BH218" s="51" t="b">
        <f t="shared" si="171"/>
        <v>0</v>
      </c>
      <c r="BI218" s="51" t="str">
        <f t="shared" si="172"/>
        <v/>
      </c>
      <c r="BJ218" s="51" t="str">
        <f t="shared" si="173"/>
        <v/>
      </c>
      <c r="BK218" s="51" t="b">
        <f t="shared" si="174"/>
        <v>0</v>
      </c>
      <c r="BL218" s="192"/>
    </row>
    <row r="219" spans="1:64" ht="13.5" thickBot="1" x14ac:dyDescent="0.25">
      <c r="A219" s="185" t="s">
        <v>910</v>
      </c>
      <c r="B219" s="194" t="s">
        <v>695</v>
      </c>
      <c r="C219" s="194" t="s">
        <v>695</v>
      </c>
      <c r="D219" s="194" t="s">
        <v>695</v>
      </c>
      <c r="E219" s="193" t="s">
        <v>694</v>
      </c>
      <c r="F219" s="160" t="s">
        <v>20</v>
      </c>
      <c r="G219" s="161"/>
      <c r="H219" s="186" t="str">
        <f t="shared" si="132"/>
        <v>N/A</v>
      </c>
      <c r="I219" s="186" t="b">
        <f t="shared" si="133"/>
        <v>1</v>
      </c>
      <c r="J219" s="186" t="str">
        <f t="shared" si="134"/>
        <v>N/A</v>
      </c>
      <c r="K219" s="186" t="b">
        <f t="shared" si="135"/>
        <v>1</v>
      </c>
      <c r="L219" s="186" t="str">
        <f t="shared" si="136"/>
        <v>N/A</v>
      </c>
      <c r="M219" s="186" t="b">
        <f t="shared" si="137"/>
        <v>1</v>
      </c>
      <c r="N219" s="186" t="str">
        <f t="shared" si="138"/>
        <v>Used?</v>
      </c>
      <c r="O219" s="186" t="b">
        <f t="shared" si="139"/>
        <v>0</v>
      </c>
      <c r="P219" s="26" t="s">
        <v>696</v>
      </c>
      <c r="Q219" s="160" t="s">
        <v>20</v>
      </c>
      <c r="R219" s="160" t="s">
        <v>20</v>
      </c>
      <c r="S219" s="26" t="s">
        <v>697</v>
      </c>
      <c r="T219" s="165" t="str">
        <f t="shared" si="140"/>
        <v>Not Used</v>
      </c>
      <c r="U219" s="162"/>
      <c r="V219" s="55"/>
      <c r="W219" s="51" t="b">
        <f t="shared" si="141"/>
        <v>1</v>
      </c>
      <c r="X219" s="51" t="str">
        <f t="shared" si="142"/>
        <v>Not Used</v>
      </c>
      <c r="Y219" s="51" t="str">
        <f t="shared" si="143"/>
        <v>Not Used</v>
      </c>
      <c r="Z219" s="51" t="str">
        <f t="shared" si="144"/>
        <v>Not Used</v>
      </c>
      <c r="AA219" s="51" t="str">
        <f t="shared" si="144"/>
        <v>Not Used</v>
      </c>
      <c r="AB219" s="51" t="str">
        <f t="shared" si="145"/>
        <v>Not Used</v>
      </c>
      <c r="AC219" s="51" t="b">
        <f t="shared" si="146"/>
        <v>1</v>
      </c>
      <c r="AD219" s="51">
        <f>COUNTIF($X$5:$X$219, "Not Used")</f>
        <v>215</v>
      </c>
      <c r="AE219" s="51">
        <f>COUNTIF($X$5:$X$219, "TRUE")</f>
        <v>0</v>
      </c>
      <c r="AF219" s="51" t="b">
        <f t="shared" si="147"/>
        <v>1</v>
      </c>
      <c r="AI219" s="51" t="b">
        <f t="shared" si="148"/>
        <v>0</v>
      </c>
      <c r="AJ219" s="51" t="b">
        <f t="shared" si="149"/>
        <v>0</v>
      </c>
      <c r="AK219" s="51" t="b">
        <f t="shared" si="150"/>
        <v>0</v>
      </c>
      <c r="AL219" s="51" t="b">
        <f t="shared" si="151"/>
        <v>0</v>
      </c>
      <c r="AM219" s="51" t="b">
        <f t="shared" si="152"/>
        <v>0</v>
      </c>
      <c r="AN219" s="51"/>
      <c r="AO219" s="51" t="b">
        <f t="shared" si="153"/>
        <v>0</v>
      </c>
      <c r="AP219" s="51" t="str">
        <f t="shared" si="175"/>
        <v>Not in MMS</v>
      </c>
      <c r="AQ219" s="51" t="b">
        <f t="shared" si="154"/>
        <v>0</v>
      </c>
      <c r="AR219" s="51" t="b">
        <f t="shared" si="155"/>
        <v>0</v>
      </c>
      <c r="AS219" s="51" t="str">
        <f t="shared" si="156"/>
        <v/>
      </c>
      <c r="AT219" s="51" t="str">
        <f t="shared" si="157"/>
        <v/>
      </c>
      <c r="AU219" s="51" t="str">
        <f t="shared" si="158"/>
        <v/>
      </c>
      <c r="AV219" s="51" t="str">
        <f t="shared" si="159"/>
        <v/>
      </c>
      <c r="AW219" s="51" t="str">
        <f t="shared" si="160"/>
        <v/>
      </c>
      <c r="AX219" s="51" t="str">
        <f t="shared" si="161"/>
        <v/>
      </c>
      <c r="AY219" s="51" t="str">
        <f t="shared" si="162"/>
        <v/>
      </c>
      <c r="AZ219" s="51" t="str">
        <f t="shared" si="163"/>
        <v/>
      </c>
      <c r="BA219" s="51" t="str">
        <f t="shared" si="164"/>
        <v/>
      </c>
      <c r="BB219" s="51" t="str">
        <f t="shared" si="165"/>
        <v/>
      </c>
      <c r="BC219" s="51" t="str">
        <f t="shared" si="166"/>
        <v/>
      </c>
      <c r="BD219" s="51" t="str">
        <f t="shared" si="167"/>
        <v/>
      </c>
      <c r="BE219" s="51" t="str">
        <f t="shared" si="168"/>
        <v/>
      </c>
      <c r="BF219" s="51" t="str">
        <f t="shared" si="169"/>
        <v/>
      </c>
      <c r="BG219" s="51" t="str">
        <f t="shared" si="170"/>
        <v/>
      </c>
      <c r="BH219" s="51" t="b">
        <f t="shared" si="171"/>
        <v>0</v>
      </c>
      <c r="BI219" s="51" t="str">
        <f t="shared" si="172"/>
        <v/>
      </c>
      <c r="BJ219" s="51" t="str">
        <f t="shared" si="173"/>
        <v/>
      </c>
      <c r="BK219" s="51" t="b">
        <f t="shared" si="174"/>
        <v>0</v>
      </c>
      <c r="BL219" s="192"/>
    </row>
    <row r="220" spans="1:64" ht="13.5" thickBot="1" x14ac:dyDescent="0.25">
      <c r="A220" s="185" t="s">
        <v>911</v>
      </c>
      <c r="B220" s="194" t="s">
        <v>695</v>
      </c>
      <c r="C220" s="194" t="s">
        <v>695</v>
      </c>
      <c r="D220" s="194" t="s">
        <v>695</v>
      </c>
      <c r="E220" s="193" t="s">
        <v>694</v>
      </c>
      <c r="F220" s="160" t="s">
        <v>20</v>
      </c>
      <c r="G220" s="161"/>
      <c r="H220" s="186" t="str">
        <f t="shared" si="132"/>
        <v>N/A</v>
      </c>
      <c r="I220" s="186" t="b">
        <f t="shared" si="133"/>
        <v>1</v>
      </c>
      <c r="J220" s="186" t="str">
        <f t="shared" si="134"/>
        <v>N/A</v>
      </c>
      <c r="K220" s="186" t="b">
        <f t="shared" si="135"/>
        <v>1</v>
      </c>
      <c r="L220" s="186" t="str">
        <f t="shared" si="136"/>
        <v>N/A</v>
      </c>
      <c r="M220" s="186" t="b">
        <f t="shared" si="137"/>
        <v>1</v>
      </c>
      <c r="N220" s="186" t="str">
        <f t="shared" si="138"/>
        <v>Used?</v>
      </c>
      <c r="O220" s="186" t="b">
        <f t="shared" si="139"/>
        <v>0</v>
      </c>
      <c r="P220" s="26" t="s">
        <v>696</v>
      </c>
      <c r="Q220" s="160" t="s">
        <v>20</v>
      </c>
      <c r="R220" s="160" t="s">
        <v>20</v>
      </c>
      <c r="S220" s="26" t="s">
        <v>697</v>
      </c>
      <c r="T220" s="165" t="str">
        <f t="shared" si="140"/>
        <v>Not Used</v>
      </c>
      <c r="U220" s="162"/>
      <c r="V220" s="55"/>
      <c r="W220" s="51" t="b">
        <f t="shared" si="141"/>
        <v>1</v>
      </c>
      <c r="X220" s="51" t="str">
        <f t="shared" si="142"/>
        <v>Not Used</v>
      </c>
      <c r="Y220" s="51" t="str">
        <f t="shared" si="143"/>
        <v>Not Used</v>
      </c>
      <c r="Z220" s="51" t="str">
        <f t="shared" si="144"/>
        <v>Not Used</v>
      </c>
      <c r="AA220" s="51" t="str">
        <f t="shared" si="144"/>
        <v>Not Used</v>
      </c>
      <c r="AB220" s="51" t="str">
        <f t="shared" si="145"/>
        <v>Not Used</v>
      </c>
      <c r="AC220" s="51" t="b">
        <f t="shared" si="146"/>
        <v>1</v>
      </c>
      <c r="AD220" s="51">
        <f>COUNTIF($X$5:$X$220, "Not Used")</f>
        <v>216</v>
      </c>
      <c r="AE220" s="51">
        <f>COUNTIF($X$5:$X$220, "TRUE")</f>
        <v>0</v>
      </c>
      <c r="AF220" s="51" t="b">
        <f t="shared" si="147"/>
        <v>1</v>
      </c>
      <c r="AI220" s="51" t="b">
        <f t="shared" si="148"/>
        <v>0</v>
      </c>
      <c r="AJ220" s="51" t="b">
        <f t="shared" si="149"/>
        <v>0</v>
      </c>
      <c r="AK220" s="51" t="b">
        <f t="shared" si="150"/>
        <v>0</v>
      </c>
      <c r="AL220" s="51" t="b">
        <f t="shared" si="151"/>
        <v>0</v>
      </c>
      <c r="AM220" s="51" t="b">
        <f t="shared" si="152"/>
        <v>0</v>
      </c>
      <c r="AN220" s="51"/>
      <c r="AO220" s="51" t="b">
        <f t="shared" si="153"/>
        <v>0</v>
      </c>
      <c r="AP220" s="51" t="str">
        <f t="shared" si="175"/>
        <v>Not in MMS</v>
      </c>
      <c r="AQ220" s="51" t="b">
        <f t="shared" si="154"/>
        <v>0</v>
      </c>
      <c r="AR220" s="51" t="b">
        <f t="shared" si="155"/>
        <v>0</v>
      </c>
      <c r="AS220" s="51" t="str">
        <f t="shared" si="156"/>
        <v/>
      </c>
      <c r="AT220" s="51" t="str">
        <f t="shared" si="157"/>
        <v/>
      </c>
      <c r="AU220" s="51" t="str">
        <f t="shared" si="158"/>
        <v/>
      </c>
      <c r="AV220" s="51" t="str">
        <f t="shared" si="159"/>
        <v/>
      </c>
      <c r="AW220" s="51" t="str">
        <f t="shared" si="160"/>
        <v/>
      </c>
      <c r="AX220" s="51" t="str">
        <f t="shared" si="161"/>
        <v/>
      </c>
      <c r="AY220" s="51" t="str">
        <f t="shared" si="162"/>
        <v/>
      </c>
      <c r="AZ220" s="51" t="str">
        <f t="shared" si="163"/>
        <v/>
      </c>
      <c r="BA220" s="51" t="str">
        <f t="shared" si="164"/>
        <v/>
      </c>
      <c r="BB220" s="51" t="str">
        <f t="shared" si="165"/>
        <v/>
      </c>
      <c r="BC220" s="51" t="str">
        <f t="shared" si="166"/>
        <v/>
      </c>
      <c r="BD220" s="51" t="str">
        <f t="shared" si="167"/>
        <v/>
      </c>
      <c r="BE220" s="51" t="str">
        <f t="shared" si="168"/>
        <v/>
      </c>
      <c r="BF220" s="51" t="str">
        <f t="shared" si="169"/>
        <v/>
      </c>
      <c r="BG220" s="51" t="str">
        <f t="shared" si="170"/>
        <v/>
      </c>
      <c r="BH220" s="51" t="b">
        <f t="shared" si="171"/>
        <v>0</v>
      </c>
      <c r="BI220" s="51" t="str">
        <f t="shared" si="172"/>
        <v/>
      </c>
      <c r="BJ220" s="51" t="str">
        <f t="shared" si="173"/>
        <v/>
      </c>
      <c r="BK220" s="51" t="b">
        <f t="shared" si="174"/>
        <v>0</v>
      </c>
      <c r="BL220" s="192"/>
    </row>
    <row r="221" spans="1:64" ht="13.5" thickBot="1" x14ac:dyDescent="0.25">
      <c r="A221" s="185" t="s">
        <v>912</v>
      </c>
      <c r="B221" s="194" t="s">
        <v>695</v>
      </c>
      <c r="C221" s="194" t="s">
        <v>695</v>
      </c>
      <c r="D221" s="194" t="s">
        <v>695</v>
      </c>
      <c r="E221" s="193" t="s">
        <v>694</v>
      </c>
      <c r="F221" s="160" t="s">
        <v>20</v>
      </c>
      <c r="G221" s="161"/>
      <c r="H221" s="186" t="str">
        <f t="shared" si="132"/>
        <v>N/A</v>
      </c>
      <c r="I221" s="186" t="b">
        <f t="shared" si="133"/>
        <v>1</v>
      </c>
      <c r="J221" s="186" t="str">
        <f t="shared" si="134"/>
        <v>N/A</v>
      </c>
      <c r="K221" s="186" t="b">
        <f t="shared" si="135"/>
        <v>1</v>
      </c>
      <c r="L221" s="186" t="str">
        <f t="shared" si="136"/>
        <v>N/A</v>
      </c>
      <c r="M221" s="186" t="b">
        <f t="shared" si="137"/>
        <v>1</v>
      </c>
      <c r="N221" s="186" t="str">
        <f t="shared" si="138"/>
        <v>Used?</v>
      </c>
      <c r="O221" s="186" t="b">
        <f t="shared" si="139"/>
        <v>0</v>
      </c>
      <c r="P221" s="26" t="s">
        <v>696</v>
      </c>
      <c r="Q221" s="160" t="s">
        <v>20</v>
      </c>
      <c r="R221" s="160" t="s">
        <v>20</v>
      </c>
      <c r="S221" s="26" t="s">
        <v>697</v>
      </c>
      <c r="T221" s="165" t="str">
        <f t="shared" si="140"/>
        <v>Not Used</v>
      </c>
      <c r="U221" s="162"/>
      <c r="V221" s="55"/>
      <c r="W221" s="51" t="b">
        <f t="shared" si="141"/>
        <v>1</v>
      </c>
      <c r="X221" s="51" t="str">
        <f t="shared" si="142"/>
        <v>Not Used</v>
      </c>
      <c r="Y221" s="51" t="str">
        <f t="shared" si="143"/>
        <v>Not Used</v>
      </c>
      <c r="Z221" s="51" t="str">
        <f t="shared" si="144"/>
        <v>Not Used</v>
      </c>
      <c r="AA221" s="51" t="str">
        <f t="shared" si="144"/>
        <v>Not Used</v>
      </c>
      <c r="AB221" s="51" t="str">
        <f t="shared" si="145"/>
        <v>Not Used</v>
      </c>
      <c r="AC221" s="51" t="b">
        <f t="shared" si="146"/>
        <v>1</v>
      </c>
      <c r="AD221" s="51">
        <f>COUNTIF($X$5:$X$221, "Not Used")</f>
        <v>217</v>
      </c>
      <c r="AE221" s="51">
        <f>COUNTIF($X$5:$X$221, "TRUE")</f>
        <v>0</v>
      </c>
      <c r="AF221" s="51" t="b">
        <f t="shared" si="147"/>
        <v>1</v>
      </c>
      <c r="AI221" s="51" t="b">
        <f t="shared" si="148"/>
        <v>0</v>
      </c>
      <c r="AJ221" s="51" t="b">
        <f t="shared" si="149"/>
        <v>0</v>
      </c>
      <c r="AK221" s="51" t="b">
        <f t="shared" si="150"/>
        <v>0</v>
      </c>
      <c r="AL221" s="51" t="b">
        <f t="shared" si="151"/>
        <v>0</v>
      </c>
      <c r="AM221" s="51" t="b">
        <f t="shared" si="152"/>
        <v>0</v>
      </c>
      <c r="AN221" s="51"/>
      <c r="AO221" s="51" t="b">
        <f t="shared" si="153"/>
        <v>0</v>
      </c>
      <c r="AP221" s="51" t="str">
        <f t="shared" si="175"/>
        <v>Not in MMS</v>
      </c>
      <c r="AQ221" s="51" t="b">
        <f t="shared" si="154"/>
        <v>0</v>
      </c>
      <c r="AR221" s="51" t="b">
        <f t="shared" si="155"/>
        <v>0</v>
      </c>
      <c r="AS221" s="51" t="str">
        <f t="shared" si="156"/>
        <v/>
      </c>
      <c r="AT221" s="51" t="str">
        <f t="shared" si="157"/>
        <v/>
      </c>
      <c r="AU221" s="51" t="str">
        <f t="shared" si="158"/>
        <v/>
      </c>
      <c r="AV221" s="51" t="str">
        <f t="shared" si="159"/>
        <v/>
      </c>
      <c r="AW221" s="51" t="str">
        <f t="shared" si="160"/>
        <v/>
      </c>
      <c r="AX221" s="51" t="str">
        <f t="shared" si="161"/>
        <v/>
      </c>
      <c r="AY221" s="51" t="str">
        <f t="shared" si="162"/>
        <v/>
      </c>
      <c r="AZ221" s="51" t="str">
        <f t="shared" si="163"/>
        <v/>
      </c>
      <c r="BA221" s="51" t="str">
        <f t="shared" si="164"/>
        <v/>
      </c>
      <c r="BB221" s="51" t="str">
        <f t="shared" si="165"/>
        <v/>
      </c>
      <c r="BC221" s="51" t="str">
        <f t="shared" si="166"/>
        <v/>
      </c>
      <c r="BD221" s="51" t="str">
        <f t="shared" si="167"/>
        <v/>
      </c>
      <c r="BE221" s="51" t="str">
        <f t="shared" si="168"/>
        <v/>
      </c>
      <c r="BF221" s="51" t="str">
        <f t="shared" si="169"/>
        <v/>
      </c>
      <c r="BG221" s="51" t="str">
        <f t="shared" si="170"/>
        <v/>
      </c>
      <c r="BH221" s="51" t="b">
        <f t="shared" si="171"/>
        <v>0</v>
      </c>
      <c r="BI221" s="51" t="str">
        <f t="shared" si="172"/>
        <v/>
      </c>
      <c r="BJ221" s="51" t="str">
        <f t="shared" si="173"/>
        <v/>
      </c>
      <c r="BK221" s="51" t="b">
        <f t="shared" si="174"/>
        <v>0</v>
      </c>
      <c r="BL221" s="192"/>
    </row>
    <row r="222" spans="1:64" ht="13.5" thickBot="1" x14ac:dyDescent="0.25">
      <c r="A222" s="185" t="s">
        <v>913</v>
      </c>
      <c r="B222" s="194" t="s">
        <v>695</v>
      </c>
      <c r="C222" s="194" t="s">
        <v>695</v>
      </c>
      <c r="D222" s="194" t="s">
        <v>695</v>
      </c>
      <c r="E222" s="193" t="s">
        <v>694</v>
      </c>
      <c r="F222" s="160" t="s">
        <v>20</v>
      </c>
      <c r="G222" s="161"/>
      <c r="H222" s="186" t="str">
        <f t="shared" si="132"/>
        <v>N/A</v>
      </c>
      <c r="I222" s="186" t="b">
        <f t="shared" si="133"/>
        <v>1</v>
      </c>
      <c r="J222" s="186" t="str">
        <f t="shared" si="134"/>
        <v>N/A</v>
      </c>
      <c r="K222" s="186" t="b">
        <f t="shared" si="135"/>
        <v>1</v>
      </c>
      <c r="L222" s="186" t="str">
        <f t="shared" si="136"/>
        <v>N/A</v>
      </c>
      <c r="M222" s="186" t="b">
        <f t="shared" si="137"/>
        <v>1</v>
      </c>
      <c r="N222" s="186" t="str">
        <f t="shared" si="138"/>
        <v>Used?</v>
      </c>
      <c r="O222" s="186" t="b">
        <f t="shared" si="139"/>
        <v>0</v>
      </c>
      <c r="P222" s="26" t="s">
        <v>696</v>
      </c>
      <c r="Q222" s="160" t="s">
        <v>20</v>
      </c>
      <c r="R222" s="160" t="s">
        <v>20</v>
      </c>
      <c r="S222" s="26" t="s">
        <v>697</v>
      </c>
      <c r="T222" s="165" t="str">
        <f t="shared" si="140"/>
        <v>Not Used</v>
      </c>
      <c r="U222" s="162"/>
      <c r="V222" s="55"/>
      <c r="W222" s="51" t="b">
        <f t="shared" si="141"/>
        <v>1</v>
      </c>
      <c r="X222" s="51" t="str">
        <f t="shared" si="142"/>
        <v>Not Used</v>
      </c>
      <c r="Y222" s="51" t="str">
        <f t="shared" si="143"/>
        <v>Not Used</v>
      </c>
      <c r="Z222" s="51" t="str">
        <f t="shared" si="144"/>
        <v>Not Used</v>
      </c>
      <c r="AA222" s="51" t="str">
        <f t="shared" si="144"/>
        <v>Not Used</v>
      </c>
      <c r="AB222" s="51" t="str">
        <f t="shared" si="145"/>
        <v>Not Used</v>
      </c>
      <c r="AC222" s="51" t="b">
        <f t="shared" si="146"/>
        <v>1</v>
      </c>
      <c r="AD222" s="51">
        <f>COUNTIF($X$5:$X$222, "Not Used")</f>
        <v>218</v>
      </c>
      <c r="AE222" s="51">
        <f>COUNTIF($X$5:$X$222, "TRUE")</f>
        <v>0</v>
      </c>
      <c r="AF222" s="51" t="b">
        <f t="shared" si="147"/>
        <v>1</v>
      </c>
      <c r="AI222" s="51" t="b">
        <f t="shared" si="148"/>
        <v>0</v>
      </c>
      <c r="AJ222" s="51" t="b">
        <f t="shared" si="149"/>
        <v>0</v>
      </c>
      <c r="AK222" s="51" t="b">
        <f t="shared" si="150"/>
        <v>0</v>
      </c>
      <c r="AL222" s="51" t="b">
        <f t="shared" si="151"/>
        <v>0</v>
      </c>
      <c r="AM222" s="51" t="b">
        <f t="shared" si="152"/>
        <v>0</v>
      </c>
      <c r="AN222" s="51"/>
      <c r="AO222" s="51" t="b">
        <f t="shared" si="153"/>
        <v>0</v>
      </c>
      <c r="AP222" s="51" t="str">
        <f t="shared" si="175"/>
        <v>Not in MMS</v>
      </c>
      <c r="AQ222" s="51" t="b">
        <f t="shared" si="154"/>
        <v>0</v>
      </c>
      <c r="AR222" s="51" t="b">
        <f t="shared" si="155"/>
        <v>0</v>
      </c>
      <c r="AS222" s="51" t="str">
        <f t="shared" si="156"/>
        <v/>
      </c>
      <c r="AT222" s="51" t="str">
        <f t="shared" si="157"/>
        <v/>
      </c>
      <c r="AU222" s="51" t="str">
        <f t="shared" si="158"/>
        <v/>
      </c>
      <c r="AV222" s="51" t="str">
        <f t="shared" si="159"/>
        <v/>
      </c>
      <c r="AW222" s="51" t="str">
        <f t="shared" si="160"/>
        <v/>
      </c>
      <c r="AX222" s="51" t="str">
        <f t="shared" si="161"/>
        <v/>
      </c>
      <c r="AY222" s="51" t="str">
        <f t="shared" si="162"/>
        <v/>
      </c>
      <c r="AZ222" s="51" t="str">
        <f t="shared" si="163"/>
        <v/>
      </c>
      <c r="BA222" s="51" t="str">
        <f t="shared" si="164"/>
        <v/>
      </c>
      <c r="BB222" s="51" t="str">
        <f t="shared" si="165"/>
        <v/>
      </c>
      <c r="BC222" s="51" t="str">
        <f t="shared" si="166"/>
        <v/>
      </c>
      <c r="BD222" s="51" t="str">
        <f t="shared" si="167"/>
        <v/>
      </c>
      <c r="BE222" s="51" t="str">
        <f t="shared" si="168"/>
        <v/>
      </c>
      <c r="BF222" s="51" t="str">
        <f t="shared" si="169"/>
        <v/>
      </c>
      <c r="BG222" s="51" t="str">
        <f t="shared" si="170"/>
        <v/>
      </c>
      <c r="BH222" s="51" t="b">
        <f t="shared" si="171"/>
        <v>0</v>
      </c>
      <c r="BI222" s="51" t="str">
        <f t="shared" si="172"/>
        <v/>
      </c>
      <c r="BJ222" s="51" t="str">
        <f t="shared" si="173"/>
        <v/>
      </c>
      <c r="BK222" s="51" t="b">
        <f t="shared" si="174"/>
        <v>0</v>
      </c>
      <c r="BL222" s="192"/>
    </row>
    <row r="223" spans="1:64" ht="13.5" thickBot="1" x14ac:dyDescent="0.25">
      <c r="A223" s="185" t="s">
        <v>914</v>
      </c>
      <c r="B223" s="194" t="s">
        <v>695</v>
      </c>
      <c r="C223" s="194" t="s">
        <v>695</v>
      </c>
      <c r="D223" s="194" t="s">
        <v>695</v>
      </c>
      <c r="E223" s="193" t="s">
        <v>694</v>
      </c>
      <c r="F223" s="160" t="s">
        <v>20</v>
      </c>
      <c r="G223" s="161"/>
      <c r="H223" s="186" t="str">
        <f t="shared" si="132"/>
        <v>N/A</v>
      </c>
      <c r="I223" s="186" t="b">
        <f t="shared" si="133"/>
        <v>1</v>
      </c>
      <c r="J223" s="186" t="str">
        <f t="shared" si="134"/>
        <v>N/A</v>
      </c>
      <c r="K223" s="186" t="b">
        <f t="shared" si="135"/>
        <v>1</v>
      </c>
      <c r="L223" s="186" t="str">
        <f t="shared" si="136"/>
        <v>N/A</v>
      </c>
      <c r="M223" s="186" t="b">
        <f t="shared" si="137"/>
        <v>1</v>
      </c>
      <c r="N223" s="186" t="str">
        <f t="shared" si="138"/>
        <v>Used?</v>
      </c>
      <c r="O223" s="186" t="b">
        <f t="shared" si="139"/>
        <v>0</v>
      </c>
      <c r="P223" s="26" t="s">
        <v>696</v>
      </c>
      <c r="Q223" s="160" t="s">
        <v>20</v>
      </c>
      <c r="R223" s="160" t="s">
        <v>20</v>
      </c>
      <c r="S223" s="26" t="s">
        <v>697</v>
      </c>
      <c r="T223" s="165" t="str">
        <f t="shared" si="140"/>
        <v>Not Used</v>
      </c>
      <c r="U223" s="162"/>
      <c r="V223" s="55"/>
      <c r="W223" s="51" t="b">
        <f t="shared" si="141"/>
        <v>1</v>
      </c>
      <c r="X223" s="51" t="str">
        <f t="shared" si="142"/>
        <v>Not Used</v>
      </c>
      <c r="Y223" s="51" t="str">
        <f t="shared" si="143"/>
        <v>Not Used</v>
      </c>
      <c r="Z223" s="51" t="str">
        <f t="shared" si="144"/>
        <v>Not Used</v>
      </c>
      <c r="AA223" s="51" t="str">
        <f t="shared" si="144"/>
        <v>Not Used</v>
      </c>
      <c r="AB223" s="51" t="str">
        <f t="shared" si="145"/>
        <v>Not Used</v>
      </c>
      <c r="AC223" s="51" t="b">
        <f t="shared" si="146"/>
        <v>1</v>
      </c>
      <c r="AD223" s="51">
        <f>COUNTIF($X$5:$X$223, "Not Used")</f>
        <v>219</v>
      </c>
      <c r="AE223" s="51">
        <f>COUNTIF($X$5:$X$223, "TRUE")</f>
        <v>0</v>
      </c>
      <c r="AF223" s="51" t="b">
        <f t="shared" si="147"/>
        <v>1</v>
      </c>
      <c r="AI223" s="51" t="b">
        <f t="shared" si="148"/>
        <v>0</v>
      </c>
      <c r="AJ223" s="51" t="b">
        <f t="shared" si="149"/>
        <v>0</v>
      </c>
      <c r="AK223" s="51" t="b">
        <f t="shared" si="150"/>
        <v>0</v>
      </c>
      <c r="AL223" s="51" t="b">
        <f t="shared" si="151"/>
        <v>0</v>
      </c>
      <c r="AM223" s="51" t="b">
        <f t="shared" si="152"/>
        <v>0</v>
      </c>
      <c r="AN223" s="51"/>
      <c r="AO223" s="51" t="b">
        <f t="shared" si="153"/>
        <v>0</v>
      </c>
      <c r="AP223" s="51" t="str">
        <f t="shared" si="175"/>
        <v>Not in MMS</v>
      </c>
      <c r="AQ223" s="51" t="b">
        <f t="shared" si="154"/>
        <v>0</v>
      </c>
      <c r="AR223" s="51" t="b">
        <f t="shared" si="155"/>
        <v>0</v>
      </c>
      <c r="AS223" s="51" t="str">
        <f t="shared" si="156"/>
        <v/>
      </c>
      <c r="AT223" s="51" t="str">
        <f t="shared" si="157"/>
        <v/>
      </c>
      <c r="AU223" s="51" t="str">
        <f t="shared" si="158"/>
        <v/>
      </c>
      <c r="AV223" s="51" t="str">
        <f t="shared" si="159"/>
        <v/>
      </c>
      <c r="AW223" s="51" t="str">
        <f t="shared" si="160"/>
        <v/>
      </c>
      <c r="AX223" s="51" t="str">
        <f t="shared" si="161"/>
        <v/>
      </c>
      <c r="AY223" s="51" t="str">
        <f t="shared" si="162"/>
        <v/>
      </c>
      <c r="AZ223" s="51" t="str">
        <f t="shared" si="163"/>
        <v/>
      </c>
      <c r="BA223" s="51" t="str">
        <f t="shared" si="164"/>
        <v/>
      </c>
      <c r="BB223" s="51" t="str">
        <f t="shared" si="165"/>
        <v/>
      </c>
      <c r="BC223" s="51" t="str">
        <f t="shared" si="166"/>
        <v/>
      </c>
      <c r="BD223" s="51" t="str">
        <f t="shared" si="167"/>
        <v/>
      </c>
      <c r="BE223" s="51" t="str">
        <f t="shared" si="168"/>
        <v/>
      </c>
      <c r="BF223" s="51" t="str">
        <f t="shared" si="169"/>
        <v/>
      </c>
      <c r="BG223" s="51" t="str">
        <f t="shared" si="170"/>
        <v/>
      </c>
      <c r="BH223" s="51" t="b">
        <f t="shared" si="171"/>
        <v>0</v>
      </c>
      <c r="BI223" s="51" t="str">
        <f t="shared" si="172"/>
        <v/>
      </c>
      <c r="BJ223" s="51" t="str">
        <f t="shared" si="173"/>
        <v/>
      </c>
      <c r="BK223" s="51" t="b">
        <f t="shared" si="174"/>
        <v>0</v>
      </c>
      <c r="BL223" s="192"/>
    </row>
    <row r="224" spans="1:64" ht="13.5" thickBot="1" x14ac:dyDescent="0.25">
      <c r="A224" s="185" t="s">
        <v>915</v>
      </c>
      <c r="B224" s="194" t="s">
        <v>695</v>
      </c>
      <c r="C224" s="194" t="s">
        <v>695</v>
      </c>
      <c r="D224" s="194" t="s">
        <v>695</v>
      </c>
      <c r="E224" s="193" t="s">
        <v>694</v>
      </c>
      <c r="F224" s="160" t="s">
        <v>20</v>
      </c>
      <c r="G224" s="161"/>
      <c r="H224" s="186" t="str">
        <f t="shared" si="132"/>
        <v>N/A</v>
      </c>
      <c r="I224" s="186" t="b">
        <f t="shared" si="133"/>
        <v>1</v>
      </c>
      <c r="J224" s="186" t="str">
        <f t="shared" si="134"/>
        <v>N/A</v>
      </c>
      <c r="K224" s="186" t="b">
        <f t="shared" si="135"/>
        <v>1</v>
      </c>
      <c r="L224" s="186" t="str">
        <f t="shared" si="136"/>
        <v>N/A</v>
      </c>
      <c r="M224" s="186" t="b">
        <f t="shared" si="137"/>
        <v>1</v>
      </c>
      <c r="N224" s="186" t="str">
        <f t="shared" si="138"/>
        <v>Used?</v>
      </c>
      <c r="O224" s="186" t="b">
        <f t="shared" si="139"/>
        <v>0</v>
      </c>
      <c r="P224" s="26" t="s">
        <v>696</v>
      </c>
      <c r="Q224" s="160" t="s">
        <v>20</v>
      </c>
      <c r="R224" s="160" t="s">
        <v>20</v>
      </c>
      <c r="S224" s="26" t="s">
        <v>697</v>
      </c>
      <c r="T224" s="165" t="str">
        <f t="shared" si="140"/>
        <v>Not Used</v>
      </c>
      <c r="U224" s="162"/>
      <c r="V224" s="55"/>
      <c r="W224" s="51" t="b">
        <f t="shared" si="141"/>
        <v>1</v>
      </c>
      <c r="X224" s="51" t="str">
        <f t="shared" si="142"/>
        <v>Not Used</v>
      </c>
      <c r="Y224" s="51" t="str">
        <f t="shared" si="143"/>
        <v>Not Used</v>
      </c>
      <c r="Z224" s="51" t="str">
        <f t="shared" si="144"/>
        <v>Not Used</v>
      </c>
      <c r="AA224" s="51" t="str">
        <f t="shared" si="144"/>
        <v>Not Used</v>
      </c>
      <c r="AB224" s="51" t="str">
        <f t="shared" si="145"/>
        <v>Not Used</v>
      </c>
      <c r="AC224" s="51" t="b">
        <f t="shared" si="146"/>
        <v>1</v>
      </c>
      <c r="AD224" s="51">
        <f>COUNTIF($X$5:$X$224, "Not Used")</f>
        <v>220</v>
      </c>
      <c r="AE224" s="51">
        <f>COUNTIF($X$5:$X$224, "TRUE")</f>
        <v>0</v>
      </c>
      <c r="AF224" s="51" t="b">
        <f t="shared" si="147"/>
        <v>1</v>
      </c>
      <c r="AI224" s="51" t="b">
        <f t="shared" si="148"/>
        <v>0</v>
      </c>
      <c r="AJ224" s="51" t="b">
        <f t="shared" si="149"/>
        <v>0</v>
      </c>
      <c r="AK224" s="51" t="b">
        <f t="shared" si="150"/>
        <v>0</v>
      </c>
      <c r="AL224" s="51" t="b">
        <f t="shared" si="151"/>
        <v>0</v>
      </c>
      <c r="AM224" s="51" t="b">
        <f t="shared" si="152"/>
        <v>0</v>
      </c>
      <c r="AN224" s="51"/>
      <c r="AO224" s="51" t="b">
        <f t="shared" si="153"/>
        <v>0</v>
      </c>
      <c r="AP224" s="51" t="str">
        <f t="shared" si="175"/>
        <v>Not in MMS</v>
      </c>
      <c r="AQ224" s="51" t="b">
        <f t="shared" si="154"/>
        <v>0</v>
      </c>
      <c r="AR224" s="51" t="b">
        <f t="shared" si="155"/>
        <v>0</v>
      </c>
      <c r="AS224" s="51" t="str">
        <f t="shared" si="156"/>
        <v/>
      </c>
      <c r="AT224" s="51" t="str">
        <f t="shared" si="157"/>
        <v/>
      </c>
      <c r="AU224" s="51" t="str">
        <f t="shared" si="158"/>
        <v/>
      </c>
      <c r="AV224" s="51" t="str">
        <f t="shared" si="159"/>
        <v/>
      </c>
      <c r="AW224" s="51" t="str">
        <f t="shared" si="160"/>
        <v/>
      </c>
      <c r="AX224" s="51" t="str">
        <f t="shared" si="161"/>
        <v/>
      </c>
      <c r="AY224" s="51" t="str">
        <f t="shared" si="162"/>
        <v/>
      </c>
      <c r="AZ224" s="51" t="str">
        <f t="shared" si="163"/>
        <v/>
      </c>
      <c r="BA224" s="51" t="str">
        <f t="shared" si="164"/>
        <v/>
      </c>
      <c r="BB224" s="51" t="str">
        <f t="shared" si="165"/>
        <v/>
      </c>
      <c r="BC224" s="51" t="str">
        <f t="shared" si="166"/>
        <v/>
      </c>
      <c r="BD224" s="51" t="str">
        <f t="shared" si="167"/>
        <v/>
      </c>
      <c r="BE224" s="51" t="str">
        <f t="shared" si="168"/>
        <v/>
      </c>
      <c r="BF224" s="51" t="str">
        <f t="shared" si="169"/>
        <v/>
      </c>
      <c r="BG224" s="51" t="str">
        <f t="shared" si="170"/>
        <v/>
      </c>
      <c r="BH224" s="51" t="b">
        <f t="shared" si="171"/>
        <v>0</v>
      </c>
      <c r="BI224" s="51" t="str">
        <f t="shared" si="172"/>
        <v/>
      </c>
      <c r="BJ224" s="51" t="str">
        <f t="shared" si="173"/>
        <v/>
      </c>
      <c r="BK224" s="51" t="b">
        <f t="shared" si="174"/>
        <v>0</v>
      </c>
      <c r="BL224" s="192"/>
    </row>
    <row r="225" spans="1:64" ht="13.5" thickBot="1" x14ac:dyDescent="0.25">
      <c r="A225" s="185" t="s">
        <v>916</v>
      </c>
      <c r="B225" s="194" t="s">
        <v>695</v>
      </c>
      <c r="C225" s="194" t="s">
        <v>695</v>
      </c>
      <c r="D225" s="194" t="s">
        <v>695</v>
      </c>
      <c r="E225" s="193" t="s">
        <v>694</v>
      </c>
      <c r="F225" s="160" t="s">
        <v>20</v>
      </c>
      <c r="G225" s="161"/>
      <c r="H225" s="186" t="str">
        <f t="shared" si="132"/>
        <v>N/A</v>
      </c>
      <c r="I225" s="186" t="b">
        <f t="shared" si="133"/>
        <v>1</v>
      </c>
      <c r="J225" s="186" t="str">
        <f t="shared" si="134"/>
        <v>N/A</v>
      </c>
      <c r="K225" s="186" t="b">
        <f t="shared" si="135"/>
        <v>1</v>
      </c>
      <c r="L225" s="186" t="str">
        <f t="shared" si="136"/>
        <v>N/A</v>
      </c>
      <c r="M225" s="186" t="b">
        <f t="shared" si="137"/>
        <v>1</v>
      </c>
      <c r="N225" s="186" t="str">
        <f t="shared" si="138"/>
        <v>Used?</v>
      </c>
      <c r="O225" s="186" t="b">
        <f t="shared" si="139"/>
        <v>0</v>
      </c>
      <c r="P225" s="26" t="s">
        <v>696</v>
      </c>
      <c r="Q225" s="160" t="s">
        <v>20</v>
      </c>
      <c r="R225" s="160" t="s">
        <v>20</v>
      </c>
      <c r="S225" s="26" t="s">
        <v>697</v>
      </c>
      <c r="T225" s="165" t="str">
        <f t="shared" si="140"/>
        <v>Not Used</v>
      </c>
      <c r="U225" s="162"/>
      <c r="V225" s="55"/>
      <c r="W225" s="51" t="b">
        <f t="shared" si="141"/>
        <v>1</v>
      </c>
      <c r="X225" s="51" t="str">
        <f t="shared" si="142"/>
        <v>Not Used</v>
      </c>
      <c r="Y225" s="51" t="str">
        <f t="shared" si="143"/>
        <v>Not Used</v>
      </c>
      <c r="Z225" s="51" t="str">
        <f t="shared" si="144"/>
        <v>Not Used</v>
      </c>
      <c r="AA225" s="51" t="str">
        <f t="shared" si="144"/>
        <v>Not Used</v>
      </c>
      <c r="AB225" s="51" t="str">
        <f t="shared" si="145"/>
        <v>Not Used</v>
      </c>
      <c r="AC225" s="51" t="b">
        <f t="shared" si="146"/>
        <v>1</v>
      </c>
      <c r="AD225" s="51">
        <f>COUNTIF($X$5:$X$225, "Not Used")</f>
        <v>221</v>
      </c>
      <c r="AE225" s="51">
        <f>COUNTIF($X$5:$X$225, "TRUE")</f>
        <v>0</v>
      </c>
      <c r="AF225" s="51" t="b">
        <f t="shared" si="147"/>
        <v>1</v>
      </c>
      <c r="AI225" s="51" t="b">
        <f t="shared" si="148"/>
        <v>0</v>
      </c>
      <c r="AJ225" s="51" t="b">
        <f t="shared" si="149"/>
        <v>0</v>
      </c>
      <c r="AK225" s="51" t="b">
        <f t="shared" si="150"/>
        <v>0</v>
      </c>
      <c r="AL225" s="51" t="b">
        <f t="shared" si="151"/>
        <v>0</v>
      </c>
      <c r="AM225" s="51" t="b">
        <f t="shared" si="152"/>
        <v>0</v>
      </c>
      <c r="AN225" s="51"/>
      <c r="AO225" s="51" t="b">
        <f t="shared" si="153"/>
        <v>0</v>
      </c>
      <c r="AP225" s="51" t="str">
        <f t="shared" si="175"/>
        <v>Not in MMS</v>
      </c>
      <c r="AQ225" s="51" t="b">
        <f t="shared" si="154"/>
        <v>0</v>
      </c>
      <c r="AR225" s="51" t="b">
        <f t="shared" si="155"/>
        <v>0</v>
      </c>
      <c r="AS225" s="51" t="str">
        <f t="shared" si="156"/>
        <v/>
      </c>
      <c r="AT225" s="51" t="str">
        <f t="shared" si="157"/>
        <v/>
      </c>
      <c r="AU225" s="51" t="str">
        <f t="shared" si="158"/>
        <v/>
      </c>
      <c r="AV225" s="51" t="str">
        <f t="shared" si="159"/>
        <v/>
      </c>
      <c r="AW225" s="51" t="str">
        <f t="shared" si="160"/>
        <v/>
      </c>
      <c r="AX225" s="51" t="str">
        <f t="shared" si="161"/>
        <v/>
      </c>
      <c r="AY225" s="51" t="str">
        <f t="shared" si="162"/>
        <v/>
      </c>
      <c r="AZ225" s="51" t="str">
        <f t="shared" si="163"/>
        <v/>
      </c>
      <c r="BA225" s="51" t="str">
        <f t="shared" si="164"/>
        <v/>
      </c>
      <c r="BB225" s="51" t="str">
        <f t="shared" si="165"/>
        <v/>
      </c>
      <c r="BC225" s="51" t="str">
        <f t="shared" si="166"/>
        <v/>
      </c>
      <c r="BD225" s="51" t="str">
        <f t="shared" si="167"/>
        <v/>
      </c>
      <c r="BE225" s="51" t="str">
        <f t="shared" si="168"/>
        <v/>
      </c>
      <c r="BF225" s="51" t="str">
        <f t="shared" si="169"/>
        <v/>
      </c>
      <c r="BG225" s="51" t="str">
        <f t="shared" si="170"/>
        <v/>
      </c>
      <c r="BH225" s="51" t="b">
        <f t="shared" si="171"/>
        <v>0</v>
      </c>
      <c r="BI225" s="51" t="str">
        <f t="shared" si="172"/>
        <v/>
      </c>
      <c r="BJ225" s="51" t="str">
        <f t="shared" si="173"/>
        <v/>
      </c>
      <c r="BK225" s="51" t="b">
        <f t="shared" si="174"/>
        <v>0</v>
      </c>
      <c r="BL225" s="192"/>
    </row>
    <row r="226" spans="1:64" ht="13.5" thickBot="1" x14ac:dyDescent="0.25">
      <c r="A226" s="185" t="s">
        <v>917</v>
      </c>
      <c r="B226" s="194" t="s">
        <v>695</v>
      </c>
      <c r="C226" s="194" t="s">
        <v>695</v>
      </c>
      <c r="D226" s="194" t="s">
        <v>695</v>
      </c>
      <c r="E226" s="193" t="s">
        <v>694</v>
      </c>
      <c r="F226" s="160" t="s">
        <v>20</v>
      </c>
      <c r="G226" s="161"/>
      <c r="H226" s="186" t="str">
        <f t="shared" si="132"/>
        <v>N/A</v>
      </c>
      <c r="I226" s="186" t="b">
        <f t="shared" si="133"/>
        <v>1</v>
      </c>
      <c r="J226" s="186" t="str">
        <f t="shared" si="134"/>
        <v>N/A</v>
      </c>
      <c r="K226" s="186" t="b">
        <f t="shared" si="135"/>
        <v>1</v>
      </c>
      <c r="L226" s="186" t="str">
        <f t="shared" si="136"/>
        <v>N/A</v>
      </c>
      <c r="M226" s="186" t="b">
        <f t="shared" si="137"/>
        <v>1</v>
      </c>
      <c r="N226" s="186" t="str">
        <f t="shared" si="138"/>
        <v>Used?</v>
      </c>
      <c r="O226" s="186" t="b">
        <f t="shared" si="139"/>
        <v>0</v>
      </c>
      <c r="P226" s="26" t="s">
        <v>696</v>
      </c>
      <c r="Q226" s="160" t="s">
        <v>20</v>
      </c>
      <c r="R226" s="160" t="s">
        <v>20</v>
      </c>
      <c r="S226" s="26" t="s">
        <v>697</v>
      </c>
      <c r="T226" s="165" t="str">
        <f t="shared" si="140"/>
        <v>Not Used</v>
      </c>
      <c r="U226" s="162"/>
      <c r="V226" s="55"/>
      <c r="W226" s="51" t="b">
        <f t="shared" si="141"/>
        <v>1</v>
      </c>
      <c r="X226" s="51" t="str">
        <f t="shared" si="142"/>
        <v>Not Used</v>
      </c>
      <c r="Y226" s="51" t="str">
        <f t="shared" si="143"/>
        <v>Not Used</v>
      </c>
      <c r="Z226" s="51" t="str">
        <f t="shared" si="144"/>
        <v>Not Used</v>
      </c>
      <c r="AA226" s="51" t="str">
        <f t="shared" si="144"/>
        <v>Not Used</v>
      </c>
      <c r="AB226" s="51" t="str">
        <f t="shared" si="145"/>
        <v>Not Used</v>
      </c>
      <c r="AC226" s="51" t="b">
        <f t="shared" si="146"/>
        <v>1</v>
      </c>
      <c r="AD226" s="51">
        <f>COUNTIF($X$5:$X$226, "Not Used")</f>
        <v>222</v>
      </c>
      <c r="AE226" s="51">
        <f>COUNTIF($X$5:$X$226, "TRUE")</f>
        <v>0</v>
      </c>
      <c r="AF226" s="51" t="b">
        <f t="shared" si="147"/>
        <v>1</v>
      </c>
      <c r="AI226" s="51" t="b">
        <f t="shared" si="148"/>
        <v>0</v>
      </c>
      <c r="AJ226" s="51" t="b">
        <f t="shared" si="149"/>
        <v>0</v>
      </c>
      <c r="AK226" s="51" t="b">
        <f t="shared" si="150"/>
        <v>0</v>
      </c>
      <c r="AL226" s="51" t="b">
        <f t="shared" si="151"/>
        <v>0</v>
      </c>
      <c r="AM226" s="51" t="b">
        <f t="shared" si="152"/>
        <v>0</v>
      </c>
      <c r="AN226" s="51"/>
      <c r="AO226" s="51" t="b">
        <f t="shared" si="153"/>
        <v>0</v>
      </c>
      <c r="AP226" s="51" t="str">
        <f t="shared" si="175"/>
        <v>Not in MMS</v>
      </c>
      <c r="AQ226" s="51" t="b">
        <f t="shared" si="154"/>
        <v>0</v>
      </c>
      <c r="AR226" s="51" t="b">
        <f t="shared" si="155"/>
        <v>0</v>
      </c>
      <c r="AS226" s="51" t="str">
        <f t="shared" si="156"/>
        <v/>
      </c>
      <c r="AT226" s="51" t="str">
        <f t="shared" si="157"/>
        <v/>
      </c>
      <c r="AU226" s="51" t="str">
        <f t="shared" si="158"/>
        <v/>
      </c>
      <c r="AV226" s="51" t="str">
        <f t="shared" si="159"/>
        <v/>
      </c>
      <c r="AW226" s="51" t="str">
        <f t="shared" si="160"/>
        <v/>
      </c>
      <c r="AX226" s="51" t="str">
        <f t="shared" si="161"/>
        <v/>
      </c>
      <c r="AY226" s="51" t="str">
        <f t="shared" si="162"/>
        <v/>
      </c>
      <c r="AZ226" s="51" t="str">
        <f t="shared" si="163"/>
        <v/>
      </c>
      <c r="BA226" s="51" t="str">
        <f t="shared" si="164"/>
        <v/>
      </c>
      <c r="BB226" s="51" t="str">
        <f t="shared" si="165"/>
        <v/>
      </c>
      <c r="BC226" s="51" t="str">
        <f t="shared" si="166"/>
        <v/>
      </c>
      <c r="BD226" s="51" t="str">
        <f t="shared" si="167"/>
        <v/>
      </c>
      <c r="BE226" s="51" t="str">
        <f t="shared" si="168"/>
        <v/>
      </c>
      <c r="BF226" s="51" t="str">
        <f t="shared" si="169"/>
        <v/>
      </c>
      <c r="BG226" s="51" t="str">
        <f t="shared" si="170"/>
        <v/>
      </c>
      <c r="BH226" s="51" t="b">
        <f t="shared" si="171"/>
        <v>0</v>
      </c>
      <c r="BI226" s="51" t="str">
        <f t="shared" si="172"/>
        <v/>
      </c>
      <c r="BJ226" s="51" t="str">
        <f t="shared" si="173"/>
        <v/>
      </c>
      <c r="BK226" s="51" t="b">
        <f t="shared" si="174"/>
        <v>0</v>
      </c>
      <c r="BL226" s="192"/>
    </row>
    <row r="227" spans="1:64" ht="13.5" thickBot="1" x14ac:dyDescent="0.25">
      <c r="A227" s="185" t="s">
        <v>918</v>
      </c>
      <c r="B227" s="194" t="s">
        <v>695</v>
      </c>
      <c r="C227" s="194" t="s">
        <v>695</v>
      </c>
      <c r="D227" s="194" t="s">
        <v>695</v>
      </c>
      <c r="E227" s="193" t="s">
        <v>694</v>
      </c>
      <c r="F227" s="160" t="s">
        <v>20</v>
      </c>
      <c r="G227" s="161"/>
      <c r="H227" s="186" t="str">
        <f t="shared" si="132"/>
        <v>N/A</v>
      </c>
      <c r="I227" s="186" t="b">
        <f t="shared" si="133"/>
        <v>1</v>
      </c>
      <c r="J227" s="186" t="str">
        <f t="shared" si="134"/>
        <v>N/A</v>
      </c>
      <c r="K227" s="186" t="b">
        <f t="shared" si="135"/>
        <v>1</v>
      </c>
      <c r="L227" s="186" t="str">
        <f t="shared" si="136"/>
        <v>N/A</v>
      </c>
      <c r="M227" s="186" t="b">
        <f t="shared" si="137"/>
        <v>1</v>
      </c>
      <c r="N227" s="186" t="str">
        <f t="shared" si="138"/>
        <v>Used?</v>
      </c>
      <c r="O227" s="186" t="b">
        <f t="shared" si="139"/>
        <v>0</v>
      </c>
      <c r="P227" s="26" t="s">
        <v>696</v>
      </c>
      <c r="Q227" s="160" t="s">
        <v>20</v>
      </c>
      <c r="R227" s="160" t="s">
        <v>20</v>
      </c>
      <c r="S227" s="26" t="s">
        <v>697</v>
      </c>
      <c r="T227" s="165" t="str">
        <f t="shared" si="140"/>
        <v>Not Used</v>
      </c>
      <c r="U227" s="162"/>
      <c r="V227" s="55"/>
      <c r="W227" s="51" t="b">
        <f t="shared" si="141"/>
        <v>1</v>
      </c>
      <c r="X227" s="51" t="str">
        <f t="shared" si="142"/>
        <v>Not Used</v>
      </c>
      <c r="Y227" s="51" t="str">
        <f t="shared" si="143"/>
        <v>Not Used</v>
      </c>
      <c r="Z227" s="51" t="str">
        <f t="shared" si="144"/>
        <v>Not Used</v>
      </c>
      <c r="AA227" s="51" t="str">
        <f t="shared" si="144"/>
        <v>Not Used</v>
      </c>
      <c r="AB227" s="51" t="str">
        <f t="shared" si="145"/>
        <v>Not Used</v>
      </c>
      <c r="AC227" s="51" t="b">
        <f t="shared" si="146"/>
        <v>1</v>
      </c>
      <c r="AD227" s="51">
        <f>COUNTIF($X$5:$X$227, "Not Used")</f>
        <v>223</v>
      </c>
      <c r="AE227" s="51">
        <f>COUNTIF($X$5:$X$227, "TRUE")</f>
        <v>0</v>
      </c>
      <c r="AF227" s="51" t="b">
        <f t="shared" si="147"/>
        <v>1</v>
      </c>
      <c r="AI227" s="51" t="b">
        <f t="shared" si="148"/>
        <v>0</v>
      </c>
      <c r="AJ227" s="51" t="b">
        <f t="shared" si="149"/>
        <v>0</v>
      </c>
      <c r="AK227" s="51" t="b">
        <f t="shared" si="150"/>
        <v>0</v>
      </c>
      <c r="AL227" s="51" t="b">
        <f t="shared" si="151"/>
        <v>0</v>
      </c>
      <c r="AM227" s="51" t="b">
        <f t="shared" si="152"/>
        <v>0</v>
      </c>
      <c r="AN227" s="51"/>
      <c r="AO227" s="51" t="b">
        <f t="shared" si="153"/>
        <v>0</v>
      </c>
      <c r="AP227" s="51" t="str">
        <f t="shared" si="175"/>
        <v>Not in MMS</v>
      </c>
      <c r="AQ227" s="51" t="b">
        <f t="shared" si="154"/>
        <v>0</v>
      </c>
      <c r="AR227" s="51" t="b">
        <f t="shared" si="155"/>
        <v>0</v>
      </c>
      <c r="AS227" s="51" t="str">
        <f t="shared" si="156"/>
        <v/>
      </c>
      <c r="AT227" s="51" t="str">
        <f t="shared" si="157"/>
        <v/>
      </c>
      <c r="AU227" s="51" t="str">
        <f t="shared" si="158"/>
        <v/>
      </c>
      <c r="AV227" s="51" t="str">
        <f t="shared" si="159"/>
        <v/>
      </c>
      <c r="AW227" s="51" t="str">
        <f t="shared" si="160"/>
        <v/>
      </c>
      <c r="AX227" s="51" t="str">
        <f t="shared" si="161"/>
        <v/>
      </c>
      <c r="AY227" s="51" t="str">
        <f t="shared" si="162"/>
        <v/>
      </c>
      <c r="AZ227" s="51" t="str">
        <f t="shared" si="163"/>
        <v/>
      </c>
      <c r="BA227" s="51" t="str">
        <f t="shared" si="164"/>
        <v/>
      </c>
      <c r="BB227" s="51" t="str">
        <f t="shared" si="165"/>
        <v/>
      </c>
      <c r="BC227" s="51" t="str">
        <f t="shared" si="166"/>
        <v/>
      </c>
      <c r="BD227" s="51" t="str">
        <f t="shared" si="167"/>
        <v/>
      </c>
      <c r="BE227" s="51" t="str">
        <f t="shared" si="168"/>
        <v/>
      </c>
      <c r="BF227" s="51" t="str">
        <f t="shared" si="169"/>
        <v/>
      </c>
      <c r="BG227" s="51" t="str">
        <f t="shared" si="170"/>
        <v/>
      </c>
      <c r="BH227" s="51" t="b">
        <f t="shared" si="171"/>
        <v>0</v>
      </c>
      <c r="BI227" s="51" t="str">
        <f t="shared" si="172"/>
        <v/>
      </c>
      <c r="BJ227" s="51" t="str">
        <f t="shared" si="173"/>
        <v/>
      </c>
      <c r="BK227" s="51" t="b">
        <f t="shared" si="174"/>
        <v>0</v>
      </c>
      <c r="BL227" s="192"/>
    </row>
    <row r="228" spans="1:64" ht="13.5" thickBot="1" x14ac:dyDescent="0.25">
      <c r="A228" s="185" t="s">
        <v>919</v>
      </c>
      <c r="B228" s="194" t="s">
        <v>695</v>
      </c>
      <c r="C228" s="194" t="s">
        <v>695</v>
      </c>
      <c r="D228" s="194" t="s">
        <v>695</v>
      </c>
      <c r="E228" s="193" t="s">
        <v>694</v>
      </c>
      <c r="F228" s="160" t="s">
        <v>20</v>
      </c>
      <c r="G228" s="161"/>
      <c r="H228" s="186" t="str">
        <f t="shared" si="132"/>
        <v>N/A</v>
      </c>
      <c r="I228" s="186" t="b">
        <f t="shared" si="133"/>
        <v>1</v>
      </c>
      <c r="J228" s="186" t="str">
        <f t="shared" si="134"/>
        <v>N/A</v>
      </c>
      <c r="K228" s="186" t="b">
        <f t="shared" si="135"/>
        <v>1</v>
      </c>
      <c r="L228" s="186" t="str">
        <f t="shared" si="136"/>
        <v>N/A</v>
      </c>
      <c r="M228" s="186" t="b">
        <f t="shared" si="137"/>
        <v>1</v>
      </c>
      <c r="N228" s="186" t="str">
        <f t="shared" si="138"/>
        <v>Used?</v>
      </c>
      <c r="O228" s="186" t="b">
        <f t="shared" si="139"/>
        <v>0</v>
      </c>
      <c r="P228" s="26" t="s">
        <v>696</v>
      </c>
      <c r="Q228" s="160" t="s">
        <v>20</v>
      </c>
      <c r="R228" s="160" t="s">
        <v>20</v>
      </c>
      <c r="S228" s="26" t="s">
        <v>697</v>
      </c>
      <c r="T228" s="165" t="str">
        <f t="shared" si="140"/>
        <v>Not Used</v>
      </c>
      <c r="U228" s="162"/>
      <c r="V228" s="55"/>
      <c r="W228" s="51" t="b">
        <f t="shared" si="141"/>
        <v>1</v>
      </c>
      <c r="X228" s="51" t="str">
        <f t="shared" si="142"/>
        <v>Not Used</v>
      </c>
      <c r="Y228" s="51" t="str">
        <f t="shared" si="143"/>
        <v>Not Used</v>
      </c>
      <c r="Z228" s="51" t="str">
        <f t="shared" si="144"/>
        <v>Not Used</v>
      </c>
      <c r="AA228" s="51" t="str">
        <f t="shared" si="144"/>
        <v>Not Used</v>
      </c>
      <c r="AB228" s="51" t="str">
        <f t="shared" si="145"/>
        <v>Not Used</v>
      </c>
      <c r="AC228" s="51" t="b">
        <f t="shared" si="146"/>
        <v>1</v>
      </c>
      <c r="AD228" s="51">
        <f>COUNTIF($X$5:$X$228, "Not Used")</f>
        <v>224</v>
      </c>
      <c r="AE228" s="51">
        <f>COUNTIF($X$5:$X$228, "TRUE")</f>
        <v>0</v>
      </c>
      <c r="AF228" s="51" t="b">
        <f t="shared" si="147"/>
        <v>1</v>
      </c>
      <c r="AI228" s="51" t="b">
        <f t="shared" si="148"/>
        <v>0</v>
      </c>
      <c r="AJ228" s="51" t="b">
        <f t="shared" si="149"/>
        <v>0</v>
      </c>
      <c r="AK228" s="51" t="b">
        <f t="shared" si="150"/>
        <v>0</v>
      </c>
      <c r="AL228" s="51" t="b">
        <f t="shared" si="151"/>
        <v>0</v>
      </c>
      <c r="AM228" s="51" t="b">
        <f t="shared" si="152"/>
        <v>0</v>
      </c>
      <c r="AN228" s="51"/>
      <c r="AO228" s="51" t="b">
        <f t="shared" si="153"/>
        <v>0</v>
      </c>
      <c r="AP228" s="51" t="str">
        <f t="shared" si="175"/>
        <v>Not in MMS</v>
      </c>
      <c r="AQ228" s="51" t="b">
        <f t="shared" si="154"/>
        <v>0</v>
      </c>
      <c r="AR228" s="51" t="b">
        <f t="shared" si="155"/>
        <v>0</v>
      </c>
      <c r="AS228" s="51" t="str">
        <f t="shared" si="156"/>
        <v/>
      </c>
      <c r="AT228" s="51" t="str">
        <f t="shared" si="157"/>
        <v/>
      </c>
      <c r="AU228" s="51" t="str">
        <f t="shared" si="158"/>
        <v/>
      </c>
      <c r="AV228" s="51" t="str">
        <f t="shared" si="159"/>
        <v/>
      </c>
      <c r="AW228" s="51" t="str">
        <f t="shared" si="160"/>
        <v/>
      </c>
      <c r="AX228" s="51" t="str">
        <f t="shared" si="161"/>
        <v/>
      </c>
      <c r="AY228" s="51" t="str">
        <f t="shared" si="162"/>
        <v/>
      </c>
      <c r="AZ228" s="51" t="str">
        <f t="shared" si="163"/>
        <v/>
      </c>
      <c r="BA228" s="51" t="str">
        <f t="shared" si="164"/>
        <v/>
      </c>
      <c r="BB228" s="51" t="str">
        <f t="shared" si="165"/>
        <v/>
      </c>
      <c r="BC228" s="51" t="str">
        <f t="shared" si="166"/>
        <v/>
      </c>
      <c r="BD228" s="51" t="str">
        <f t="shared" si="167"/>
        <v/>
      </c>
      <c r="BE228" s="51" t="str">
        <f t="shared" si="168"/>
        <v/>
      </c>
      <c r="BF228" s="51" t="str">
        <f t="shared" si="169"/>
        <v/>
      </c>
      <c r="BG228" s="51" t="str">
        <f t="shared" si="170"/>
        <v/>
      </c>
      <c r="BH228" s="51" t="b">
        <f t="shared" si="171"/>
        <v>0</v>
      </c>
      <c r="BI228" s="51" t="str">
        <f t="shared" si="172"/>
        <v/>
      </c>
      <c r="BJ228" s="51" t="str">
        <f t="shared" si="173"/>
        <v/>
      </c>
      <c r="BK228" s="51" t="b">
        <f t="shared" si="174"/>
        <v>0</v>
      </c>
      <c r="BL228" s="192"/>
    </row>
    <row r="229" spans="1:64" ht="13.5" thickBot="1" x14ac:dyDescent="0.25">
      <c r="A229" s="185" t="s">
        <v>920</v>
      </c>
      <c r="B229" s="194" t="s">
        <v>695</v>
      </c>
      <c r="C229" s="194" t="s">
        <v>695</v>
      </c>
      <c r="D229" s="194" t="s">
        <v>695</v>
      </c>
      <c r="E229" s="193" t="s">
        <v>694</v>
      </c>
      <c r="F229" s="160" t="s">
        <v>20</v>
      </c>
      <c r="G229" s="161"/>
      <c r="H229" s="186" t="str">
        <f t="shared" si="132"/>
        <v>N/A</v>
      </c>
      <c r="I229" s="186" t="b">
        <f t="shared" si="133"/>
        <v>1</v>
      </c>
      <c r="J229" s="186" t="str">
        <f t="shared" si="134"/>
        <v>N/A</v>
      </c>
      <c r="K229" s="186" t="b">
        <f t="shared" si="135"/>
        <v>1</v>
      </c>
      <c r="L229" s="186" t="str">
        <f t="shared" si="136"/>
        <v>N/A</v>
      </c>
      <c r="M229" s="186" t="b">
        <f t="shared" si="137"/>
        <v>1</v>
      </c>
      <c r="N229" s="186" t="str">
        <f t="shared" si="138"/>
        <v>Used?</v>
      </c>
      <c r="O229" s="186" t="b">
        <f t="shared" si="139"/>
        <v>0</v>
      </c>
      <c r="P229" s="26" t="s">
        <v>696</v>
      </c>
      <c r="Q229" s="160" t="s">
        <v>20</v>
      </c>
      <c r="R229" s="160" t="s">
        <v>20</v>
      </c>
      <c r="S229" s="26" t="s">
        <v>697</v>
      </c>
      <c r="T229" s="165" t="str">
        <f t="shared" si="140"/>
        <v>Not Used</v>
      </c>
      <c r="U229" s="162"/>
      <c r="V229" s="55"/>
      <c r="W229" s="51" t="b">
        <f t="shared" si="141"/>
        <v>1</v>
      </c>
      <c r="X229" s="51" t="str">
        <f t="shared" si="142"/>
        <v>Not Used</v>
      </c>
      <c r="Y229" s="51" t="str">
        <f t="shared" si="143"/>
        <v>Not Used</v>
      </c>
      <c r="Z229" s="51" t="str">
        <f t="shared" si="144"/>
        <v>Not Used</v>
      </c>
      <c r="AA229" s="51" t="str">
        <f t="shared" si="144"/>
        <v>Not Used</v>
      </c>
      <c r="AB229" s="51" t="str">
        <f t="shared" si="145"/>
        <v>Not Used</v>
      </c>
      <c r="AC229" s="51" t="b">
        <f t="shared" si="146"/>
        <v>1</v>
      </c>
      <c r="AD229" s="51">
        <f>COUNTIF($X$5:$X$229, "Not Used")</f>
        <v>225</v>
      </c>
      <c r="AE229" s="51">
        <f>COUNTIF($X$5:$X$229, "TRUE")</f>
        <v>0</v>
      </c>
      <c r="AF229" s="51" t="b">
        <f t="shared" si="147"/>
        <v>1</v>
      </c>
      <c r="AI229" s="51" t="b">
        <f t="shared" si="148"/>
        <v>0</v>
      </c>
      <c r="AJ229" s="51" t="b">
        <f t="shared" si="149"/>
        <v>0</v>
      </c>
      <c r="AK229" s="51" t="b">
        <f t="shared" si="150"/>
        <v>0</v>
      </c>
      <c r="AL229" s="51" t="b">
        <f t="shared" si="151"/>
        <v>0</v>
      </c>
      <c r="AM229" s="51" t="b">
        <f t="shared" si="152"/>
        <v>0</v>
      </c>
      <c r="AN229" s="51"/>
      <c r="AO229" s="51" t="b">
        <f t="shared" si="153"/>
        <v>0</v>
      </c>
      <c r="AP229" s="51" t="str">
        <f t="shared" si="175"/>
        <v>Not in MMS</v>
      </c>
      <c r="AQ229" s="51" t="b">
        <f t="shared" si="154"/>
        <v>0</v>
      </c>
      <c r="AR229" s="51" t="b">
        <f t="shared" si="155"/>
        <v>0</v>
      </c>
      <c r="AS229" s="51" t="str">
        <f t="shared" si="156"/>
        <v/>
      </c>
      <c r="AT229" s="51" t="str">
        <f t="shared" si="157"/>
        <v/>
      </c>
      <c r="AU229" s="51" t="str">
        <f t="shared" si="158"/>
        <v/>
      </c>
      <c r="AV229" s="51" t="str">
        <f t="shared" si="159"/>
        <v/>
      </c>
      <c r="AW229" s="51" t="str">
        <f t="shared" si="160"/>
        <v/>
      </c>
      <c r="AX229" s="51" t="str">
        <f t="shared" si="161"/>
        <v/>
      </c>
      <c r="AY229" s="51" t="str">
        <f t="shared" si="162"/>
        <v/>
      </c>
      <c r="AZ229" s="51" t="str">
        <f t="shared" si="163"/>
        <v/>
      </c>
      <c r="BA229" s="51" t="str">
        <f t="shared" si="164"/>
        <v/>
      </c>
      <c r="BB229" s="51" t="str">
        <f t="shared" si="165"/>
        <v/>
      </c>
      <c r="BC229" s="51" t="str">
        <f t="shared" si="166"/>
        <v/>
      </c>
      <c r="BD229" s="51" t="str">
        <f t="shared" si="167"/>
        <v/>
      </c>
      <c r="BE229" s="51" t="str">
        <f t="shared" si="168"/>
        <v/>
      </c>
      <c r="BF229" s="51" t="str">
        <f t="shared" si="169"/>
        <v/>
      </c>
      <c r="BG229" s="51" t="str">
        <f t="shared" si="170"/>
        <v/>
      </c>
      <c r="BH229" s="51" t="b">
        <f t="shared" si="171"/>
        <v>0</v>
      </c>
      <c r="BI229" s="51" t="str">
        <f t="shared" si="172"/>
        <v/>
      </c>
      <c r="BJ229" s="51" t="str">
        <f t="shared" si="173"/>
        <v/>
      </c>
      <c r="BK229" s="51" t="b">
        <f t="shared" si="174"/>
        <v>0</v>
      </c>
      <c r="BL229" s="192"/>
    </row>
    <row r="230" spans="1:64" ht="13.5" thickBot="1" x14ac:dyDescent="0.25">
      <c r="A230" s="185" t="s">
        <v>921</v>
      </c>
      <c r="B230" s="194" t="s">
        <v>695</v>
      </c>
      <c r="C230" s="194" t="s">
        <v>695</v>
      </c>
      <c r="D230" s="194" t="s">
        <v>695</v>
      </c>
      <c r="E230" s="193" t="s">
        <v>694</v>
      </c>
      <c r="F230" s="160" t="s">
        <v>20</v>
      </c>
      <c r="G230" s="161"/>
      <c r="H230" s="186" t="str">
        <f t="shared" si="132"/>
        <v>N/A</v>
      </c>
      <c r="I230" s="186" t="b">
        <f t="shared" si="133"/>
        <v>1</v>
      </c>
      <c r="J230" s="186" t="str">
        <f t="shared" si="134"/>
        <v>N/A</v>
      </c>
      <c r="K230" s="186" t="b">
        <f t="shared" si="135"/>
        <v>1</v>
      </c>
      <c r="L230" s="186" t="str">
        <f t="shared" si="136"/>
        <v>N/A</v>
      </c>
      <c r="M230" s="186" t="b">
        <f t="shared" si="137"/>
        <v>1</v>
      </c>
      <c r="N230" s="186" t="str">
        <f t="shared" si="138"/>
        <v>Used?</v>
      </c>
      <c r="O230" s="186" t="b">
        <f t="shared" si="139"/>
        <v>0</v>
      </c>
      <c r="P230" s="26" t="s">
        <v>696</v>
      </c>
      <c r="Q230" s="160" t="s">
        <v>20</v>
      </c>
      <c r="R230" s="160" t="s">
        <v>20</v>
      </c>
      <c r="S230" s="26" t="s">
        <v>697</v>
      </c>
      <c r="T230" s="165" t="str">
        <f t="shared" si="140"/>
        <v>Not Used</v>
      </c>
      <c r="U230" s="162"/>
      <c r="V230" s="55"/>
      <c r="W230" s="51" t="b">
        <f t="shared" si="141"/>
        <v>1</v>
      </c>
      <c r="X230" s="51" t="str">
        <f t="shared" si="142"/>
        <v>Not Used</v>
      </c>
      <c r="Y230" s="51" t="str">
        <f t="shared" si="143"/>
        <v>Not Used</v>
      </c>
      <c r="Z230" s="51" t="str">
        <f t="shared" si="144"/>
        <v>Not Used</v>
      </c>
      <c r="AA230" s="51" t="str">
        <f t="shared" si="144"/>
        <v>Not Used</v>
      </c>
      <c r="AB230" s="51" t="str">
        <f t="shared" si="145"/>
        <v>Not Used</v>
      </c>
      <c r="AC230" s="51" t="b">
        <f t="shared" si="146"/>
        <v>1</v>
      </c>
      <c r="AD230" s="51">
        <f>COUNTIF($X$5:$X$230, "Not Used")</f>
        <v>226</v>
      </c>
      <c r="AE230" s="51">
        <f>COUNTIF($X$5:$X$230, "TRUE")</f>
        <v>0</v>
      </c>
      <c r="AF230" s="51" t="b">
        <f t="shared" si="147"/>
        <v>1</v>
      </c>
      <c r="AI230" s="51" t="b">
        <f t="shared" si="148"/>
        <v>0</v>
      </c>
      <c r="AJ230" s="51" t="b">
        <f t="shared" si="149"/>
        <v>0</v>
      </c>
      <c r="AK230" s="51" t="b">
        <f t="shared" si="150"/>
        <v>0</v>
      </c>
      <c r="AL230" s="51" t="b">
        <f t="shared" si="151"/>
        <v>0</v>
      </c>
      <c r="AM230" s="51" t="b">
        <f t="shared" si="152"/>
        <v>0</v>
      </c>
      <c r="AN230" s="51"/>
      <c r="AO230" s="51" t="b">
        <f t="shared" si="153"/>
        <v>0</v>
      </c>
      <c r="AP230" s="51" t="str">
        <f t="shared" si="175"/>
        <v>Not in MMS</v>
      </c>
      <c r="AQ230" s="51" t="b">
        <f t="shared" si="154"/>
        <v>0</v>
      </c>
      <c r="AR230" s="51" t="b">
        <f t="shared" si="155"/>
        <v>0</v>
      </c>
      <c r="AS230" s="51" t="str">
        <f t="shared" si="156"/>
        <v/>
      </c>
      <c r="AT230" s="51" t="str">
        <f t="shared" si="157"/>
        <v/>
      </c>
      <c r="AU230" s="51" t="str">
        <f t="shared" si="158"/>
        <v/>
      </c>
      <c r="AV230" s="51" t="str">
        <f t="shared" si="159"/>
        <v/>
      </c>
      <c r="AW230" s="51" t="str">
        <f t="shared" si="160"/>
        <v/>
      </c>
      <c r="AX230" s="51" t="str">
        <f t="shared" si="161"/>
        <v/>
      </c>
      <c r="AY230" s="51" t="str">
        <f t="shared" si="162"/>
        <v/>
      </c>
      <c r="AZ230" s="51" t="str">
        <f t="shared" si="163"/>
        <v/>
      </c>
      <c r="BA230" s="51" t="str">
        <f t="shared" si="164"/>
        <v/>
      </c>
      <c r="BB230" s="51" t="str">
        <f t="shared" si="165"/>
        <v/>
      </c>
      <c r="BC230" s="51" t="str">
        <f t="shared" si="166"/>
        <v/>
      </c>
      <c r="BD230" s="51" t="str">
        <f t="shared" si="167"/>
        <v/>
      </c>
      <c r="BE230" s="51" t="str">
        <f t="shared" si="168"/>
        <v/>
      </c>
      <c r="BF230" s="51" t="str">
        <f t="shared" si="169"/>
        <v/>
      </c>
      <c r="BG230" s="51" t="str">
        <f t="shared" si="170"/>
        <v/>
      </c>
      <c r="BH230" s="51" t="b">
        <f t="shared" si="171"/>
        <v>0</v>
      </c>
      <c r="BI230" s="51" t="str">
        <f t="shared" si="172"/>
        <v/>
      </c>
      <c r="BJ230" s="51" t="str">
        <f t="shared" si="173"/>
        <v/>
      </c>
      <c r="BK230" s="51" t="b">
        <f t="shared" si="174"/>
        <v>0</v>
      </c>
      <c r="BL230" s="192"/>
    </row>
    <row r="231" spans="1:64" ht="13.5" thickBot="1" x14ac:dyDescent="0.25">
      <c r="A231" s="185" t="s">
        <v>922</v>
      </c>
      <c r="B231" s="194" t="s">
        <v>695</v>
      </c>
      <c r="C231" s="194" t="s">
        <v>695</v>
      </c>
      <c r="D231" s="194" t="s">
        <v>695</v>
      </c>
      <c r="E231" s="193" t="s">
        <v>694</v>
      </c>
      <c r="F231" s="160" t="s">
        <v>20</v>
      </c>
      <c r="G231" s="161"/>
      <c r="H231" s="186" t="str">
        <f t="shared" si="132"/>
        <v>N/A</v>
      </c>
      <c r="I231" s="186" t="b">
        <f t="shared" si="133"/>
        <v>1</v>
      </c>
      <c r="J231" s="186" t="str">
        <f t="shared" si="134"/>
        <v>N/A</v>
      </c>
      <c r="K231" s="186" t="b">
        <f t="shared" si="135"/>
        <v>1</v>
      </c>
      <c r="L231" s="186" t="str">
        <f t="shared" si="136"/>
        <v>N/A</v>
      </c>
      <c r="M231" s="186" t="b">
        <f t="shared" si="137"/>
        <v>1</v>
      </c>
      <c r="N231" s="186" t="str">
        <f t="shared" si="138"/>
        <v>Used?</v>
      </c>
      <c r="O231" s="186" t="b">
        <f t="shared" si="139"/>
        <v>0</v>
      </c>
      <c r="P231" s="26" t="s">
        <v>696</v>
      </c>
      <c r="Q231" s="160" t="s">
        <v>20</v>
      </c>
      <c r="R231" s="160" t="s">
        <v>20</v>
      </c>
      <c r="S231" s="26" t="s">
        <v>697</v>
      </c>
      <c r="T231" s="165" t="str">
        <f t="shared" si="140"/>
        <v>Not Used</v>
      </c>
      <c r="U231" s="162"/>
      <c r="V231" s="55"/>
      <c r="W231" s="51" t="b">
        <f t="shared" si="141"/>
        <v>1</v>
      </c>
      <c r="X231" s="51" t="str">
        <f t="shared" si="142"/>
        <v>Not Used</v>
      </c>
      <c r="Y231" s="51" t="str">
        <f t="shared" si="143"/>
        <v>Not Used</v>
      </c>
      <c r="Z231" s="51" t="str">
        <f t="shared" si="144"/>
        <v>Not Used</v>
      </c>
      <c r="AA231" s="51" t="str">
        <f t="shared" si="144"/>
        <v>Not Used</v>
      </c>
      <c r="AB231" s="51" t="str">
        <f t="shared" si="145"/>
        <v>Not Used</v>
      </c>
      <c r="AC231" s="51" t="b">
        <f t="shared" si="146"/>
        <v>1</v>
      </c>
      <c r="AD231" s="51">
        <f>COUNTIF($X$5:$X$231, "Not Used")</f>
        <v>227</v>
      </c>
      <c r="AE231" s="51">
        <f>COUNTIF($X$5:$X$231, "TRUE")</f>
        <v>0</v>
      </c>
      <c r="AF231" s="51" t="b">
        <f t="shared" si="147"/>
        <v>1</v>
      </c>
      <c r="AI231" s="51" t="b">
        <f t="shared" si="148"/>
        <v>0</v>
      </c>
      <c r="AJ231" s="51" t="b">
        <f t="shared" si="149"/>
        <v>0</v>
      </c>
      <c r="AK231" s="51" t="b">
        <f t="shared" si="150"/>
        <v>0</v>
      </c>
      <c r="AL231" s="51" t="b">
        <f t="shared" si="151"/>
        <v>0</v>
      </c>
      <c r="AM231" s="51" t="b">
        <f t="shared" si="152"/>
        <v>0</v>
      </c>
      <c r="AN231" s="51"/>
      <c r="AO231" s="51" t="b">
        <f t="shared" si="153"/>
        <v>0</v>
      </c>
      <c r="AP231" s="51" t="str">
        <f t="shared" si="175"/>
        <v>Not in MMS</v>
      </c>
      <c r="AQ231" s="51" t="b">
        <f t="shared" si="154"/>
        <v>0</v>
      </c>
      <c r="AR231" s="51" t="b">
        <f t="shared" si="155"/>
        <v>0</v>
      </c>
      <c r="AS231" s="51" t="str">
        <f t="shared" si="156"/>
        <v/>
      </c>
      <c r="AT231" s="51" t="str">
        <f t="shared" si="157"/>
        <v/>
      </c>
      <c r="AU231" s="51" t="str">
        <f t="shared" si="158"/>
        <v/>
      </c>
      <c r="AV231" s="51" t="str">
        <f t="shared" si="159"/>
        <v/>
      </c>
      <c r="AW231" s="51" t="str">
        <f t="shared" si="160"/>
        <v/>
      </c>
      <c r="AX231" s="51" t="str">
        <f t="shared" si="161"/>
        <v/>
      </c>
      <c r="AY231" s="51" t="str">
        <f t="shared" si="162"/>
        <v/>
      </c>
      <c r="AZ231" s="51" t="str">
        <f t="shared" si="163"/>
        <v/>
      </c>
      <c r="BA231" s="51" t="str">
        <f t="shared" si="164"/>
        <v/>
      </c>
      <c r="BB231" s="51" t="str">
        <f t="shared" si="165"/>
        <v/>
      </c>
      <c r="BC231" s="51" t="str">
        <f t="shared" si="166"/>
        <v/>
      </c>
      <c r="BD231" s="51" t="str">
        <f t="shared" si="167"/>
        <v/>
      </c>
      <c r="BE231" s="51" t="str">
        <f t="shared" si="168"/>
        <v/>
      </c>
      <c r="BF231" s="51" t="str">
        <f t="shared" si="169"/>
        <v/>
      </c>
      <c r="BG231" s="51" t="str">
        <f t="shared" si="170"/>
        <v/>
      </c>
      <c r="BH231" s="51" t="b">
        <f t="shared" si="171"/>
        <v>0</v>
      </c>
      <c r="BI231" s="51" t="str">
        <f t="shared" si="172"/>
        <v/>
      </c>
      <c r="BJ231" s="51" t="str">
        <f t="shared" si="173"/>
        <v/>
      </c>
      <c r="BK231" s="51" t="b">
        <f t="shared" si="174"/>
        <v>0</v>
      </c>
      <c r="BL231" s="192"/>
    </row>
    <row r="232" spans="1:64" ht="13.5" thickBot="1" x14ac:dyDescent="0.25">
      <c r="A232" s="185" t="s">
        <v>923</v>
      </c>
      <c r="B232" s="194" t="s">
        <v>695</v>
      </c>
      <c r="C232" s="194" t="s">
        <v>695</v>
      </c>
      <c r="D232" s="194" t="s">
        <v>695</v>
      </c>
      <c r="E232" s="193" t="s">
        <v>694</v>
      </c>
      <c r="F232" s="160" t="s">
        <v>20</v>
      </c>
      <c r="G232" s="161"/>
      <c r="H232" s="186" t="str">
        <f t="shared" si="132"/>
        <v>N/A</v>
      </c>
      <c r="I232" s="186" t="b">
        <f t="shared" si="133"/>
        <v>1</v>
      </c>
      <c r="J232" s="186" t="str">
        <f t="shared" si="134"/>
        <v>N/A</v>
      </c>
      <c r="K232" s="186" t="b">
        <f t="shared" si="135"/>
        <v>1</v>
      </c>
      <c r="L232" s="186" t="str">
        <f t="shared" si="136"/>
        <v>N/A</v>
      </c>
      <c r="M232" s="186" t="b">
        <f t="shared" si="137"/>
        <v>1</v>
      </c>
      <c r="N232" s="186" t="str">
        <f t="shared" si="138"/>
        <v>Used?</v>
      </c>
      <c r="O232" s="186" t="b">
        <f t="shared" si="139"/>
        <v>0</v>
      </c>
      <c r="P232" s="26" t="s">
        <v>696</v>
      </c>
      <c r="Q232" s="160" t="s">
        <v>20</v>
      </c>
      <c r="R232" s="160" t="s">
        <v>20</v>
      </c>
      <c r="S232" s="26" t="s">
        <v>697</v>
      </c>
      <c r="T232" s="165" t="str">
        <f t="shared" si="140"/>
        <v>Not Used</v>
      </c>
      <c r="U232" s="162"/>
      <c r="V232" s="55"/>
      <c r="W232" s="51" t="b">
        <f t="shared" si="141"/>
        <v>1</v>
      </c>
      <c r="X232" s="51" t="str">
        <f t="shared" si="142"/>
        <v>Not Used</v>
      </c>
      <c r="Y232" s="51" t="str">
        <f t="shared" si="143"/>
        <v>Not Used</v>
      </c>
      <c r="Z232" s="51" t="str">
        <f t="shared" si="144"/>
        <v>Not Used</v>
      </c>
      <c r="AA232" s="51" t="str">
        <f t="shared" si="144"/>
        <v>Not Used</v>
      </c>
      <c r="AB232" s="51" t="str">
        <f t="shared" si="145"/>
        <v>Not Used</v>
      </c>
      <c r="AC232" s="51" t="b">
        <f t="shared" si="146"/>
        <v>1</v>
      </c>
      <c r="AD232" s="51">
        <f>COUNTIF($X$5:$X$232, "Not Used")</f>
        <v>228</v>
      </c>
      <c r="AE232" s="51">
        <f>COUNTIF($X$5:$X$232, "TRUE")</f>
        <v>0</v>
      </c>
      <c r="AF232" s="51" t="b">
        <f t="shared" si="147"/>
        <v>1</v>
      </c>
      <c r="AI232" s="51" t="b">
        <f t="shared" si="148"/>
        <v>0</v>
      </c>
      <c r="AJ232" s="51" t="b">
        <f t="shared" si="149"/>
        <v>0</v>
      </c>
      <c r="AK232" s="51" t="b">
        <f t="shared" si="150"/>
        <v>0</v>
      </c>
      <c r="AL232" s="51" t="b">
        <f t="shared" si="151"/>
        <v>0</v>
      </c>
      <c r="AM232" s="51" t="b">
        <f t="shared" si="152"/>
        <v>0</v>
      </c>
      <c r="AN232" s="51"/>
      <c r="AO232" s="51" t="b">
        <f t="shared" si="153"/>
        <v>0</v>
      </c>
      <c r="AP232" s="51" t="str">
        <f t="shared" si="175"/>
        <v>Not in MMS</v>
      </c>
      <c r="AQ232" s="51" t="b">
        <f t="shared" si="154"/>
        <v>0</v>
      </c>
      <c r="AR232" s="51" t="b">
        <f t="shared" si="155"/>
        <v>0</v>
      </c>
      <c r="AS232" s="51" t="str">
        <f t="shared" si="156"/>
        <v/>
      </c>
      <c r="AT232" s="51" t="str">
        <f t="shared" si="157"/>
        <v/>
      </c>
      <c r="AU232" s="51" t="str">
        <f t="shared" si="158"/>
        <v/>
      </c>
      <c r="AV232" s="51" t="str">
        <f t="shared" si="159"/>
        <v/>
      </c>
      <c r="AW232" s="51" t="str">
        <f t="shared" si="160"/>
        <v/>
      </c>
      <c r="AX232" s="51" t="str">
        <f t="shared" si="161"/>
        <v/>
      </c>
      <c r="AY232" s="51" t="str">
        <f t="shared" si="162"/>
        <v/>
      </c>
      <c r="AZ232" s="51" t="str">
        <f t="shared" si="163"/>
        <v/>
      </c>
      <c r="BA232" s="51" t="str">
        <f t="shared" si="164"/>
        <v/>
      </c>
      <c r="BB232" s="51" t="str">
        <f t="shared" si="165"/>
        <v/>
      </c>
      <c r="BC232" s="51" t="str">
        <f t="shared" si="166"/>
        <v/>
      </c>
      <c r="BD232" s="51" t="str">
        <f t="shared" si="167"/>
        <v/>
      </c>
      <c r="BE232" s="51" t="str">
        <f t="shared" si="168"/>
        <v/>
      </c>
      <c r="BF232" s="51" t="str">
        <f t="shared" si="169"/>
        <v/>
      </c>
      <c r="BG232" s="51" t="str">
        <f t="shared" si="170"/>
        <v/>
      </c>
      <c r="BH232" s="51" t="b">
        <f t="shared" si="171"/>
        <v>0</v>
      </c>
      <c r="BI232" s="51" t="str">
        <f t="shared" si="172"/>
        <v/>
      </c>
      <c r="BJ232" s="51" t="str">
        <f t="shared" si="173"/>
        <v/>
      </c>
      <c r="BK232" s="51" t="b">
        <f t="shared" si="174"/>
        <v>0</v>
      </c>
      <c r="BL232" s="192"/>
    </row>
    <row r="233" spans="1:64" ht="13.5" thickBot="1" x14ac:dyDescent="0.25">
      <c r="A233" s="185" t="s">
        <v>924</v>
      </c>
      <c r="B233" s="194" t="s">
        <v>695</v>
      </c>
      <c r="C233" s="194" t="s">
        <v>695</v>
      </c>
      <c r="D233" s="194" t="s">
        <v>695</v>
      </c>
      <c r="E233" s="193" t="s">
        <v>694</v>
      </c>
      <c r="F233" s="160" t="s">
        <v>20</v>
      </c>
      <c r="G233" s="161"/>
      <c r="H233" s="186" t="str">
        <f t="shared" si="132"/>
        <v>N/A</v>
      </c>
      <c r="I233" s="186" t="b">
        <f t="shared" si="133"/>
        <v>1</v>
      </c>
      <c r="J233" s="186" t="str">
        <f t="shared" si="134"/>
        <v>N/A</v>
      </c>
      <c r="K233" s="186" t="b">
        <f t="shared" si="135"/>
        <v>1</v>
      </c>
      <c r="L233" s="186" t="str">
        <f t="shared" si="136"/>
        <v>N/A</v>
      </c>
      <c r="M233" s="186" t="b">
        <f t="shared" si="137"/>
        <v>1</v>
      </c>
      <c r="N233" s="186" t="str">
        <f t="shared" si="138"/>
        <v>Used?</v>
      </c>
      <c r="O233" s="186" t="b">
        <f t="shared" si="139"/>
        <v>0</v>
      </c>
      <c r="P233" s="26" t="s">
        <v>696</v>
      </c>
      <c r="Q233" s="160" t="s">
        <v>20</v>
      </c>
      <c r="R233" s="160" t="s">
        <v>20</v>
      </c>
      <c r="S233" s="26" t="s">
        <v>697</v>
      </c>
      <c r="T233" s="165" t="str">
        <f t="shared" si="140"/>
        <v>Not Used</v>
      </c>
      <c r="U233" s="162"/>
      <c r="V233" s="55"/>
      <c r="W233" s="51" t="b">
        <f t="shared" si="141"/>
        <v>1</v>
      </c>
      <c r="X233" s="51" t="str">
        <f t="shared" si="142"/>
        <v>Not Used</v>
      </c>
      <c r="Y233" s="51" t="str">
        <f t="shared" si="143"/>
        <v>Not Used</v>
      </c>
      <c r="Z233" s="51" t="str">
        <f t="shared" si="144"/>
        <v>Not Used</v>
      </c>
      <c r="AA233" s="51" t="str">
        <f t="shared" si="144"/>
        <v>Not Used</v>
      </c>
      <c r="AB233" s="51" t="str">
        <f t="shared" si="145"/>
        <v>Not Used</v>
      </c>
      <c r="AC233" s="51" t="b">
        <f t="shared" si="146"/>
        <v>1</v>
      </c>
      <c r="AD233" s="51">
        <f>COUNTIF($X$5:$X$233, "Not Used")</f>
        <v>229</v>
      </c>
      <c r="AE233" s="51">
        <f>COUNTIF($X$5:$X$233, "TRUE")</f>
        <v>0</v>
      </c>
      <c r="AF233" s="51" t="b">
        <f t="shared" si="147"/>
        <v>1</v>
      </c>
      <c r="AI233" s="51" t="b">
        <f t="shared" si="148"/>
        <v>0</v>
      </c>
      <c r="AJ233" s="51" t="b">
        <f t="shared" si="149"/>
        <v>0</v>
      </c>
      <c r="AK233" s="51" t="b">
        <f t="shared" si="150"/>
        <v>0</v>
      </c>
      <c r="AL233" s="51" t="b">
        <f t="shared" si="151"/>
        <v>0</v>
      </c>
      <c r="AM233" s="51" t="b">
        <f t="shared" si="152"/>
        <v>0</v>
      </c>
      <c r="AN233" s="51"/>
      <c r="AO233" s="51" t="b">
        <f t="shared" si="153"/>
        <v>0</v>
      </c>
      <c r="AP233" s="51" t="str">
        <f t="shared" si="175"/>
        <v>Not in MMS</v>
      </c>
      <c r="AQ233" s="51" t="b">
        <f t="shared" si="154"/>
        <v>0</v>
      </c>
      <c r="AR233" s="51" t="b">
        <f t="shared" si="155"/>
        <v>0</v>
      </c>
      <c r="AS233" s="51" t="str">
        <f t="shared" si="156"/>
        <v/>
      </c>
      <c r="AT233" s="51" t="str">
        <f t="shared" si="157"/>
        <v/>
      </c>
      <c r="AU233" s="51" t="str">
        <f t="shared" si="158"/>
        <v/>
      </c>
      <c r="AV233" s="51" t="str">
        <f t="shared" si="159"/>
        <v/>
      </c>
      <c r="AW233" s="51" t="str">
        <f t="shared" si="160"/>
        <v/>
      </c>
      <c r="AX233" s="51" t="str">
        <f t="shared" si="161"/>
        <v/>
      </c>
      <c r="AY233" s="51" t="str">
        <f t="shared" si="162"/>
        <v/>
      </c>
      <c r="AZ233" s="51" t="str">
        <f t="shared" si="163"/>
        <v/>
      </c>
      <c r="BA233" s="51" t="str">
        <f t="shared" si="164"/>
        <v/>
      </c>
      <c r="BB233" s="51" t="str">
        <f t="shared" si="165"/>
        <v/>
      </c>
      <c r="BC233" s="51" t="str">
        <f t="shared" si="166"/>
        <v/>
      </c>
      <c r="BD233" s="51" t="str">
        <f t="shared" si="167"/>
        <v/>
      </c>
      <c r="BE233" s="51" t="str">
        <f t="shared" si="168"/>
        <v/>
      </c>
      <c r="BF233" s="51" t="str">
        <f t="shared" si="169"/>
        <v/>
      </c>
      <c r="BG233" s="51" t="str">
        <f t="shared" si="170"/>
        <v/>
      </c>
      <c r="BH233" s="51" t="b">
        <f t="shared" si="171"/>
        <v>0</v>
      </c>
      <c r="BI233" s="51" t="str">
        <f t="shared" si="172"/>
        <v/>
      </c>
      <c r="BJ233" s="51" t="str">
        <f t="shared" si="173"/>
        <v/>
      </c>
      <c r="BK233" s="51" t="b">
        <f t="shared" si="174"/>
        <v>0</v>
      </c>
      <c r="BL233" s="192"/>
    </row>
    <row r="234" spans="1:64" ht="13.5" thickBot="1" x14ac:dyDescent="0.25">
      <c r="A234" s="185" t="s">
        <v>925</v>
      </c>
      <c r="B234" s="194" t="s">
        <v>695</v>
      </c>
      <c r="C234" s="194" t="s">
        <v>695</v>
      </c>
      <c r="D234" s="194" t="s">
        <v>695</v>
      </c>
      <c r="E234" s="193" t="s">
        <v>694</v>
      </c>
      <c r="F234" s="160" t="s">
        <v>20</v>
      </c>
      <c r="G234" s="161"/>
      <c r="H234" s="186" t="str">
        <f t="shared" si="132"/>
        <v>N/A</v>
      </c>
      <c r="I234" s="186" t="b">
        <f t="shared" si="133"/>
        <v>1</v>
      </c>
      <c r="J234" s="186" t="str">
        <f t="shared" si="134"/>
        <v>N/A</v>
      </c>
      <c r="K234" s="186" t="b">
        <f t="shared" si="135"/>
        <v>1</v>
      </c>
      <c r="L234" s="186" t="str">
        <f t="shared" si="136"/>
        <v>N/A</v>
      </c>
      <c r="M234" s="186" t="b">
        <f t="shared" si="137"/>
        <v>1</v>
      </c>
      <c r="N234" s="186" t="str">
        <f t="shared" si="138"/>
        <v>Used?</v>
      </c>
      <c r="O234" s="186" t="b">
        <f t="shared" si="139"/>
        <v>0</v>
      </c>
      <c r="P234" s="26" t="s">
        <v>696</v>
      </c>
      <c r="Q234" s="160" t="s">
        <v>20</v>
      </c>
      <c r="R234" s="160" t="s">
        <v>20</v>
      </c>
      <c r="S234" s="26" t="s">
        <v>697</v>
      </c>
      <c r="T234" s="165" t="str">
        <f t="shared" si="140"/>
        <v>Not Used</v>
      </c>
      <c r="U234" s="162"/>
      <c r="V234" s="55"/>
      <c r="W234" s="51" t="b">
        <f t="shared" si="141"/>
        <v>1</v>
      </c>
      <c r="X234" s="51" t="str">
        <f t="shared" si="142"/>
        <v>Not Used</v>
      </c>
      <c r="Y234" s="51" t="str">
        <f t="shared" si="143"/>
        <v>Not Used</v>
      </c>
      <c r="Z234" s="51" t="str">
        <f t="shared" si="144"/>
        <v>Not Used</v>
      </c>
      <c r="AA234" s="51" t="str">
        <f t="shared" si="144"/>
        <v>Not Used</v>
      </c>
      <c r="AB234" s="51" t="str">
        <f t="shared" si="145"/>
        <v>Not Used</v>
      </c>
      <c r="AC234" s="51" t="b">
        <f t="shared" si="146"/>
        <v>1</v>
      </c>
      <c r="AD234" s="51">
        <f>COUNTIF($X$5:$X$234, "Not Used")</f>
        <v>230</v>
      </c>
      <c r="AE234" s="51">
        <f>COUNTIF($X$5:$X$234, "TRUE")</f>
        <v>0</v>
      </c>
      <c r="AF234" s="51" t="b">
        <f t="shared" si="147"/>
        <v>1</v>
      </c>
      <c r="AI234" s="51" t="b">
        <f t="shared" si="148"/>
        <v>0</v>
      </c>
      <c r="AJ234" s="51" t="b">
        <f t="shared" si="149"/>
        <v>0</v>
      </c>
      <c r="AK234" s="51" t="b">
        <f t="shared" si="150"/>
        <v>0</v>
      </c>
      <c r="AL234" s="51" t="b">
        <f t="shared" si="151"/>
        <v>0</v>
      </c>
      <c r="AM234" s="51" t="b">
        <f t="shared" si="152"/>
        <v>0</v>
      </c>
      <c r="AN234" s="51"/>
      <c r="AO234" s="51" t="b">
        <f t="shared" si="153"/>
        <v>0</v>
      </c>
      <c r="AP234" s="51" t="str">
        <f t="shared" si="175"/>
        <v>Not in MMS</v>
      </c>
      <c r="AQ234" s="51" t="b">
        <f t="shared" si="154"/>
        <v>0</v>
      </c>
      <c r="AR234" s="51" t="b">
        <f t="shared" si="155"/>
        <v>0</v>
      </c>
      <c r="AS234" s="51" t="str">
        <f t="shared" si="156"/>
        <v/>
      </c>
      <c r="AT234" s="51" t="str">
        <f t="shared" si="157"/>
        <v/>
      </c>
      <c r="AU234" s="51" t="str">
        <f t="shared" si="158"/>
        <v/>
      </c>
      <c r="AV234" s="51" t="str">
        <f t="shared" si="159"/>
        <v/>
      </c>
      <c r="AW234" s="51" t="str">
        <f t="shared" si="160"/>
        <v/>
      </c>
      <c r="AX234" s="51" t="str">
        <f t="shared" si="161"/>
        <v/>
      </c>
      <c r="AY234" s="51" t="str">
        <f t="shared" si="162"/>
        <v/>
      </c>
      <c r="AZ234" s="51" t="str">
        <f t="shared" si="163"/>
        <v/>
      </c>
      <c r="BA234" s="51" t="str">
        <f t="shared" si="164"/>
        <v/>
      </c>
      <c r="BB234" s="51" t="str">
        <f t="shared" si="165"/>
        <v/>
      </c>
      <c r="BC234" s="51" t="str">
        <f t="shared" si="166"/>
        <v/>
      </c>
      <c r="BD234" s="51" t="str">
        <f t="shared" si="167"/>
        <v/>
      </c>
      <c r="BE234" s="51" t="str">
        <f t="shared" si="168"/>
        <v/>
      </c>
      <c r="BF234" s="51" t="str">
        <f t="shared" si="169"/>
        <v/>
      </c>
      <c r="BG234" s="51" t="str">
        <f t="shared" si="170"/>
        <v/>
      </c>
      <c r="BH234" s="51" t="b">
        <f t="shared" si="171"/>
        <v>0</v>
      </c>
      <c r="BI234" s="51" t="str">
        <f t="shared" si="172"/>
        <v/>
      </c>
      <c r="BJ234" s="51" t="str">
        <f t="shared" si="173"/>
        <v/>
      </c>
      <c r="BK234" s="51" t="b">
        <f t="shared" si="174"/>
        <v>0</v>
      </c>
      <c r="BL234" s="192"/>
    </row>
    <row r="235" spans="1:64" ht="13.5" thickBot="1" x14ac:dyDescent="0.25">
      <c r="A235" s="185" t="s">
        <v>926</v>
      </c>
      <c r="B235" s="194" t="s">
        <v>695</v>
      </c>
      <c r="C235" s="194" t="s">
        <v>695</v>
      </c>
      <c r="D235" s="194" t="s">
        <v>695</v>
      </c>
      <c r="E235" s="193" t="s">
        <v>694</v>
      </c>
      <c r="F235" s="160" t="s">
        <v>20</v>
      </c>
      <c r="G235" s="161"/>
      <c r="H235" s="186" t="str">
        <f t="shared" si="132"/>
        <v>N/A</v>
      </c>
      <c r="I235" s="186" t="b">
        <f t="shared" si="133"/>
        <v>1</v>
      </c>
      <c r="J235" s="186" t="str">
        <f t="shared" si="134"/>
        <v>N/A</v>
      </c>
      <c r="K235" s="186" t="b">
        <f t="shared" si="135"/>
        <v>1</v>
      </c>
      <c r="L235" s="186" t="str">
        <f t="shared" si="136"/>
        <v>N/A</v>
      </c>
      <c r="M235" s="186" t="b">
        <f t="shared" si="137"/>
        <v>1</v>
      </c>
      <c r="N235" s="186" t="str">
        <f t="shared" si="138"/>
        <v>Used?</v>
      </c>
      <c r="O235" s="186" t="b">
        <f t="shared" si="139"/>
        <v>0</v>
      </c>
      <c r="P235" s="26" t="s">
        <v>696</v>
      </c>
      <c r="Q235" s="160" t="s">
        <v>20</v>
      </c>
      <c r="R235" s="160" t="s">
        <v>20</v>
      </c>
      <c r="S235" s="26" t="s">
        <v>697</v>
      </c>
      <c r="T235" s="165" t="str">
        <f t="shared" si="140"/>
        <v>Not Used</v>
      </c>
      <c r="U235" s="162"/>
      <c r="V235" s="55"/>
      <c r="W235" s="51" t="b">
        <f t="shared" si="141"/>
        <v>1</v>
      </c>
      <c r="X235" s="51" t="str">
        <f t="shared" si="142"/>
        <v>Not Used</v>
      </c>
      <c r="Y235" s="51" t="str">
        <f t="shared" si="143"/>
        <v>Not Used</v>
      </c>
      <c r="Z235" s="51" t="str">
        <f t="shared" si="144"/>
        <v>Not Used</v>
      </c>
      <c r="AA235" s="51" t="str">
        <f t="shared" si="144"/>
        <v>Not Used</v>
      </c>
      <c r="AB235" s="51" t="str">
        <f t="shared" si="145"/>
        <v>Not Used</v>
      </c>
      <c r="AC235" s="51" t="b">
        <f t="shared" si="146"/>
        <v>1</v>
      </c>
      <c r="AD235" s="51">
        <f>COUNTIF($X$5:$X$235, "Not Used")</f>
        <v>231</v>
      </c>
      <c r="AE235" s="51">
        <f>COUNTIF($X$5:$X$235, "TRUE")</f>
        <v>0</v>
      </c>
      <c r="AF235" s="51" t="b">
        <f t="shared" si="147"/>
        <v>1</v>
      </c>
      <c r="AI235" s="51" t="b">
        <f t="shared" si="148"/>
        <v>0</v>
      </c>
      <c r="AJ235" s="51" t="b">
        <f t="shared" si="149"/>
        <v>0</v>
      </c>
      <c r="AK235" s="51" t="b">
        <f t="shared" si="150"/>
        <v>0</v>
      </c>
      <c r="AL235" s="51" t="b">
        <f t="shared" si="151"/>
        <v>0</v>
      </c>
      <c r="AM235" s="51" t="b">
        <f t="shared" si="152"/>
        <v>0</v>
      </c>
      <c r="AN235" s="51"/>
      <c r="AO235" s="51" t="b">
        <f t="shared" si="153"/>
        <v>0</v>
      </c>
      <c r="AP235" s="51" t="str">
        <f t="shared" si="175"/>
        <v>Not in MMS</v>
      </c>
      <c r="AQ235" s="51" t="b">
        <f t="shared" si="154"/>
        <v>0</v>
      </c>
      <c r="AR235" s="51" t="b">
        <f t="shared" si="155"/>
        <v>0</v>
      </c>
      <c r="AS235" s="51" t="str">
        <f t="shared" si="156"/>
        <v/>
      </c>
      <c r="AT235" s="51" t="str">
        <f t="shared" si="157"/>
        <v/>
      </c>
      <c r="AU235" s="51" t="str">
        <f t="shared" si="158"/>
        <v/>
      </c>
      <c r="AV235" s="51" t="str">
        <f t="shared" si="159"/>
        <v/>
      </c>
      <c r="AW235" s="51" t="str">
        <f t="shared" si="160"/>
        <v/>
      </c>
      <c r="AX235" s="51" t="str">
        <f t="shared" si="161"/>
        <v/>
      </c>
      <c r="AY235" s="51" t="str">
        <f t="shared" si="162"/>
        <v/>
      </c>
      <c r="AZ235" s="51" t="str">
        <f t="shared" si="163"/>
        <v/>
      </c>
      <c r="BA235" s="51" t="str">
        <f t="shared" si="164"/>
        <v/>
      </c>
      <c r="BB235" s="51" t="str">
        <f t="shared" si="165"/>
        <v/>
      </c>
      <c r="BC235" s="51" t="str">
        <f t="shared" si="166"/>
        <v/>
      </c>
      <c r="BD235" s="51" t="str">
        <f t="shared" si="167"/>
        <v/>
      </c>
      <c r="BE235" s="51" t="str">
        <f t="shared" si="168"/>
        <v/>
      </c>
      <c r="BF235" s="51" t="str">
        <f t="shared" si="169"/>
        <v/>
      </c>
      <c r="BG235" s="51" t="str">
        <f t="shared" si="170"/>
        <v/>
      </c>
      <c r="BH235" s="51" t="b">
        <f t="shared" si="171"/>
        <v>0</v>
      </c>
      <c r="BI235" s="51" t="str">
        <f t="shared" si="172"/>
        <v/>
      </c>
      <c r="BJ235" s="51" t="str">
        <f t="shared" si="173"/>
        <v/>
      </c>
      <c r="BK235" s="51" t="b">
        <f t="shared" si="174"/>
        <v>0</v>
      </c>
      <c r="BL235" s="192"/>
    </row>
    <row r="236" spans="1:64" ht="13.5" thickBot="1" x14ac:dyDescent="0.25">
      <c r="A236" s="185" t="s">
        <v>927</v>
      </c>
      <c r="B236" s="194" t="s">
        <v>695</v>
      </c>
      <c r="C236" s="194" t="s">
        <v>695</v>
      </c>
      <c r="D236" s="194" t="s">
        <v>695</v>
      </c>
      <c r="E236" s="193" t="s">
        <v>694</v>
      </c>
      <c r="F236" s="160" t="s">
        <v>20</v>
      </c>
      <c r="G236" s="161"/>
      <c r="H236" s="186" t="str">
        <f t="shared" si="132"/>
        <v>N/A</v>
      </c>
      <c r="I236" s="186" t="b">
        <f t="shared" si="133"/>
        <v>1</v>
      </c>
      <c r="J236" s="186" t="str">
        <f t="shared" si="134"/>
        <v>N/A</v>
      </c>
      <c r="K236" s="186" t="b">
        <f t="shared" si="135"/>
        <v>1</v>
      </c>
      <c r="L236" s="186" t="str">
        <f t="shared" si="136"/>
        <v>N/A</v>
      </c>
      <c r="M236" s="186" t="b">
        <f t="shared" si="137"/>
        <v>1</v>
      </c>
      <c r="N236" s="186" t="str">
        <f t="shared" si="138"/>
        <v>Used?</v>
      </c>
      <c r="O236" s="186" t="b">
        <f t="shared" si="139"/>
        <v>0</v>
      </c>
      <c r="P236" s="26" t="s">
        <v>696</v>
      </c>
      <c r="Q236" s="160" t="s">
        <v>20</v>
      </c>
      <c r="R236" s="160" t="s">
        <v>20</v>
      </c>
      <c r="S236" s="26" t="s">
        <v>697</v>
      </c>
      <c r="T236" s="165" t="str">
        <f t="shared" si="140"/>
        <v>Not Used</v>
      </c>
      <c r="U236" s="162"/>
      <c r="V236" s="55"/>
      <c r="W236" s="51" t="b">
        <f t="shared" si="141"/>
        <v>1</v>
      </c>
      <c r="X236" s="51" t="str">
        <f t="shared" si="142"/>
        <v>Not Used</v>
      </c>
      <c r="Y236" s="51" t="str">
        <f t="shared" si="143"/>
        <v>Not Used</v>
      </c>
      <c r="Z236" s="51" t="str">
        <f t="shared" si="144"/>
        <v>Not Used</v>
      </c>
      <c r="AA236" s="51" t="str">
        <f t="shared" si="144"/>
        <v>Not Used</v>
      </c>
      <c r="AB236" s="51" t="str">
        <f t="shared" si="145"/>
        <v>Not Used</v>
      </c>
      <c r="AC236" s="51" t="b">
        <f t="shared" si="146"/>
        <v>1</v>
      </c>
      <c r="AD236" s="51">
        <f>COUNTIF($X$5:$X$236, "Not Used")</f>
        <v>232</v>
      </c>
      <c r="AE236" s="51">
        <f>COUNTIF($X$5:$X$236, "TRUE")</f>
        <v>0</v>
      </c>
      <c r="AF236" s="51" t="b">
        <f t="shared" si="147"/>
        <v>1</v>
      </c>
      <c r="AI236" s="51" t="b">
        <f t="shared" si="148"/>
        <v>0</v>
      </c>
      <c r="AJ236" s="51" t="b">
        <f t="shared" si="149"/>
        <v>0</v>
      </c>
      <c r="AK236" s="51" t="b">
        <f t="shared" si="150"/>
        <v>0</v>
      </c>
      <c r="AL236" s="51" t="b">
        <f t="shared" si="151"/>
        <v>0</v>
      </c>
      <c r="AM236" s="51" t="b">
        <f t="shared" si="152"/>
        <v>0</v>
      </c>
      <c r="AN236" s="51"/>
      <c r="AO236" s="51" t="b">
        <f t="shared" si="153"/>
        <v>0</v>
      </c>
      <c r="AP236" s="51" t="str">
        <f t="shared" si="175"/>
        <v>Not in MMS</v>
      </c>
      <c r="AQ236" s="51" t="b">
        <f t="shared" si="154"/>
        <v>0</v>
      </c>
      <c r="AR236" s="51" t="b">
        <f t="shared" si="155"/>
        <v>0</v>
      </c>
      <c r="AS236" s="51" t="str">
        <f t="shared" si="156"/>
        <v/>
      </c>
      <c r="AT236" s="51" t="str">
        <f t="shared" si="157"/>
        <v/>
      </c>
      <c r="AU236" s="51" t="str">
        <f t="shared" si="158"/>
        <v/>
      </c>
      <c r="AV236" s="51" t="str">
        <f t="shared" si="159"/>
        <v/>
      </c>
      <c r="AW236" s="51" t="str">
        <f t="shared" si="160"/>
        <v/>
      </c>
      <c r="AX236" s="51" t="str">
        <f t="shared" si="161"/>
        <v/>
      </c>
      <c r="AY236" s="51" t="str">
        <f t="shared" si="162"/>
        <v/>
      </c>
      <c r="AZ236" s="51" t="str">
        <f t="shared" si="163"/>
        <v/>
      </c>
      <c r="BA236" s="51" t="str">
        <f t="shared" si="164"/>
        <v/>
      </c>
      <c r="BB236" s="51" t="str">
        <f t="shared" si="165"/>
        <v/>
      </c>
      <c r="BC236" s="51" t="str">
        <f t="shared" si="166"/>
        <v/>
      </c>
      <c r="BD236" s="51" t="str">
        <f t="shared" si="167"/>
        <v/>
      </c>
      <c r="BE236" s="51" t="str">
        <f t="shared" si="168"/>
        <v/>
      </c>
      <c r="BF236" s="51" t="str">
        <f t="shared" si="169"/>
        <v/>
      </c>
      <c r="BG236" s="51" t="str">
        <f t="shared" si="170"/>
        <v/>
      </c>
      <c r="BH236" s="51" t="b">
        <f t="shared" si="171"/>
        <v>0</v>
      </c>
      <c r="BI236" s="51" t="str">
        <f t="shared" si="172"/>
        <v/>
      </c>
      <c r="BJ236" s="51" t="str">
        <f t="shared" si="173"/>
        <v/>
      </c>
      <c r="BK236" s="51" t="b">
        <f t="shared" si="174"/>
        <v>0</v>
      </c>
      <c r="BL236" s="192"/>
    </row>
    <row r="237" spans="1:64" ht="13.5" thickBot="1" x14ac:dyDescent="0.25">
      <c r="A237" s="185" t="s">
        <v>928</v>
      </c>
      <c r="B237" s="194" t="s">
        <v>695</v>
      </c>
      <c r="C237" s="194" t="s">
        <v>695</v>
      </c>
      <c r="D237" s="194" t="s">
        <v>695</v>
      </c>
      <c r="E237" s="193" t="s">
        <v>694</v>
      </c>
      <c r="F237" s="160" t="s">
        <v>20</v>
      </c>
      <c r="G237" s="161"/>
      <c r="H237" s="186" t="str">
        <f t="shared" si="132"/>
        <v>N/A</v>
      </c>
      <c r="I237" s="186" t="b">
        <f t="shared" si="133"/>
        <v>1</v>
      </c>
      <c r="J237" s="186" t="str">
        <f t="shared" si="134"/>
        <v>N/A</v>
      </c>
      <c r="K237" s="186" t="b">
        <f t="shared" si="135"/>
        <v>1</v>
      </c>
      <c r="L237" s="186" t="str">
        <f t="shared" si="136"/>
        <v>N/A</v>
      </c>
      <c r="M237" s="186" t="b">
        <f t="shared" si="137"/>
        <v>1</v>
      </c>
      <c r="N237" s="186" t="str">
        <f t="shared" si="138"/>
        <v>Used?</v>
      </c>
      <c r="O237" s="186" t="b">
        <f t="shared" si="139"/>
        <v>0</v>
      </c>
      <c r="P237" s="26" t="s">
        <v>696</v>
      </c>
      <c r="Q237" s="160" t="s">
        <v>20</v>
      </c>
      <c r="R237" s="160" t="s">
        <v>20</v>
      </c>
      <c r="S237" s="26" t="s">
        <v>697</v>
      </c>
      <c r="T237" s="165" t="str">
        <f t="shared" si="140"/>
        <v>Not Used</v>
      </c>
      <c r="U237" s="162"/>
      <c r="V237" s="55"/>
      <c r="W237" s="51" t="b">
        <f t="shared" si="141"/>
        <v>1</v>
      </c>
      <c r="X237" s="51" t="str">
        <f t="shared" si="142"/>
        <v>Not Used</v>
      </c>
      <c r="Y237" s="51" t="str">
        <f t="shared" si="143"/>
        <v>Not Used</v>
      </c>
      <c r="Z237" s="51" t="str">
        <f t="shared" si="144"/>
        <v>Not Used</v>
      </c>
      <c r="AA237" s="51" t="str">
        <f t="shared" si="144"/>
        <v>Not Used</v>
      </c>
      <c r="AB237" s="51" t="str">
        <f t="shared" si="145"/>
        <v>Not Used</v>
      </c>
      <c r="AC237" s="51" t="b">
        <f t="shared" si="146"/>
        <v>1</v>
      </c>
      <c r="AD237" s="51">
        <f>COUNTIF($X$5:$X$237, "Not Used")</f>
        <v>233</v>
      </c>
      <c r="AE237" s="51">
        <f>COUNTIF($X$5:$X$237, "TRUE")</f>
        <v>0</v>
      </c>
      <c r="AF237" s="51" t="b">
        <f t="shared" si="147"/>
        <v>1</v>
      </c>
      <c r="AI237" s="51" t="b">
        <f t="shared" si="148"/>
        <v>0</v>
      </c>
      <c r="AJ237" s="51" t="b">
        <f t="shared" si="149"/>
        <v>0</v>
      </c>
      <c r="AK237" s="51" t="b">
        <f t="shared" si="150"/>
        <v>0</v>
      </c>
      <c r="AL237" s="51" t="b">
        <f t="shared" si="151"/>
        <v>0</v>
      </c>
      <c r="AM237" s="51" t="b">
        <f t="shared" si="152"/>
        <v>0</v>
      </c>
      <c r="AN237" s="51"/>
      <c r="AO237" s="51" t="b">
        <f t="shared" si="153"/>
        <v>0</v>
      </c>
      <c r="AP237" s="51" t="str">
        <f t="shared" si="175"/>
        <v>Not in MMS</v>
      </c>
      <c r="AQ237" s="51" t="b">
        <f t="shared" si="154"/>
        <v>0</v>
      </c>
      <c r="AR237" s="51" t="b">
        <f t="shared" si="155"/>
        <v>0</v>
      </c>
      <c r="AS237" s="51" t="str">
        <f t="shared" si="156"/>
        <v/>
      </c>
      <c r="AT237" s="51" t="str">
        <f t="shared" si="157"/>
        <v/>
      </c>
      <c r="AU237" s="51" t="str">
        <f t="shared" si="158"/>
        <v/>
      </c>
      <c r="AV237" s="51" t="str">
        <f t="shared" si="159"/>
        <v/>
      </c>
      <c r="AW237" s="51" t="str">
        <f t="shared" si="160"/>
        <v/>
      </c>
      <c r="AX237" s="51" t="str">
        <f t="shared" si="161"/>
        <v/>
      </c>
      <c r="AY237" s="51" t="str">
        <f t="shared" si="162"/>
        <v/>
      </c>
      <c r="AZ237" s="51" t="str">
        <f t="shared" si="163"/>
        <v/>
      </c>
      <c r="BA237" s="51" t="str">
        <f t="shared" si="164"/>
        <v/>
      </c>
      <c r="BB237" s="51" t="str">
        <f t="shared" si="165"/>
        <v/>
      </c>
      <c r="BC237" s="51" t="str">
        <f t="shared" si="166"/>
        <v/>
      </c>
      <c r="BD237" s="51" t="str">
        <f t="shared" si="167"/>
        <v/>
      </c>
      <c r="BE237" s="51" t="str">
        <f t="shared" si="168"/>
        <v/>
      </c>
      <c r="BF237" s="51" t="str">
        <f t="shared" si="169"/>
        <v/>
      </c>
      <c r="BG237" s="51" t="str">
        <f t="shared" si="170"/>
        <v/>
      </c>
      <c r="BH237" s="51" t="b">
        <f t="shared" si="171"/>
        <v>0</v>
      </c>
      <c r="BI237" s="51" t="str">
        <f t="shared" si="172"/>
        <v/>
      </c>
      <c r="BJ237" s="51" t="str">
        <f t="shared" si="173"/>
        <v/>
      </c>
      <c r="BK237" s="51" t="b">
        <f t="shared" si="174"/>
        <v>0</v>
      </c>
      <c r="BL237" s="192"/>
    </row>
    <row r="238" spans="1:64" ht="13.5" thickBot="1" x14ac:dyDescent="0.25">
      <c r="A238" s="185" t="s">
        <v>929</v>
      </c>
      <c r="B238" s="194" t="s">
        <v>695</v>
      </c>
      <c r="C238" s="194" t="s">
        <v>695</v>
      </c>
      <c r="D238" s="194" t="s">
        <v>695</v>
      </c>
      <c r="E238" s="193" t="s">
        <v>694</v>
      </c>
      <c r="F238" s="160" t="s">
        <v>20</v>
      </c>
      <c r="G238" s="161"/>
      <c r="H238" s="186" t="str">
        <f t="shared" si="132"/>
        <v>N/A</v>
      </c>
      <c r="I238" s="186" t="b">
        <f t="shared" si="133"/>
        <v>1</v>
      </c>
      <c r="J238" s="186" t="str">
        <f t="shared" si="134"/>
        <v>N/A</v>
      </c>
      <c r="K238" s="186" t="b">
        <f t="shared" si="135"/>
        <v>1</v>
      </c>
      <c r="L238" s="186" t="str">
        <f t="shared" si="136"/>
        <v>N/A</v>
      </c>
      <c r="M238" s="186" t="b">
        <f t="shared" si="137"/>
        <v>1</v>
      </c>
      <c r="N238" s="186" t="str">
        <f t="shared" si="138"/>
        <v>Used?</v>
      </c>
      <c r="O238" s="186" t="b">
        <f t="shared" si="139"/>
        <v>0</v>
      </c>
      <c r="P238" s="26" t="s">
        <v>696</v>
      </c>
      <c r="Q238" s="160" t="s">
        <v>20</v>
      </c>
      <c r="R238" s="160" t="s">
        <v>20</v>
      </c>
      <c r="S238" s="26" t="s">
        <v>697</v>
      </c>
      <c r="T238" s="165" t="str">
        <f t="shared" si="140"/>
        <v>Not Used</v>
      </c>
      <c r="U238" s="162"/>
      <c r="V238" s="55"/>
      <c r="W238" s="51" t="b">
        <f t="shared" si="141"/>
        <v>1</v>
      </c>
      <c r="X238" s="51" t="str">
        <f t="shared" si="142"/>
        <v>Not Used</v>
      </c>
      <c r="Y238" s="51" t="str">
        <f t="shared" si="143"/>
        <v>Not Used</v>
      </c>
      <c r="Z238" s="51" t="str">
        <f t="shared" si="144"/>
        <v>Not Used</v>
      </c>
      <c r="AA238" s="51" t="str">
        <f t="shared" si="144"/>
        <v>Not Used</v>
      </c>
      <c r="AB238" s="51" t="str">
        <f t="shared" si="145"/>
        <v>Not Used</v>
      </c>
      <c r="AC238" s="51" t="b">
        <f t="shared" si="146"/>
        <v>1</v>
      </c>
      <c r="AD238" s="51">
        <f>COUNTIF($X$5:$X$238, "Not Used")</f>
        <v>234</v>
      </c>
      <c r="AE238" s="51">
        <f>COUNTIF($X$5:$X$238, "TRUE")</f>
        <v>0</v>
      </c>
      <c r="AF238" s="51" t="b">
        <f t="shared" si="147"/>
        <v>1</v>
      </c>
      <c r="AI238" s="51" t="b">
        <f t="shared" si="148"/>
        <v>0</v>
      </c>
      <c r="AJ238" s="51" t="b">
        <f t="shared" si="149"/>
        <v>0</v>
      </c>
      <c r="AK238" s="51" t="b">
        <f t="shared" si="150"/>
        <v>0</v>
      </c>
      <c r="AL238" s="51" t="b">
        <f t="shared" si="151"/>
        <v>0</v>
      </c>
      <c r="AM238" s="51" t="b">
        <f t="shared" si="152"/>
        <v>0</v>
      </c>
      <c r="AN238" s="51"/>
      <c r="AO238" s="51" t="b">
        <f t="shared" si="153"/>
        <v>0</v>
      </c>
      <c r="AP238" s="51" t="str">
        <f t="shared" si="175"/>
        <v>Not in MMS</v>
      </c>
      <c r="AQ238" s="51" t="b">
        <f t="shared" si="154"/>
        <v>0</v>
      </c>
      <c r="AR238" s="51" t="b">
        <f t="shared" si="155"/>
        <v>0</v>
      </c>
      <c r="AS238" s="51" t="str">
        <f t="shared" si="156"/>
        <v/>
      </c>
      <c r="AT238" s="51" t="str">
        <f t="shared" si="157"/>
        <v/>
      </c>
      <c r="AU238" s="51" t="str">
        <f t="shared" si="158"/>
        <v/>
      </c>
      <c r="AV238" s="51" t="str">
        <f t="shared" si="159"/>
        <v/>
      </c>
      <c r="AW238" s="51" t="str">
        <f t="shared" si="160"/>
        <v/>
      </c>
      <c r="AX238" s="51" t="str">
        <f t="shared" si="161"/>
        <v/>
      </c>
      <c r="AY238" s="51" t="str">
        <f t="shared" si="162"/>
        <v/>
      </c>
      <c r="AZ238" s="51" t="str">
        <f t="shared" si="163"/>
        <v/>
      </c>
      <c r="BA238" s="51" t="str">
        <f t="shared" si="164"/>
        <v/>
      </c>
      <c r="BB238" s="51" t="str">
        <f t="shared" si="165"/>
        <v/>
      </c>
      <c r="BC238" s="51" t="str">
        <f t="shared" si="166"/>
        <v/>
      </c>
      <c r="BD238" s="51" t="str">
        <f t="shared" si="167"/>
        <v/>
      </c>
      <c r="BE238" s="51" t="str">
        <f t="shared" si="168"/>
        <v/>
      </c>
      <c r="BF238" s="51" t="str">
        <f t="shared" si="169"/>
        <v/>
      </c>
      <c r="BG238" s="51" t="str">
        <f t="shared" si="170"/>
        <v/>
      </c>
      <c r="BH238" s="51" t="b">
        <f t="shared" si="171"/>
        <v>0</v>
      </c>
      <c r="BI238" s="51" t="str">
        <f t="shared" si="172"/>
        <v/>
      </c>
      <c r="BJ238" s="51" t="str">
        <f t="shared" si="173"/>
        <v/>
      </c>
      <c r="BK238" s="51" t="b">
        <f t="shared" si="174"/>
        <v>0</v>
      </c>
      <c r="BL238" s="192"/>
    </row>
    <row r="239" spans="1:64" ht="13.5" thickBot="1" x14ac:dyDescent="0.25">
      <c r="A239" s="185" t="s">
        <v>930</v>
      </c>
      <c r="B239" s="194" t="s">
        <v>695</v>
      </c>
      <c r="C239" s="194" t="s">
        <v>695</v>
      </c>
      <c r="D239" s="194" t="s">
        <v>695</v>
      </c>
      <c r="E239" s="193" t="s">
        <v>694</v>
      </c>
      <c r="F239" s="160" t="s">
        <v>20</v>
      </c>
      <c r="G239" s="161"/>
      <c r="H239" s="186" t="str">
        <f t="shared" si="132"/>
        <v>N/A</v>
      </c>
      <c r="I239" s="186" t="b">
        <f t="shared" si="133"/>
        <v>1</v>
      </c>
      <c r="J239" s="186" t="str">
        <f t="shared" si="134"/>
        <v>N/A</v>
      </c>
      <c r="K239" s="186" t="b">
        <f t="shared" si="135"/>
        <v>1</v>
      </c>
      <c r="L239" s="186" t="str">
        <f t="shared" si="136"/>
        <v>N/A</v>
      </c>
      <c r="M239" s="186" t="b">
        <f t="shared" si="137"/>
        <v>1</v>
      </c>
      <c r="N239" s="186" t="str">
        <f t="shared" si="138"/>
        <v>Used?</v>
      </c>
      <c r="O239" s="186" t="b">
        <f t="shared" si="139"/>
        <v>0</v>
      </c>
      <c r="P239" s="26" t="s">
        <v>696</v>
      </c>
      <c r="Q239" s="160" t="s">
        <v>20</v>
      </c>
      <c r="R239" s="160" t="s">
        <v>20</v>
      </c>
      <c r="S239" s="26" t="s">
        <v>697</v>
      </c>
      <c r="T239" s="165" t="str">
        <f t="shared" si="140"/>
        <v>Not Used</v>
      </c>
      <c r="U239" s="162"/>
      <c r="V239" s="55"/>
      <c r="W239" s="51" t="b">
        <f t="shared" si="141"/>
        <v>1</v>
      </c>
      <c r="X239" s="51" t="str">
        <f t="shared" si="142"/>
        <v>Not Used</v>
      </c>
      <c r="Y239" s="51" t="str">
        <f t="shared" si="143"/>
        <v>Not Used</v>
      </c>
      <c r="Z239" s="51" t="str">
        <f t="shared" si="144"/>
        <v>Not Used</v>
      </c>
      <c r="AA239" s="51" t="str">
        <f t="shared" si="144"/>
        <v>Not Used</v>
      </c>
      <c r="AB239" s="51" t="str">
        <f t="shared" si="145"/>
        <v>Not Used</v>
      </c>
      <c r="AC239" s="51" t="b">
        <f t="shared" si="146"/>
        <v>1</v>
      </c>
      <c r="AD239" s="51">
        <f>COUNTIF($X$5:$X$239, "Not Used")</f>
        <v>235</v>
      </c>
      <c r="AE239" s="51">
        <f>COUNTIF($X$5:$X$239, "TRUE")</f>
        <v>0</v>
      </c>
      <c r="AF239" s="51" t="b">
        <f t="shared" si="147"/>
        <v>1</v>
      </c>
      <c r="AI239" s="51" t="b">
        <f t="shared" si="148"/>
        <v>0</v>
      </c>
      <c r="AJ239" s="51" t="b">
        <f t="shared" si="149"/>
        <v>0</v>
      </c>
      <c r="AK239" s="51" t="b">
        <f t="shared" si="150"/>
        <v>0</v>
      </c>
      <c r="AL239" s="51" t="b">
        <f t="shared" si="151"/>
        <v>0</v>
      </c>
      <c r="AM239" s="51" t="b">
        <f t="shared" si="152"/>
        <v>0</v>
      </c>
      <c r="AN239" s="51"/>
      <c r="AO239" s="51" t="b">
        <f t="shared" si="153"/>
        <v>0</v>
      </c>
      <c r="AP239" s="51" t="str">
        <f t="shared" si="175"/>
        <v>Not in MMS</v>
      </c>
      <c r="AQ239" s="51" t="b">
        <f t="shared" si="154"/>
        <v>0</v>
      </c>
      <c r="AR239" s="51" t="b">
        <f t="shared" si="155"/>
        <v>0</v>
      </c>
      <c r="AS239" s="51" t="str">
        <f t="shared" si="156"/>
        <v/>
      </c>
      <c r="AT239" s="51" t="str">
        <f t="shared" si="157"/>
        <v/>
      </c>
      <c r="AU239" s="51" t="str">
        <f t="shared" si="158"/>
        <v/>
      </c>
      <c r="AV239" s="51" t="str">
        <f t="shared" si="159"/>
        <v/>
      </c>
      <c r="AW239" s="51" t="str">
        <f t="shared" si="160"/>
        <v/>
      </c>
      <c r="AX239" s="51" t="str">
        <f t="shared" si="161"/>
        <v/>
      </c>
      <c r="AY239" s="51" t="str">
        <f t="shared" si="162"/>
        <v/>
      </c>
      <c r="AZ239" s="51" t="str">
        <f t="shared" si="163"/>
        <v/>
      </c>
      <c r="BA239" s="51" t="str">
        <f t="shared" si="164"/>
        <v/>
      </c>
      <c r="BB239" s="51" t="str">
        <f t="shared" si="165"/>
        <v/>
      </c>
      <c r="BC239" s="51" t="str">
        <f t="shared" si="166"/>
        <v/>
      </c>
      <c r="BD239" s="51" t="str">
        <f t="shared" si="167"/>
        <v/>
      </c>
      <c r="BE239" s="51" t="str">
        <f t="shared" si="168"/>
        <v/>
      </c>
      <c r="BF239" s="51" t="str">
        <f t="shared" si="169"/>
        <v/>
      </c>
      <c r="BG239" s="51" t="str">
        <f t="shared" si="170"/>
        <v/>
      </c>
      <c r="BH239" s="51" t="b">
        <f t="shared" si="171"/>
        <v>0</v>
      </c>
      <c r="BI239" s="51" t="str">
        <f t="shared" si="172"/>
        <v/>
      </c>
      <c r="BJ239" s="51" t="str">
        <f t="shared" si="173"/>
        <v/>
      </c>
      <c r="BK239" s="51" t="b">
        <f t="shared" si="174"/>
        <v>0</v>
      </c>
      <c r="BL239" s="192"/>
    </row>
    <row r="240" spans="1:64" ht="13.5" thickBot="1" x14ac:dyDescent="0.25">
      <c r="A240" s="185" t="s">
        <v>931</v>
      </c>
      <c r="B240" s="194" t="s">
        <v>695</v>
      </c>
      <c r="C240" s="194" t="s">
        <v>695</v>
      </c>
      <c r="D240" s="194" t="s">
        <v>695</v>
      </c>
      <c r="E240" s="193" t="s">
        <v>694</v>
      </c>
      <c r="F240" s="160" t="s">
        <v>20</v>
      </c>
      <c r="G240" s="161"/>
      <c r="H240" s="186" t="str">
        <f t="shared" si="132"/>
        <v>N/A</v>
      </c>
      <c r="I240" s="186" t="b">
        <f t="shared" si="133"/>
        <v>1</v>
      </c>
      <c r="J240" s="186" t="str">
        <f t="shared" si="134"/>
        <v>N/A</v>
      </c>
      <c r="K240" s="186" t="b">
        <f t="shared" si="135"/>
        <v>1</v>
      </c>
      <c r="L240" s="186" t="str">
        <f t="shared" si="136"/>
        <v>N/A</v>
      </c>
      <c r="M240" s="186" t="b">
        <f t="shared" si="137"/>
        <v>1</v>
      </c>
      <c r="N240" s="186" t="str">
        <f t="shared" si="138"/>
        <v>Used?</v>
      </c>
      <c r="O240" s="186" t="b">
        <f t="shared" si="139"/>
        <v>0</v>
      </c>
      <c r="P240" s="26" t="s">
        <v>696</v>
      </c>
      <c r="Q240" s="160" t="s">
        <v>20</v>
      </c>
      <c r="R240" s="160" t="s">
        <v>20</v>
      </c>
      <c r="S240" s="26" t="s">
        <v>697</v>
      </c>
      <c r="T240" s="165" t="str">
        <f t="shared" si="140"/>
        <v>Not Used</v>
      </c>
      <c r="U240" s="162"/>
      <c r="V240" s="55"/>
      <c r="W240" s="51" t="b">
        <f t="shared" si="141"/>
        <v>1</v>
      </c>
      <c r="X240" s="51" t="str">
        <f t="shared" si="142"/>
        <v>Not Used</v>
      </c>
      <c r="Y240" s="51" t="str">
        <f t="shared" si="143"/>
        <v>Not Used</v>
      </c>
      <c r="Z240" s="51" t="str">
        <f t="shared" si="144"/>
        <v>Not Used</v>
      </c>
      <c r="AA240" s="51" t="str">
        <f t="shared" si="144"/>
        <v>Not Used</v>
      </c>
      <c r="AB240" s="51" t="str">
        <f t="shared" si="145"/>
        <v>Not Used</v>
      </c>
      <c r="AC240" s="51" t="b">
        <f t="shared" si="146"/>
        <v>1</v>
      </c>
      <c r="AD240" s="51">
        <f>COUNTIF($X$5:$X$240, "Not Used")</f>
        <v>236</v>
      </c>
      <c r="AE240" s="51">
        <f>COUNTIF($X$5:$X$240, "TRUE")</f>
        <v>0</v>
      </c>
      <c r="AF240" s="51" t="b">
        <f t="shared" si="147"/>
        <v>1</v>
      </c>
      <c r="AI240" s="51" t="b">
        <f t="shared" si="148"/>
        <v>0</v>
      </c>
      <c r="AJ240" s="51" t="b">
        <f t="shared" si="149"/>
        <v>0</v>
      </c>
      <c r="AK240" s="51" t="b">
        <f t="shared" si="150"/>
        <v>0</v>
      </c>
      <c r="AL240" s="51" t="b">
        <f t="shared" si="151"/>
        <v>0</v>
      </c>
      <c r="AM240" s="51" t="b">
        <f t="shared" si="152"/>
        <v>0</v>
      </c>
      <c r="AN240" s="51"/>
      <c r="AO240" s="51" t="b">
        <f t="shared" si="153"/>
        <v>0</v>
      </c>
      <c r="AP240" s="51" t="str">
        <f t="shared" si="175"/>
        <v>Not in MMS</v>
      </c>
      <c r="AQ240" s="51" t="b">
        <f t="shared" si="154"/>
        <v>0</v>
      </c>
      <c r="AR240" s="51" t="b">
        <f t="shared" si="155"/>
        <v>0</v>
      </c>
      <c r="AS240" s="51" t="str">
        <f t="shared" si="156"/>
        <v/>
      </c>
      <c r="AT240" s="51" t="str">
        <f t="shared" si="157"/>
        <v/>
      </c>
      <c r="AU240" s="51" t="str">
        <f t="shared" si="158"/>
        <v/>
      </c>
      <c r="AV240" s="51" t="str">
        <f t="shared" si="159"/>
        <v/>
      </c>
      <c r="AW240" s="51" t="str">
        <f t="shared" si="160"/>
        <v/>
      </c>
      <c r="AX240" s="51" t="str">
        <f t="shared" si="161"/>
        <v/>
      </c>
      <c r="AY240" s="51" t="str">
        <f t="shared" si="162"/>
        <v/>
      </c>
      <c r="AZ240" s="51" t="str">
        <f t="shared" si="163"/>
        <v/>
      </c>
      <c r="BA240" s="51" t="str">
        <f t="shared" si="164"/>
        <v/>
      </c>
      <c r="BB240" s="51" t="str">
        <f t="shared" si="165"/>
        <v/>
      </c>
      <c r="BC240" s="51" t="str">
        <f t="shared" si="166"/>
        <v/>
      </c>
      <c r="BD240" s="51" t="str">
        <f t="shared" si="167"/>
        <v/>
      </c>
      <c r="BE240" s="51" t="str">
        <f t="shared" si="168"/>
        <v/>
      </c>
      <c r="BF240" s="51" t="str">
        <f t="shared" si="169"/>
        <v/>
      </c>
      <c r="BG240" s="51" t="str">
        <f t="shared" si="170"/>
        <v/>
      </c>
      <c r="BH240" s="51" t="b">
        <f t="shared" si="171"/>
        <v>0</v>
      </c>
      <c r="BI240" s="51" t="str">
        <f t="shared" si="172"/>
        <v/>
      </c>
      <c r="BJ240" s="51" t="str">
        <f t="shared" si="173"/>
        <v/>
      </c>
      <c r="BK240" s="51" t="b">
        <f t="shared" si="174"/>
        <v>0</v>
      </c>
      <c r="BL240" s="192"/>
    </row>
    <row r="241" spans="1:64" ht="13.5" thickBot="1" x14ac:dyDescent="0.25">
      <c r="A241" s="185" t="s">
        <v>932</v>
      </c>
      <c r="B241" s="194" t="s">
        <v>695</v>
      </c>
      <c r="C241" s="194" t="s">
        <v>695</v>
      </c>
      <c r="D241" s="194" t="s">
        <v>695</v>
      </c>
      <c r="E241" s="193" t="s">
        <v>694</v>
      </c>
      <c r="F241" s="160" t="s">
        <v>20</v>
      </c>
      <c r="G241" s="161"/>
      <c r="H241" s="186" t="str">
        <f t="shared" si="132"/>
        <v>N/A</v>
      </c>
      <c r="I241" s="186" t="b">
        <f t="shared" si="133"/>
        <v>1</v>
      </c>
      <c r="J241" s="186" t="str">
        <f t="shared" si="134"/>
        <v>N/A</v>
      </c>
      <c r="K241" s="186" t="b">
        <f t="shared" si="135"/>
        <v>1</v>
      </c>
      <c r="L241" s="186" t="str">
        <f t="shared" si="136"/>
        <v>N/A</v>
      </c>
      <c r="M241" s="186" t="b">
        <f t="shared" si="137"/>
        <v>1</v>
      </c>
      <c r="N241" s="186" t="str">
        <f t="shared" si="138"/>
        <v>Used?</v>
      </c>
      <c r="O241" s="186" t="b">
        <f t="shared" si="139"/>
        <v>0</v>
      </c>
      <c r="P241" s="26" t="s">
        <v>696</v>
      </c>
      <c r="Q241" s="160" t="s">
        <v>20</v>
      </c>
      <c r="R241" s="160" t="s">
        <v>20</v>
      </c>
      <c r="S241" s="26" t="s">
        <v>697</v>
      </c>
      <c r="T241" s="165" t="str">
        <f t="shared" si="140"/>
        <v>Not Used</v>
      </c>
      <c r="U241" s="162"/>
      <c r="V241" s="55"/>
      <c r="W241" s="51" t="b">
        <f t="shared" si="141"/>
        <v>1</v>
      </c>
      <c r="X241" s="51" t="str">
        <f t="shared" si="142"/>
        <v>Not Used</v>
      </c>
      <c r="Y241" s="51" t="str">
        <f t="shared" si="143"/>
        <v>Not Used</v>
      </c>
      <c r="Z241" s="51" t="str">
        <f t="shared" si="144"/>
        <v>Not Used</v>
      </c>
      <c r="AA241" s="51" t="str">
        <f t="shared" si="144"/>
        <v>Not Used</v>
      </c>
      <c r="AB241" s="51" t="str">
        <f t="shared" si="145"/>
        <v>Not Used</v>
      </c>
      <c r="AC241" s="51" t="b">
        <f t="shared" si="146"/>
        <v>1</v>
      </c>
      <c r="AD241" s="51">
        <f>COUNTIF($X$5:$X$241, "Not Used")</f>
        <v>237</v>
      </c>
      <c r="AE241" s="51">
        <f>COUNTIF($X$5:$X$241, "TRUE")</f>
        <v>0</v>
      </c>
      <c r="AF241" s="51" t="b">
        <f t="shared" si="147"/>
        <v>1</v>
      </c>
      <c r="AI241" s="51" t="b">
        <f t="shared" si="148"/>
        <v>0</v>
      </c>
      <c r="AJ241" s="51" t="b">
        <f t="shared" si="149"/>
        <v>0</v>
      </c>
      <c r="AK241" s="51" t="b">
        <f t="shared" si="150"/>
        <v>0</v>
      </c>
      <c r="AL241" s="51" t="b">
        <f t="shared" si="151"/>
        <v>0</v>
      </c>
      <c r="AM241" s="51" t="b">
        <f t="shared" si="152"/>
        <v>0</v>
      </c>
      <c r="AN241" s="51"/>
      <c r="AO241" s="51" t="b">
        <f t="shared" si="153"/>
        <v>0</v>
      </c>
      <c r="AP241" s="51" t="str">
        <f t="shared" si="175"/>
        <v>Not in MMS</v>
      </c>
      <c r="AQ241" s="51" t="b">
        <f t="shared" si="154"/>
        <v>0</v>
      </c>
      <c r="AR241" s="51" t="b">
        <f t="shared" si="155"/>
        <v>0</v>
      </c>
      <c r="AS241" s="51" t="str">
        <f t="shared" si="156"/>
        <v/>
      </c>
      <c r="AT241" s="51" t="str">
        <f t="shared" si="157"/>
        <v/>
      </c>
      <c r="AU241" s="51" t="str">
        <f t="shared" si="158"/>
        <v/>
      </c>
      <c r="AV241" s="51" t="str">
        <f t="shared" si="159"/>
        <v/>
      </c>
      <c r="AW241" s="51" t="str">
        <f t="shared" si="160"/>
        <v/>
      </c>
      <c r="AX241" s="51" t="str">
        <f t="shared" si="161"/>
        <v/>
      </c>
      <c r="AY241" s="51" t="str">
        <f t="shared" si="162"/>
        <v/>
      </c>
      <c r="AZ241" s="51" t="str">
        <f t="shared" si="163"/>
        <v/>
      </c>
      <c r="BA241" s="51" t="str">
        <f t="shared" si="164"/>
        <v/>
      </c>
      <c r="BB241" s="51" t="str">
        <f t="shared" si="165"/>
        <v/>
      </c>
      <c r="BC241" s="51" t="str">
        <f t="shared" si="166"/>
        <v/>
      </c>
      <c r="BD241" s="51" t="str">
        <f t="shared" si="167"/>
        <v/>
      </c>
      <c r="BE241" s="51" t="str">
        <f t="shared" si="168"/>
        <v/>
      </c>
      <c r="BF241" s="51" t="str">
        <f t="shared" si="169"/>
        <v/>
      </c>
      <c r="BG241" s="51" t="str">
        <f t="shared" si="170"/>
        <v/>
      </c>
      <c r="BH241" s="51" t="b">
        <f t="shared" si="171"/>
        <v>0</v>
      </c>
      <c r="BI241" s="51" t="str">
        <f t="shared" si="172"/>
        <v/>
      </c>
      <c r="BJ241" s="51" t="str">
        <f t="shared" si="173"/>
        <v/>
      </c>
      <c r="BK241" s="51" t="b">
        <f t="shared" si="174"/>
        <v>0</v>
      </c>
      <c r="BL241" s="192"/>
    </row>
    <row r="242" spans="1:64" ht="13.5" thickBot="1" x14ac:dyDescent="0.25">
      <c r="A242" s="185" t="s">
        <v>933</v>
      </c>
      <c r="B242" s="194" t="s">
        <v>695</v>
      </c>
      <c r="C242" s="194" t="s">
        <v>695</v>
      </c>
      <c r="D242" s="194" t="s">
        <v>695</v>
      </c>
      <c r="E242" s="193" t="s">
        <v>694</v>
      </c>
      <c r="F242" s="160" t="s">
        <v>20</v>
      </c>
      <c r="G242" s="161"/>
      <c r="H242" s="186" t="str">
        <f t="shared" si="132"/>
        <v>N/A</v>
      </c>
      <c r="I242" s="186" t="b">
        <f t="shared" si="133"/>
        <v>1</v>
      </c>
      <c r="J242" s="186" t="str">
        <f t="shared" si="134"/>
        <v>N/A</v>
      </c>
      <c r="K242" s="186" t="b">
        <f t="shared" si="135"/>
        <v>1</v>
      </c>
      <c r="L242" s="186" t="str">
        <f t="shared" si="136"/>
        <v>N/A</v>
      </c>
      <c r="M242" s="186" t="b">
        <f t="shared" si="137"/>
        <v>1</v>
      </c>
      <c r="N242" s="186" t="str">
        <f t="shared" si="138"/>
        <v>Used?</v>
      </c>
      <c r="O242" s="186" t="b">
        <f t="shared" si="139"/>
        <v>0</v>
      </c>
      <c r="P242" s="26" t="s">
        <v>696</v>
      </c>
      <c r="Q242" s="160" t="s">
        <v>20</v>
      </c>
      <c r="R242" s="160" t="s">
        <v>20</v>
      </c>
      <c r="S242" s="26" t="s">
        <v>697</v>
      </c>
      <c r="T242" s="165" t="str">
        <f t="shared" si="140"/>
        <v>Not Used</v>
      </c>
      <c r="U242" s="162"/>
      <c r="V242" s="55"/>
      <c r="W242" s="51" t="b">
        <f t="shared" si="141"/>
        <v>1</v>
      </c>
      <c r="X242" s="51" t="str">
        <f t="shared" si="142"/>
        <v>Not Used</v>
      </c>
      <c r="Y242" s="51" t="str">
        <f t="shared" si="143"/>
        <v>Not Used</v>
      </c>
      <c r="Z242" s="51" t="str">
        <f t="shared" si="144"/>
        <v>Not Used</v>
      </c>
      <c r="AA242" s="51" t="str">
        <f t="shared" si="144"/>
        <v>Not Used</v>
      </c>
      <c r="AB242" s="51" t="str">
        <f t="shared" si="145"/>
        <v>Not Used</v>
      </c>
      <c r="AC242" s="51" t="b">
        <f t="shared" si="146"/>
        <v>1</v>
      </c>
      <c r="AD242" s="51">
        <f>COUNTIF($X$5:$X$242, "Not Used")</f>
        <v>238</v>
      </c>
      <c r="AE242" s="51">
        <f>COUNTIF($X$5:$X$242, "TRUE")</f>
        <v>0</v>
      </c>
      <c r="AF242" s="51" t="b">
        <f t="shared" si="147"/>
        <v>1</v>
      </c>
      <c r="AI242" s="51" t="b">
        <f t="shared" si="148"/>
        <v>0</v>
      </c>
      <c r="AJ242" s="51" t="b">
        <f t="shared" si="149"/>
        <v>0</v>
      </c>
      <c r="AK242" s="51" t="b">
        <f t="shared" si="150"/>
        <v>0</v>
      </c>
      <c r="AL242" s="51" t="b">
        <f t="shared" si="151"/>
        <v>0</v>
      </c>
      <c r="AM242" s="51" t="b">
        <f t="shared" si="152"/>
        <v>0</v>
      </c>
      <c r="AN242" s="51"/>
      <c r="AO242" s="51" t="b">
        <f t="shared" si="153"/>
        <v>0</v>
      </c>
      <c r="AP242" s="51" t="str">
        <f t="shared" si="175"/>
        <v>Not in MMS</v>
      </c>
      <c r="AQ242" s="51" t="b">
        <f t="shared" si="154"/>
        <v>0</v>
      </c>
      <c r="AR242" s="51" t="b">
        <f t="shared" si="155"/>
        <v>0</v>
      </c>
      <c r="AS242" s="51" t="str">
        <f t="shared" si="156"/>
        <v/>
      </c>
      <c r="AT242" s="51" t="str">
        <f t="shared" si="157"/>
        <v/>
      </c>
      <c r="AU242" s="51" t="str">
        <f t="shared" si="158"/>
        <v/>
      </c>
      <c r="AV242" s="51" t="str">
        <f t="shared" si="159"/>
        <v/>
      </c>
      <c r="AW242" s="51" t="str">
        <f t="shared" si="160"/>
        <v/>
      </c>
      <c r="AX242" s="51" t="str">
        <f t="shared" si="161"/>
        <v/>
      </c>
      <c r="AY242" s="51" t="str">
        <f t="shared" si="162"/>
        <v/>
      </c>
      <c r="AZ242" s="51" t="str">
        <f t="shared" si="163"/>
        <v/>
      </c>
      <c r="BA242" s="51" t="str">
        <f t="shared" si="164"/>
        <v/>
      </c>
      <c r="BB242" s="51" t="str">
        <f t="shared" si="165"/>
        <v/>
      </c>
      <c r="BC242" s="51" t="str">
        <f t="shared" si="166"/>
        <v/>
      </c>
      <c r="BD242" s="51" t="str">
        <f t="shared" si="167"/>
        <v/>
      </c>
      <c r="BE242" s="51" t="str">
        <f t="shared" si="168"/>
        <v/>
      </c>
      <c r="BF242" s="51" t="str">
        <f t="shared" si="169"/>
        <v/>
      </c>
      <c r="BG242" s="51" t="str">
        <f t="shared" si="170"/>
        <v/>
      </c>
      <c r="BH242" s="51" t="b">
        <f t="shared" si="171"/>
        <v>0</v>
      </c>
      <c r="BI242" s="51" t="str">
        <f t="shared" si="172"/>
        <v/>
      </c>
      <c r="BJ242" s="51" t="str">
        <f t="shared" si="173"/>
        <v/>
      </c>
      <c r="BK242" s="51" t="b">
        <f t="shared" si="174"/>
        <v>0</v>
      </c>
      <c r="BL242" s="192"/>
    </row>
    <row r="243" spans="1:64" ht="13.5" thickBot="1" x14ac:dyDescent="0.25">
      <c r="A243" s="185" t="s">
        <v>934</v>
      </c>
      <c r="B243" s="194" t="s">
        <v>695</v>
      </c>
      <c r="C243" s="194" t="s">
        <v>695</v>
      </c>
      <c r="D243" s="194" t="s">
        <v>695</v>
      </c>
      <c r="E243" s="193" t="s">
        <v>694</v>
      </c>
      <c r="F243" s="160" t="s">
        <v>20</v>
      </c>
      <c r="G243" s="161"/>
      <c r="H243" s="186" t="str">
        <f t="shared" si="132"/>
        <v>N/A</v>
      </c>
      <c r="I243" s="186" t="b">
        <f t="shared" si="133"/>
        <v>1</v>
      </c>
      <c r="J243" s="186" t="str">
        <f t="shared" si="134"/>
        <v>N/A</v>
      </c>
      <c r="K243" s="186" t="b">
        <f t="shared" si="135"/>
        <v>1</v>
      </c>
      <c r="L243" s="186" t="str">
        <f t="shared" si="136"/>
        <v>N/A</v>
      </c>
      <c r="M243" s="186" t="b">
        <f t="shared" si="137"/>
        <v>1</v>
      </c>
      <c r="N243" s="186" t="str">
        <f t="shared" si="138"/>
        <v>Used?</v>
      </c>
      <c r="O243" s="186" t="b">
        <f t="shared" si="139"/>
        <v>0</v>
      </c>
      <c r="P243" s="26" t="s">
        <v>696</v>
      </c>
      <c r="Q243" s="160" t="s">
        <v>20</v>
      </c>
      <c r="R243" s="160" t="s">
        <v>20</v>
      </c>
      <c r="S243" s="26" t="s">
        <v>697</v>
      </c>
      <c r="T243" s="165" t="str">
        <f t="shared" si="140"/>
        <v>Not Used</v>
      </c>
      <c r="U243" s="162"/>
      <c r="V243" s="55"/>
      <c r="W243" s="51" t="b">
        <f t="shared" si="141"/>
        <v>1</v>
      </c>
      <c r="X243" s="51" t="str">
        <f t="shared" si="142"/>
        <v>Not Used</v>
      </c>
      <c r="Y243" s="51" t="str">
        <f t="shared" si="143"/>
        <v>Not Used</v>
      </c>
      <c r="Z243" s="51" t="str">
        <f t="shared" si="144"/>
        <v>Not Used</v>
      </c>
      <c r="AA243" s="51" t="str">
        <f t="shared" si="144"/>
        <v>Not Used</v>
      </c>
      <c r="AB243" s="51" t="str">
        <f t="shared" si="145"/>
        <v>Not Used</v>
      </c>
      <c r="AC243" s="51" t="b">
        <f t="shared" si="146"/>
        <v>1</v>
      </c>
      <c r="AD243" s="51">
        <f>COUNTIF($X$5:$X$243, "Not Used")</f>
        <v>239</v>
      </c>
      <c r="AE243" s="51">
        <f>COUNTIF($X$5:$X$243, "TRUE")</f>
        <v>0</v>
      </c>
      <c r="AF243" s="51" t="b">
        <f t="shared" si="147"/>
        <v>1</v>
      </c>
      <c r="AI243" s="51" t="b">
        <f t="shared" si="148"/>
        <v>0</v>
      </c>
      <c r="AJ243" s="51" t="b">
        <f t="shared" si="149"/>
        <v>0</v>
      </c>
      <c r="AK243" s="51" t="b">
        <f t="shared" si="150"/>
        <v>0</v>
      </c>
      <c r="AL243" s="51" t="b">
        <f t="shared" si="151"/>
        <v>0</v>
      </c>
      <c r="AM243" s="51" t="b">
        <f t="shared" si="152"/>
        <v>0</v>
      </c>
      <c r="AN243" s="51"/>
      <c r="AO243" s="51" t="b">
        <f t="shared" si="153"/>
        <v>0</v>
      </c>
      <c r="AP243" s="51" t="str">
        <f t="shared" si="175"/>
        <v>Not in MMS</v>
      </c>
      <c r="AQ243" s="51" t="b">
        <f t="shared" si="154"/>
        <v>0</v>
      </c>
      <c r="AR243" s="51" t="b">
        <f t="shared" si="155"/>
        <v>0</v>
      </c>
      <c r="AS243" s="51" t="str">
        <f t="shared" si="156"/>
        <v/>
      </c>
      <c r="AT243" s="51" t="str">
        <f t="shared" si="157"/>
        <v/>
      </c>
      <c r="AU243" s="51" t="str">
        <f t="shared" si="158"/>
        <v/>
      </c>
      <c r="AV243" s="51" t="str">
        <f t="shared" si="159"/>
        <v/>
      </c>
      <c r="AW243" s="51" t="str">
        <f t="shared" si="160"/>
        <v/>
      </c>
      <c r="AX243" s="51" t="str">
        <f t="shared" si="161"/>
        <v/>
      </c>
      <c r="AY243" s="51" t="str">
        <f t="shared" si="162"/>
        <v/>
      </c>
      <c r="AZ243" s="51" t="str">
        <f t="shared" si="163"/>
        <v/>
      </c>
      <c r="BA243" s="51" t="str">
        <f t="shared" si="164"/>
        <v/>
      </c>
      <c r="BB243" s="51" t="str">
        <f t="shared" si="165"/>
        <v/>
      </c>
      <c r="BC243" s="51" t="str">
        <f t="shared" si="166"/>
        <v/>
      </c>
      <c r="BD243" s="51" t="str">
        <f t="shared" si="167"/>
        <v/>
      </c>
      <c r="BE243" s="51" t="str">
        <f t="shared" si="168"/>
        <v/>
      </c>
      <c r="BF243" s="51" t="str">
        <f t="shared" si="169"/>
        <v/>
      </c>
      <c r="BG243" s="51" t="str">
        <f t="shared" si="170"/>
        <v/>
      </c>
      <c r="BH243" s="51" t="b">
        <f t="shared" si="171"/>
        <v>0</v>
      </c>
      <c r="BI243" s="51" t="str">
        <f t="shared" si="172"/>
        <v/>
      </c>
      <c r="BJ243" s="51" t="str">
        <f t="shared" si="173"/>
        <v/>
      </c>
      <c r="BK243" s="51" t="b">
        <f t="shared" si="174"/>
        <v>0</v>
      </c>
      <c r="BL243" s="192"/>
    </row>
    <row r="244" spans="1:64" ht="13.5" thickBot="1" x14ac:dyDescent="0.25">
      <c r="A244" s="185" t="s">
        <v>935</v>
      </c>
      <c r="B244" s="194" t="s">
        <v>695</v>
      </c>
      <c r="C244" s="194" t="s">
        <v>695</v>
      </c>
      <c r="D244" s="194" t="s">
        <v>695</v>
      </c>
      <c r="E244" s="193" t="s">
        <v>694</v>
      </c>
      <c r="F244" s="160" t="s">
        <v>20</v>
      </c>
      <c r="G244" s="161"/>
      <c r="H244" s="186" t="str">
        <f t="shared" si="132"/>
        <v>N/A</v>
      </c>
      <c r="I244" s="186" t="b">
        <f t="shared" si="133"/>
        <v>1</v>
      </c>
      <c r="J244" s="186" t="str">
        <f t="shared" si="134"/>
        <v>N/A</v>
      </c>
      <c r="K244" s="186" t="b">
        <f t="shared" si="135"/>
        <v>1</v>
      </c>
      <c r="L244" s="186" t="str">
        <f t="shared" si="136"/>
        <v>N/A</v>
      </c>
      <c r="M244" s="186" t="b">
        <f t="shared" si="137"/>
        <v>1</v>
      </c>
      <c r="N244" s="186" t="str">
        <f t="shared" si="138"/>
        <v>Used?</v>
      </c>
      <c r="O244" s="186" t="b">
        <f t="shared" si="139"/>
        <v>0</v>
      </c>
      <c r="P244" s="26" t="s">
        <v>696</v>
      </c>
      <c r="Q244" s="160" t="s">
        <v>20</v>
      </c>
      <c r="R244" s="160" t="s">
        <v>20</v>
      </c>
      <c r="S244" s="26" t="s">
        <v>697</v>
      </c>
      <c r="T244" s="165" t="str">
        <f t="shared" si="140"/>
        <v>Not Used</v>
      </c>
      <c r="U244" s="162"/>
      <c r="V244" s="55"/>
      <c r="W244" s="51" t="b">
        <f t="shared" si="141"/>
        <v>1</v>
      </c>
      <c r="X244" s="51" t="str">
        <f t="shared" si="142"/>
        <v>Not Used</v>
      </c>
      <c r="Y244" s="51" t="str">
        <f t="shared" si="143"/>
        <v>Not Used</v>
      </c>
      <c r="Z244" s="51" t="str">
        <f t="shared" si="144"/>
        <v>Not Used</v>
      </c>
      <c r="AA244" s="51" t="str">
        <f t="shared" si="144"/>
        <v>Not Used</v>
      </c>
      <c r="AB244" s="51" t="str">
        <f t="shared" si="145"/>
        <v>Not Used</v>
      </c>
      <c r="AC244" s="51" t="b">
        <f t="shared" si="146"/>
        <v>1</v>
      </c>
      <c r="AD244" s="51">
        <f>COUNTIF($X$5:$X$244, "Not Used")</f>
        <v>240</v>
      </c>
      <c r="AE244" s="51">
        <f>COUNTIF($X$5:$X$244, "TRUE")</f>
        <v>0</v>
      </c>
      <c r="AF244" s="51" t="b">
        <f t="shared" si="147"/>
        <v>1</v>
      </c>
      <c r="AI244" s="51" t="b">
        <f t="shared" si="148"/>
        <v>0</v>
      </c>
      <c r="AJ244" s="51" t="b">
        <f t="shared" si="149"/>
        <v>0</v>
      </c>
      <c r="AK244" s="51" t="b">
        <f t="shared" si="150"/>
        <v>0</v>
      </c>
      <c r="AL244" s="51" t="b">
        <f t="shared" si="151"/>
        <v>0</v>
      </c>
      <c r="AM244" s="51" t="b">
        <f t="shared" si="152"/>
        <v>0</v>
      </c>
      <c r="AN244" s="51"/>
      <c r="AO244" s="51" t="b">
        <f t="shared" si="153"/>
        <v>0</v>
      </c>
      <c r="AP244" s="51" t="str">
        <f t="shared" si="175"/>
        <v>Not in MMS</v>
      </c>
      <c r="AQ244" s="51" t="b">
        <f t="shared" si="154"/>
        <v>0</v>
      </c>
      <c r="AR244" s="51" t="b">
        <f t="shared" si="155"/>
        <v>0</v>
      </c>
      <c r="AS244" s="51" t="str">
        <f t="shared" si="156"/>
        <v/>
      </c>
      <c r="AT244" s="51" t="str">
        <f t="shared" si="157"/>
        <v/>
      </c>
      <c r="AU244" s="51" t="str">
        <f t="shared" si="158"/>
        <v/>
      </c>
      <c r="AV244" s="51" t="str">
        <f t="shared" si="159"/>
        <v/>
      </c>
      <c r="AW244" s="51" t="str">
        <f t="shared" si="160"/>
        <v/>
      </c>
      <c r="AX244" s="51" t="str">
        <f t="shared" si="161"/>
        <v/>
      </c>
      <c r="AY244" s="51" t="str">
        <f t="shared" si="162"/>
        <v/>
      </c>
      <c r="AZ244" s="51" t="str">
        <f t="shared" si="163"/>
        <v/>
      </c>
      <c r="BA244" s="51" t="str">
        <f t="shared" si="164"/>
        <v/>
      </c>
      <c r="BB244" s="51" t="str">
        <f t="shared" si="165"/>
        <v/>
      </c>
      <c r="BC244" s="51" t="str">
        <f t="shared" si="166"/>
        <v/>
      </c>
      <c r="BD244" s="51" t="str">
        <f t="shared" si="167"/>
        <v/>
      </c>
      <c r="BE244" s="51" t="str">
        <f t="shared" si="168"/>
        <v/>
      </c>
      <c r="BF244" s="51" t="str">
        <f t="shared" si="169"/>
        <v/>
      </c>
      <c r="BG244" s="51" t="str">
        <f t="shared" si="170"/>
        <v/>
      </c>
      <c r="BH244" s="51" t="b">
        <f t="shared" si="171"/>
        <v>0</v>
      </c>
      <c r="BI244" s="51" t="str">
        <f t="shared" si="172"/>
        <v/>
      </c>
      <c r="BJ244" s="51" t="str">
        <f t="shared" si="173"/>
        <v/>
      </c>
      <c r="BK244" s="51" t="b">
        <f t="shared" si="174"/>
        <v>0</v>
      </c>
      <c r="BL244" s="192"/>
    </row>
    <row r="245" spans="1:64" ht="13.5" thickBot="1" x14ac:dyDescent="0.25">
      <c r="A245" s="185" t="s">
        <v>936</v>
      </c>
      <c r="B245" s="194" t="s">
        <v>695</v>
      </c>
      <c r="C245" s="194" t="s">
        <v>695</v>
      </c>
      <c r="D245" s="194" t="s">
        <v>695</v>
      </c>
      <c r="E245" s="193" t="s">
        <v>694</v>
      </c>
      <c r="F245" s="160" t="s">
        <v>20</v>
      </c>
      <c r="G245" s="161"/>
      <c r="H245" s="186" t="str">
        <f t="shared" si="132"/>
        <v>N/A</v>
      </c>
      <c r="I245" s="186" t="b">
        <f t="shared" si="133"/>
        <v>1</v>
      </c>
      <c r="J245" s="186" t="str">
        <f t="shared" si="134"/>
        <v>N/A</v>
      </c>
      <c r="K245" s="186" t="b">
        <f t="shared" si="135"/>
        <v>1</v>
      </c>
      <c r="L245" s="186" t="str">
        <f t="shared" si="136"/>
        <v>N/A</v>
      </c>
      <c r="M245" s="186" t="b">
        <f t="shared" si="137"/>
        <v>1</v>
      </c>
      <c r="N245" s="186" t="str">
        <f t="shared" si="138"/>
        <v>Used?</v>
      </c>
      <c r="O245" s="186" t="b">
        <f t="shared" si="139"/>
        <v>0</v>
      </c>
      <c r="P245" s="26" t="s">
        <v>696</v>
      </c>
      <c r="Q245" s="160" t="s">
        <v>20</v>
      </c>
      <c r="R245" s="160" t="s">
        <v>20</v>
      </c>
      <c r="S245" s="26" t="s">
        <v>697</v>
      </c>
      <c r="T245" s="165" t="str">
        <f t="shared" si="140"/>
        <v>Not Used</v>
      </c>
      <c r="U245" s="162"/>
      <c r="V245" s="55"/>
      <c r="W245" s="51" t="b">
        <f t="shared" si="141"/>
        <v>1</v>
      </c>
      <c r="X245" s="51" t="str">
        <f t="shared" si="142"/>
        <v>Not Used</v>
      </c>
      <c r="Y245" s="51" t="str">
        <f t="shared" si="143"/>
        <v>Not Used</v>
      </c>
      <c r="Z245" s="51" t="str">
        <f t="shared" si="144"/>
        <v>Not Used</v>
      </c>
      <c r="AA245" s="51" t="str">
        <f t="shared" si="144"/>
        <v>Not Used</v>
      </c>
      <c r="AB245" s="51" t="str">
        <f t="shared" si="145"/>
        <v>Not Used</v>
      </c>
      <c r="AC245" s="51" t="b">
        <f t="shared" si="146"/>
        <v>1</v>
      </c>
      <c r="AD245" s="51">
        <f>COUNTIF($X$5:$X$245, "Not Used")</f>
        <v>241</v>
      </c>
      <c r="AE245" s="51">
        <f>COUNTIF($X$5:$X$245, "TRUE")</f>
        <v>0</v>
      </c>
      <c r="AF245" s="51" t="b">
        <f t="shared" si="147"/>
        <v>1</v>
      </c>
      <c r="AI245" s="51" t="b">
        <f t="shared" si="148"/>
        <v>0</v>
      </c>
      <c r="AJ245" s="51" t="b">
        <f t="shared" si="149"/>
        <v>0</v>
      </c>
      <c r="AK245" s="51" t="b">
        <f t="shared" si="150"/>
        <v>0</v>
      </c>
      <c r="AL245" s="51" t="b">
        <f t="shared" si="151"/>
        <v>0</v>
      </c>
      <c r="AM245" s="51" t="b">
        <f t="shared" si="152"/>
        <v>0</v>
      </c>
      <c r="AN245" s="51"/>
      <c r="AO245" s="51" t="b">
        <f t="shared" si="153"/>
        <v>0</v>
      </c>
      <c r="AP245" s="51" t="str">
        <f t="shared" si="175"/>
        <v>Not in MMS</v>
      </c>
      <c r="AQ245" s="51" t="b">
        <f t="shared" si="154"/>
        <v>0</v>
      </c>
      <c r="AR245" s="51" t="b">
        <f t="shared" si="155"/>
        <v>0</v>
      </c>
      <c r="AS245" s="51" t="str">
        <f t="shared" si="156"/>
        <v/>
      </c>
      <c r="AT245" s="51" t="str">
        <f t="shared" si="157"/>
        <v/>
      </c>
      <c r="AU245" s="51" t="str">
        <f t="shared" si="158"/>
        <v/>
      </c>
      <c r="AV245" s="51" t="str">
        <f t="shared" si="159"/>
        <v/>
      </c>
      <c r="AW245" s="51" t="str">
        <f t="shared" si="160"/>
        <v/>
      </c>
      <c r="AX245" s="51" t="str">
        <f t="shared" si="161"/>
        <v/>
      </c>
      <c r="AY245" s="51" t="str">
        <f t="shared" si="162"/>
        <v/>
      </c>
      <c r="AZ245" s="51" t="str">
        <f t="shared" si="163"/>
        <v/>
      </c>
      <c r="BA245" s="51" t="str">
        <f t="shared" si="164"/>
        <v/>
      </c>
      <c r="BB245" s="51" t="str">
        <f t="shared" si="165"/>
        <v/>
      </c>
      <c r="BC245" s="51" t="str">
        <f t="shared" si="166"/>
        <v/>
      </c>
      <c r="BD245" s="51" t="str">
        <f t="shared" si="167"/>
        <v/>
      </c>
      <c r="BE245" s="51" t="str">
        <f t="shared" si="168"/>
        <v/>
      </c>
      <c r="BF245" s="51" t="str">
        <f t="shared" si="169"/>
        <v/>
      </c>
      <c r="BG245" s="51" t="str">
        <f t="shared" si="170"/>
        <v/>
      </c>
      <c r="BH245" s="51" t="b">
        <f t="shared" si="171"/>
        <v>0</v>
      </c>
      <c r="BI245" s="51" t="str">
        <f t="shared" si="172"/>
        <v/>
      </c>
      <c r="BJ245" s="51" t="str">
        <f t="shared" si="173"/>
        <v/>
      </c>
      <c r="BK245" s="51" t="b">
        <f t="shared" si="174"/>
        <v>0</v>
      </c>
      <c r="BL245" s="192"/>
    </row>
    <row r="246" spans="1:64" ht="13.5" thickBot="1" x14ac:dyDescent="0.25">
      <c r="A246" s="185" t="s">
        <v>937</v>
      </c>
      <c r="B246" s="194" t="s">
        <v>695</v>
      </c>
      <c r="C246" s="194" t="s">
        <v>695</v>
      </c>
      <c r="D246" s="194" t="s">
        <v>695</v>
      </c>
      <c r="E246" s="193" t="s">
        <v>694</v>
      </c>
      <c r="F246" s="160" t="s">
        <v>20</v>
      </c>
      <c r="G246" s="161"/>
      <c r="H246" s="186" t="str">
        <f t="shared" si="132"/>
        <v>N/A</v>
      </c>
      <c r="I246" s="186" t="b">
        <f t="shared" si="133"/>
        <v>1</v>
      </c>
      <c r="J246" s="186" t="str">
        <f t="shared" si="134"/>
        <v>N/A</v>
      </c>
      <c r="K246" s="186" t="b">
        <f t="shared" si="135"/>
        <v>1</v>
      </c>
      <c r="L246" s="186" t="str">
        <f t="shared" si="136"/>
        <v>N/A</v>
      </c>
      <c r="M246" s="186" t="b">
        <f t="shared" si="137"/>
        <v>1</v>
      </c>
      <c r="N246" s="186" t="str">
        <f t="shared" si="138"/>
        <v>Used?</v>
      </c>
      <c r="O246" s="186" t="b">
        <f t="shared" si="139"/>
        <v>0</v>
      </c>
      <c r="P246" s="26" t="s">
        <v>696</v>
      </c>
      <c r="Q246" s="160" t="s">
        <v>20</v>
      </c>
      <c r="R246" s="160" t="s">
        <v>20</v>
      </c>
      <c r="S246" s="26" t="s">
        <v>697</v>
      </c>
      <c r="T246" s="165" t="str">
        <f t="shared" si="140"/>
        <v>Not Used</v>
      </c>
      <c r="U246" s="162"/>
      <c r="V246" s="55"/>
      <c r="W246" s="51" t="b">
        <f t="shared" si="141"/>
        <v>1</v>
      </c>
      <c r="X246" s="51" t="str">
        <f t="shared" si="142"/>
        <v>Not Used</v>
      </c>
      <c r="Y246" s="51" t="str">
        <f t="shared" si="143"/>
        <v>Not Used</v>
      </c>
      <c r="Z246" s="51" t="str">
        <f t="shared" si="144"/>
        <v>Not Used</v>
      </c>
      <c r="AA246" s="51" t="str">
        <f t="shared" si="144"/>
        <v>Not Used</v>
      </c>
      <c r="AB246" s="51" t="str">
        <f t="shared" si="145"/>
        <v>Not Used</v>
      </c>
      <c r="AC246" s="51" t="b">
        <f t="shared" si="146"/>
        <v>1</v>
      </c>
      <c r="AD246" s="51">
        <f>COUNTIF($X$5:$X$246, "Not Used")</f>
        <v>242</v>
      </c>
      <c r="AE246" s="51">
        <f>COUNTIF($X$5:$X$246, "TRUE")</f>
        <v>0</v>
      </c>
      <c r="AF246" s="51" t="b">
        <f t="shared" si="147"/>
        <v>1</v>
      </c>
      <c r="AI246" s="51" t="b">
        <f t="shared" si="148"/>
        <v>0</v>
      </c>
      <c r="AJ246" s="51" t="b">
        <f t="shared" si="149"/>
        <v>0</v>
      </c>
      <c r="AK246" s="51" t="b">
        <f t="shared" si="150"/>
        <v>0</v>
      </c>
      <c r="AL246" s="51" t="b">
        <f t="shared" si="151"/>
        <v>0</v>
      </c>
      <c r="AM246" s="51" t="b">
        <f t="shared" si="152"/>
        <v>0</v>
      </c>
      <c r="AN246" s="51"/>
      <c r="AO246" s="51" t="b">
        <f t="shared" si="153"/>
        <v>0</v>
      </c>
      <c r="AP246" s="51" t="str">
        <f t="shared" si="175"/>
        <v>Not in MMS</v>
      </c>
      <c r="AQ246" s="51" t="b">
        <f t="shared" si="154"/>
        <v>0</v>
      </c>
      <c r="AR246" s="51" t="b">
        <f t="shared" si="155"/>
        <v>0</v>
      </c>
      <c r="AS246" s="51" t="str">
        <f t="shared" si="156"/>
        <v/>
      </c>
      <c r="AT246" s="51" t="str">
        <f t="shared" si="157"/>
        <v/>
      </c>
      <c r="AU246" s="51" t="str">
        <f t="shared" si="158"/>
        <v/>
      </c>
      <c r="AV246" s="51" t="str">
        <f t="shared" si="159"/>
        <v/>
      </c>
      <c r="AW246" s="51" t="str">
        <f t="shared" si="160"/>
        <v/>
      </c>
      <c r="AX246" s="51" t="str">
        <f t="shared" si="161"/>
        <v/>
      </c>
      <c r="AY246" s="51" t="str">
        <f t="shared" si="162"/>
        <v/>
      </c>
      <c r="AZ246" s="51" t="str">
        <f t="shared" si="163"/>
        <v/>
      </c>
      <c r="BA246" s="51" t="str">
        <f t="shared" si="164"/>
        <v/>
      </c>
      <c r="BB246" s="51" t="str">
        <f t="shared" si="165"/>
        <v/>
      </c>
      <c r="BC246" s="51" t="str">
        <f t="shared" si="166"/>
        <v/>
      </c>
      <c r="BD246" s="51" t="str">
        <f t="shared" si="167"/>
        <v/>
      </c>
      <c r="BE246" s="51" t="str">
        <f t="shared" si="168"/>
        <v/>
      </c>
      <c r="BF246" s="51" t="str">
        <f t="shared" si="169"/>
        <v/>
      </c>
      <c r="BG246" s="51" t="str">
        <f t="shared" si="170"/>
        <v/>
      </c>
      <c r="BH246" s="51" t="b">
        <f t="shared" si="171"/>
        <v>0</v>
      </c>
      <c r="BI246" s="51" t="str">
        <f t="shared" si="172"/>
        <v/>
      </c>
      <c r="BJ246" s="51" t="str">
        <f t="shared" si="173"/>
        <v/>
      </c>
      <c r="BK246" s="51" t="b">
        <f t="shared" si="174"/>
        <v>0</v>
      </c>
      <c r="BL246" s="192"/>
    </row>
    <row r="247" spans="1:64" ht="13.5" thickBot="1" x14ac:dyDescent="0.25">
      <c r="A247" s="185" t="s">
        <v>938</v>
      </c>
      <c r="B247" s="194" t="s">
        <v>695</v>
      </c>
      <c r="C247" s="194" t="s">
        <v>695</v>
      </c>
      <c r="D247" s="194" t="s">
        <v>695</v>
      </c>
      <c r="E247" s="193" t="s">
        <v>694</v>
      </c>
      <c r="F247" s="160" t="s">
        <v>20</v>
      </c>
      <c r="G247" s="161"/>
      <c r="H247" s="186" t="str">
        <f t="shared" si="132"/>
        <v>N/A</v>
      </c>
      <c r="I247" s="186" t="b">
        <f t="shared" si="133"/>
        <v>1</v>
      </c>
      <c r="J247" s="186" t="str">
        <f t="shared" si="134"/>
        <v>N/A</v>
      </c>
      <c r="K247" s="186" t="b">
        <f t="shared" si="135"/>
        <v>1</v>
      </c>
      <c r="L247" s="186" t="str">
        <f t="shared" si="136"/>
        <v>N/A</v>
      </c>
      <c r="M247" s="186" t="b">
        <f t="shared" si="137"/>
        <v>1</v>
      </c>
      <c r="N247" s="186" t="str">
        <f t="shared" si="138"/>
        <v>Used?</v>
      </c>
      <c r="O247" s="186" t="b">
        <f t="shared" si="139"/>
        <v>0</v>
      </c>
      <c r="P247" s="26" t="s">
        <v>696</v>
      </c>
      <c r="Q247" s="160" t="s">
        <v>20</v>
      </c>
      <c r="R247" s="160" t="s">
        <v>20</v>
      </c>
      <c r="S247" s="26" t="s">
        <v>697</v>
      </c>
      <c r="T247" s="165" t="str">
        <f t="shared" si="140"/>
        <v>Not Used</v>
      </c>
      <c r="U247" s="162"/>
      <c r="V247" s="55"/>
      <c r="W247" s="51" t="b">
        <f t="shared" si="141"/>
        <v>1</v>
      </c>
      <c r="X247" s="51" t="str">
        <f t="shared" si="142"/>
        <v>Not Used</v>
      </c>
      <c r="Y247" s="51" t="str">
        <f t="shared" si="143"/>
        <v>Not Used</v>
      </c>
      <c r="Z247" s="51" t="str">
        <f t="shared" si="144"/>
        <v>Not Used</v>
      </c>
      <c r="AA247" s="51" t="str">
        <f t="shared" si="144"/>
        <v>Not Used</v>
      </c>
      <c r="AB247" s="51" t="str">
        <f t="shared" si="145"/>
        <v>Not Used</v>
      </c>
      <c r="AC247" s="51" t="b">
        <f t="shared" si="146"/>
        <v>1</v>
      </c>
      <c r="AD247" s="51">
        <f>COUNTIF($X$5:$X$247, "Not Used")</f>
        <v>243</v>
      </c>
      <c r="AE247" s="51">
        <f>COUNTIF($X$5:$X$247, "TRUE")</f>
        <v>0</v>
      </c>
      <c r="AF247" s="51" t="b">
        <f t="shared" si="147"/>
        <v>1</v>
      </c>
      <c r="AI247" s="51" t="b">
        <f t="shared" si="148"/>
        <v>0</v>
      </c>
      <c r="AJ247" s="51" t="b">
        <f t="shared" si="149"/>
        <v>0</v>
      </c>
      <c r="AK247" s="51" t="b">
        <f t="shared" si="150"/>
        <v>0</v>
      </c>
      <c r="AL247" s="51" t="b">
        <f t="shared" si="151"/>
        <v>0</v>
      </c>
      <c r="AM247" s="51" t="b">
        <f t="shared" si="152"/>
        <v>0</v>
      </c>
      <c r="AN247" s="51"/>
      <c r="AO247" s="51" t="b">
        <f t="shared" si="153"/>
        <v>0</v>
      </c>
      <c r="AP247" s="51" t="str">
        <f t="shared" si="175"/>
        <v>Not in MMS</v>
      </c>
      <c r="AQ247" s="51" t="b">
        <f t="shared" si="154"/>
        <v>0</v>
      </c>
      <c r="AR247" s="51" t="b">
        <f t="shared" si="155"/>
        <v>0</v>
      </c>
      <c r="AS247" s="51" t="str">
        <f t="shared" si="156"/>
        <v/>
      </c>
      <c r="AT247" s="51" t="str">
        <f t="shared" si="157"/>
        <v/>
      </c>
      <c r="AU247" s="51" t="str">
        <f t="shared" si="158"/>
        <v/>
      </c>
      <c r="AV247" s="51" t="str">
        <f t="shared" si="159"/>
        <v/>
      </c>
      <c r="AW247" s="51" t="str">
        <f t="shared" si="160"/>
        <v/>
      </c>
      <c r="AX247" s="51" t="str">
        <f t="shared" si="161"/>
        <v/>
      </c>
      <c r="AY247" s="51" t="str">
        <f t="shared" si="162"/>
        <v/>
      </c>
      <c r="AZ247" s="51" t="str">
        <f t="shared" si="163"/>
        <v/>
      </c>
      <c r="BA247" s="51" t="str">
        <f t="shared" si="164"/>
        <v/>
      </c>
      <c r="BB247" s="51" t="str">
        <f t="shared" si="165"/>
        <v/>
      </c>
      <c r="BC247" s="51" t="str">
        <f t="shared" si="166"/>
        <v/>
      </c>
      <c r="BD247" s="51" t="str">
        <f t="shared" si="167"/>
        <v/>
      </c>
      <c r="BE247" s="51" t="str">
        <f t="shared" si="168"/>
        <v/>
      </c>
      <c r="BF247" s="51" t="str">
        <f t="shared" si="169"/>
        <v/>
      </c>
      <c r="BG247" s="51" t="str">
        <f t="shared" si="170"/>
        <v/>
      </c>
      <c r="BH247" s="51" t="b">
        <f t="shared" si="171"/>
        <v>0</v>
      </c>
      <c r="BI247" s="51" t="str">
        <f t="shared" si="172"/>
        <v/>
      </c>
      <c r="BJ247" s="51" t="str">
        <f t="shared" si="173"/>
        <v/>
      </c>
      <c r="BK247" s="51" t="b">
        <f t="shared" si="174"/>
        <v>0</v>
      </c>
      <c r="BL247" s="192"/>
    </row>
    <row r="248" spans="1:64" ht="13.5" thickBot="1" x14ac:dyDescent="0.25">
      <c r="A248" s="185" t="s">
        <v>939</v>
      </c>
      <c r="B248" s="194" t="s">
        <v>695</v>
      </c>
      <c r="C248" s="194" t="s">
        <v>695</v>
      </c>
      <c r="D248" s="194" t="s">
        <v>695</v>
      </c>
      <c r="E248" s="193" t="s">
        <v>694</v>
      </c>
      <c r="F248" s="160" t="s">
        <v>20</v>
      </c>
      <c r="G248" s="161"/>
      <c r="H248" s="186" t="str">
        <f t="shared" si="132"/>
        <v>N/A</v>
      </c>
      <c r="I248" s="186" t="b">
        <f t="shared" si="133"/>
        <v>1</v>
      </c>
      <c r="J248" s="186" t="str">
        <f t="shared" si="134"/>
        <v>N/A</v>
      </c>
      <c r="K248" s="186" t="b">
        <f t="shared" si="135"/>
        <v>1</v>
      </c>
      <c r="L248" s="186" t="str">
        <f t="shared" si="136"/>
        <v>N/A</v>
      </c>
      <c r="M248" s="186" t="b">
        <f t="shared" si="137"/>
        <v>1</v>
      </c>
      <c r="N248" s="186" t="str">
        <f t="shared" si="138"/>
        <v>Used?</v>
      </c>
      <c r="O248" s="186" t="b">
        <f t="shared" si="139"/>
        <v>0</v>
      </c>
      <c r="P248" s="26" t="s">
        <v>696</v>
      </c>
      <c r="Q248" s="160" t="s">
        <v>20</v>
      </c>
      <c r="R248" s="160" t="s">
        <v>20</v>
      </c>
      <c r="S248" s="26" t="s">
        <v>697</v>
      </c>
      <c r="T248" s="165" t="str">
        <f t="shared" si="140"/>
        <v>Not Used</v>
      </c>
      <c r="U248" s="162"/>
      <c r="V248" s="55"/>
      <c r="W248" s="51" t="b">
        <f t="shared" si="141"/>
        <v>1</v>
      </c>
      <c r="X248" s="51" t="str">
        <f t="shared" si="142"/>
        <v>Not Used</v>
      </c>
      <c r="Y248" s="51" t="str">
        <f t="shared" si="143"/>
        <v>Not Used</v>
      </c>
      <c r="Z248" s="51" t="str">
        <f t="shared" si="144"/>
        <v>Not Used</v>
      </c>
      <c r="AA248" s="51" t="str">
        <f t="shared" si="144"/>
        <v>Not Used</v>
      </c>
      <c r="AB248" s="51" t="str">
        <f t="shared" si="145"/>
        <v>Not Used</v>
      </c>
      <c r="AC248" s="51" t="b">
        <f t="shared" si="146"/>
        <v>1</v>
      </c>
      <c r="AD248" s="51">
        <f>COUNTIF($X$5:$X$248, "Not Used")</f>
        <v>244</v>
      </c>
      <c r="AE248" s="51">
        <f>COUNTIF($X$5:$X$248, "TRUE")</f>
        <v>0</v>
      </c>
      <c r="AF248" s="51" t="b">
        <f t="shared" si="147"/>
        <v>1</v>
      </c>
      <c r="AI248" s="51" t="b">
        <f t="shared" si="148"/>
        <v>0</v>
      </c>
      <c r="AJ248" s="51" t="b">
        <f t="shared" si="149"/>
        <v>0</v>
      </c>
      <c r="AK248" s="51" t="b">
        <f t="shared" si="150"/>
        <v>0</v>
      </c>
      <c r="AL248" s="51" t="b">
        <f t="shared" si="151"/>
        <v>0</v>
      </c>
      <c r="AM248" s="51" t="b">
        <f t="shared" si="152"/>
        <v>0</v>
      </c>
      <c r="AN248" s="51"/>
      <c r="AO248" s="51" t="b">
        <f t="shared" si="153"/>
        <v>0</v>
      </c>
      <c r="AP248" s="51" t="str">
        <f t="shared" si="175"/>
        <v>Not in MMS</v>
      </c>
      <c r="AQ248" s="51" t="b">
        <f t="shared" si="154"/>
        <v>0</v>
      </c>
      <c r="AR248" s="51" t="b">
        <f t="shared" si="155"/>
        <v>0</v>
      </c>
      <c r="AS248" s="51" t="str">
        <f t="shared" si="156"/>
        <v/>
      </c>
      <c r="AT248" s="51" t="str">
        <f t="shared" si="157"/>
        <v/>
      </c>
      <c r="AU248" s="51" t="str">
        <f t="shared" si="158"/>
        <v/>
      </c>
      <c r="AV248" s="51" t="str">
        <f t="shared" si="159"/>
        <v/>
      </c>
      <c r="AW248" s="51" t="str">
        <f t="shared" si="160"/>
        <v/>
      </c>
      <c r="AX248" s="51" t="str">
        <f t="shared" si="161"/>
        <v/>
      </c>
      <c r="AY248" s="51" t="str">
        <f t="shared" si="162"/>
        <v/>
      </c>
      <c r="AZ248" s="51" t="str">
        <f t="shared" si="163"/>
        <v/>
      </c>
      <c r="BA248" s="51" t="str">
        <f t="shared" si="164"/>
        <v/>
      </c>
      <c r="BB248" s="51" t="str">
        <f t="shared" si="165"/>
        <v/>
      </c>
      <c r="BC248" s="51" t="str">
        <f t="shared" si="166"/>
        <v/>
      </c>
      <c r="BD248" s="51" t="str">
        <f t="shared" si="167"/>
        <v/>
      </c>
      <c r="BE248" s="51" t="str">
        <f t="shared" si="168"/>
        <v/>
      </c>
      <c r="BF248" s="51" t="str">
        <f t="shared" si="169"/>
        <v/>
      </c>
      <c r="BG248" s="51" t="str">
        <f t="shared" si="170"/>
        <v/>
      </c>
      <c r="BH248" s="51" t="b">
        <f t="shared" si="171"/>
        <v>0</v>
      </c>
      <c r="BI248" s="51" t="str">
        <f t="shared" si="172"/>
        <v/>
      </c>
      <c r="BJ248" s="51" t="str">
        <f t="shared" si="173"/>
        <v/>
      </c>
      <c r="BK248" s="51" t="b">
        <f t="shared" si="174"/>
        <v>0</v>
      </c>
      <c r="BL248" s="192"/>
    </row>
    <row r="249" spans="1:64" ht="13.5" thickBot="1" x14ac:dyDescent="0.25">
      <c r="A249" s="185" t="s">
        <v>940</v>
      </c>
      <c r="B249" s="194" t="s">
        <v>695</v>
      </c>
      <c r="C249" s="194" t="s">
        <v>695</v>
      </c>
      <c r="D249" s="194" t="s">
        <v>695</v>
      </c>
      <c r="E249" s="193" t="s">
        <v>694</v>
      </c>
      <c r="F249" s="160" t="s">
        <v>20</v>
      </c>
      <c r="G249" s="161"/>
      <c r="H249" s="186" t="str">
        <f t="shared" si="132"/>
        <v>N/A</v>
      </c>
      <c r="I249" s="186" t="b">
        <f t="shared" si="133"/>
        <v>1</v>
      </c>
      <c r="J249" s="186" t="str">
        <f t="shared" si="134"/>
        <v>N/A</v>
      </c>
      <c r="K249" s="186" t="b">
        <f t="shared" si="135"/>
        <v>1</v>
      </c>
      <c r="L249" s="186" t="str">
        <f t="shared" si="136"/>
        <v>N/A</v>
      </c>
      <c r="M249" s="186" t="b">
        <f t="shared" si="137"/>
        <v>1</v>
      </c>
      <c r="N249" s="186" t="str">
        <f t="shared" si="138"/>
        <v>Used?</v>
      </c>
      <c r="O249" s="186" t="b">
        <f t="shared" si="139"/>
        <v>0</v>
      </c>
      <c r="P249" s="26" t="s">
        <v>696</v>
      </c>
      <c r="Q249" s="160" t="s">
        <v>20</v>
      </c>
      <c r="R249" s="160" t="s">
        <v>20</v>
      </c>
      <c r="S249" s="26" t="s">
        <v>697</v>
      </c>
      <c r="T249" s="165" t="str">
        <f t="shared" si="140"/>
        <v>Not Used</v>
      </c>
      <c r="U249" s="162"/>
      <c r="V249" s="55"/>
      <c r="W249" s="51" t="b">
        <f t="shared" si="141"/>
        <v>1</v>
      </c>
      <c r="X249" s="51" t="str">
        <f t="shared" si="142"/>
        <v>Not Used</v>
      </c>
      <c r="Y249" s="51" t="str">
        <f t="shared" si="143"/>
        <v>Not Used</v>
      </c>
      <c r="Z249" s="51" t="str">
        <f t="shared" si="144"/>
        <v>Not Used</v>
      </c>
      <c r="AA249" s="51" t="str">
        <f t="shared" si="144"/>
        <v>Not Used</v>
      </c>
      <c r="AB249" s="51" t="str">
        <f t="shared" si="145"/>
        <v>Not Used</v>
      </c>
      <c r="AC249" s="51" t="b">
        <f t="shared" si="146"/>
        <v>1</v>
      </c>
      <c r="AD249" s="51">
        <f>COUNTIF($X$5:$X$249, "Not Used")</f>
        <v>245</v>
      </c>
      <c r="AE249" s="51">
        <f>COUNTIF($X$5:$X$249, "TRUE")</f>
        <v>0</v>
      </c>
      <c r="AF249" s="51" t="b">
        <f t="shared" si="147"/>
        <v>1</v>
      </c>
      <c r="AI249" s="51" t="b">
        <f t="shared" si="148"/>
        <v>0</v>
      </c>
      <c r="AJ249" s="51" t="b">
        <f t="shared" si="149"/>
        <v>0</v>
      </c>
      <c r="AK249" s="51" t="b">
        <f t="shared" si="150"/>
        <v>0</v>
      </c>
      <c r="AL249" s="51" t="b">
        <f t="shared" si="151"/>
        <v>0</v>
      </c>
      <c r="AM249" s="51" t="b">
        <f t="shared" si="152"/>
        <v>0</v>
      </c>
      <c r="AN249" s="51"/>
      <c r="AO249" s="51" t="b">
        <f t="shared" si="153"/>
        <v>0</v>
      </c>
      <c r="AP249" s="51" t="str">
        <f t="shared" si="175"/>
        <v>Not in MMS</v>
      </c>
      <c r="AQ249" s="51" t="b">
        <f t="shared" si="154"/>
        <v>0</v>
      </c>
      <c r="AR249" s="51" t="b">
        <f t="shared" si="155"/>
        <v>0</v>
      </c>
      <c r="AS249" s="51" t="str">
        <f t="shared" si="156"/>
        <v/>
      </c>
      <c r="AT249" s="51" t="str">
        <f t="shared" si="157"/>
        <v/>
      </c>
      <c r="AU249" s="51" t="str">
        <f t="shared" si="158"/>
        <v/>
      </c>
      <c r="AV249" s="51" t="str">
        <f t="shared" si="159"/>
        <v/>
      </c>
      <c r="AW249" s="51" t="str">
        <f t="shared" si="160"/>
        <v/>
      </c>
      <c r="AX249" s="51" t="str">
        <f t="shared" si="161"/>
        <v/>
      </c>
      <c r="AY249" s="51" t="str">
        <f t="shared" si="162"/>
        <v/>
      </c>
      <c r="AZ249" s="51" t="str">
        <f t="shared" si="163"/>
        <v/>
      </c>
      <c r="BA249" s="51" t="str">
        <f t="shared" si="164"/>
        <v/>
      </c>
      <c r="BB249" s="51" t="str">
        <f t="shared" si="165"/>
        <v/>
      </c>
      <c r="BC249" s="51" t="str">
        <f t="shared" si="166"/>
        <v/>
      </c>
      <c r="BD249" s="51" t="str">
        <f t="shared" si="167"/>
        <v/>
      </c>
      <c r="BE249" s="51" t="str">
        <f t="shared" si="168"/>
        <v/>
      </c>
      <c r="BF249" s="51" t="str">
        <f t="shared" si="169"/>
        <v/>
      </c>
      <c r="BG249" s="51" t="str">
        <f t="shared" si="170"/>
        <v/>
      </c>
      <c r="BH249" s="51" t="b">
        <f t="shared" si="171"/>
        <v>0</v>
      </c>
      <c r="BI249" s="51" t="str">
        <f t="shared" si="172"/>
        <v/>
      </c>
      <c r="BJ249" s="51" t="str">
        <f t="shared" si="173"/>
        <v/>
      </c>
      <c r="BK249" s="51" t="b">
        <f t="shared" si="174"/>
        <v>0</v>
      </c>
      <c r="BL249" s="192"/>
    </row>
    <row r="250" spans="1:64" ht="13.5" thickBot="1" x14ac:dyDescent="0.25">
      <c r="A250" s="185" t="s">
        <v>941</v>
      </c>
      <c r="B250" s="194" t="s">
        <v>695</v>
      </c>
      <c r="C250" s="194" t="s">
        <v>695</v>
      </c>
      <c r="D250" s="194" t="s">
        <v>695</v>
      </c>
      <c r="E250" s="193" t="s">
        <v>694</v>
      </c>
      <c r="F250" s="160" t="s">
        <v>20</v>
      </c>
      <c r="G250" s="161"/>
      <c r="H250" s="186" t="str">
        <f t="shared" si="132"/>
        <v>N/A</v>
      </c>
      <c r="I250" s="186" t="b">
        <f t="shared" si="133"/>
        <v>1</v>
      </c>
      <c r="J250" s="186" t="str">
        <f t="shared" si="134"/>
        <v>N/A</v>
      </c>
      <c r="K250" s="186" t="b">
        <f t="shared" si="135"/>
        <v>1</v>
      </c>
      <c r="L250" s="186" t="str">
        <f t="shared" si="136"/>
        <v>N/A</v>
      </c>
      <c r="M250" s="186" t="b">
        <f t="shared" si="137"/>
        <v>1</v>
      </c>
      <c r="N250" s="186" t="str">
        <f t="shared" si="138"/>
        <v>Used?</v>
      </c>
      <c r="O250" s="186" t="b">
        <f t="shared" si="139"/>
        <v>0</v>
      </c>
      <c r="P250" s="26" t="s">
        <v>696</v>
      </c>
      <c r="Q250" s="160" t="s">
        <v>20</v>
      </c>
      <c r="R250" s="160" t="s">
        <v>20</v>
      </c>
      <c r="S250" s="26" t="s">
        <v>697</v>
      </c>
      <c r="T250" s="165" t="str">
        <f t="shared" si="140"/>
        <v>Not Used</v>
      </c>
      <c r="U250" s="162"/>
      <c r="V250" s="55"/>
      <c r="W250" s="51" t="b">
        <f t="shared" si="141"/>
        <v>1</v>
      </c>
      <c r="X250" s="51" t="str">
        <f t="shared" si="142"/>
        <v>Not Used</v>
      </c>
      <c r="Y250" s="51" t="str">
        <f t="shared" si="143"/>
        <v>Not Used</v>
      </c>
      <c r="Z250" s="51" t="str">
        <f t="shared" si="144"/>
        <v>Not Used</v>
      </c>
      <c r="AA250" s="51" t="str">
        <f t="shared" si="144"/>
        <v>Not Used</v>
      </c>
      <c r="AB250" s="51" t="str">
        <f t="shared" si="145"/>
        <v>Not Used</v>
      </c>
      <c r="AC250" s="51" t="b">
        <f t="shared" si="146"/>
        <v>1</v>
      </c>
      <c r="AD250" s="51">
        <f>COUNTIF($X$5:$X$250, "Not Used")</f>
        <v>246</v>
      </c>
      <c r="AE250" s="51">
        <f>COUNTIF($X$5:$X$250, "TRUE")</f>
        <v>0</v>
      </c>
      <c r="AF250" s="51" t="b">
        <f t="shared" si="147"/>
        <v>1</v>
      </c>
      <c r="AI250" s="51" t="b">
        <f t="shared" si="148"/>
        <v>0</v>
      </c>
      <c r="AJ250" s="51" t="b">
        <f t="shared" si="149"/>
        <v>0</v>
      </c>
      <c r="AK250" s="51" t="b">
        <f t="shared" si="150"/>
        <v>0</v>
      </c>
      <c r="AL250" s="51" t="b">
        <f t="shared" si="151"/>
        <v>0</v>
      </c>
      <c r="AM250" s="51" t="b">
        <f t="shared" si="152"/>
        <v>0</v>
      </c>
      <c r="AN250" s="51"/>
      <c r="AO250" s="51" t="b">
        <f t="shared" si="153"/>
        <v>0</v>
      </c>
      <c r="AP250" s="51" t="str">
        <f t="shared" si="175"/>
        <v>Not in MMS</v>
      </c>
      <c r="AQ250" s="51" t="b">
        <f t="shared" si="154"/>
        <v>0</v>
      </c>
      <c r="AR250" s="51" t="b">
        <f t="shared" si="155"/>
        <v>0</v>
      </c>
      <c r="AS250" s="51" t="str">
        <f t="shared" si="156"/>
        <v/>
      </c>
      <c r="AT250" s="51" t="str">
        <f t="shared" si="157"/>
        <v/>
      </c>
      <c r="AU250" s="51" t="str">
        <f t="shared" si="158"/>
        <v/>
      </c>
      <c r="AV250" s="51" t="str">
        <f t="shared" si="159"/>
        <v/>
      </c>
      <c r="AW250" s="51" t="str">
        <f t="shared" si="160"/>
        <v/>
      </c>
      <c r="AX250" s="51" t="str">
        <f t="shared" si="161"/>
        <v/>
      </c>
      <c r="AY250" s="51" t="str">
        <f t="shared" si="162"/>
        <v/>
      </c>
      <c r="AZ250" s="51" t="str">
        <f t="shared" si="163"/>
        <v/>
      </c>
      <c r="BA250" s="51" t="str">
        <f t="shared" si="164"/>
        <v/>
      </c>
      <c r="BB250" s="51" t="str">
        <f t="shared" si="165"/>
        <v/>
      </c>
      <c r="BC250" s="51" t="str">
        <f t="shared" si="166"/>
        <v/>
      </c>
      <c r="BD250" s="51" t="str">
        <f t="shared" si="167"/>
        <v/>
      </c>
      <c r="BE250" s="51" t="str">
        <f t="shared" si="168"/>
        <v/>
      </c>
      <c r="BF250" s="51" t="str">
        <f t="shared" si="169"/>
        <v/>
      </c>
      <c r="BG250" s="51" t="str">
        <f t="shared" si="170"/>
        <v/>
      </c>
      <c r="BH250" s="51" t="b">
        <f t="shared" si="171"/>
        <v>0</v>
      </c>
      <c r="BI250" s="51" t="str">
        <f t="shared" si="172"/>
        <v/>
      </c>
      <c r="BJ250" s="51" t="str">
        <f t="shared" si="173"/>
        <v/>
      </c>
      <c r="BK250" s="51" t="b">
        <f t="shared" si="174"/>
        <v>0</v>
      </c>
      <c r="BL250" s="192"/>
    </row>
    <row r="251" spans="1:64" ht="13.5" thickBot="1" x14ac:dyDescent="0.25">
      <c r="A251" s="185" t="s">
        <v>942</v>
      </c>
      <c r="B251" s="194" t="s">
        <v>695</v>
      </c>
      <c r="C251" s="194" t="s">
        <v>695</v>
      </c>
      <c r="D251" s="194" t="s">
        <v>695</v>
      </c>
      <c r="E251" s="193" t="s">
        <v>694</v>
      </c>
      <c r="F251" s="160" t="s">
        <v>20</v>
      </c>
      <c r="G251" s="161"/>
      <c r="H251" s="186" t="str">
        <f t="shared" si="132"/>
        <v>N/A</v>
      </c>
      <c r="I251" s="186" t="b">
        <f t="shared" si="133"/>
        <v>1</v>
      </c>
      <c r="J251" s="186" t="str">
        <f t="shared" si="134"/>
        <v>N/A</v>
      </c>
      <c r="K251" s="186" t="b">
        <f t="shared" si="135"/>
        <v>1</v>
      </c>
      <c r="L251" s="186" t="str">
        <f t="shared" si="136"/>
        <v>N/A</v>
      </c>
      <c r="M251" s="186" t="b">
        <f t="shared" si="137"/>
        <v>1</v>
      </c>
      <c r="N251" s="186" t="str">
        <f t="shared" si="138"/>
        <v>Used?</v>
      </c>
      <c r="O251" s="186" t="b">
        <f t="shared" si="139"/>
        <v>0</v>
      </c>
      <c r="P251" s="26" t="s">
        <v>696</v>
      </c>
      <c r="Q251" s="160" t="s">
        <v>20</v>
      </c>
      <c r="R251" s="160" t="s">
        <v>20</v>
      </c>
      <c r="S251" s="26" t="s">
        <v>697</v>
      </c>
      <c r="T251" s="165" t="str">
        <f t="shared" si="140"/>
        <v>Not Used</v>
      </c>
      <c r="U251" s="162"/>
      <c r="V251" s="55"/>
      <c r="W251" s="51" t="b">
        <f t="shared" si="141"/>
        <v>1</v>
      </c>
      <c r="X251" s="51" t="str">
        <f t="shared" si="142"/>
        <v>Not Used</v>
      </c>
      <c r="Y251" s="51" t="str">
        <f t="shared" si="143"/>
        <v>Not Used</v>
      </c>
      <c r="Z251" s="51" t="str">
        <f t="shared" si="144"/>
        <v>Not Used</v>
      </c>
      <c r="AA251" s="51" t="str">
        <f t="shared" si="144"/>
        <v>Not Used</v>
      </c>
      <c r="AB251" s="51" t="str">
        <f t="shared" si="145"/>
        <v>Not Used</v>
      </c>
      <c r="AC251" s="51" t="b">
        <f t="shared" si="146"/>
        <v>1</v>
      </c>
      <c r="AD251" s="51">
        <f>COUNTIF($X$5:$X$251, "Not Used")</f>
        <v>247</v>
      </c>
      <c r="AE251" s="51">
        <f>COUNTIF($X$5:$X$251, "TRUE")</f>
        <v>0</v>
      </c>
      <c r="AF251" s="51" t="b">
        <f t="shared" si="147"/>
        <v>1</v>
      </c>
      <c r="AI251" s="51" t="b">
        <f t="shared" si="148"/>
        <v>0</v>
      </c>
      <c r="AJ251" s="51" t="b">
        <f t="shared" si="149"/>
        <v>0</v>
      </c>
      <c r="AK251" s="51" t="b">
        <f t="shared" si="150"/>
        <v>0</v>
      </c>
      <c r="AL251" s="51" t="b">
        <f t="shared" si="151"/>
        <v>0</v>
      </c>
      <c r="AM251" s="51" t="b">
        <f t="shared" si="152"/>
        <v>0</v>
      </c>
      <c r="AN251" s="51"/>
      <c r="AO251" s="51" t="b">
        <f t="shared" si="153"/>
        <v>0</v>
      </c>
      <c r="AP251" s="51" t="str">
        <f t="shared" si="175"/>
        <v>Not in MMS</v>
      </c>
      <c r="AQ251" s="51" t="b">
        <f t="shared" si="154"/>
        <v>0</v>
      </c>
      <c r="AR251" s="51" t="b">
        <f t="shared" si="155"/>
        <v>0</v>
      </c>
      <c r="AS251" s="51" t="str">
        <f t="shared" si="156"/>
        <v/>
      </c>
      <c r="AT251" s="51" t="str">
        <f t="shared" si="157"/>
        <v/>
      </c>
      <c r="AU251" s="51" t="str">
        <f t="shared" si="158"/>
        <v/>
      </c>
      <c r="AV251" s="51" t="str">
        <f t="shared" si="159"/>
        <v/>
      </c>
      <c r="AW251" s="51" t="str">
        <f t="shared" si="160"/>
        <v/>
      </c>
      <c r="AX251" s="51" t="str">
        <f t="shared" si="161"/>
        <v/>
      </c>
      <c r="AY251" s="51" t="str">
        <f t="shared" si="162"/>
        <v/>
      </c>
      <c r="AZ251" s="51" t="str">
        <f t="shared" si="163"/>
        <v/>
      </c>
      <c r="BA251" s="51" t="str">
        <f t="shared" si="164"/>
        <v/>
      </c>
      <c r="BB251" s="51" t="str">
        <f t="shared" si="165"/>
        <v/>
      </c>
      <c r="BC251" s="51" t="str">
        <f t="shared" si="166"/>
        <v/>
      </c>
      <c r="BD251" s="51" t="str">
        <f t="shared" si="167"/>
        <v/>
      </c>
      <c r="BE251" s="51" t="str">
        <f t="shared" si="168"/>
        <v/>
      </c>
      <c r="BF251" s="51" t="str">
        <f t="shared" si="169"/>
        <v/>
      </c>
      <c r="BG251" s="51" t="str">
        <f t="shared" si="170"/>
        <v/>
      </c>
      <c r="BH251" s="51" t="b">
        <f t="shared" si="171"/>
        <v>0</v>
      </c>
      <c r="BI251" s="51" t="str">
        <f t="shared" si="172"/>
        <v/>
      </c>
      <c r="BJ251" s="51" t="str">
        <f t="shared" si="173"/>
        <v/>
      </c>
      <c r="BK251" s="51" t="b">
        <f t="shared" si="174"/>
        <v>0</v>
      </c>
      <c r="BL251" s="192"/>
    </row>
    <row r="252" spans="1:64" ht="13.5" thickBot="1" x14ac:dyDescent="0.25">
      <c r="A252" s="185" t="s">
        <v>943</v>
      </c>
      <c r="B252" s="194" t="s">
        <v>695</v>
      </c>
      <c r="C252" s="194" t="s">
        <v>695</v>
      </c>
      <c r="D252" s="194" t="s">
        <v>695</v>
      </c>
      <c r="E252" s="193" t="s">
        <v>694</v>
      </c>
      <c r="F252" s="160" t="s">
        <v>20</v>
      </c>
      <c r="G252" s="161"/>
      <c r="H252" s="186" t="str">
        <f t="shared" si="132"/>
        <v>N/A</v>
      </c>
      <c r="I252" s="186" t="b">
        <f t="shared" si="133"/>
        <v>1</v>
      </c>
      <c r="J252" s="186" t="str">
        <f t="shared" si="134"/>
        <v>N/A</v>
      </c>
      <c r="K252" s="186" t="b">
        <f t="shared" si="135"/>
        <v>1</v>
      </c>
      <c r="L252" s="186" t="str">
        <f t="shared" si="136"/>
        <v>N/A</v>
      </c>
      <c r="M252" s="186" t="b">
        <f t="shared" si="137"/>
        <v>1</v>
      </c>
      <c r="N252" s="186" t="str">
        <f t="shared" si="138"/>
        <v>Used?</v>
      </c>
      <c r="O252" s="186" t="b">
        <f t="shared" si="139"/>
        <v>0</v>
      </c>
      <c r="P252" s="26" t="s">
        <v>696</v>
      </c>
      <c r="Q252" s="160" t="s">
        <v>20</v>
      </c>
      <c r="R252" s="160" t="s">
        <v>20</v>
      </c>
      <c r="S252" s="26" t="s">
        <v>697</v>
      </c>
      <c r="T252" s="165" t="str">
        <f t="shared" si="140"/>
        <v>Not Used</v>
      </c>
      <c r="U252" s="162"/>
      <c r="V252" s="55"/>
      <c r="W252" s="51" t="b">
        <f t="shared" si="141"/>
        <v>1</v>
      </c>
      <c r="X252" s="51" t="str">
        <f t="shared" si="142"/>
        <v>Not Used</v>
      </c>
      <c r="Y252" s="51" t="str">
        <f t="shared" si="143"/>
        <v>Not Used</v>
      </c>
      <c r="Z252" s="51" t="str">
        <f t="shared" si="144"/>
        <v>Not Used</v>
      </c>
      <c r="AA252" s="51" t="str">
        <f t="shared" si="144"/>
        <v>Not Used</v>
      </c>
      <c r="AB252" s="51" t="str">
        <f t="shared" si="145"/>
        <v>Not Used</v>
      </c>
      <c r="AC252" s="51" t="b">
        <f t="shared" si="146"/>
        <v>1</v>
      </c>
      <c r="AD252" s="51">
        <f>COUNTIF($X$5:$X$252, "Not Used")</f>
        <v>248</v>
      </c>
      <c r="AE252" s="51">
        <f>COUNTIF($X$5:$X$252, "TRUE")</f>
        <v>0</v>
      </c>
      <c r="AF252" s="51" t="b">
        <f t="shared" si="147"/>
        <v>1</v>
      </c>
      <c r="AI252" s="51" t="b">
        <f t="shared" si="148"/>
        <v>0</v>
      </c>
      <c r="AJ252" s="51" t="b">
        <f t="shared" si="149"/>
        <v>0</v>
      </c>
      <c r="AK252" s="51" t="b">
        <f t="shared" si="150"/>
        <v>0</v>
      </c>
      <c r="AL252" s="51" t="b">
        <f t="shared" si="151"/>
        <v>0</v>
      </c>
      <c r="AM252" s="51" t="b">
        <f t="shared" si="152"/>
        <v>0</v>
      </c>
      <c r="AN252" s="51"/>
      <c r="AO252" s="51" t="b">
        <f t="shared" si="153"/>
        <v>0</v>
      </c>
      <c r="AP252" s="51" t="str">
        <f t="shared" si="175"/>
        <v>Not in MMS</v>
      </c>
      <c r="AQ252" s="51" t="b">
        <f t="shared" si="154"/>
        <v>0</v>
      </c>
      <c r="AR252" s="51" t="b">
        <f t="shared" si="155"/>
        <v>0</v>
      </c>
      <c r="AS252" s="51" t="str">
        <f t="shared" si="156"/>
        <v/>
      </c>
      <c r="AT252" s="51" t="str">
        <f t="shared" si="157"/>
        <v/>
      </c>
      <c r="AU252" s="51" t="str">
        <f t="shared" si="158"/>
        <v/>
      </c>
      <c r="AV252" s="51" t="str">
        <f t="shared" si="159"/>
        <v/>
      </c>
      <c r="AW252" s="51" t="str">
        <f t="shared" si="160"/>
        <v/>
      </c>
      <c r="AX252" s="51" t="str">
        <f t="shared" si="161"/>
        <v/>
      </c>
      <c r="AY252" s="51" t="str">
        <f t="shared" si="162"/>
        <v/>
      </c>
      <c r="AZ252" s="51" t="str">
        <f t="shared" si="163"/>
        <v/>
      </c>
      <c r="BA252" s="51" t="str">
        <f t="shared" si="164"/>
        <v/>
      </c>
      <c r="BB252" s="51" t="str">
        <f t="shared" si="165"/>
        <v/>
      </c>
      <c r="BC252" s="51" t="str">
        <f t="shared" si="166"/>
        <v/>
      </c>
      <c r="BD252" s="51" t="str">
        <f t="shared" si="167"/>
        <v/>
      </c>
      <c r="BE252" s="51" t="str">
        <f t="shared" si="168"/>
        <v/>
      </c>
      <c r="BF252" s="51" t="str">
        <f t="shared" si="169"/>
        <v/>
      </c>
      <c r="BG252" s="51" t="str">
        <f t="shared" si="170"/>
        <v/>
      </c>
      <c r="BH252" s="51" t="b">
        <f t="shared" si="171"/>
        <v>0</v>
      </c>
      <c r="BI252" s="51" t="str">
        <f t="shared" si="172"/>
        <v/>
      </c>
      <c r="BJ252" s="51" t="str">
        <f t="shared" si="173"/>
        <v/>
      </c>
      <c r="BK252" s="51" t="b">
        <f t="shared" si="174"/>
        <v>0</v>
      </c>
      <c r="BL252" s="192"/>
    </row>
    <row r="253" spans="1:64" ht="13.5" thickBot="1" x14ac:dyDescent="0.25">
      <c r="A253" s="185" t="s">
        <v>944</v>
      </c>
      <c r="B253" s="194" t="s">
        <v>695</v>
      </c>
      <c r="C253" s="194" t="s">
        <v>695</v>
      </c>
      <c r="D253" s="194" t="s">
        <v>695</v>
      </c>
      <c r="E253" s="193" t="s">
        <v>694</v>
      </c>
      <c r="F253" s="160" t="s">
        <v>20</v>
      </c>
      <c r="G253" s="161"/>
      <c r="H253" s="186" t="str">
        <f t="shared" si="132"/>
        <v>N/A</v>
      </c>
      <c r="I253" s="186" t="b">
        <f t="shared" si="133"/>
        <v>1</v>
      </c>
      <c r="J253" s="186" t="str">
        <f t="shared" si="134"/>
        <v>N/A</v>
      </c>
      <c r="K253" s="186" t="b">
        <f t="shared" si="135"/>
        <v>1</v>
      </c>
      <c r="L253" s="186" t="str">
        <f t="shared" si="136"/>
        <v>N/A</v>
      </c>
      <c r="M253" s="186" t="b">
        <f t="shared" si="137"/>
        <v>1</v>
      </c>
      <c r="N253" s="186" t="str">
        <f t="shared" si="138"/>
        <v>Used?</v>
      </c>
      <c r="O253" s="186" t="b">
        <f t="shared" si="139"/>
        <v>0</v>
      </c>
      <c r="P253" s="26" t="s">
        <v>696</v>
      </c>
      <c r="Q253" s="160" t="s">
        <v>20</v>
      </c>
      <c r="R253" s="160" t="s">
        <v>20</v>
      </c>
      <c r="S253" s="26" t="s">
        <v>697</v>
      </c>
      <c r="T253" s="165" t="str">
        <f t="shared" si="140"/>
        <v>Not Used</v>
      </c>
      <c r="U253" s="162"/>
      <c r="V253" s="55"/>
      <c r="W253" s="51" t="b">
        <f t="shared" si="141"/>
        <v>1</v>
      </c>
      <c r="X253" s="51" t="str">
        <f t="shared" si="142"/>
        <v>Not Used</v>
      </c>
      <c r="Y253" s="51" t="str">
        <f t="shared" si="143"/>
        <v>Not Used</v>
      </c>
      <c r="Z253" s="51" t="str">
        <f t="shared" si="144"/>
        <v>Not Used</v>
      </c>
      <c r="AA253" s="51" t="str">
        <f t="shared" si="144"/>
        <v>Not Used</v>
      </c>
      <c r="AB253" s="51" t="str">
        <f t="shared" si="145"/>
        <v>Not Used</v>
      </c>
      <c r="AC253" s="51" t="b">
        <f t="shared" si="146"/>
        <v>1</v>
      </c>
      <c r="AD253" s="51">
        <f>COUNTIF($X$5:$X$253, "Not Used")</f>
        <v>249</v>
      </c>
      <c r="AE253" s="51">
        <f>COUNTIF($X$5:$X$253, "TRUE")</f>
        <v>0</v>
      </c>
      <c r="AF253" s="51" t="b">
        <f t="shared" si="147"/>
        <v>1</v>
      </c>
      <c r="AI253" s="51" t="b">
        <f t="shared" si="148"/>
        <v>0</v>
      </c>
      <c r="AJ253" s="51" t="b">
        <f t="shared" si="149"/>
        <v>0</v>
      </c>
      <c r="AK253" s="51" t="b">
        <f t="shared" si="150"/>
        <v>0</v>
      </c>
      <c r="AL253" s="51" t="b">
        <f t="shared" si="151"/>
        <v>0</v>
      </c>
      <c r="AM253" s="51" t="b">
        <f t="shared" si="152"/>
        <v>0</v>
      </c>
      <c r="AN253" s="51"/>
      <c r="AO253" s="51" t="b">
        <f t="shared" si="153"/>
        <v>0</v>
      </c>
      <c r="AP253" s="51" t="str">
        <f t="shared" si="175"/>
        <v>Not in MMS</v>
      </c>
      <c r="AQ253" s="51" t="b">
        <f t="shared" si="154"/>
        <v>0</v>
      </c>
      <c r="AR253" s="51" t="b">
        <f t="shared" si="155"/>
        <v>0</v>
      </c>
      <c r="AS253" s="51" t="str">
        <f t="shared" si="156"/>
        <v/>
      </c>
      <c r="AT253" s="51" t="str">
        <f t="shared" si="157"/>
        <v/>
      </c>
      <c r="AU253" s="51" t="str">
        <f t="shared" si="158"/>
        <v/>
      </c>
      <c r="AV253" s="51" t="str">
        <f t="shared" si="159"/>
        <v/>
      </c>
      <c r="AW253" s="51" t="str">
        <f t="shared" si="160"/>
        <v/>
      </c>
      <c r="AX253" s="51" t="str">
        <f t="shared" si="161"/>
        <v/>
      </c>
      <c r="AY253" s="51" t="str">
        <f t="shared" si="162"/>
        <v/>
      </c>
      <c r="AZ253" s="51" t="str">
        <f t="shared" si="163"/>
        <v/>
      </c>
      <c r="BA253" s="51" t="str">
        <f t="shared" si="164"/>
        <v/>
      </c>
      <c r="BB253" s="51" t="str">
        <f t="shared" si="165"/>
        <v/>
      </c>
      <c r="BC253" s="51" t="str">
        <f t="shared" si="166"/>
        <v/>
      </c>
      <c r="BD253" s="51" t="str">
        <f t="shared" si="167"/>
        <v/>
      </c>
      <c r="BE253" s="51" t="str">
        <f t="shared" si="168"/>
        <v/>
      </c>
      <c r="BF253" s="51" t="str">
        <f t="shared" si="169"/>
        <v/>
      </c>
      <c r="BG253" s="51" t="str">
        <f t="shared" si="170"/>
        <v/>
      </c>
      <c r="BH253" s="51" t="b">
        <f t="shared" si="171"/>
        <v>0</v>
      </c>
      <c r="BI253" s="51" t="str">
        <f t="shared" si="172"/>
        <v/>
      </c>
      <c r="BJ253" s="51" t="str">
        <f t="shared" si="173"/>
        <v/>
      </c>
      <c r="BK253" s="51" t="b">
        <f t="shared" si="174"/>
        <v>0</v>
      </c>
      <c r="BL253" s="192"/>
    </row>
    <row r="254" spans="1:64" ht="13.5" thickBot="1" x14ac:dyDescent="0.25">
      <c r="A254" s="185" t="s">
        <v>945</v>
      </c>
      <c r="B254" s="194" t="s">
        <v>695</v>
      </c>
      <c r="C254" s="194" t="s">
        <v>695</v>
      </c>
      <c r="D254" s="194" t="s">
        <v>695</v>
      </c>
      <c r="E254" s="193" t="s">
        <v>694</v>
      </c>
      <c r="F254" s="160" t="s">
        <v>20</v>
      </c>
      <c r="G254" s="161"/>
      <c r="H254" s="186" t="str">
        <f t="shared" si="132"/>
        <v>N/A</v>
      </c>
      <c r="I254" s="186" t="b">
        <f t="shared" si="133"/>
        <v>1</v>
      </c>
      <c r="J254" s="186" t="str">
        <f t="shared" si="134"/>
        <v>N/A</v>
      </c>
      <c r="K254" s="186" t="b">
        <f t="shared" si="135"/>
        <v>1</v>
      </c>
      <c r="L254" s="186" t="str">
        <f t="shared" si="136"/>
        <v>N/A</v>
      </c>
      <c r="M254" s="186" t="b">
        <f t="shared" si="137"/>
        <v>1</v>
      </c>
      <c r="N254" s="186" t="str">
        <f t="shared" si="138"/>
        <v>Used?</v>
      </c>
      <c r="O254" s="186" t="b">
        <f t="shared" si="139"/>
        <v>0</v>
      </c>
      <c r="P254" s="26" t="s">
        <v>696</v>
      </c>
      <c r="Q254" s="160" t="s">
        <v>20</v>
      </c>
      <c r="R254" s="160" t="s">
        <v>20</v>
      </c>
      <c r="S254" s="26" t="s">
        <v>697</v>
      </c>
      <c r="T254" s="165" t="str">
        <f t="shared" si="140"/>
        <v>Not Used</v>
      </c>
      <c r="U254" s="162"/>
      <c r="V254" s="55"/>
      <c r="W254" s="51" t="b">
        <f t="shared" si="141"/>
        <v>1</v>
      </c>
      <c r="X254" s="51" t="str">
        <f t="shared" si="142"/>
        <v>Not Used</v>
      </c>
      <c r="Y254" s="51" t="str">
        <f t="shared" si="143"/>
        <v>Not Used</v>
      </c>
      <c r="Z254" s="51" t="str">
        <f t="shared" si="144"/>
        <v>Not Used</v>
      </c>
      <c r="AA254" s="51" t="str">
        <f t="shared" si="144"/>
        <v>Not Used</v>
      </c>
      <c r="AB254" s="51" t="str">
        <f t="shared" si="145"/>
        <v>Not Used</v>
      </c>
      <c r="AC254" s="51" t="b">
        <f t="shared" si="146"/>
        <v>1</v>
      </c>
      <c r="AD254" s="51">
        <f>COUNTIF($X$5:$X$254, "Not Used")</f>
        <v>250</v>
      </c>
      <c r="AE254" s="51">
        <f>COUNTIF($X$5:$X$254, "TRUE")</f>
        <v>0</v>
      </c>
      <c r="AF254" s="51" t="b">
        <f t="shared" si="147"/>
        <v>1</v>
      </c>
      <c r="AI254" s="51" t="b">
        <f t="shared" si="148"/>
        <v>0</v>
      </c>
      <c r="AJ254" s="51" t="b">
        <f t="shared" si="149"/>
        <v>0</v>
      </c>
      <c r="AK254" s="51" t="b">
        <f t="shared" si="150"/>
        <v>0</v>
      </c>
      <c r="AL254" s="51" t="b">
        <f t="shared" si="151"/>
        <v>0</v>
      </c>
      <c r="AM254" s="51" t="b">
        <f t="shared" si="152"/>
        <v>0</v>
      </c>
      <c r="AN254" s="51"/>
      <c r="AO254" s="51" t="b">
        <f t="shared" si="153"/>
        <v>0</v>
      </c>
      <c r="AP254" s="51" t="str">
        <f t="shared" si="175"/>
        <v>Not in MMS</v>
      </c>
      <c r="AQ254" s="51" t="b">
        <f t="shared" si="154"/>
        <v>0</v>
      </c>
      <c r="AR254" s="51" t="b">
        <f t="shared" si="155"/>
        <v>0</v>
      </c>
      <c r="AS254" s="51" t="str">
        <f t="shared" si="156"/>
        <v/>
      </c>
      <c r="AT254" s="51" t="str">
        <f t="shared" si="157"/>
        <v/>
      </c>
      <c r="AU254" s="51" t="str">
        <f t="shared" si="158"/>
        <v/>
      </c>
      <c r="AV254" s="51" t="str">
        <f t="shared" si="159"/>
        <v/>
      </c>
      <c r="AW254" s="51" t="str">
        <f t="shared" si="160"/>
        <v/>
      </c>
      <c r="AX254" s="51" t="str">
        <f t="shared" si="161"/>
        <v/>
      </c>
      <c r="AY254" s="51" t="str">
        <f t="shared" si="162"/>
        <v/>
      </c>
      <c r="AZ254" s="51" t="str">
        <f t="shared" si="163"/>
        <v/>
      </c>
      <c r="BA254" s="51" t="str">
        <f t="shared" si="164"/>
        <v/>
      </c>
      <c r="BB254" s="51" t="str">
        <f t="shared" si="165"/>
        <v/>
      </c>
      <c r="BC254" s="51" t="str">
        <f t="shared" si="166"/>
        <v/>
      </c>
      <c r="BD254" s="51" t="str">
        <f t="shared" si="167"/>
        <v/>
      </c>
      <c r="BE254" s="51" t="str">
        <f t="shared" si="168"/>
        <v/>
      </c>
      <c r="BF254" s="51" t="str">
        <f t="shared" si="169"/>
        <v/>
      </c>
      <c r="BG254" s="51" t="str">
        <f t="shared" si="170"/>
        <v/>
      </c>
      <c r="BH254" s="51" t="b">
        <f t="shared" si="171"/>
        <v>0</v>
      </c>
      <c r="BI254" s="51" t="str">
        <f t="shared" si="172"/>
        <v/>
      </c>
      <c r="BJ254" s="51" t="str">
        <f t="shared" si="173"/>
        <v/>
      </c>
      <c r="BK254" s="51" t="b">
        <f t="shared" si="174"/>
        <v>0</v>
      </c>
      <c r="BL254" s="192"/>
    </row>
    <row r="255" spans="1:64" ht="13.5" thickBot="1" x14ac:dyDescent="0.25">
      <c r="A255" s="185" t="s">
        <v>946</v>
      </c>
      <c r="B255" s="194" t="s">
        <v>695</v>
      </c>
      <c r="C255" s="194" t="s">
        <v>695</v>
      </c>
      <c r="D255" s="194" t="s">
        <v>695</v>
      </c>
      <c r="E255" s="193" t="s">
        <v>694</v>
      </c>
      <c r="F255" s="160" t="s">
        <v>20</v>
      </c>
      <c r="G255" s="161"/>
      <c r="H255" s="186" t="str">
        <f t="shared" si="132"/>
        <v>N/A</v>
      </c>
      <c r="I255" s="186" t="b">
        <f t="shared" si="133"/>
        <v>1</v>
      </c>
      <c r="J255" s="186" t="str">
        <f t="shared" si="134"/>
        <v>N/A</v>
      </c>
      <c r="K255" s="186" t="b">
        <f t="shared" si="135"/>
        <v>1</v>
      </c>
      <c r="L255" s="186" t="str">
        <f t="shared" si="136"/>
        <v>N/A</v>
      </c>
      <c r="M255" s="186" t="b">
        <f t="shared" si="137"/>
        <v>1</v>
      </c>
      <c r="N255" s="186" t="str">
        <f t="shared" si="138"/>
        <v>Used?</v>
      </c>
      <c r="O255" s="186" t="b">
        <f t="shared" si="139"/>
        <v>0</v>
      </c>
      <c r="P255" s="26" t="s">
        <v>696</v>
      </c>
      <c r="Q255" s="160" t="s">
        <v>20</v>
      </c>
      <c r="R255" s="160" t="s">
        <v>20</v>
      </c>
      <c r="S255" s="26" t="s">
        <v>697</v>
      </c>
      <c r="T255" s="165" t="str">
        <f t="shared" si="140"/>
        <v>Not Used</v>
      </c>
      <c r="U255" s="162"/>
      <c r="V255" s="55"/>
      <c r="W255" s="51" t="b">
        <f t="shared" si="141"/>
        <v>1</v>
      </c>
      <c r="X255" s="51" t="str">
        <f t="shared" si="142"/>
        <v>Not Used</v>
      </c>
      <c r="Y255" s="51" t="str">
        <f t="shared" si="143"/>
        <v>Not Used</v>
      </c>
      <c r="Z255" s="51" t="str">
        <f t="shared" si="144"/>
        <v>Not Used</v>
      </c>
      <c r="AA255" s="51" t="str">
        <f t="shared" si="144"/>
        <v>Not Used</v>
      </c>
      <c r="AB255" s="51" t="str">
        <f t="shared" si="145"/>
        <v>Not Used</v>
      </c>
      <c r="AC255" s="51" t="b">
        <f t="shared" si="146"/>
        <v>1</v>
      </c>
      <c r="AD255" s="51">
        <f>COUNTIF($X$5:$X$255, "Not Used")</f>
        <v>251</v>
      </c>
      <c r="AE255" s="51">
        <f>COUNTIF($X$5:$X$255, "TRUE")</f>
        <v>0</v>
      </c>
      <c r="AF255" s="51" t="b">
        <f t="shared" si="147"/>
        <v>1</v>
      </c>
      <c r="AI255" s="51" t="b">
        <f t="shared" si="148"/>
        <v>0</v>
      </c>
      <c r="AJ255" s="51" t="b">
        <f t="shared" si="149"/>
        <v>0</v>
      </c>
      <c r="AK255" s="51" t="b">
        <f t="shared" si="150"/>
        <v>0</v>
      </c>
      <c r="AL255" s="51" t="b">
        <f t="shared" si="151"/>
        <v>0</v>
      </c>
      <c r="AM255" s="51" t="b">
        <f t="shared" si="152"/>
        <v>0</v>
      </c>
      <c r="AN255" s="51"/>
      <c r="AO255" s="51" t="b">
        <f t="shared" si="153"/>
        <v>0</v>
      </c>
      <c r="AP255" s="51" t="str">
        <f t="shared" si="175"/>
        <v>Not in MMS</v>
      </c>
      <c r="AQ255" s="51" t="b">
        <f t="shared" si="154"/>
        <v>0</v>
      </c>
      <c r="AR255" s="51" t="b">
        <f t="shared" si="155"/>
        <v>0</v>
      </c>
      <c r="AS255" s="51" t="str">
        <f t="shared" si="156"/>
        <v/>
      </c>
      <c r="AT255" s="51" t="str">
        <f t="shared" si="157"/>
        <v/>
      </c>
      <c r="AU255" s="51" t="str">
        <f t="shared" si="158"/>
        <v/>
      </c>
      <c r="AV255" s="51" t="str">
        <f t="shared" si="159"/>
        <v/>
      </c>
      <c r="AW255" s="51" t="str">
        <f t="shared" si="160"/>
        <v/>
      </c>
      <c r="AX255" s="51" t="str">
        <f t="shared" si="161"/>
        <v/>
      </c>
      <c r="AY255" s="51" t="str">
        <f t="shared" si="162"/>
        <v/>
      </c>
      <c r="AZ255" s="51" t="str">
        <f t="shared" si="163"/>
        <v/>
      </c>
      <c r="BA255" s="51" t="str">
        <f t="shared" si="164"/>
        <v/>
      </c>
      <c r="BB255" s="51" t="str">
        <f t="shared" si="165"/>
        <v/>
      </c>
      <c r="BC255" s="51" t="str">
        <f t="shared" si="166"/>
        <v/>
      </c>
      <c r="BD255" s="51" t="str">
        <f t="shared" si="167"/>
        <v/>
      </c>
      <c r="BE255" s="51" t="str">
        <f t="shared" si="168"/>
        <v/>
      </c>
      <c r="BF255" s="51" t="str">
        <f t="shared" si="169"/>
        <v/>
      </c>
      <c r="BG255" s="51" t="str">
        <f t="shared" si="170"/>
        <v/>
      </c>
      <c r="BH255" s="51" t="b">
        <f t="shared" si="171"/>
        <v>0</v>
      </c>
      <c r="BI255" s="51" t="str">
        <f t="shared" si="172"/>
        <v/>
      </c>
      <c r="BJ255" s="51" t="str">
        <f t="shared" si="173"/>
        <v/>
      </c>
      <c r="BK255" s="51" t="b">
        <f t="shared" si="174"/>
        <v>0</v>
      </c>
      <c r="BL255" s="192"/>
    </row>
    <row r="256" spans="1:64" ht="13.5" thickBot="1" x14ac:dyDescent="0.25">
      <c r="A256" s="185" t="s">
        <v>947</v>
      </c>
      <c r="B256" s="194" t="s">
        <v>695</v>
      </c>
      <c r="C256" s="194" t="s">
        <v>695</v>
      </c>
      <c r="D256" s="194" t="s">
        <v>695</v>
      </c>
      <c r="E256" s="193" t="s">
        <v>694</v>
      </c>
      <c r="F256" s="160" t="s">
        <v>20</v>
      </c>
      <c r="G256" s="161"/>
      <c r="H256" s="186" t="str">
        <f t="shared" si="132"/>
        <v>N/A</v>
      </c>
      <c r="I256" s="186" t="b">
        <f t="shared" si="133"/>
        <v>1</v>
      </c>
      <c r="J256" s="186" t="str">
        <f t="shared" si="134"/>
        <v>N/A</v>
      </c>
      <c r="K256" s="186" t="b">
        <f t="shared" si="135"/>
        <v>1</v>
      </c>
      <c r="L256" s="186" t="str">
        <f t="shared" si="136"/>
        <v>N/A</v>
      </c>
      <c r="M256" s="186" t="b">
        <f t="shared" si="137"/>
        <v>1</v>
      </c>
      <c r="N256" s="186" t="str">
        <f t="shared" si="138"/>
        <v>Used?</v>
      </c>
      <c r="O256" s="186" t="b">
        <f t="shared" si="139"/>
        <v>0</v>
      </c>
      <c r="P256" s="26" t="s">
        <v>696</v>
      </c>
      <c r="Q256" s="160" t="s">
        <v>20</v>
      </c>
      <c r="R256" s="160" t="s">
        <v>20</v>
      </c>
      <c r="S256" s="26" t="s">
        <v>697</v>
      </c>
      <c r="T256" s="165" t="str">
        <f t="shared" si="140"/>
        <v>Not Used</v>
      </c>
      <c r="U256" s="162"/>
      <c r="V256" s="55"/>
      <c r="W256" s="51" t="b">
        <f t="shared" si="141"/>
        <v>1</v>
      </c>
      <c r="X256" s="51" t="str">
        <f t="shared" si="142"/>
        <v>Not Used</v>
      </c>
      <c r="Y256" s="51" t="str">
        <f t="shared" si="143"/>
        <v>Not Used</v>
      </c>
      <c r="Z256" s="51" t="str">
        <f t="shared" si="144"/>
        <v>Not Used</v>
      </c>
      <c r="AA256" s="51" t="str">
        <f t="shared" si="144"/>
        <v>Not Used</v>
      </c>
      <c r="AB256" s="51" t="str">
        <f t="shared" si="145"/>
        <v>Not Used</v>
      </c>
      <c r="AC256" s="51" t="b">
        <f t="shared" si="146"/>
        <v>1</v>
      </c>
      <c r="AD256" s="51">
        <f>COUNTIF($X$5:$X$256, "Not Used")</f>
        <v>252</v>
      </c>
      <c r="AE256" s="51">
        <f>COUNTIF($X$5:$X$256, "TRUE")</f>
        <v>0</v>
      </c>
      <c r="AF256" s="51" t="b">
        <f t="shared" si="147"/>
        <v>1</v>
      </c>
      <c r="AI256" s="51" t="b">
        <f t="shared" si="148"/>
        <v>0</v>
      </c>
      <c r="AJ256" s="51" t="b">
        <f t="shared" si="149"/>
        <v>0</v>
      </c>
      <c r="AK256" s="51" t="b">
        <f t="shared" si="150"/>
        <v>0</v>
      </c>
      <c r="AL256" s="51" t="b">
        <f t="shared" si="151"/>
        <v>0</v>
      </c>
      <c r="AM256" s="51" t="b">
        <f t="shared" si="152"/>
        <v>0</v>
      </c>
      <c r="AN256" s="51"/>
      <c r="AO256" s="51" t="b">
        <f t="shared" si="153"/>
        <v>0</v>
      </c>
      <c r="AP256" s="51" t="str">
        <f t="shared" si="175"/>
        <v>Not in MMS</v>
      </c>
      <c r="AQ256" s="51" t="b">
        <f t="shared" si="154"/>
        <v>0</v>
      </c>
      <c r="AR256" s="51" t="b">
        <f t="shared" si="155"/>
        <v>0</v>
      </c>
      <c r="AS256" s="51" t="str">
        <f t="shared" si="156"/>
        <v/>
      </c>
      <c r="AT256" s="51" t="str">
        <f t="shared" si="157"/>
        <v/>
      </c>
      <c r="AU256" s="51" t="str">
        <f t="shared" si="158"/>
        <v/>
      </c>
      <c r="AV256" s="51" t="str">
        <f t="shared" si="159"/>
        <v/>
      </c>
      <c r="AW256" s="51" t="str">
        <f t="shared" si="160"/>
        <v/>
      </c>
      <c r="AX256" s="51" t="str">
        <f t="shared" si="161"/>
        <v/>
      </c>
      <c r="AY256" s="51" t="str">
        <f t="shared" si="162"/>
        <v/>
      </c>
      <c r="AZ256" s="51" t="str">
        <f t="shared" si="163"/>
        <v/>
      </c>
      <c r="BA256" s="51" t="str">
        <f t="shared" si="164"/>
        <v/>
      </c>
      <c r="BB256" s="51" t="str">
        <f t="shared" si="165"/>
        <v/>
      </c>
      <c r="BC256" s="51" t="str">
        <f t="shared" si="166"/>
        <v/>
      </c>
      <c r="BD256" s="51" t="str">
        <f t="shared" si="167"/>
        <v/>
      </c>
      <c r="BE256" s="51" t="str">
        <f t="shared" si="168"/>
        <v/>
      </c>
      <c r="BF256" s="51" t="str">
        <f t="shared" si="169"/>
        <v/>
      </c>
      <c r="BG256" s="51" t="str">
        <f t="shared" si="170"/>
        <v/>
      </c>
      <c r="BH256" s="51" t="b">
        <f t="shared" si="171"/>
        <v>0</v>
      </c>
      <c r="BI256" s="51" t="str">
        <f t="shared" si="172"/>
        <v/>
      </c>
      <c r="BJ256" s="51" t="str">
        <f t="shared" si="173"/>
        <v/>
      </c>
      <c r="BK256" s="51" t="b">
        <f t="shared" si="174"/>
        <v>0</v>
      </c>
      <c r="BL256" s="192"/>
    </row>
    <row r="257" spans="1:64" ht="13.5" thickBot="1" x14ac:dyDescent="0.25">
      <c r="A257" s="185" t="s">
        <v>948</v>
      </c>
      <c r="B257" s="194" t="s">
        <v>695</v>
      </c>
      <c r="C257" s="194" t="s">
        <v>695</v>
      </c>
      <c r="D257" s="194" t="s">
        <v>695</v>
      </c>
      <c r="E257" s="193" t="s">
        <v>694</v>
      </c>
      <c r="F257" s="160" t="s">
        <v>20</v>
      </c>
      <c r="G257" s="161"/>
      <c r="H257" s="186" t="str">
        <f t="shared" si="132"/>
        <v>N/A</v>
      </c>
      <c r="I257" s="186" t="b">
        <f t="shared" si="133"/>
        <v>1</v>
      </c>
      <c r="J257" s="186" t="str">
        <f t="shared" si="134"/>
        <v>N/A</v>
      </c>
      <c r="K257" s="186" t="b">
        <f t="shared" si="135"/>
        <v>1</v>
      </c>
      <c r="L257" s="186" t="str">
        <f t="shared" si="136"/>
        <v>N/A</v>
      </c>
      <c r="M257" s="186" t="b">
        <f t="shared" si="137"/>
        <v>1</v>
      </c>
      <c r="N257" s="186" t="str">
        <f t="shared" si="138"/>
        <v>Used?</v>
      </c>
      <c r="O257" s="186" t="b">
        <f t="shared" si="139"/>
        <v>0</v>
      </c>
      <c r="P257" s="26" t="s">
        <v>696</v>
      </c>
      <c r="Q257" s="160" t="s">
        <v>20</v>
      </c>
      <c r="R257" s="160" t="s">
        <v>20</v>
      </c>
      <c r="S257" s="26" t="s">
        <v>697</v>
      </c>
      <c r="T257" s="165" t="str">
        <f t="shared" si="140"/>
        <v>Not Used</v>
      </c>
      <c r="U257" s="162"/>
      <c r="V257" s="55"/>
      <c r="W257" s="51" t="b">
        <f t="shared" si="141"/>
        <v>1</v>
      </c>
      <c r="X257" s="51" t="str">
        <f t="shared" si="142"/>
        <v>Not Used</v>
      </c>
      <c r="Y257" s="51" t="str">
        <f t="shared" si="143"/>
        <v>Not Used</v>
      </c>
      <c r="Z257" s="51" t="str">
        <f t="shared" si="144"/>
        <v>Not Used</v>
      </c>
      <c r="AA257" s="51" t="str">
        <f t="shared" si="144"/>
        <v>Not Used</v>
      </c>
      <c r="AB257" s="51" t="str">
        <f t="shared" si="145"/>
        <v>Not Used</v>
      </c>
      <c r="AC257" s="51" t="b">
        <f t="shared" si="146"/>
        <v>1</v>
      </c>
      <c r="AD257" s="51">
        <f>COUNTIF($X$5:$X$257, "Not Used")</f>
        <v>253</v>
      </c>
      <c r="AE257" s="51">
        <f>COUNTIF($X$5:$X$257, "TRUE")</f>
        <v>0</v>
      </c>
      <c r="AF257" s="51" t="b">
        <f t="shared" si="147"/>
        <v>1</v>
      </c>
      <c r="AI257" s="51" t="b">
        <f t="shared" si="148"/>
        <v>0</v>
      </c>
      <c r="AJ257" s="51" t="b">
        <f t="shared" si="149"/>
        <v>0</v>
      </c>
      <c r="AK257" s="51" t="b">
        <f t="shared" si="150"/>
        <v>0</v>
      </c>
      <c r="AL257" s="51" t="b">
        <f t="shared" si="151"/>
        <v>0</v>
      </c>
      <c r="AM257" s="51" t="b">
        <f t="shared" si="152"/>
        <v>0</v>
      </c>
      <c r="AN257" s="51"/>
      <c r="AO257" s="51" t="b">
        <f t="shared" si="153"/>
        <v>0</v>
      </c>
      <c r="AP257" s="51" t="str">
        <f t="shared" si="175"/>
        <v>Not in MMS</v>
      </c>
      <c r="AQ257" s="51" t="b">
        <f t="shared" si="154"/>
        <v>0</v>
      </c>
      <c r="AR257" s="51" t="b">
        <f t="shared" si="155"/>
        <v>0</v>
      </c>
      <c r="AS257" s="51" t="str">
        <f t="shared" si="156"/>
        <v/>
      </c>
      <c r="AT257" s="51" t="str">
        <f t="shared" si="157"/>
        <v/>
      </c>
      <c r="AU257" s="51" t="str">
        <f t="shared" si="158"/>
        <v/>
      </c>
      <c r="AV257" s="51" t="str">
        <f t="shared" si="159"/>
        <v/>
      </c>
      <c r="AW257" s="51" t="str">
        <f t="shared" si="160"/>
        <v/>
      </c>
      <c r="AX257" s="51" t="str">
        <f t="shared" si="161"/>
        <v/>
      </c>
      <c r="AY257" s="51" t="str">
        <f t="shared" si="162"/>
        <v/>
      </c>
      <c r="AZ257" s="51" t="str">
        <f t="shared" si="163"/>
        <v/>
      </c>
      <c r="BA257" s="51" t="str">
        <f t="shared" si="164"/>
        <v/>
      </c>
      <c r="BB257" s="51" t="str">
        <f t="shared" si="165"/>
        <v/>
      </c>
      <c r="BC257" s="51" t="str">
        <f t="shared" si="166"/>
        <v/>
      </c>
      <c r="BD257" s="51" t="str">
        <f t="shared" si="167"/>
        <v/>
      </c>
      <c r="BE257" s="51" t="str">
        <f t="shared" si="168"/>
        <v/>
      </c>
      <c r="BF257" s="51" t="str">
        <f t="shared" si="169"/>
        <v/>
      </c>
      <c r="BG257" s="51" t="str">
        <f t="shared" si="170"/>
        <v/>
      </c>
      <c r="BH257" s="51" t="b">
        <f t="shared" si="171"/>
        <v>0</v>
      </c>
      <c r="BI257" s="51" t="str">
        <f t="shared" si="172"/>
        <v/>
      </c>
      <c r="BJ257" s="51" t="str">
        <f t="shared" si="173"/>
        <v/>
      </c>
      <c r="BK257" s="51" t="b">
        <f t="shared" si="174"/>
        <v>0</v>
      </c>
      <c r="BL257" s="192"/>
    </row>
    <row r="258" spans="1:64" ht="13.5" thickBot="1" x14ac:dyDescent="0.25">
      <c r="A258" s="185" t="s">
        <v>949</v>
      </c>
      <c r="B258" s="194" t="s">
        <v>695</v>
      </c>
      <c r="C258" s="194" t="s">
        <v>695</v>
      </c>
      <c r="D258" s="194" t="s">
        <v>695</v>
      </c>
      <c r="E258" s="193" t="s">
        <v>694</v>
      </c>
      <c r="F258" s="160" t="s">
        <v>20</v>
      </c>
      <c r="G258" s="161"/>
      <c r="H258" s="186" t="str">
        <f t="shared" si="132"/>
        <v>N/A</v>
      </c>
      <c r="I258" s="186" t="b">
        <f t="shared" si="133"/>
        <v>1</v>
      </c>
      <c r="J258" s="186" t="str">
        <f t="shared" si="134"/>
        <v>N/A</v>
      </c>
      <c r="K258" s="186" t="b">
        <f t="shared" si="135"/>
        <v>1</v>
      </c>
      <c r="L258" s="186" t="str">
        <f t="shared" si="136"/>
        <v>N/A</v>
      </c>
      <c r="M258" s="186" t="b">
        <f t="shared" si="137"/>
        <v>1</v>
      </c>
      <c r="N258" s="186" t="str">
        <f t="shared" si="138"/>
        <v>Used?</v>
      </c>
      <c r="O258" s="186" t="b">
        <f t="shared" si="139"/>
        <v>0</v>
      </c>
      <c r="P258" s="26" t="s">
        <v>696</v>
      </c>
      <c r="Q258" s="160" t="s">
        <v>20</v>
      </c>
      <c r="R258" s="160" t="s">
        <v>20</v>
      </c>
      <c r="S258" s="26" t="s">
        <v>697</v>
      </c>
      <c r="T258" s="165" t="str">
        <f t="shared" si="140"/>
        <v>Not Used</v>
      </c>
      <c r="U258" s="162"/>
      <c r="V258" s="55"/>
      <c r="W258" s="51" t="b">
        <f t="shared" si="141"/>
        <v>1</v>
      </c>
      <c r="X258" s="51" t="str">
        <f t="shared" si="142"/>
        <v>Not Used</v>
      </c>
      <c r="Y258" s="51" t="str">
        <f t="shared" si="143"/>
        <v>Not Used</v>
      </c>
      <c r="Z258" s="51" t="str">
        <f t="shared" si="144"/>
        <v>Not Used</v>
      </c>
      <c r="AA258" s="51" t="str">
        <f t="shared" si="144"/>
        <v>Not Used</v>
      </c>
      <c r="AB258" s="51" t="str">
        <f t="shared" si="145"/>
        <v>Not Used</v>
      </c>
      <c r="AC258" s="51" t="b">
        <f t="shared" si="146"/>
        <v>1</v>
      </c>
      <c r="AD258" s="51">
        <f>COUNTIF($X$5:$X$258, "Not Used")</f>
        <v>254</v>
      </c>
      <c r="AE258" s="51">
        <f>COUNTIF($X$5:$X$258, "TRUE")</f>
        <v>0</v>
      </c>
      <c r="AF258" s="51" t="b">
        <f t="shared" si="147"/>
        <v>1</v>
      </c>
      <c r="AI258" s="51" t="b">
        <f t="shared" si="148"/>
        <v>0</v>
      </c>
      <c r="AJ258" s="51" t="b">
        <f t="shared" si="149"/>
        <v>0</v>
      </c>
      <c r="AK258" s="51" t="b">
        <f t="shared" si="150"/>
        <v>0</v>
      </c>
      <c r="AL258" s="51" t="b">
        <f t="shared" si="151"/>
        <v>0</v>
      </c>
      <c r="AM258" s="51" t="b">
        <f t="shared" si="152"/>
        <v>0</v>
      </c>
      <c r="AN258" s="51"/>
      <c r="AO258" s="51" t="b">
        <f t="shared" si="153"/>
        <v>0</v>
      </c>
      <c r="AP258" s="51" t="str">
        <f t="shared" si="175"/>
        <v>Not in MMS</v>
      </c>
      <c r="AQ258" s="51" t="b">
        <f t="shared" si="154"/>
        <v>0</v>
      </c>
      <c r="AR258" s="51" t="b">
        <f t="shared" si="155"/>
        <v>0</v>
      </c>
      <c r="AS258" s="51" t="str">
        <f t="shared" si="156"/>
        <v/>
      </c>
      <c r="AT258" s="51" t="str">
        <f t="shared" si="157"/>
        <v/>
      </c>
      <c r="AU258" s="51" t="str">
        <f t="shared" si="158"/>
        <v/>
      </c>
      <c r="AV258" s="51" t="str">
        <f t="shared" si="159"/>
        <v/>
      </c>
      <c r="AW258" s="51" t="str">
        <f t="shared" si="160"/>
        <v/>
      </c>
      <c r="AX258" s="51" t="str">
        <f t="shared" si="161"/>
        <v/>
      </c>
      <c r="AY258" s="51" t="str">
        <f t="shared" si="162"/>
        <v/>
      </c>
      <c r="AZ258" s="51" t="str">
        <f t="shared" si="163"/>
        <v/>
      </c>
      <c r="BA258" s="51" t="str">
        <f t="shared" si="164"/>
        <v/>
      </c>
      <c r="BB258" s="51" t="str">
        <f t="shared" si="165"/>
        <v/>
      </c>
      <c r="BC258" s="51" t="str">
        <f t="shared" si="166"/>
        <v/>
      </c>
      <c r="BD258" s="51" t="str">
        <f t="shared" si="167"/>
        <v/>
      </c>
      <c r="BE258" s="51" t="str">
        <f t="shared" si="168"/>
        <v/>
      </c>
      <c r="BF258" s="51" t="str">
        <f t="shared" si="169"/>
        <v/>
      </c>
      <c r="BG258" s="51" t="str">
        <f t="shared" si="170"/>
        <v/>
      </c>
      <c r="BH258" s="51" t="b">
        <f t="shared" si="171"/>
        <v>0</v>
      </c>
      <c r="BI258" s="51" t="str">
        <f t="shared" si="172"/>
        <v/>
      </c>
      <c r="BJ258" s="51" t="str">
        <f t="shared" si="173"/>
        <v/>
      </c>
      <c r="BK258" s="51" t="b">
        <f t="shared" si="174"/>
        <v>0</v>
      </c>
      <c r="BL258" s="192"/>
    </row>
    <row r="259" spans="1:64" ht="13.5" thickBot="1" x14ac:dyDescent="0.25">
      <c r="A259" s="185" t="s">
        <v>950</v>
      </c>
      <c r="B259" s="194" t="s">
        <v>695</v>
      </c>
      <c r="C259" s="194" t="s">
        <v>695</v>
      </c>
      <c r="D259" s="194" t="s">
        <v>695</v>
      </c>
      <c r="E259" s="193" t="s">
        <v>694</v>
      </c>
      <c r="F259" s="160" t="s">
        <v>20</v>
      </c>
      <c r="G259" s="161"/>
      <c r="H259" s="186" t="str">
        <f t="shared" si="132"/>
        <v>N/A</v>
      </c>
      <c r="I259" s="186" t="b">
        <f t="shared" si="133"/>
        <v>1</v>
      </c>
      <c r="J259" s="186" t="str">
        <f t="shared" si="134"/>
        <v>N/A</v>
      </c>
      <c r="K259" s="186" t="b">
        <f t="shared" si="135"/>
        <v>1</v>
      </c>
      <c r="L259" s="186" t="str">
        <f t="shared" si="136"/>
        <v>N/A</v>
      </c>
      <c r="M259" s="186" t="b">
        <f t="shared" si="137"/>
        <v>1</v>
      </c>
      <c r="N259" s="186" t="str">
        <f t="shared" si="138"/>
        <v>Used?</v>
      </c>
      <c r="O259" s="186" t="b">
        <f t="shared" si="139"/>
        <v>0</v>
      </c>
      <c r="P259" s="26" t="s">
        <v>696</v>
      </c>
      <c r="Q259" s="160" t="s">
        <v>20</v>
      </c>
      <c r="R259" s="160" t="s">
        <v>20</v>
      </c>
      <c r="S259" s="26" t="s">
        <v>697</v>
      </c>
      <c r="T259" s="165" t="str">
        <f t="shared" si="140"/>
        <v>Not Used</v>
      </c>
      <c r="U259" s="162"/>
      <c r="V259" s="55"/>
      <c r="W259" s="51" t="b">
        <f t="shared" si="141"/>
        <v>1</v>
      </c>
      <c r="X259" s="51" t="str">
        <f t="shared" si="142"/>
        <v>Not Used</v>
      </c>
      <c r="Y259" s="51" t="str">
        <f t="shared" si="143"/>
        <v>Not Used</v>
      </c>
      <c r="Z259" s="51" t="str">
        <f t="shared" si="144"/>
        <v>Not Used</v>
      </c>
      <c r="AA259" s="51" t="str">
        <f t="shared" si="144"/>
        <v>Not Used</v>
      </c>
      <c r="AB259" s="51" t="str">
        <f t="shared" si="145"/>
        <v>Not Used</v>
      </c>
      <c r="AC259" s="51" t="b">
        <f t="shared" si="146"/>
        <v>1</v>
      </c>
      <c r="AD259" s="51">
        <f>COUNTIF($X$5:$X$259, "Not Used")</f>
        <v>255</v>
      </c>
      <c r="AE259" s="51">
        <f>COUNTIF($X$5:$X$259, "TRUE")</f>
        <v>0</v>
      </c>
      <c r="AF259" s="51" t="b">
        <f t="shared" si="147"/>
        <v>1</v>
      </c>
      <c r="AI259" s="51" t="b">
        <f t="shared" si="148"/>
        <v>0</v>
      </c>
      <c r="AJ259" s="51" t="b">
        <f t="shared" si="149"/>
        <v>0</v>
      </c>
      <c r="AK259" s="51" t="b">
        <f t="shared" si="150"/>
        <v>0</v>
      </c>
      <c r="AL259" s="51" t="b">
        <f t="shared" si="151"/>
        <v>0</v>
      </c>
      <c r="AM259" s="51" t="b">
        <f t="shared" si="152"/>
        <v>0</v>
      </c>
      <c r="AN259" s="51"/>
      <c r="AO259" s="51" t="b">
        <f t="shared" si="153"/>
        <v>0</v>
      </c>
      <c r="AP259" s="51" t="str">
        <f t="shared" si="175"/>
        <v>Not in MMS</v>
      </c>
      <c r="AQ259" s="51" t="b">
        <f t="shared" si="154"/>
        <v>0</v>
      </c>
      <c r="AR259" s="51" t="b">
        <f t="shared" si="155"/>
        <v>0</v>
      </c>
      <c r="AS259" s="51" t="str">
        <f t="shared" si="156"/>
        <v/>
      </c>
      <c r="AT259" s="51" t="str">
        <f t="shared" si="157"/>
        <v/>
      </c>
      <c r="AU259" s="51" t="str">
        <f t="shared" si="158"/>
        <v/>
      </c>
      <c r="AV259" s="51" t="str">
        <f t="shared" si="159"/>
        <v/>
      </c>
      <c r="AW259" s="51" t="str">
        <f t="shared" si="160"/>
        <v/>
      </c>
      <c r="AX259" s="51" t="str">
        <f t="shared" si="161"/>
        <v/>
      </c>
      <c r="AY259" s="51" t="str">
        <f t="shared" si="162"/>
        <v/>
      </c>
      <c r="AZ259" s="51" t="str">
        <f t="shared" si="163"/>
        <v/>
      </c>
      <c r="BA259" s="51" t="str">
        <f t="shared" si="164"/>
        <v/>
      </c>
      <c r="BB259" s="51" t="str">
        <f t="shared" si="165"/>
        <v/>
      </c>
      <c r="BC259" s="51" t="str">
        <f t="shared" si="166"/>
        <v/>
      </c>
      <c r="BD259" s="51" t="str">
        <f t="shared" si="167"/>
        <v/>
      </c>
      <c r="BE259" s="51" t="str">
        <f t="shared" si="168"/>
        <v/>
      </c>
      <c r="BF259" s="51" t="str">
        <f t="shared" si="169"/>
        <v/>
      </c>
      <c r="BG259" s="51" t="str">
        <f t="shared" si="170"/>
        <v/>
      </c>
      <c r="BH259" s="51" t="b">
        <f t="shared" si="171"/>
        <v>0</v>
      </c>
      <c r="BI259" s="51" t="str">
        <f t="shared" si="172"/>
        <v/>
      </c>
      <c r="BJ259" s="51" t="str">
        <f t="shared" si="173"/>
        <v/>
      </c>
      <c r="BK259" s="51" t="b">
        <f t="shared" si="174"/>
        <v>0</v>
      </c>
      <c r="BL259" s="192"/>
    </row>
    <row r="260" spans="1:64" ht="13.5" thickBot="1" x14ac:dyDescent="0.25">
      <c r="A260" s="185" t="s">
        <v>951</v>
      </c>
      <c r="B260" s="194" t="s">
        <v>695</v>
      </c>
      <c r="C260" s="194" t="s">
        <v>695</v>
      </c>
      <c r="D260" s="194" t="s">
        <v>695</v>
      </c>
      <c r="E260" s="193" t="s">
        <v>694</v>
      </c>
      <c r="F260" s="160" t="s">
        <v>20</v>
      </c>
      <c r="G260" s="161"/>
      <c r="H260" s="186" t="str">
        <f t="shared" si="132"/>
        <v>N/A</v>
      </c>
      <c r="I260" s="186" t="b">
        <f t="shared" si="133"/>
        <v>1</v>
      </c>
      <c r="J260" s="186" t="str">
        <f t="shared" si="134"/>
        <v>N/A</v>
      </c>
      <c r="K260" s="186" t="b">
        <f t="shared" si="135"/>
        <v>1</v>
      </c>
      <c r="L260" s="186" t="str">
        <f t="shared" si="136"/>
        <v>N/A</v>
      </c>
      <c r="M260" s="186" t="b">
        <f t="shared" si="137"/>
        <v>1</v>
      </c>
      <c r="N260" s="186" t="str">
        <f t="shared" si="138"/>
        <v>Used?</v>
      </c>
      <c r="O260" s="186" t="b">
        <f t="shared" si="139"/>
        <v>0</v>
      </c>
      <c r="P260" s="26" t="s">
        <v>696</v>
      </c>
      <c r="Q260" s="160" t="s">
        <v>20</v>
      </c>
      <c r="R260" s="160" t="s">
        <v>20</v>
      </c>
      <c r="S260" s="26" t="s">
        <v>697</v>
      </c>
      <c r="T260" s="165" t="str">
        <f t="shared" si="140"/>
        <v>Not Used</v>
      </c>
      <c r="U260" s="162"/>
      <c r="V260" s="55"/>
      <c r="W260" s="51" t="b">
        <f t="shared" si="141"/>
        <v>1</v>
      </c>
      <c r="X260" s="51" t="str">
        <f t="shared" si="142"/>
        <v>Not Used</v>
      </c>
      <c r="Y260" s="51" t="str">
        <f t="shared" si="143"/>
        <v>Not Used</v>
      </c>
      <c r="Z260" s="51" t="str">
        <f t="shared" si="144"/>
        <v>Not Used</v>
      </c>
      <c r="AA260" s="51" t="str">
        <f t="shared" si="144"/>
        <v>Not Used</v>
      </c>
      <c r="AB260" s="51" t="str">
        <f t="shared" si="145"/>
        <v>Not Used</v>
      </c>
      <c r="AC260" s="51" t="b">
        <f t="shared" si="146"/>
        <v>1</v>
      </c>
      <c r="AD260" s="51">
        <f>COUNTIF($X$5:$X$260, "Not Used")</f>
        <v>256</v>
      </c>
      <c r="AE260" s="51">
        <f>COUNTIF($X$5:$X$260, "TRUE")</f>
        <v>0</v>
      </c>
      <c r="AF260" s="51" t="b">
        <f t="shared" si="147"/>
        <v>1</v>
      </c>
      <c r="AI260" s="51" t="b">
        <f t="shared" si="148"/>
        <v>0</v>
      </c>
      <c r="AJ260" s="51" t="b">
        <f t="shared" si="149"/>
        <v>0</v>
      </c>
      <c r="AK260" s="51" t="b">
        <f t="shared" si="150"/>
        <v>0</v>
      </c>
      <c r="AL260" s="51" t="b">
        <f t="shared" si="151"/>
        <v>0</v>
      </c>
      <c r="AM260" s="51" t="b">
        <f t="shared" si="152"/>
        <v>0</v>
      </c>
      <c r="AN260" s="51"/>
      <c r="AO260" s="51" t="b">
        <f t="shared" si="153"/>
        <v>0</v>
      </c>
      <c r="AP260" s="51" t="str">
        <f t="shared" si="175"/>
        <v>Not in MMS</v>
      </c>
      <c r="AQ260" s="51" t="b">
        <f t="shared" si="154"/>
        <v>0</v>
      </c>
      <c r="AR260" s="51" t="b">
        <f t="shared" si="155"/>
        <v>0</v>
      </c>
      <c r="AS260" s="51" t="str">
        <f t="shared" si="156"/>
        <v/>
      </c>
      <c r="AT260" s="51" t="str">
        <f t="shared" si="157"/>
        <v/>
      </c>
      <c r="AU260" s="51" t="str">
        <f t="shared" si="158"/>
        <v/>
      </c>
      <c r="AV260" s="51" t="str">
        <f t="shared" si="159"/>
        <v/>
      </c>
      <c r="AW260" s="51" t="str">
        <f t="shared" si="160"/>
        <v/>
      </c>
      <c r="AX260" s="51" t="str">
        <f t="shared" si="161"/>
        <v/>
      </c>
      <c r="AY260" s="51" t="str">
        <f t="shared" si="162"/>
        <v/>
      </c>
      <c r="AZ260" s="51" t="str">
        <f t="shared" si="163"/>
        <v/>
      </c>
      <c r="BA260" s="51" t="str">
        <f t="shared" si="164"/>
        <v/>
      </c>
      <c r="BB260" s="51" t="str">
        <f t="shared" si="165"/>
        <v/>
      </c>
      <c r="BC260" s="51" t="str">
        <f t="shared" si="166"/>
        <v/>
      </c>
      <c r="BD260" s="51" t="str">
        <f t="shared" si="167"/>
        <v/>
      </c>
      <c r="BE260" s="51" t="str">
        <f t="shared" si="168"/>
        <v/>
      </c>
      <c r="BF260" s="51" t="str">
        <f t="shared" si="169"/>
        <v/>
      </c>
      <c r="BG260" s="51" t="str">
        <f t="shared" si="170"/>
        <v/>
      </c>
      <c r="BH260" s="51" t="b">
        <f t="shared" si="171"/>
        <v>0</v>
      </c>
      <c r="BI260" s="51" t="str">
        <f t="shared" si="172"/>
        <v/>
      </c>
      <c r="BJ260" s="51" t="str">
        <f t="shared" si="173"/>
        <v/>
      </c>
      <c r="BK260" s="51" t="b">
        <f t="shared" si="174"/>
        <v>0</v>
      </c>
      <c r="BL260" s="192"/>
    </row>
    <row r="261" spans="1:64" ht="13.5" thickBot="1" x14ac:dyDescent="0.25">
      <c r="A261" s="185" t="s">
        <v>952</v>
      </c>
      <c r="B261" s="194" t="s">
        <v>695</v>
      </c>
      <c r="C261" s="194" t="s">
        <v>695</v>
      </c>
      <c r="D261" s="194" t="s">
        <v>695</v>
      </c>
      <c r="E261" s="193" t="s">
        <v>694</v>
      </c>
      <c r="F261" s="160" t="s">
        <v>20</v>
      </c>
      <c r="G261" s="161"/>
      <c r="H261" s="186" t="str">
        <f t="shared" si="132"/>
        <v>N/A</v>
      </c>
      <c r="I261" s="186" t="b">
        <f t="shared" si="133"/>
        <v>1</v>
      </c>
      <c r="J261" s="186" t="str">
        <f t="shared" si="134"/>
        <v>N/A</v>
      </c>
      <c r="K261" s="186" t="b">
        <f t="shared" si="135"/>
        <v>1</v>
      </c>
      <c r="L261" s="186" t="str">
        <f t="shared" si="136"/>
        <v>N/A</v>
      </c>
      <c r="M261" s="186" t="b">
        <f t="shared" si="137"/>
        <v>1</v>
      </c>
      <c r="N261" s="186" t="str">
        <f t="shared" si="138"/>
        <v>Used?</v>
      </c>
      <c r="O261" s="186" t="b">
        <f t="shared" si="139"/>
        <v>0</v>
      </c>
      <c r="P261" s="26" t="s">
        <v>696</v>
      </c>
      <c r="Q261" s="160" t="s">
        <v>20</v>
      </c>
      <c r="R261" s="160" t="s">
        <v>20</v>
      </c>
      <c r="S261" s="26" t="s">
        <v>697</v>
      </c>
      <c r="T261" s="165" t="str">
        <f t="shared" si="140"/>
        <v>Not Used</v>
      </c>
      <c r="U261" s="162"/>
      <c r="V261" s="55"/>
      <c r="W261" s="51" t="b">
        <f t="shared" si="141"/>
        <v>1</v>
      </c>
      <c r="X261" s="51" t="str">
        <f t="shared" si="142"/>
        <v>Not Used</v>
      </c>
      <c r="Y261" s="51" t="str">
        <f t="shared" si="143"/>
        <v>Not Used</v>
      </c>
      <c r="Z261" s="51" t="str">
        <f t="shared" si="144"/>
        <v>Not Used</v>
      </c>
      <c r="AA261" s="51" t="str">
        <f t="shared" si="144"/>
        <v>Not Used</v>
      </c>
      <c r="AB261" s="51" t="str">
        <f t="shared" si="145"/>
        <v>Not Used</v>
      </c>
      <c r="AC261" s="51" t="b">
        <f t="shared" si="146"/>
        <v>1</v>
      </c>
      <c r="AD261" s="51">
        <f>COUNTIF($X$5:$X$261, "Not Used")</f>
        <v>257</v>
      </c>
      <c r="AE261" s="51">
        <f>COUNTIF($X$5:$X$261, "TRUE")</f>
        <v>0</v>
      </c>
      <c r="AF261" s="51" t="b">
        <f t="shared" si="147"/>
        <v>1</v>
      </c>
      <c r="AI261" s="51" t="b">
        <f t="shared" si="148"/>
        <v>0</v>
      </c>
      <c r="AJ261" s="51" t="b">
        <f t="shared" si="149"/>
        <v>0</v>
      </c>
      <c r="AK261" s="51" t="b">
        <f t="shared" si="150"/>
        <v>0</v>
      </c>
      <c r="AL261" s="51" t="b">
        <f t="shared" si="151"/>
        <v>0</v>
      </c>
      <c r="AM261" s="51" t="b">
        <f t="shared" si="152"/>
        <v>0</v>
      </c>
      <c r="AN261" s="51"/>
      <c r="AO261" s="51" t="b">
        <f t="shared" si="153"/>
        <v>0</v>
      </c>
      <c r="AP261" s="51" t="str">
        <f t="shared" si="175"/>
        <v>Not in MMS</v>
      </c>
      <c r="AQ261" s="51" t="b">
        <f t="shared" si="154"/>
        <v>0</v>
      </c>
      <c r="AR261" s="51" t="b">
        <f t="shared" si="155"/>
        <v>0</v>
      </c>
      <c r="AS261" s="51" t="str">
        <f t="shared" si="156"/>
        <v/>
      </c>
      <c r="AT261" s="51" t="str">
        <f t="shared" si="157"/>
        <v/>
      </c>
      <c r="AU261" s="51" t="str">
        <f t="shared" si="158"/>
        <v/>
      </c>
      <c r="AV261" s="51" t="str">
        <f t="shared" si="159"/>
        <v/>
      </c>
      <c r="AW261" s="51" t="str">
        <f t="shared" si="160"/>
        <v/>
      </c>
      <c r="AX261" s="51" t="str">
        <f t="shared" si="161"/>
        <v/>
      </c>
      <c r="AY261" s="51" t="str">
        <f t="shared" si="162"/>
        <v/>
      </c>
      <c r="AZ261" s="51" t="str">
        <f t="shared" si="163"/>
        <v/>
      </c>
      <c r="BA261" s="51" t="str">
        <f t="shared" si="164"/>
        <v/>
      </c>
      <c r="BB261" s="51" t="str">
        <f t="shared" si="165"/>
        <v/>
      </c>
      <c r="BC261" s="51" t="str">
        <f t="shared" si="166"/>
        <v/>
      </c>
      <c r="BD261" s="51" t="str">
        <f t="shared" si="167"/>
        <v/>
      </c>
      <c r="BE261" s="51" t="str">
        <f t="shared" si="168"/>
        <v/>
      </c>
      <c r="BF261" s="51" t="str">
        <f t="shared" si="169"/>
        <v/>
      </c>
      <c r="BG261" s="51" t="str">
        <f t="shared" si="170"/>
        <v/>
      </c>
      <c r="BH261" s="51" t="b">
        <f t="shared" si="171"/>
        <v>0</v>
      </c>
      <c r="BI261" s="51" t="str">
        <f t="shared" si="172"/>
        <v/>
      </c>
      <c r="BJ261" s="51" t="str">
        <f t="shared" si="173"/>
        <v/>
      </c>
      <c r="BK261" s="51" t="b">
        <f t="shared" si="174"/>
        <v>0</v>
      </c>
      <c r="BL261" s="192"/>
    </row>
    <row r="262" spans="1:64" ht="13.5" thickBot="1" x14ac:dyDescent="0.25">
      <c r="A262" s="185" t="s">
        <v>953</v>
      </c>
      <c r="B262" s="194" t="s">
        <v>695</v>
      </c>
      <c r="C262" s="194" t="s">
        <v>695</v>
      </c>
      <c r="D262" s="194" t="s">
        <v>695</v>
      </c>
      <c r="E262" s="193" t="s">
        <v>694</v>
      </c>
      <c r="F262" s="160" t="s">
        <v>20</v>
      </c>
      <c r="G262" s="161"/>
      <c r="H262" s="186" t="str">
        <f t="shared" ref="H262:H334" si="176">IF(B262="YES",(IF(F262="Yes",TRUE,(IF(F262="YES WITH MODIFICATION",(IF((NOT(ISBLANK(U262))),"Used with modification","Change Request?")),(IF(F262="N/A",(IF((NOT(ISBLANK(G262))),"Not Used","Rationale?")),(IF(F262="&lt;Select&gt;","Used?",FALSE)))))))),"N/A")</f>
        <v>N/A</v>
      </c>
      <c r="I262" s="186" t="b">
        <f t="shared" ref="I262:I334" si="177">IF(B262="YES",OR(IF(F262="YES",TRUE,FALSE),IF(AND(F262="YES WITH MODIFICATION",NOT(ISBLANK(U262))),TRUE,FALSE),(IF(F262="N/A",NOT(ISBLANK(G262))))),TRUE)</f>
        <v>1</v>
      </c>
      <c r="J262" s="186" t="str">
        <f t="shared" ref="J262:J334" si="178">IF(C262="YES",(IF(F262="YES",TRUE,(IF(F262="YES WITH MODIFICATION",(IF((NOT(ISBLANK(U262))),"Used with modification","Change Request?")),(IF(F262="N/A",(IF((NOT(ISBLANK(G262))),"Not Used","Rationale?")),(IF(F262="&lt;Select&gt;","Used?",FALSE)))))))),"N/A")</f>
        <v>N/A</v>
      </c>
      <c r="K262" s="186" t="b">
        <f t="shared" ref="K262:K334" si="179">IF(C262="YES",OR(IF(F262="YES",TRUE,FALSE),IF(AND(F262="YES WITH MODIFICATION",NOT(ISBLANK(U262))),TRUE,FALSE),(IF(F262="N/A",NOT(ISBLANK(G262))))),TRUE)</f>
        <v>1</v>
      </c>
      <c r="L262" s="186" t="str">
        <f t="shared" ref="L262:L334" si="180">IF(D262="YES",(IF(F262="YES",TRUE,(IF(F262="YES WITH MODIFICATION",(IF((NOT(ISBLANK(U262))),"Used with modification","Change Request?")),(IF(F262="N/A",(IF((NOT(ISBLANK(G262))),"Not Used","Rationale?")),(IF(F262="&lt;Select&gt;","Used?",FALSE)))))))),"N/A")</f>
        <v>N/A</v>
      </c>
      <c r="M262" s="186" t="b">
        <f t="shared" ref="M262:M334" si="181">IF(D262="YES",OR(IF(F262="YES",TRUE,FALSE),IF(AND(F262="YES WITH MODIFICATION",NOT(ISBLANK(U262))),TRUE,FALSE),(IF(F262="N/A",NOT(ISBLANK(G262))))),TRUE)</f>
        <v>1</v>
      </c>
      <c r="N262" s="186" t="str">
        <f t="shared" ref="N262:N334" si="182">IF(E262="YES",(IF(F262="YES",TRUE,(IF(F262="YES WITH MODIFICATION",(IF((NOT(ISBLANK(U262))),"Used with modification","Change Request?")),(IF(F262="N/A",(IF((NOT(ISBLANK(G262))),"Not Used","Rationale?")),(IF(F262="&lt;Select&gt;","Used?",FALSE)))))))),"N/A")</f>
        <v>Used?</v>
      </c>
      <c r="O262" s="186" t="b">
        <f t="shared" ref="O262:O334" si="183">IF(E262="YES",OR(IF(F262="YES",TRUE,FALSE),IF(AND(F262="YES WITH MODIFICATION",NOT(ISBLANK(U262))),TRUE,FALSE),(IF(F262="N/A",NOT(ISBLANK(G262))))),TRUE)</f>
        <v>0</v>
      </c>
      <c r="P262" s="26" t="s">
        <v>696</v>
      </c>
      <c r="Q262" s="160" t="s">
        <v>20</v>
      </c>
      <c r="R262" s="160" t="s">
        <v>20</v>
      </c>
      <c r="S262" s="26" t="s">
        <v>697</v>
      </c>
      <c r="T262" s="165" t="str">
        <f t="shared" ref="T262:T334" si="184">IF(NOT(OR(F262="Yes",F262="YES WITH MODIFICATION")),"Not Used",(AND(X262=Y262,X262=(OR(Z262=TRUE,AA262=TRUE)), X262=AB262, X262=AC262)))</f>
        <v>Not Used</v>
      </c>
      <c r="U262" s="162"/>
      <c r="V262" s="55"/>
      <c r="W262" s="51" t="b">
        <f t="shared" ref="W262:W334" si="185">IF(T262=TRUE,TRUE,(IF(T262="Not Used", TRUE,FALSE)))</f>
        <v>1</v>
      </c>
      <c r="X262" s="51" t="str">
        <f t="shared" ref="X262:X334" si="186">IF(OR(F262="YES",F262="YES WITH MODIFICATION"),TRUE,"Not Used")</f>
        <v>Not Used</v>
      </c>
      <c r="Y262" s="51" t="str">
        <f t="shared" ref="Y262:Y334" si="187">IF(OR(P262="SC §3.X.X.X", ISBLANK(P262)),"Not Used", TRUE)</f>
        <v>Not Used</v>
      </c>
      <c r="Z262" s="51" t="str">
        <f t="shared" ref="Z262:AA334" si="188">IF(OR(Q262="&lt;Select&gt;",(ISBLANK(Q262))),"Not Used",TRUE)</f>
        <v>Not Used</v>
      </c>
      <c r="AA262" s="51" t="str">
        <f t="shared" si="188"/>
        <v>Not Used</v>
      </c>
      <c r="AB262" s="51" t="str">
        <f t="shared" ref="AB262:AB334" si="189">IF(OR(S262="&lt;enter location here&gt;",(ISBLANK(S262))),"Not Used",TRUE)</f>
        <v>Not Used</v>
      </c>
      <c r="AC262" s="51" t="b">
        <f t="shared" ref="AC262:AC334" si="190">IF(F262="YES WITH MODIFICATION",IF(NOT(ISBLANK(U262)),TRUE,FALSE),TRUE)</f>
        <v>1</v>
      </c>
      <c r="AD262" s="51">
        <f>COUNTIF($X$5:$X$262, "Not Used")</f>
        <v>258</v>
      </c>
      <c r="AE262" s="51">
        <f>COUNTIF($X$5:$X$262, "TRUE")</f>
        <v>0</v>
      </c>
      <c r="AF262" s="51" t="b">
        <f t="shared" ref="AF262:AF334" si="191">IF(F262="&lt;Select&gt;", TRUE,FALSE)</f>
        <v>1</v>
      </c>
      <c r="AI262" s="51" t="b">
        <f t="shared" ref="AI262:AI334" si="192">IF(F262="N/A", TRUE, FALSE)</f>
        <v>0</v>
      </c>
      <c r="AJ262" s="51" t="b">
        <f t="shared" ref="AJ262:AJ334" si="193">IF(AI262=TRUE, IF(NOT(ISBLANK(G262)), TRUE, FALSE))</f>
        <v>0</v>
      </c>
      <c r="AK262" s="51" t="b">
        <f t="shared" ref="AK262:AK334" si="194">IF(F262="YES WITH MODIFICATION", TRUE, FALSE)</f>
        <v>0</v>
      </c>
      <c r="AL262" s="51" t="b">
        <f t="shared" ref="AL262:AL334" si="195">IF(ISBLANK(U262), FALSE, TRUE)</f>
        <v>0</v>
      </c>
      <c r="AM262" s="51" t="b">
        <f t="shared" ref="AM262:AM334" si="196">IF(AND(AK262=TRUE, AL262=TRUE), TRUE, FALSE)</f>
        <v>0</v>
      </c>
      <c r="AN262" s="51"/>
      <c r="AO262" s="51" t="b">
        <f t="shared" ref="AO262:AO334" si="197">IF(AND(F262="YES WITH MODIFICATION", NOT(ISBLANK(U262))), TRUE, FALSE)</f>
        <v>0</v>
      </c>
      <c r="AP262" s="51" t="str">
        <f t="shared" si="175"/>
        <v>Not in MMS</v>
      </c>
      <c r="AQ262" s="51" t="b">
        <f t="shared" ref="AQ262:AQ334" si="198">IF(S262="&lt;enter location here&gt;", FALSE, TRUE)</f>
        <v>0</v>
      </c>
      <c r="AR262" s="51" t="b">
        <f t="shared" ref="AR262:AR334" si="199">IF(F262="&lt;Select&gt;", FALSE, IF(T262=FALSE, FALSE, TRUE))</f>
        <v>0</v>
      </c>
      <c r="AS262" s="51" t="str">
        <f t="shared" ref="AS262:AS334" si="200">IF(ISNUMBER(SEARCH("Tier 1 Sub MMS",AP262)), IF(F262="&lt;Select&gt;", FALSE, IF(AND(F262="N/A", J262="Rationale?"), FALSE, TRUE)), "")</f>
        <v/>
      </c>
      <c r="AT262" s="51" t="str">
        <f t="shared" ref="AT262:AT334" si="201">IF(ISNUMBER(SEARCH("Tier 1 MMS",AP262)), IF(F262="&lt;Select&gt;", FALSE, IF(AND(F262="N/A", H262="Rationale?"), FALSE, TRUE)), "")</f>
        <v/>
      </c>
      <c r="AU262" s="51" t="str">
        <f t="shared" ref="AU262:AU334" si="202">IF(ISNUMBER(SEARCH("Tier 1 MMS",AP262)), IF(F262="&lt;Select&gt;", FALSE, IF(AND(F262="YES WITH MODIFICATION", H262="Change Request?"), FALSE, TRUE)), "")</f>
        <v/>
      </c>
      <c r="AV262" s="51" t="str">
        <f t="shared" ref="AV262:AV334" si="203">IF(ISNUMBER(SEARCH("Tier 1 MMS",AP262)), IF(AK262=TRUE, TRUE, ""),"")</f>
        <v/>
      </c>
      <c r="AW262" s="51" t="str">
        <f t="shared" ref="AW262:AW334" si="204">IF(ISNUMBER(SEARCH("Tier 1 MMS",AP262)), IF(AL262=TRUE, TRUE, ""),"")</f>
        <v/>
      </c>
      <c r="AX262" s="51" t="str">
        <f t="shared" ref="AX262:AX334" si="205">IF(ISNUMBER(SEARCH("Tier 1 MMS",AP262)), IF(AI262=TRUE, TRUE, ""),"")</f>
        <v/>
      </c>
      <c r="AY262" s="51" t="str">
        <f t="shared" ref="AY262:AY334" si="206">IF(ISNUMBER(SEARCH("Tier 1 MMS",AP262)), IF(AJ262=TRUE, TRUE, ""),"")</f>
        <v/>
      </c>
      <c r="AZ262" s="51" t="str">
        <f t="shared" ref="AZ262:AZ334" si="207">IF(ISNUMBER(SEARCH("Tier 1 Sub MMS",AP262)), IF(AK262=TRUE, TRUE, ""),"")</f>
        <v/>
      </c>
      <c r="BA262" s="51" t="str">
        <f t="shared" ref="BA262:BA334" si="208">IF(ISNUMBER(SEARCH("Tier 1 Sub MMS",AP262)), IF(AL262=TRUE, TRUE, ""),"")</f>
        <v/>
      </c>
      <c r="BB262" s="51" t="str">
        <f t="shared" ref="BB262:BB334" si="209">IF(ISNUMBER(SEARCH("Tier 1 Sub MMS",AP262)), IF(AI262=TRUE, TRUE, ""),"")</f>
        <v/>
      </c>
      <c r="BC262" s="51" t="str">
        <f t="shared" ref="BC262:BC334" si="210">IF(ISNUMBER(SEARCH("Tier 1 Sub MMS",AP262)), IF(AJ262=TRUE, TRUE, ""),"")</f>
        <v/>
      </c>
      <c r="BD262" s="51" t="str">
        <f t="shared" ref="BD262:BD334" si="211">IF(ISNUMBER(SEARCH("Tier 2 MMS",AP262)), IF(AK262=TRUE, TRUE, ""),"")</f>
        <v/>
      </c>
      <c r="BE262" s="51" t="str">
        <f t="shared" ref="BE262:BE334" si="212">IF(ISNUMBER(SEARCH("Tier 2 MMS",AP262)), IF(AL262=TRUE, TRUE, ""),"")</f>
        <v/>
      </c>
      <c r="BF262" s="51" t="str">
        <f t="shared" ref="BF262:BF334" si="213">IF(ISNUMBER(SEARCH("Tier 2 MMS",AP262)), IF(AI262=TRUE, TRUE, ""),"")</f>
        <v/>
      </c>
      <c r="BG262" s="51" t="str">
        <f t="shared" ref="BG262:BG334" si="214">IF(ISNUMBER(SEARCH("Tier 2 MMS",AP262)), IF(AJ262=TRUE, TRUE, ""),"")</f>
        <v/>
      </c>
      <c r="BH262" s="51" t="b">
        <f t="shared" ref="BH262:BH334" si="215" xml:space="preserve"> IF(OR(F262="&lt;Select&gt;", AQ262=FALSE), FALSE, TRUE)</f>
        <v>0</v>
      </c>
      <c r="BI262" s="51" t="str">
        <f t="shared" ref="BI262:BI334" si="216">IF(E262="YES", "", IF(E262="NO", IF(F262="N/A",TRUE,IF(F262="YES",FALSE))))</f>
        <v/>
      </c>
      <c r="BJ262" s="51" t="str">
        <f t="shared" ref="BJ262:BJ334" si="217">IF(E262="YES", "", IF(E262="NO", IF(AND(F262="N/A", NOT(ISBLANK(G262))), TRUE, IF(AND(F262="YES",AL262=TRUE),TRUE,FALSE))))</f>
        <v/>
      </c>
      <c r="BK262" s="51" t="b">
        <f t="shared" ref="BK262:BK334" si="218" xml:space="preserve"> IF(OR(F262="&lt;Select&gt;", T262=FALSE), FALSE, TRUE)</f>
        <v>0</v>
      </c>
      <c r="BL262" s="192"/>
    </row>
    <row r="263" spans="1:64" ht="13.5" thickBot="1" x14ac:dyDescent="0.25">
      <c r="A263" s="185" t="s">
        <v>954</v>
      </c>
      <c r="B263" s="194" t="s">
        <v>695</v>
      </c>
      <c r="C263" s="194" t="s">
        <v>695</v>
      </c>
      <c r="D263" s="194" t="s">
        <v>695</v>
      </c>
      <c r="E263" s="193" t="s">
        <v>694</v>
      </c>
      <c r="F263" s="160" t="s">
        <v>20</v>
      </c>
      <c r="G263" s="161"/>
      <c r="H263" s="186" t="str">
        <f t="shared" si="176"/>
        <v>N/A</v>
      </c>
      <c r="I263" s="186" t="b">
        <f t="shared" si="177"/>
        <v>1</v>
      </c>
      <c r="J263" s="186" t="str">
        <f t="shared" si="178"/>
        <v>N/A</v>
      </c>
      <c r="K263" s="186" t="b">
        <f t="shared" si="179"/>
        <v>1</v>
      </c>
      <c r="L263" s="186" t="str">
        <f t="shared" si="180"/>
        <v>N/A</v>
      </c>
      <c r="M263" s="186" t="b">
        <f t="shared" si="181"/>
        <v>1</v>
      </c>
      <c r="N263" s="186" t="str">
        <f t="shared" si="182"/>
        <v>Used?</v>
      </c>
      <c r="O263" s="186" t="b">
        <f t="shared" si="183"/>
        <v>0</v>
      </c>
      <c r="P263" s="26" t="s">
        <v>696</v>
      </c>
      <c r="Q263" s="160" t="s">
        <v>20</v>
      </c>
      <c r="R263" s="160" t="s">
        <v>20</v>
      </c>
      <c r="S263" s="26" t="s">
        <v>697</v>
      </c>
      <c r="T263" s="165" t="str">
        <f t="shared" si="184"/>
        <v>Not Used</v>
      </c>
      <c r="U263" s="162"/>
      <c r="V263" s="55"/>
      <c r="W263" s="51" t="b">
        <f t="shared" si="185"/>
        <v>1</v>
      </c>
      <c r="X263" s="51" t="str">
        <f t="shared" si="186"/>
        <v>Not Used</v>
      </c>
      <c r="Y263" s="51" t="str">
        <f t="shared" si="187"/>
        <v>Not Used</v>
      </c>
      <c r="Z263" s="51" t="str">
        <f t="shared" si="188"/>
        <v>Not Used</v>
      </c>
      <c r="AA263" s="51" t="str">
        <f t="shared" si="188"/>
        <v>Not Used</v>
      </c>
      <c r="AB263" s="51" t="str">
        <f t="shared" si="189"/>
        <v>Not Used</v>
      </c>
      <c r="AC263" s="51" t="b">
        <f t="shared" si="190"/>
        <v>1</v>
      </c>
      <c r="AD263" s="51">
        <f>COUNTIF($X$5:$X$263, "Not Used")</f>
        <v>259</v>
      </c>
      <c r="AE263" s="51">
        <f>COUNTIF($X$5:$X$263, "TRUE")</f>
        <v>0</v>
      </c>
      <c r="AF263" s="51" t="b">
        <f t="shared" si="191"/>
        <v>1</v>
      </c>
      <c r="AI263" s="51" t="b">
        <f t="shared" si="192"/>
        <v>0</v>
      </c>
      <c r="AJ263" s="51" t="b">
        <f t="shared" si="193"/>
        <v>0</v>
      </c>
      <c r="AK263" s="51" t="b">
        <f t="shared" si="194"/>
        <v>0</v>
      </c>
      <c r="AL263" s="51" t="b">
        <f t="shared" si="195"/>
        <v>0</v>
      </c>
      <c r="AM263" s="51" t="b">
        <f t="shared" si="196"/>
        <v>0</v>
      </c>
      <c r="AN263" s="51"/>
      <c r="AO263" s="51" t="b">
        <f t="shared" si="197"/>
        <v>0</v>
      </c>
      <c r="AP263" s="51" t="str">
        <f t="shared" ref="AP263:AP335" si="219">IF(AND(B263="YES", C263="YES", D263="YES"), "Tier 1 MMS, Tier 1 Sub MMS, Tier 2 MMS", IF(AND(B263="YES", C263="YES"), "Tier 1 MMS, Tier 1 Sub MMS", IF(AND(B263="YES", D263="YES"), "Tier 1 MMS, Tier 2 MMS", IF(AND(C263="YES", D263="YES"), "Tier 1 Sub MMS, Tier 2 MMS", IF(B263="YES", "Tier 1 MMS", IF(C263="YES", "Tier 1 Sub MMS", IF(D263="YES", "Tier 2 MMS", "Not in MMS")))))))</f>
        <v>Not in MMS</v>
      </c>
      <c r="AQ263" s="51" t="b">
        <f t="shared" si="198"/>
        <v>0</v>
      </c>
      <c r="AR263" s="51" t="b">
        <f t="shared" si="199"/>
        <v>0</v>
      </c>
      <c r="AS263" s="51" t="str">
        <f t="shared" si="200"/>
        <v/>
      </c>
      <c r="AT263" s="51" t="str">
        <f t="shared" si="201"/>
        <v/>
      </c>
      <c r="AU263" s="51" t="str">
        <f t="shared" si="202"/>
        <v/>
      </c>
      <c r="AV263" s="51" t="str">
        <f t="shared" si="203"/>
        <v/>
      </c>
      <c r="AW263" s="51" t="str">
        <f t="shared" si="204"/>
        <v/>
      </c>
      <c r="AX263" s="51" t="str">
        <f t="shared" si="205"/>
        <v/>
      </c>
      <c r="AY263" s="51" t="str">
        <f t="shared" si="206"/>
        <v/>
      </c>
      <c r="AZ263" s="51" t="str">
        <f t="shared" si="207"/>
        <v/>
      </c>
      <c r="BA263" s="51" t="str">
        <f t="shared" si="208"/>
        <v/>
      </c>
      <c r="BB263" s="51" t="str">
        <f t="shared" si="209"/>
        <v/>
      </c>
      <c r="BC263" s="51" t="str">
        <f t="shared" si="210"/>
        <v/>
      </c>
      <c r="BD263" s="51" t="str">
        <f t="shared" si="211"/>
        <v/>
      </c>
      <c r="BE263" s="51" t="str">
        <f t="shared" si="212"/>
        <v/>
      </c>
      <c r="BF263" s="51" t="str">
        <f t="shared" si="213"/>
        <v/>
      </c>
      <c r="BG263" s="51" t="str">
        <f t="shared" si="214"/>
        <v/>
      </c>
      <c r="BH263" s="51" t="b">
        <f t="shared" si="215"/>
        <v>0</v>
      </c>
      <c r="BI263" s="51" t="str">
        <f t="shared" si="216"/>
        <v/>
      </c>
      <c r="BJ263" s="51" t="str">
        <f t="shared" si="217"/>
        <v/>
      </c>
      <c r="BK263" s="51" t="b">
        <f t="shared" si="218"/>
        <v>0</v>
      </c>
      <c r="BL263" s="192"/>
    </row>
    <row r="264" spans="1:64" ht="13.5" thickBot="1" x14ac:dyDescent="0.25">
      <c r="A264" s="185" t="s">
        <v>955</v>
      </c>
      <c r="B264" s="194" t="s">
        <v>695</v>
      </c>
      <c r="C264" s="194" t="s">
        <v>695</v>
      </c>
      <c r="D264" s="194" t="s">
        <v>695</v>
      </c>
      <c r="E264" s="193" t="s">
        <v>694</v>
      </c>
      <c r="F264" s="160" t="s">
        <v>20</v>
      </c>
      <c r="G264" s="161"/>
      <c r="H264" s="186" t="str">
        <f t="shared" si="176"/>
        <v>N/A</v>
      </c>
      <c r="I264" s="186" t="b">
        <f t="shared" si="177"/>
        <v>1</v>
      </c>
      <c r="J264" s="186" t="str">
        <f t="shared" si="178"/>
        <v>N/A</v>
      </c>
      <c r="K264" s="186" t="b">
        <f t="shared" si="179"/>
        <v>1</v>
      </c>
      <c r="L264" s="186" t="str">
        <f t="shared" si="180"/>
        <v>N/A</v>
      </c>
      <c r="M264" s="186" t="b">
        <f t="shared" si="181"/>
        <v>1</v>
      </c>
      <c r="N264" s="186" t="str">
        <f t="shared" si="182"/>
        <v>Used?</v>
      </c>
      <c r="O264" s="186" t="b">
        <f t="shared" si="183"/>
        <v>0</v>
      </c>
      <c r="P264" s="26" t="s">
        <v>696</v>
      </c>
      <c r="Q264" s="160" t="s">
        <v>20</v>
      </c>
      <c r="R264" s="160" t="s">
        <v>20</v>
      </c>
      <c r="S264" s="26" t="s">
        <v>697</v>
      </c>
      <c r="T264" s="165" t="str">
        <f t="shared" si="184"/>
        <v>Not Used</v>
      </c>
      <c r="U264" s="162"/>
      <c r="V264" s="55"/>
      <c r="W264" s="51" t="b">
        <f t="shared" si="185"/>
        <v>1</v>
      </c>
      <c r="X264" s="51" t="str">
        <f t="shared" si="186"/>
        <v>Not Used</v>
      </c>
      <c r="Y264" s="51" t="str">
        <f t="shared" si="187"/>
        <v>Not Used</v>
      </c>
      <c r="Z264" s="51" t="str">
        <f t="shared" si="188"/>
        <v>Not Used</v>
      </c>
      <c r="AA264" s="51" t="str">
        <f t="shared" si="188"/>
        <v>Not Used</v>
      </c>
      <c r="AB264" s="51" t="str">
        <f t="shared" si="189"/>
        <v>Not Used</v>
      </c>
      <c r="AC264" s="51" t="b">
        <f t="shared" si="190"/>
        <v>1</v>
      </c>
      <c r="AD264" s="51">
        <f>COUNTIF($X$5:$X$264, "Not Used")</f>
        <v>260</v>
      </c>
      <c r="AE264" s="51">
        <f>COUNTIF($X$5:$X$264, "TRUE")</f>
        <v>0</v>
      </c>
      <c r="AF264" s="51" t="b">
        <f t="shared" si="191"/>
        <v>1</v>
      </c>
      <c r="AI264" s="51" t="b">
        <f t="shared" si="192"/>
        <v>0</v>
      </c>
      <c r="AJ264" s="51" t="b">
        <f t="shared" si="193"/>
        <v>0</v>
      </c>
      <c r="AK264" s="51" t="b">
        <f t="shared" si="194"/>
        <v>0</v>
      </c>
      <c r="AL264" s="51" t="b">
        <f t="shared" si="195"/>
        <v>0</v>
      </c>
      <c r="AM264" s="51" t="b">
        <f t="shared" si="196"/>
        <v>0</v>
      </c>
      <c r="AN264" s="51"/>
      <c r="AO264" s="51" t="b">
        <f t="shared" si="197"/>
        <v>0</v>
      </c>
      <c r="AP264" s="51" t="str">
        <f t="shared" si="219"/>
        <v>Not in MMS</v>
      </c>
      <c r="AQ264" s="51" t="b">
        <f t="shared" si="198"/>
        <v>0</v>
      </c>
      <c r="AR264" s="51" t="b">
        <f t="shared" si="199"/>
        <v>0</v>
      </c>
      <c r="AS264" s="51" t="str">
        <f t="shared" si="200"/>
        <v/>
      </c>
      <c r="AT264" s="51" t="str">
        <f t="shared" si="201"/>
        <v/>
      </c>
      <c r="AU264" s="51" t="str">
        <f t="shared" si="202"/>
        <v/>
      </c>
      <c r="AV264" s="51" t="str">
        <f t="shared" si="203"/>
        <v/>
      </c>
      <c r="AW264" s="51" t="str">
        <f t="shared" si="204"/>
        <v/>
      </c>
      <c r="AX264" s="51" t="str">
        <f t="shared" si="205"/>
        <v/>
      </c>
      <c r="AY264" s="51" t="str">
        <f t="shared" si="206"/>
        <v/>
      </c>
      <c r="AZ264" s="51" t="str">
        <f t="shared" si="207"/>
        <v/>
      </c>
      <c r="BA264" s="51" t="str">
        <f t="shared" si="208"/>
        <v/>
      </c>
      <c r="BB264" s="51" t="str">
        <f t="shared" si="209"/>
        <v/>
      </c>
      <c r="BC264" s="51" t="str">
        <f t="shared" si="210"/>
        <v/>
      </c>
      <c r="BD264" s="51" t="str">
        <f t="shared" si="211"/>
        <v/>
      </c>
      <c r="BE264" s="51" t="str">
        <f t="shared" si="212"/>
        <v/>
      </c>
      <c r="BF264" s="51" t="str">
        <f t="shared" si="213"/>
        <v/>
      </c>
      <c r="BG264" s="51" t="str">
        <f t="shared" si="214"/>
        <v/>
      </c>
      <c r="BH264" s="51" t="b">
        <f t="shared" si="215"/>
        <v>0</v>
      </c>
      <c r="BI264" s="51" t="str">
        <f t="shared" si="216"/>
        <v/>
      </c>
      <c r="BJ264" s="51" t="str">
        <f t="shared" si="217"/>
        <v/>
      </c>
      <c r="BK264" s="51" t="b">
        <f t="shared" si="218"/>
        <v>0</v>
      </c>
      <c r="BL264" s="192"/>
    </row>
    <row r="265" spans="1:64" ht="13.5" thickBot="1" x14ac:dyDescent="0.25">
      <c r="A265" s="185" t="s">
        <v>956</v>
      </c>
      <c r="B265" s="194" t="s">
        <v>695</v>
      </c>
      <c r="C265" s="194" t="s">
        <v>695</v>
      </c>
      <c r="D265" s="194" t="s">
        <v>695</v>
      </c>
      <c r="E265" s="193" t="s">
        <v>694</v>
      </c>
      <c r="F265" s="160" t="s">
        <v>20</v>
      </c>
      <c r="G265" s="161"/>
      <c r="H265" s="186" t="str">
        <f t="shared" si="176"/>
        <v>N/A</v>
      </c>
      <c r="I265" s="186" t="b">
        <f t="shared" si="177"/>
        <v>1</v>
      </c>
      <c r="J265" s="186" t="str">
        <f t="shared" si="178"/>
        <v>N/A</v>
      </c>
      <c r="K265" s="186" t="b">
        <f t="shared" si="179"/>
        <v>1</v>
      </c>
      <c r="L265" s="186" t="str">
        <f t="shared" si="180"/>
        <v>N/A</v>
      </c>
      <c r="M265" s="186" t="b">
        <f t="shared" si="181"/>
        <v>1</v>
      </c>
      <c r="N265" s="186" t="str">
        <f t="shared" si="182"/>
        <v>Used?</v>
      </c>
      <c r="O265" s="186" t="b">
        <f t="shared" si="183"/>
        <v>0</v>
      </c>
      <c r="P265" s="26" t="s">
        <v>696</v>
      </c>
      <c r="Q265" s="160" t="s">
        <v>20</v>
      </c>
      <c r="R265" s="160" t="s">
        <v>20</v>
      </c>
      <c r="S265" s="26" t="s">
        <v>697</v>
      </c>
      <c r="T265" s="165" t="str">
        <f t="shared" si="184"/>
        <v>Not Used</v>
      </c>
      <c r="U265" s="162"/>
      <c r="V265" s="55"/>
      <c r="W265" s="51" t="b">
        <f t="shared" si="185"/>
        <v>1</v>
      </c>
      <c r="X265" s="51" t="str">
        <f t="shared" si="186"/>
        <v>Not Used</v>
      </c>
      <c r="Y265" s="51" t="str">
        <f t="shared" si="187"/>
        <v>Not Used</v>
      </c>
      <c r="Z265" s="51" t="str">
        <f t="shared" si="188"/>
        <v>Not Used</v>
      </c>
      <c r="AA265" s="51" t="str">
        <f t="shared" si="188"/>
        <v>Not Used</v>
      </c>
      <c r="AB265" s="51" t="str">
        <f t="shared" si="189"/>
        <v>Not Used</v>
      </c>
      <c r="AC265" s="51" t="b">
        <f t="shared" si="190"/>
        <v>1</v>
      </c>
      <c r="AD265" s="51">
        <f>COUNTIF($X$5:$X$265, "Not Used")</f>
        <v>261</v>
      </c>
      <c r="AE265" s="51">
        <f>COUNTIF($X$5:$X$265, "TRUE")</f>
        <v>0</v>
      </c>
      <c r="AF265" s="51" t="b">
        <f t="shared" si="191"/>
        <v>1</v>
      </c>
      <c r="AI265" s="51" t="b">
        <f t="shared" si="192"/>
        <v>0</v>
      </c>
      <c r="AJ265" s="51" t="b">
        <f t="shared" si="193"/>
        <v>0</v>
      </c>
      <c r="AK265" s="51" t="b">
        <f t="shared" si="194"/>
        <v>0</v>
      </c>
      <c r="AL265" s="51" t="b">
        <f t="shared" si="195"/>
        <v>0</v>
      </c>
      <c r="AM265" s="51" t="b">
        <f t="shared" si="196"/>
        <v>0</v>
      </c>
      <c r="AN265" s="51"/>
      <c r="AO265" s="51" t="b">
        <f t="shared" si="197"/>
        <v>0</v>
      </c>
      <c r="AP265" s="51" t="str">
        <f t="shared" si="219"/>
        <v>Not in MMS</v>
      </c>
      <c r="AQ265" s="51" t="b">
        <f t="shared" si="198"/>
        <v>0</v>
      </c>
      <c r="AR265" s="51" t="b">
        <f t="shared" si="199"/>
        <v>0</v>
      </c>
      <c r="AS265" s="51" t="str">
        <f t="shared" si="200"/>
        <v/>
      </c>
      <c r="AT265" s="51" t="str">
        <f t="shared" si="201"/>
        <v/>
      </c>
      <c r="AU265" s="51" t="str">
        <f t="shared" si="202"/>
        <v/>
      </c>
      <c r="AV265" s="51" t="str">
        <f t="shared" si="203"/>
        <v/>
      </c>
      <c r="AW265" s="51" t="str">
        <f t="shared" si="204"/>
        <v/>
      </c>
      <c r="AX265" s="51" t="str">
        <f t="shared" si="205"/>
        <v/>
      </c>
      <c r="AY265" s="51" t="str">
        <f t="shared" si="206"/>
        <v/>
      </c>
      <c r="AZ265" s="51" t="str">
        <f t="shared" si="207"/>
        <v/>
      </c>
      <c r="BA265" s="51" t="str">
        <f t="shared" si="208"/>
        <v/>
      </c>
      <c r="BB265" s="51" t="str">
        <f t="shared" si="209"/>
        <v/>
      </c>
      <c r="BC265" s="51" t="str">
        <f t="shared" si="210"/>
        <v/>
      </c>
      <c r="BD265" s="51" t="str">
        <f t="shared" si="211"/>
        <v/>
      </c>
      <c r="BE265" s="51" t="str">
        <f t="shared" si="212"/>
        <v/>
      </c>
      <c r="BF265" s="51" t="str">
        <f t="shared" si="213"/>
        <v/>
      </c>
      <c r="BG265" s="51" t="str">
        <f t="shared" si="214"/>
        <v/>
      </c>
      <c r="BH265" s="51" t="b">
        <f t="shared" si="215"/>
        <v>0</v>
      </c>
      <c r="BI265" s="51" t="str">
        <f t="shared" si="216"/>
        <v/>
      </c>
      <c r="BJ265" s="51" t="str">
        <f t="shared" si="217"/>
        <v/>
      </c>
      <c r="BK265" s="51" t="b">
        <f t="shared" si="218"/>
        <v>0</v>
      </c>
      <c r="BL265" s="192"/>
    </row>
    <row r="266" spans="1:64" ht="13.5" thickBot="1" x14ac:dyDescent="0.25">
      <c r="A266" s="185" t="s">
        <v>957</v>
      </c>
      <c r="B266" s="194" t="s">
        <v>695</v>
      </c>
      <c r="C266" s="194" t="s">
        <v>695</v>
      </c>
      <c r="D266" s="194" t="s">
        <v>695</v>
      </c>
      <c r="E266" s="193" t="s">
        <v>694</v>
      </c>
      <c r="F266" s="160" t="s">
        <v>20</v>
      </c>
      <c r="G266" s="161"/>
      <c r="H266" s="186" t="str">
        <f t="shared" si="176"/>
        <v>N/A</v>
      </c>
      <c r="I266" s="186" t="b">
        <f t="shared" si="177"/>
        <v>1</v>
      </c>
      <c r="J266" s="186" t="str">
        <f t="shared" si="178"/>
        <v>N/A</v>
      </c>
      <c r="K266" s="186" t="b">
        <f t="shared" si="179"/>
        <v>1</v>
      </c>
      <c r="L266" s="186" t="str">
        <f t="shared" si="180"/>
        <v>N/A</v>
      </c>
      <c r="M266" s="186" t="b">
        <f t="shared" si="181"/>
        <v>1</v>
      </c>
      <c r="N266" s="186" t="str">
        <f t="shared" si="182"/>
        <v>Used?</v>
      </c>
      <c r="O266" s="186" t="b">
        <f t="shared" si="183"/>
        <v>0</v>
      </c>
      <c r="P266" s="26" t="s">
        <v>696</v>
      </c>
      <c r="Q266" s="160" t="s">
        <v>20</v>
      </c>
      <c r="R266" s="160" t="s">
        <v>20</v>
      </c>
      <c r="S266" s="26" t="s">
        <v>697</v>
      </c>
      <c r="T266" s="165" t="str">
        <f t="shared" si="184"/>
        <v>Not Used</v>
      </c>
      <c r="U266" s="162"/>
      <c r="V266" s="55"/>
      <c r="W266" s="51" t="b">
        <f t="shared" si="185"/>
        <v>1</v>
      </c>
      <c r="X266" s="51" t="str">
        <f t="shared" si="186"/>
        <v>Not Used</v>
      </c>
      <c r="Y266" s="51" t="str">
        <f t="shared" si="187"/>
        <v>Not Used</v>
      </c>
      <c r="Z266" s="51" t="str">
        <f t="shared" si="188"/>
        <v>Not Used</v>
      </c>
      <c r="AA266" s="51" t="str">
        <f t="shared" si="188"/>
        <v>Not Used</v>
      </c>
      <c r="AB266" s="51" t="str">
        <f t="shared" si="189"/>
        <v>Not Used</v>
      </c>
      <c r="AC266" s="51" t="b">
        <f t="shared" si="190"/>
        <v>1</v>
      </c>
      <c r="AD266" s="51">
        <f>COUNTIF($X$5:$X$266, "Not Used")</f>
        <v>262</v>
      </c>
      <c r="AE266" s="51">
        <f>COUNTIF($X$5:$X$266, "TRUE")</f>
        <v>0</v>
      </c>
      <c r="AF266" s="51" t="b">
        <f t="shared" si="191"/>
        <v>1</v>
      </c>
      <c r="AI266" s="51" t="b">
        <f t="shared" si="192"/>
        <v>0</v>
      </c>
      <c r="AJ266" s="51" t="b">
        <f t="shared" si="193"/>
        <v>0</v>
      </c>
      <c r="AK266" s="51" t="b">
        <f t="shared" si="194"/>
        <v>0</v>
      </c>
      <c r="AL266" s="51" t="b">
        <f t="shared" si="195"/>
        <v>0</v>
      </c>
      <c r="AM266" s="51" t="b">
        <f t="shared" si="196"/>
        <v>0</v>
      </c>
      <c r="AN266" s="51"/>
      <c r="AO266" s="51" t="b">
        <f t="shared" si="197"/>
        <v>0</v>
      </c>
      <c r="AP266" s="51" t="str">
        <f t="shared" si="219"/>
        <v>Not in MMS</v>
      </c>
      <c r="AQ266" s="51" t="b">
        <f t="shared" si="198"/>
        <v>0</v>
      </c>
      <c r="AR266" s="51" t="b">
        <f t="shared" si="199"/>
        <v>0</v>
      </c>
      <c r="AS266" s="51" t="str">
        <f t="shared" si="200"/>
        <v/>
      </c>
      <c r="AT266" s="51" t="str">
        <f t="shared" si="201"/>
        <v/>
      </c>
      <c r="AU266" s="51" t="str">
        <f t="shared" si="202"/>
        <v/>
      </c>
      <c r="AV266" s="51" t="str">
        <f t="shared" si="203"/>
        <v/>
      </c>
      <c r="AW266" s="51" t="str">
        <f t="shared" si="204"/>
        <v/>
      </c>
      <c r="AX266" s="51" t="str">
        <f t="shared" si="205"/>
        <v/>
      </c>
      <c r="AY266" s="51" t="str">
        <f t="shared" si="206"/>
        <v/>
      </c>
      <c r="AZ266" s="51" t="str">
        <f t="shared" si="207"/>
        <v/>
      </c>
      <c r="BA266" s="51" t="str">
        <f t="shared" si="208"/>
        <v/>
      </c>
      <c r="BB266" s="51" t="str">
        <f t="shared" si="209"/>
        <v/>
      </c>
      <c r="BC266" s="51" t="str">
        <f t="shared" si="210"/>
        <v/>
      </c>
      <c r="BD266" s="51" t="str">
        <f t="shared" si="211"/>
        <v/>
      </c>
      <c r="BE266" s="51" t="str">
        <f t="shared" si="212"/>
        <v/>
      </c>
      <c r="BF266" s="51" t="str">
        <f t="shared" si="213"/>
        <v/>
      </c>
      <c r="BG266" s="51" t="str">
        <f t="shared" si="214"/>
        <v/>
      </c>
      <c r="BH266" s="51" t="b">
        <f t="shared" si="215"/>
        <v>0</v>
      </c>
      <c r="BI266" s="51" t="str">
        <f t="shared" si="216"/>
        <v/>
      </c>
      <c r="BJ266" s="51" t="str">
        <f t="shared" si="217"/>
        <v/>
      </c>
      <c r="BK266" s="51" t="b">
        <f t="shared" si="218"/>
        <v>0</v>
      </c>
      <c r="BL266" s="192"/>
    </row>
    <row r="267" spans="1:64" ht="13.5" thickBot="1" x14ac:dyDescent="0.25">
      <c r="A267" s="185" t="s">
        <v>958</v>
      </c>
      <c r="B267" s="194" t="s">
        <v>695</v>
      </c>
      <c r="C267" s="194" t="s">
        <v>695</v>
      </c>
      <c r="D267" s="194" t="s">
        <v>695</v>
      </c>
      <c r="E267" s="193" t="s">
        <v>694</v>
      </c>
      <c r="F267" s="160" t="s">
        <v>20</v>
      </c>
      <c r="G267" s="161"/>
      <c r="H267" s="186" t="str">
        <f t="shared" si="176"/>
        <v>N/A</v>
      </c>
      <c r="I267" s="186" t="b">
        <f t="shared" si="177"/>
        <v>1</v>
      </c>
      <c r="J267" s="186" t="str">
        <f t="shared" si="178"/>
        <v>N/A</v>
      </c>
      <c r="K267" s="186" t="b">
        <f t="shared" si="179"/>
        <v>1</v>
      </c>
      <c r="L267" s="186" t="str">
        <f t="shared" si="180"/>
        <v>N/A</v>
      </c>
      <c r="M267" s="186" t="b">
        <f t="shared" si="181"/>
        <v>1</v>
      </c>
      <c r="N267" s="186" t="str">
        <f t="shared" si="182"/>
        <v>Used?</v>
      </c>
      <c r="O267" s="186" t="b">
        <f t="shared" si="183"/>
        <v>0</v>
      </c>
      <c r="P267" s="26" t="s">
        <v>696</v>
      </c>
      <c r="Q267" s="160" t="s">
        <v>20</v>
      </c>
      <c r="R267" s="160" t="s">
        <v>20</v>
      </c>
      <c r="S267" s="26" t="s">
        <v>697</v>
      </c>
      <c r="T267" s="165" t="str">
        <f t="shared" si="184"/>
        <v>Not Used</v>
      </c>
      <c r="U267" s="162"/>
      <c r="V267" s="55"/>
      <c r="W267" s="51" t="b">
        <f t="shared" si="185"/>
        <v>1</v>
      </c>
      <c r="X267" s="51" t="str">
        <f t="shared" si="186"/>
        <v>Not Used</v>
      </c>
      <c r="Y267" s="51" t="str">
        <f t="shared" si="187"/>
        <v>Not Used</v>
      </c>
      <c r="Z267" s="51" t="str">
        <f t="shared" si="188"/>
        <v>Not Used</v>
      </c>
      <c r="AA267" s="51" t="str">
        <f t="shared" si="188"/>
        <v>Not Used</v>
      </c>
      <c r="AB267" s="51" t="str">
        <f t="shared" si="189"/>
        <v>Not Used</v>
      </c>
      <c r="AC267" s="51" t="b">
        <f t="shared" si="190"/>
        <v>1</v>
      </c>
      <c r="AD267" s="51">
        <f>COUNTIF($X$5:$X$267, "Not Used")</f>
        <v>263</v>
      </c>
      <c r="AE267" s="51">
        <f>COUNTIF($X$5:$X$267, "TRUE")</f>
        <v>0</v>
      </c>
      <c r="AF267" s="51" t="b">
        <f t="shared" si="191"/>
        <v>1</v>
      </c>
      <c r="AI267" s="51" t="b">
        <f t="shared" si="192"/>
        <v>0</v>
      </c>
      <c r="AJ267" s="51" t="b">
        <f t="shared" si="193"/>
        <v>0</v>
      </c>
      <c r="AK267" s="51" t="b">
        <f t="shared" si="194"/>
        <v>0</v>
      </c>
      <c r="AL267" s="51" t="b">
        <f t="shared" si="195"/>
        <v>0</v>
      </c>
      <c r="AM267" s="51" t="b">
        <f t="shared" si="196"/>
        <v>0</v>
      </c>
      <c r="AN267" s="51"/>
      <c r="AO267" s="51" t="b">
        <f t="shared" si="197"/>
        <v>0</v>
      </c>
      <c r="AP267" s="51" t="str">
        <f t="shared" si="219"/>
        <v>Not in MMS</v>
      </c>
      <c r="AQ267" s="51" t="b">
        <f t="shared" si="198"/>
        <v>0</v>
      </c>
      <c r="AR267" s="51" t="b">
        <f t="shared" si="199"/>
        <v>0</v>
      </c>
      <c r="AS267" s="51" t="str">
        <f t="shared" si="200"/>
        <v/>
      </c>
      <c r="AT267" s="51" t="str">
        <f t="shared" si="201"/>
        <v/>
      </c>
      <c r="AU267" s="51" t="str">
        <f t="shared" si="202"/>
        <v/>
      </c>
      <c r="AV267" s="51" t="str">
        <f t="shared" si="203"/>
        <v/>
      </c>
      <c r="AW267" s="51" t="str">
        <f t="shared" si="204"/>
        <v/>
      </c>
      <c r="AX267" s="51" t="str">
        <f t="shared" si="205"/>
        <v/>
      </c>
      <c r="AY267" s="51" t="str">
        <f t="shared" si="206"/>
        <v/>
      </c>
      <c r="AZ267" s="51" t="str">
        <f t="shared" si="207"/>
        <v/>
      </c>
      <c r="BA267" s="51" t="str">
        <f t="shared" si="208"/>
        <v/>
      </c>
      <c r="BB267" s="51" t="str">
        <f t="shared" si="209"/>
        <v/>
      </c>
      <c r="BC267" s="51" t="str">
        <f t="shared" si="210"/>
        <v/>
      </c>
      <c r="BD267" s="51" t="str">
        <f t="shared" si="211"/>
        <v/>
      </c>
      <c r="BE267" s="51" t="str">
        <f t="shared" si="212"/>
        <v/>
      </c>
      <c r="BF267" s="51" t="str">
        <f t="shared" si="213"/>
        <v/>
      </c>
      <c r="BG267" s="51" t="str">
        <f t="shared" si="214"/>
        <v/>
      </c>
      <c r="BH267" s="51" t="b">
        <f t="shared" si="215"/>
        <v>0</v>
      </c>
      <c r="BI267" s="51" t="str">
        <f t="shared" si="216"/>
        <v/>
      </c>
      <c r="BJ267" s="51" t="str">
        <f t="shared" si="217"/>
        <v/>
      </c>
      <c r="BK267" s="51" t="b">
        <f t="shared" si="218"/>
        <v>0</v>
      </c>
      <c r="BL267" s="192"/>
    </row>
    <row r="268" spans="1:64" ht="13.5" thickBot="1" x14ac:dyDescent="0.25">
      <c r="A268" s="185" t="s">
        <v>959</v>
      </c>
      <c r="B268" s="194" t="s">
        <v>695</v>
      </c>
      <c r="C268" s="194" t="s">
        <v>695</v>
      </c>
      <c r="D268" s="194" t="s">
        <v>695</v>
      </c>
      <c r="E268" s="193" t="s">
        <v>694</v>
      </c>
      <c r="F268" s="160" t="s">
        <v>20</v>
      </c>
      <c r="G268" s="161"/>
      <c r="H268" s="186" t="str">
        <f t="shared" si="176"/>
        <v>N/A</v>
      </c>
      <c r="I268" s="186" t="b">
        <f t="shared" si="177"/>
        <v>1</v>
      </c>
      <c r="J268" s="186" t="str">
        <f t="shared" si="178"/>
        <v>N/A</v>
      </c>
      <c r="K268" s="186" t="b">
        <f t="shared" si="179"/>
        <v>1</v>
      </c>
      <c r="L268" s="186" t="str">
        <f t="shared" si="180"/>
        <v>N/A</v>
      </c>
      <c r="M268" s="186" t="b">
        <f t="shared" si="181"/>
        <v>1</v>
      </c>
      <c r="N268" s="186" t="str">
        <f t="shared" si="182"/>
        <v>Used?</v>
      </c>
      <c r="O268" s="186" t="b">
        <f t="shared" si="183"/>
        <v>0</v>
      </c>
      <c r="P268" s="26" t="s">
        <v>696</v>
      </c>
      <c r="Q268" s="160" t="s">
        <v>20</v>
      </c>
      <c r="R268" s="160" t="s">
        <v>20</v>
      </c>
      <c r="S268" s="26" t="s">
        <v>697</v>
      </c>
      <c r="T268" s="165" t="str">
        <f t="shared" si="184"/>
        <v>Not Used</v>
      </c>
      <c r="U268" s="162"/>
      <c r="V268" s="55"/>
      <c r="W268" s="51" t="b">
        <f t="shared" si="185"/>
        <v>1</v>
      </c>
      <c r="X268" s="51" t="str">
        <f t="shared" si="186"/>
        <v>Not Used</v>
      </c>
      <c r="Y268" s="51" t="str">
        <f t="shared" si="187"/>
        <v>Not Used</v>
      </c>
      <c r="Z268" s="51" t="str">
        <f t="shared" si="188"/>
        <v>Not Used</v>
      </c>
      <c r="AA268" s="51" t="str">
        <f t="shared" si="188"/>
        <v>Not Used</v>
      </c>
      <c r="AB268" s="51" t="str">
        <f t="shared" si="189"/>
        <v>Not Used</v>
      </c>
      <c r="AC268" s="51" t="b">
        <f t="shared" si="190"/>
        <v>1</v>
      </c>
      <c r="AD268" s="51">
        <f>COUNTIF($X$5:$X$268, "Not Used")</f>
        <v>264</v>
      </c>
      <c r="AE268" s="51">
        <f>COUNTIF($X$5:$X$268, "TRUE")</f>
        <v>0</v>
      </c>
      <c r="AF268" s="51" t="b">
        <f t="shared" si="191"/>
        <v>1</v>
      </c>
      <c r="AI268" s="51" t="b">
        <f t="shared" si="192"/>
        <v>0</v>
      </c>
      <c r="AJ268" s="51" t="b">
        <f t="shared" si="193"/>
        <v>0</v>
      </c>
      <c r="AK268" s="51" t="b">
        <f t="shared" si="194"/>
        <v>0</v>
      </c>
      <c r="AL268" s="51" t="b">
        <f t="shared" si="195"/>
        <v>0</v>
      </c>
      <c r="AM268" s="51" t="b">
        <f t="shared" si="196"/>
        <v>0</v>
      </c>
      <c r="AN268" s="51"/>
      <c r="AO268" s="51" t="b">
        <f t="shared" si="197"/>
        <v>0</v>
      </c>
      <c r="AP268" s="51" t="str">
        <f t="shared" si="219"/>
        <v>Not in MMS</v>
      </c>
      <c r="AQ268" s="51" t="b">
        <f t="shared" si="198"/>
        <v>0</v>
      </c>
      <c r="AR268" s="51" t="b">
        <f t="shared" si="199"/>
        <v>0</v>
      </c>
      <c r="AS268" s="51" t="str">
        <f t="shared" si="200"/>
        <v/>
      </c>
      <c r="AT268" s="51" t="str">
        <f t="shared" si="201"/>
        <v/>
      </c>
      <c r="AU268" s="51" t="str">
        <f t="shared" si="202"/>
        <v/>
      </c>
      <c r="AV268" s="51" t="str">
        <f t="shared" si="203"/>
        <v/>
      </c>
      <c r="AW268" s="51" t="str">
        <f t="shared" si="204"/>
        <v/>
      </c>
      <c r="AX268" s="51" t="str">
        <f t="shared" si="205"/>
        <v/>
      </c>
      <c r="AY268" s="51" t="str">
        <f t="shared" si="206"/>
        <v/>
      </c>
      <c r="AZ268" s="51" t="str">
        <f t="shared" si="207"/>
        <v/>
      </c>
      <c r="BA268" s="51" t="str">
        <f t="shared" si="208"/>
        <v/>
      </c>
      <c r="BB268" s="51" t="str">
        <f t="shared" si="209"/>
        <v/>
      </c>
      <c r="BC268" s="51" t="str">
        <f t="shared" si="210"/>
        <v/>
      </c>
      <c r="BD268" s="51" t="str">
        <f t="shared" si="211"/>
        <v/>
      </c>
      <c r="BE268" s="51" t="str">
        <f t="shared" si="212"/>
        <v/>
      </c>
      <c r="BF268" s="51" t="str">
        <f t="shared" si="213"/>
        <v/>
      </c>
      <c r="BG268" s="51" t="str">
        <f t="shared" si="214"/>
        <v/>
      </c>
      <c r="BH268" s="51" t="b">
        <f t="shared" si="215"/>
        <v>0</v>
      </c>
      <c r="BI268" s="51" t="str">
        <f t="shared" si="216"/>
        <v/>
      </c>
      <c r="BJ268" s="51" t="str">
        <f t="shared" si="217"/>
        <v/>
      </c>
      <c r="BK268" s="51" t="b">
        <f t="shared" si="218"/>
        <v>0</v>
      </c>
      <c r="BL268" s="192"/>
    </row>
    <row r="269" spans="1:64" ht="13.5" thickBot="1" x14ac:dyDescent="0.25">
      <c r="A269" s="185" t="s">
        <v>960</v>
      </c>
      <c r="B269" s="194" t="s">
        <v>695</v>
      </c>
      <c r="C269" s="194" t="s">
        <v>695</v>
      </c>
      <c r="D269" s="194" t="s">
        <v>695</v>
      </c>
      <c r="E269" s="193" t="s">
        <v>694</v>
      </c>
      <c r="F269" s="160" t="s">
        <v>20</v>
      </c>
      <c r="G269" s="161"/>
      <c r="H269" s="186" t="str">
        <f t="shared" si="176"/>
        <v>N/A</v>
      </c>
      <c r="I269" s="186" t="b">
        <f t="shared" si="177"/>
        <v>1</v>
      </c>
      <c r="J269" s="186" t="str">
        <f t="shared" si="178"/>
        <v>N/A</v>
      </c>
      <c r="K269" s="186" t="b">
        <f t="shared" si="179"/>
        <v>1</v>
      </c>
      <c r="L269" s="186" t="str">
        <f t="shared" si="180"/>
        <v>N/A</v>
      </c>
      <c r="M269" s="186" t="b">
        <f t="shared" si="181"/>
        <v>1</v>
      </c>
      <c r="N269" s="186" t="str">
        <f t="shared" si="182"/>
        <v>Used?</v>
      </c>
      <c r="O269" s="186" t="b">
        <f t="shared" si="183"/>
        <v>0</v>
      </c>
      <c r="P269" s="26" t="s">
        <v>696</v>
      </c>
      <c r="Q269" s="160" t="s">
        <v>20</v>
      </c>
      <c r="R269" s="160" t="s">
        <v>20</v>
      </c>
      <c r="S269" s="26" t="s">
        <v>697</v>
      </c>
      <c r="T269" s="165" t="str">
        <f t="shared" si="184"/>
        <v>Not Used</v>
      </c>
      <c r="U269" s="162"/>
      <c r="V269" s="55"/>
      <c r="W269" s="51" t="b">
        <f t="shared" si="185"/>
        <v>1</v>
      </c>
      <c r="X269" s="51" t="str">
        <f t="shared" si="186"/>
        <v>Not Used</v>
      </c>
      <c r="Y269" s="51" t="str">
        <f t="shared" si="187"/>
        <v>Not Used</v>
      </c>
      <c r="Z269" s="51" t="str">
        <f t="shared" si="188"/>
        <v>Not Used</v>
      </c>
      <c r="AA269" s="51" t="str">
        <f t="shared" si="188"/>
        <v>Not Used</v>
      </c>
      <c r="AB269" s="51" t="str">
        <f t="shared" si="189"/>
        <v>Not Used</v>
      </c>
      <c r="AC269" s="51" t="b">
        <f t="shared" si="190"/>
        <v>1</v>
      </c>
      <c r="AD269" s="51">
        <f>COUNTIF($X$5:$X$269, "Not Used")</f>
        <v>265</v>
      </c>
      <c r="AE269" s="51">
        <f>COUNTIF($X$5:$X$269, "TRUE")</f>
        <v>0</v>
      </c>
      <c r="AF269" s="51" t="b">
        <f t="shared" si="191"/>
        <v>1</v>
      </c>
      <c r="AI269" s="51" t="b">
        <f t="shared" si="192"/>
        <v>0</v>
      </c>
      <c r="AJ269" s="51" t="b">
        <f t="shared" si="193"/>
        <v>0</v>
      </c>
      <c r="AK269" s="51" t="b">
        <f t="shared" si="194"/>
        <v>0</v>
      </c>
      <c r="AL269" s="51" t="b">
        <f t="shared" si="195"/>
        <v>0</v>
      </c>
      <c r="AM269" s="51" t="b">
        <f t="shared" si="196"/>
        <v>0</v>
      </c>
      <c r="AN269" s="51"/>
      <c r="AO269" s="51" t="b">
        <f t="shared" si="197"/>
        <v>0</v>
      </c>
      <c r="AP269" s="51" t="str">
        <f t="shared" si="219"/>
        <v>Not in MMS</v>
      </c>
      <c r="AQ269" s="51" t="b">
        <f t="shared" si="198"/>
        <v>0</v>
      </c>
      <c r="AR269" s="51" t="b">
        <f t="shared" si="199"/>
        <v>0</v>
      </c>
      <c r="AS269" s="51" t="str">
        <f t="shared" si="200"/>
        <v/>
      </c>
      <c r="AT269" s="51" t="str">
        <f t="shared" si="201"/>
        <v/>
      </c>
      <c r="AU269" s="51" t="str">
        <f t="shared" si="202"/>
        <v/>
      </c>
      <c r="AV269" s="51" t="str">
        <f t="shared" si="203"/>
        <v/>
      </c>
      <c r="AW269" s="51" t="str">
        <f t="shared" si="204"/>
        <v/>
      </c>
      <c r="AX269" s="51" t="str">
        <f t="shared" si="205"/>
        <v/>
      </c>
      <c r="AY269" s="51" t="str">
        <f t="shared" si="206"/>
        <v/>
      </c>
      <c r="AZ269" s="51" t="str">
        <f t="shared" si="207"/>
        <v/>
      </c>
      <c r="BA269" s="51" t="str">
        <f t="shared" si="208"/>
        <v/>
      </c>
      <c r="BB269" s="51" t="str">
        <f t="shared" si="209"/>
        <v/>
      </c>
      <c r="BC269" s="51" t="str">
        <f t="shared" si="210"/>
        <v/>
      </c>
      <c r="BD269" s="51" t="str">
        <f t="shared" si="211"/>
        <v/>
      </c>
      <c r="BE269" s="51" t="str">
        <f t="shared" si="212"/>
        <v/>
      </c>
      <c r="BF269" s="51" t="str">
        <f t="shared" si="213"/>
        <v/>
      </c>
      <c r="BG269" s="51" t="str">
        <f t="shared" si="214"/>
        <v/>
      </c>
      <c r="BH269" s="51" t="b">
        <f t="shared" si="215"/>
        <v>0</v>
      </c>
      <c r="BI269" s="51" t="str">
        <f t="shared" si="216"/>
        <v/>
      </c>
      <c r="BJ269" s="51" t="str">
        <f t="shared" si="217"/>
        <v/>
      </c>
      <c r="BK269" s="51" t="b">
        <f t="shared" si="218"/>
        <v>0</v>
      </c>
      <c r="BL269" s="192"/>
    </row>
    <row r="270" spans="1:64" ht="13.5" thickBot="1" x14ac:dyDescent="0.25">
      <c r="A270" s="185" t="s">
        <v>961</v>
      </c>
      <c r="B270" s="194" t="s">
        <v>695</v>
      </c>
      <c r="C270" s="194" t="s">
        <v>695</v>
      </c>
      <c r="D270" s="194" t="s">
        <v>695</v>
      </c>
      <c r="E270" s="193" t="s">
        <v>694</v>
      </c>
      <c r="F270" s="160" t="s">
        <v>20</v>
      </c>
      <c r="G270" s="161"/>
      <c r="H270" s="186" t="str">
        <f t="shared" si="176"/>
        <v>N/A</v>
      </c>
      <c r="I270" s="186" t="b">
        <f t="shared" si="177"/>
        <v>1</v>
      </c>
      <c r="J270" s="186" t="str">
        <f t="shared" si="178"/>
        <v>N/A</v>
      </c>
      <c r="K270" s="186" t="b">
        <f t="shared" si="179"/>
        <v>1</v>
      </c>
      <c r="L270" s="186" t="str">
        <f t="shared" si="180"/>
        <v>N/A</v>
      </c>
      <c r="M270" s="186" t="b">
        <f t="shared" si="181"/>
        <v>1</v>
      </c>
      <c r="N270" s="186" t="str">
        <f t="shared" si="182"/>
        <v>Used?</v>
      </c>
      <c r="O270" s="186" t="b">
        <f t="shared" si="183"/>
        <v>0</v>
      </c>
      <c r="P270" s="26" t="s">
        <v>696</v>
      </c>
      <c r="Q270" s="160" t="s">
        <v>20</v>
      </c>
      <c r="R270" s="160" t="s">
        <v>20</v>
      </c>
      <c r="S270" s="26" t="s">
        <v>697</v>
      </c>
      <c r="T270" s="165" t="str">
        <f t="shared" si="184"/>
        <v>Not Used</v>
      </c>
      <c r="U270" s="162"/>
      <c r="V270" s="55"/>
      <c r="W270" s="51" t="b">
        <f t="shared" si="185"/>
        <v>1</v>
      </c>
      <c r="X270" s="51" t="str">
        <f t="shared" si="186"/>
        <v>Not Used</v>
      </c>
      <c r="Y270" s="51" t="str">
        <f t="shared" si="187"/>
        <v>Not Used</v>
      </c>
      <c r="Z270" s="51" t="str">
        <f t="shared" si="188"/>
        <v>Not Used</v>
      </c>
      <c r="AA270" s="51" t="str">
        <f t="shared" si="188"/>
        <v>Not Used</v>
      </c>
      <c r="AB270" s="51" t="str">
        <f t="shared" si="189"/>
        <v>Not Used</v>
      </c>
      <c r="AC270" s="51" t="b">
        <f t="shared" si="190"/>
        <v>1</v>
      </c>
      <c r="AD270" s="51">
        <f>COUNTIF($X$5:$X$270, "Not Used")</f>
        <v>266</v>
      </c>
      <c r="AE270" s="51">
        <f>COUNTIF($X$5:$X$270, "TRUE")</f>
        <v>0</v>
      </c>
      <c r="AF270" s="51" t="b">
        <f t="shared" si="191"/>
        <v>1</v>
      </c>
      <c r="AI270" s="51" t="b">
        <f t="shared" si="192"/>
        <v>0</v>
      </c>
      <c r="AJ270" s="51" t="b">
        <f t="shared" si="193"/>
        <v>0</v>
      </c>
      <c r="AK270" s="51" t="b">
        <f t="shared" si="194"/>
        <v>0</v>
      </c>
      <c r="AL270" s="51" t="b">
        <f t="shared" si="195"/>
        <v>0</v>
      </c>
      <c r="AM270" s="51" t="b">
        <f t="shared" si="196"/>
        <v>0</v>
      </c>
      <c r="AN270" s="51"/>
      <c r="AO270" s="51" t="b">
        <f t="shared" si="197"/>
        <v>0</v>
      </c>
      <c r="AP270" s="51" t="str">
        <f t="shared" si="219"/>
        <v>Not in MMS</v>
      </c>
      <c r="AQ270" s="51" t="b">
        <f t="shared" si="198"/>
        <v>0</v>
      </c>
      <c r="AR270" s="51" t="b">
        <f t="shared" si="199"/>
        <v>0</v>
      </c>
      <c r="AS270" s="51" t="str">
        <f t="shared" si="200"/>
        <v/>
      </c>
      <c r="AT270" s="51" t="str">
        <f t="shared" si="201"/>
        <v/>
      </c>
      <c r="AU270" s="51" t="str">
        <f t="shared" si="202"/>
        <v/>
      </c>
      <c r="AV270" s="51" t="str">
        <f t="shared" si="203"/>
        <v/>
      </c>
      <c r="AW270" s="51" t="str">
        <f t="shared" si="204"/>
        <v/>
      </c>
      <c r="AX270" s="51" t="str">
        <f t="shared" si="205"/>
        <v/>
      </c>
      <c r="AY270" s="51" t="str">
        <f t="shared" si="206"/>
        <v/>
      </c>
      <c r="AZ270" s="51" t="str">
        <f t="shared" si="207"/>
        <v/>
      </c>
      <c r="BA270" s="51" t="str">
        <f t="shared" si="208"/>
        <v/>
      </c>
      <c r="BB270" s="51" t="str">
        <f t="shared" si="209"/>
        <v/>
      </c>
      <c r="BC270" s="51" t="str">
        <f t="shared" si="210"/>
        <v/>
      </c>
      <c r="BD270" s="51" t="str">
        <f t="shared" si="211"/>
        <v/>
      </c>
      <c r="BE270" s="51" t="str">
        <f t="shared" si="212"/>
        <v/>
      </c>
      <c r="BF270" s="51" t="str">
        <f t="shared" si="213"/>
        <v/>
      </c>
      <c r="BG270" s="51" t="str">
        <f t="shared" si="214"/>
        <v/>
      </c>
      <c r="BH270" s="51" t="b">
        <f t="shared" si="215"/>
        <v>0</v>
      </c>
      <c r="BI270" s="51" t="str">
        <f t="shared" si="216"/>
        <v/>
      </c>
      <c r="BJ270" s="51" t="str">
        <f t="shared" si="217"/>
        <v/>
      </c>
      <c r="BK270" s="51" t="b">
        <f t="shared" si="218"/>
        <v>0</v>
      </c>
      <c r="BL270" s="192"/>
    </row>
    <row r="271" spans="1:64" ht="13.5" thickBot="1" x14ac:dyDescent="0.25">
      <c r="A271" s="185" t="s">
        <v>962</v>
      </c>
      <c r="B271" s="194" t="s">
        <v>695</v>
      </c>
      <c r="C271" s="194" t="s">
        <v>695</v>
      </c>
      <c r="D271" s="194" t="s">
        <v>695</v>
      </c>
      <c r="E271" s="193" t="s">
        <v>694</v>
      </c>
      <c r="F271" s="160" t="s">
        <v>20</v>
      </c>
      <c r="G271" s="161"/>
      <c r="H271" s="186" t="str">
        <f t="shared" si="176"/>
        <v>N/A</v>
      </c>
      <c r="I271" s="186" t="b">
        <f t="shared" si="177"/>
        <v>1</v>
      </c>
      <c r="J271" s="186" t="str">
        <f t="shared" si="178"/>
        <v>N/A</v>
      </c>
      <c r="K271" s="186" t="b">
        <f t="shared" si="179"/>
        <v>1</v>
      </c>
      <c r="L271" s="186" t="str">
        <f t="shared" si="180"/>
        <v>N/A</v>
      </c>
      <c r="M271" s="186" t="b">
        <f t="shared" si="181"/>
        <v>1</v>
      </c>
      <c r="N271" s="186" t="str">
        <f t="shared" si="182"/>
        <v>Used?</v>
      </c>
      <c r="O271" s="186" t="b">
        <f t="shared" si="183"/>
        <v>0</v>
      </c>
      <c r="P271" s="26" t="s">
        <v>696</v>
      </c>
      <c r="Q271" s="160" t="s">
        <v>20</v>
      </c>
      <c r="R271" s="160" t="s">
        <v>20</v>
      </c>
      <c r="S271" s="26" t="s">
        <v>697</v>
      </c>
      <c r="T271" s="165" t="str">
        <f t="shared" si="184"/>
        <v>Not Used</v>
      </c>
      <c r="U271" s="162"/>
      <c r="V271" s="55"/>
      <c r="W271" s="51" t="b">
        <f t="shared" si="185"/>
        <v>1</v>
      </c>
      <c r="X271" s="51" t="str">
        <f t="shared" si="186"/>
        <v>Not Used</v>
      </c>
      <c r="Y271" s="51" t="str">
        <f t="shared" si="187"/>
        <v>Not Used</v>
      </c>
      <c r="Z271" s="51" t="str">
        <f t="shared" si="188"/>
        <v>Not Used</v>
      </c>
      <c r="AA271" s="51" t="str">
        <f t="shared" si="188"/>
        <v>Not Used</v>
      </c>
      <c r="AB271" s="51" t="str">
        <f t="shared" si="189"/>
        <v>Not Used</v>
      </c>
      <c r="AC271" s="51" t="b">
        <f t="shared" si="190"/>
        <v>1</v>
      </c>
      <c r="AD271" s="51">
        <f>COUNTIF($X$5:$X$271, "Not Used")</f>
        <v>267</v>
      </c>
      <c r="AE271" s="51">
        <f>COUNTIF($X$5:$X$271, "TRUE")</f>
        <v>0</v>
      </c>
      <c r="AF271" s="51" t="b">
        <f t="shared" si="191"/>
        <v>1</v>
      </c>
      <c r="AI271" s="51" t="b">
        <f t="shared" si="192"/>
        <v>0</v>
      </c>
      <c r="AJ271" s="51" t="b">
        <f t="shared" si="193"/>
        <v>0</v>
      </c>
      <c r="AK271" s="51" t="b">
        <f t="shared" si="194"/>
        <v>0</v>
      </c>
      <c r="AL271" s="51" t="b">
        <f t="shared" si="195"/>
        <v>0</v>
      </c>
      <c r="AM271" s="51" t="b">
        <f t="shared" si="196"/>
        <v>0</v>
      </c>
      <c r="AN271" s="51"/>
      <c r="AO271" s="51" t="b">
        <f t="shared" si="197"/>
        <v>0</v>
      </c>
      <c r="AP271" s="51" t="str">
        <f t="shared" si="219"/>
        <v>Not in MMS</v>
      </c>
      <c r="AQ271" s="51" t="b">
        <f t="shared" si="198"/>
        <v>0</v>
      </c>
      <c r="AR271" s="51" t="b">
        <f t="shared" si="199"/>
        <v>0</v>
      </c>
      <c r="AS271" s="51" t="str">
        <f t="shared" si="200"/>
        <v/>
      </c>
      <c r="AT271" s="51" t="str">
        <f t="shared" si="201"/>
        <v/>
      </c>
      <c r="AU271" s="51" t="str">
        <f t="shared" si="202"/>
        <v/>
      </c>
      <c r="AV271" s="51" t="str">
        <f t="shared" si="203"/>
        <v/>
      </c>
      <c r="AW271" s="51" t="str">
        <f t="shared" si="204"/>
        <v/>
      </c>
      <c r="AX271" s="51" t="str">
        <f t="shared" si="205"/>
        <v/>
      </c>
      <c r="AY271" s="51" t="str">
        <f t="shared" si="206"/>
        <v/>
      </c>
      <c r="AZ271" s="51" t="str">
        <f t="shared" si="207"/>
        <v/>
      </c>
      <c r="BA271" s="51" t="str">
        <f t="shared" si="208"/>
        <v/>
      </c>
      <c r="BB271" s="51" t="str">
        <f t="shared" si="209"/>
        <v/>
      </c>
      <c r="BC271" s="51" t="str">
        <f t="shared" si="210"/>
        <v/>
      </c>
      <c r="BD271" s="51" t="str">
        <f t="shared" si="211"/>
        <v/>
      </c>
      <c r="BE271" s="51" t="str">
        <f t="shared" si="212"/>
        <v/>
      </c>
      <c r="BF271" s="51" t="str">
        <f t="shared" si="213"/>
        <v/>
      </c>
      <c r="BG271" s="51" t="str">
        <f t="shared" si="214"/>
        <v/>
      </c>
      <c r="BH271" s="51" t="b">
        <f t="shared" si="215"/>
        <v>0</v>
      </c>
      <c r="BI271" s="51" t="str">
        <f t="shared" si="216"/>
        <v/>
      </c>
      <c r="BJ271" s="51" t="str">
        <f t="shared" si="217"/>
        <v/>
      </c>
      <c r="BK271" s="51" t="b">
        <f t="shared" si="218"/>
        <v>0</v>
      </c>
      <c r="BL271" s="192"/>
    </row>
    <row r="272" spans="1:64" ht="13.5" thickBot="1" x14ac:dyDescent="0.25">
      <c r="A272" s="185" t="s">
        <v>963</v>
      </c>
      <c r="B272" s="194" t="s">
        <v>695</v>
      </c>
      <c r="C272" s="194" t="s">
        <v>695</v>
      </c>
      <c r="D272" s="194" t="s">
        <v>695</v>
      </c>
      <c r="E272" s="193" t="s">
        <v>694</v>
      </c>
      <c r="F272" s="160" t="s">
        <v>20</v>
      </c>
      <c r="G272" s="161"/>
      <c r="H272" s="186" t="str">
        <f t="shared" si="176"/>
        <v>N/A</v>
      </c>
      <c r="I272" s="186" t="b">
        <f t="shared" si="177"/>
        <v>1</v>
      </c>
      <c r="J272" s="186" t="str">
        <f t="shared" si="178"/>
        <v>N/A</v>
      </c>
      <c r="K272" s="186" t="b">
        <f t="shared" si="179"/>
        <v>1</v>
      </c>
      <c r="L272" s="186" t="str">
        <f t="shared" si="180"/>
        <v>N/A</v>
      </c>
      <c r="M272" s="186" t="b">
        <f t="shared" si="181"/>
        <v>1</v>
      </c>
      <c r="N272" s="186" t="str">
        <f t="shared" si="182"/>
        <v>Used?</v>
      </c>
      <c r="O272" s="186" t="b">
        <f t="shared" si="183"/>
        <v>0</v>
      </c>
      <c r="P272" s="26" t="s">
        <v>696</v>
      </c>
      <c r="Q272" s="160" t="s">
        <v>20</v>
      </c>
      <c r="R272" s="160" t="s">
        <v>20</v>
      </c>
      <c r="S272" s="26" t="s">
        <v>697</v>
      </c>
      <c r="T272" s="165" t="str">
        <f t="shared" si="184"/>
        <v>Not Used</v>
      </c>
      <c r="U272" s="162"/>
      <c r="V272" s="55"/>
      <c r="W272" s="51" t="b">
        <f t="shared" si="185"/>
        <v>1</v>
      </c>
      <c r="X272" s="51" t="str">
        <f t="shared" si="186"/>
        <v>Not Used</v>
      </c>
      <c r="Y272" s="51" t="str">
        <f t="shared" si="187"/>
        <v>Not Used</v>
      </c>
      <c r="Z272" s="51" t="str">
        <f t="shared" si="188"/>
        <v>Not Used</v>
      </c>
      <c r="AA272" s="51" t="str">
        <f t="shared" si="188"/>
        <v>Not Used</v>
      </c>
      <c r="AB272" s="51" t="str">
        <f t="shared" si="189"/>
        <v>Not Used</v>
      </c>
      <c r="AC272" s="51" t="b">
        <f t="shared" si="190"/>
        <v>1</v>
      </c>
      <c r="AD272" s="51">
        <f>COUNTIF($X$5:$X$272, "Not Used")</f>
        <v>268</v>
      </c>
      <c r="AE272" s="51">
        <f>COUNTIF($X$5:$X$272, "TRUE")</f>
        <v>0</v>
      </c>
      <c r="AF272" s="51" t="b">
        <f t="shared" si="191"/>
        <v>1</v>
      </c>
      <c r="AI272" s="51" t="b">
        <f t="shared" si="192"/>
        <v>0</v>
      </c>
      <c r="AJ272" s="51" t="b">
        <f t="shared" si="193"/>
        <v>0</v>
      </c>
      <c r="AK272" s="51" t="b">
        <f t="shared" si="194"/>
        <v>0</v>
      </c>
      <c r="AL272" s="51" t="b">
        <f t="shared" si="195"/>
        <v>0</v>
      </c>
      <c r="AM272" s="51" t="b">
        <f t="shared" si="196"/>
        <v>0</v>
      </c>
      <c r="AN272" s="51"/>
      <c r="AO272" s="51" t="b">
        <f t="shared" si="197"/>
        <v>0</v>
      </c>
      <c r="AP272" s="51" t="str">
        <f t="shared" si="219"/>
        <v>Not in MMS</v>
      </c>
      <c r="AQ272" s="51" t="b">
        <f t="shared" si="198"/>
        <v>0</v>
      </c>
      <c r="AR272" s="51" t="b">
        <f t="shared" si="199"/>
        <v>0</v>
      </c>
      <c r="AS272" s="51" t="str">
        <f t="shared" si="200"/>
        <v/>
      </c>
      <c r="AT272" s="51" t="str">
        <f t="shared" si="201"/>
        <v/>
      </c>
      <c r="AU272" s="51" t="str">
        <f t="shared" si="202"/>
        <v/>
      </c>
      <c r="AV272" s="51" t="str">
        <f t="shared" si="203"/>
        <v/>
      </c>
      <c r="AW272" s="51" t="str">
        <f t="shared" si="204"/>
        <v/>
      </c>
      <c r="AX272" s="51" t="str">
        <f t="shared" si="205"/>
        <v/>
      </c>
      <c r="AY272" s="51" t="str">
        <f t="shared" si="206"/>
        <v/>
      </c>
      <c r="AZ272" s="51" t="str">
        <f t="shared" si="207"/>
        <v/>
      </c>
      <c r="BA272" s="51" t="str">
        <f t="shared" si="208"/>
        <v/>
      </c>
      <c r="BB272" s="51" t="str">
        <f t="shared" si="209"/>
        <v/>
      </c>
      <c r="BC272" s="51" t="str">
        <f t="shared" si="210"/>
        <v/>
      </c>
      <c r="BD272" s="51" t="str">
        <f t="shared" si="211"/>
        <v/>
      </c>
      <c r="BE272" s="51" t="str">
        <f t="shared" si="212"/>
        <v/>
      </c>
      <c r="BF272" s="51" t="str">
        <f t="shared" si="213"/>
        <v/>
      </c>
      <c r="BG272" s="51" t="str">
        <f t="shared" si="214"/>
        <v/>
      </c>
      <c r="BH272" s="51" t="b">
        <f t="shared" si="215"/>
        <v>0</v>
      </c>
      <c r="BI272" s="51" t="str">
        <f t="shared" si="216"/>
        <v/>
      </c>
      <c r="BJ272" s="51" t="str">
        <f t="shared" si="217"/>
        <v/>
      </c>
      <c r="BK272" s="51" t="b">
        <f t="shared" si="218"/>
        <v>0</v>
      </c>
      <c r="BL272" s="192"/>
    </row>
    <row r="273" spans="1:64" ht="13.5" thickBot="1" x14ac:dyDescent="0.25">
      <c r="A273" s="185" t="s">
        <v>964</v>
      </c>
      <c r="B273" s="194" t="s">
        <v>695</v>
      </c>
      <c r="C273" s="194" t="s">
        <v>695</v>
      </c>
      <c r="D273" s="194" t="s">
        <v>695</v>
      </c>
      <c r="E273" s="193" t="s">
        <v>694</v>
      </c>
      <c r="F273" s="160" t="s">
        <v>20</v>
      </c>
      <c r="G273" s="161"/>
      <c r="H273" s="186" t="str">
        <f t="shared" si="176"/>
        <v>N/A</v>
      </c>
      <c r="I273" s="186" t="b">
        <f t="shared" si="177"/>
        <v>1</v>
      </c>
      <c r="J273" s="186" t="str">
        <f t="shared" si="178"/>
        <v>N/A</v>
      </c>
      <c r="K273" s="186" t="b">
        <f t="shared" si="179"/>
        <v>1</v>
      </c>
      <c r="L273" s="186" t="str">
        <f t="shared" si="180"/>
        <v>N/A</v>
      </c>
      <c r="M273" s="186" t="b">
        <f t="shared" si="181"/>
        <v>1</v>
      </c>
      <c r="N273" s="186" t="str">
        <f t="shared" si="182"/>
        <v>Used?</v>
      </c>
      <c r="O273" s="186" t="b">
        <f t="shared" si="183"/>
        <v>0</v>
      </c>
      <c r="P273" s="26" t="s">
        <v>696</v>
      </c>
      <c r="Q273" s="160" t="s">
        <v>20</v>
      </c>
      <c r="R273" s="160" t="s">
        <v>20</v>
      </c>
      <c r="S273" s="26" t="s">
        <v>697</v>
      </c>
      <c r="T273" s="165" t="str">
        <f t="shared" si="184"/>
        <v>Not Used</v>
      </c>
      <c r="U273" s="162"/>
      <c r="V273" s="55"/>
      <c r="W273" s="51" t="b">
        <f t="shared" si="185"/>
        <v>1</v>
      </c>
      <c r="X273" s="51" t="str">
        <f t="shared" si="186"/>
        <v>Not Used</v>
      </c>
      <c r="Y273" s="51" t="str">
        <f t="shared" si="187"/>
        <v>Not Used</v>
      </c>
      <c r="Z273" s="51" t="str">
        <f t="shared" si="188"/>
        <v>Not Used</v>
      </c>
      <c r="AA273" s="51" t="str">
        <f t="shared" si="188"/>
        <v>Not Used</v>
      </c>
      <c r="AB273" s="51" t="str">
        <f t="shared" si="189"/>
        <v>Not Used</v>
      </c>
      <c r="AC273" s="51" t="b">
        <f t="shared" si="190"/>
        <v>1</v>
      </c>
      <c r="AD273" s="51">
        <f>COUNTIF($X$5:$X$273, "Not Used")</f>
        <v>269</v>
      </c>
      <c r="AE273" s="51">
        <f>COUNTIF($X$5:$X$273, "TRUE")</f>
        <v>0</v>
      </c>
      <c r="AF273" s="51" t="b">
        <f t="shared" si="191"/>
        <v>1</v>
      </c>
      <c r="AI273" s="51" t="b">
        <f t="shared" si="192"/>
        <v>0</v>
      </c>
      <c r="AJ273" s="51" t="b">
        <f t="shared" si="193"/>
        <v>0</v>
      </c>
      <c r="AK273" s="51" t="b">
        <f t="shared" si="194"/>
        <v>0</v>
      </c>
      <c r="AL273" s="51" t="b">
        <f t="shared" si="195"/>
        <v>0</v>
      </c>
      <c r="AM273" s="51" t="b">
        <f t="shared" si="196"/>
        <v>0</v>
      </c>
      <c r="AN273" s="51"/>
      <c r="AO273" s="51" t="b">
        <f t="shared" si="197"/>
        <v>0</v>
      </c>
      <c r="AP273" s="51" t="str">
        <f t="shared" si="219"/>
        <v>Not in MMS</v>
      </c>
      <c r="AQ273" s="51" t="b">
        <f t="shared" si="198"/>
        <v>0</v>
      </c>
      <c r="AR273" s="51" t="b">
        <f t="shared" si="199"/>
        <v>0</v>
      </c>
      <c r="AS273" s="51" t="str">
        <f t="shared" si="200"/>
        <v/>
      </c>
      <c r="AT273" s="51" t="str">
        <f t="shared" si="201"/>
        <v/>
      </c>
      <c r="AU273" s="51" t="str">
        <f t="shared" si="202"/>
        <v/>
      </c>
      <c r="AV273" s="51" t="str">
        <f t="shared" si="203"/>
        <v/>
      </c>
      <c r="AW273" s="51" t="str">
        <f t="shared" si="204"/>
        <v/>
      </c>
      <c r="AX273" s="51" t="str">
        <f t="shared" si="205"/>
        <v/>
      </c>
      <c r="AY273" s="51" t="str">
        <f t="shared" si="206"/>
        <v/>
      </c>
      <c r="AZ273" s="51" t="str">
        <f t="shared" si="207"/>
        <v/>
      </c>
      <c r="BA273" s="51" t="str">
        <f t="shared" si="208"/>
        <v/>
      </c>
      <c r="BB273" s="51" t="str">
        <f t="shared" si="209"/>
        <v/>
      </c>
      <c r="BC273" s="51" t="str">
        <f t="shared" si="210"/>
        <v/>
      </c>
      <c r="BD273" s="51" t="str">
        <f t="shared" si="211"/>
        <v/>
      </c>
      <c r="BE273" s="51" t="str">
        <f t="shared" si="212"/>
        <v/>
      </c>
      <c r="BF273" s="51" t="str">
        <f t="shared" si="213"/>
        <v/>
      </c>
      <c r="BG273" s="51" t="str">
        <f t="shared" si="214"/>
        <v/>
      </c>
      <c r="BH273" s="51" t="b">
        <f t="shared" si="215"/>
        <v>0</v>
      </c>
      <c r="BI273" s="51" t="str">
        <f t="shared" si="216"/>
        <v/>
      </c>
      <c r="BJ273" s="51" t="str">
        <f t="shared" si="217"/>
        <v/>
      </c>
      <c r="BK273" s="51" t="b">
        <f t="shared" si="218"/>
        <v>0</v>
      </c>
      <c r="BL273" s="192"/>
    </row>
    <row r="274" spans="1:64" ht="13.5" thickBot="1" x14ac:dyDescent="0.25">
      <c r="A274" s="185" t="s">
        <v>965</v>
      </c>
      <c r="B274" s="194" t="s">
        <v>695</v>
      </c>
      <c r="C274" s="194" t="s">
        <v>695</v>
      </c>
      <c r="D274" s="194" t="s">
        <v>695</v>
      </c>
      <c r="E274" s="193" t="s">
        <v>694</v>
      </c>
      <c r="F274" s="160" t="s">
        <v>20</v>
      </c>
      <c r="G274" s="161"/>
      <c r="H274" s="186" t="str">
        <f t="shared" si="176"/>
        <v>N/A</v>
      </c>
      <c r="I274" s="186" t="b">
        <f t="shared" si="177"/>
        <v>1</v>
      </c>
      <c r="J274" s="186" t="str">
        <f t="shared" si="178"/>
        <v>N/A</v>
      </c>
      <c r="K274" s="186" t="b">
        <f t="shared" si="179"/>
        <v>1</v>
      </c>
      <c r="L274" s="186" t="str">
        <f t="shared" si="180"/>
        <v>N/A</v>
      </c>
      <c r="M274" s="186" t="b">
        <f t="shared" si="181"/>
        <v>1</v>
      </c>
      <c r="N274" s="186" t="str">
        <f t="shared" si="182"/>
        <v>Used?</v>
      </c>
      <c r="O274" s="186" t="b">
        <f t="shared" si="183"/>
        <v>0</v>
      </c>
      <c r="P274" s="26" t="s">
        <v>696</v>
      </c>
      <c r="Q274" s="160" t="s">
        <v>20</v>
      </c>
      <c r="R274" s="160" t="s">
        <v>20</v>
      </c>
      <c r="S274" s="26" t="s">
        <v>697</v>
      </c>
      <c r="T274" s="165" t="str">
        <f t="shared" si="184"/>
        <v>Not Used</v>
      </c>
      <c r="U274" s="162"/>
      <c r="V274" s="55"/>
      <c r="W274" s="51" t="b">
        <f t="shared" si="185"/>
        <v>1</v>
      </c>
      <c r="X274" s="51" t="str">
        <f t="shared" si="186"/>
        <v>Not Used</v>
      </c>
      <c r="Y274" s="51" t="str">
        <f t="shared" si="187"/>
        <v>Not Used</v>
      </c>
      <c r="Z274" s="51" t="str">
        <f t="shared" si="188"/>
        <v>Not Used</v>
      </c>
      <c r="AA274" s="51" t="str">
        <f t="shared" si="188"/>
        <v>Not Used</v>
      </c>
      <c r="AB274" s="51" t="str">
        <f t="shared" si="189"/>
        <v>Not Used</v>
      </c>
      <c r="AC274" s="51" t="b">
        <f t="shared" si="190"/>
        <v>1</v>
      </c>
      <c r="AD274" s="51">
        <f>COUNTIF($X$5:$X$274, "Not Used")</f>
        <v>270</v>
      </c>
      <c r="AE274" s="51">
        <f>COUNTIF($X$5:$X$274, "TRUE")</f>
        <v>0</v>
      </c>
      <c r="AF274" s="51" t="b">
        <f t="shared" si="191"/>
        <v>1</v>
      </c>
      <c r="AI274" s="51" t="b">
        <f t="shared" si="192"/>
        <v>0</v>
      </c>
      <c r="AJ274" s="51" t="b">
        <f t="shared" si="193"/>
        <v>0</v>
      </c>
      <c r="AK274" s="51" t="b">
        <f t="shared" si="194"/>
        <v>0</v>
      </c>
      <c r="AL274" s="51" t="b">
        <f t="shared" si="195"/>
        <v>0</v>
      </c>
      <c r="AM274" s="51" t="b">
        <f t="shared" si="196"/>
        <v>0</v>
      </c>
      <c r="AN274" s="51"/>
      <c r="AO274" s="51" t="b">
        <f t="shared" si="197"/>
        <v>0</v>
      </c>
      <c r="AP274" s="51" t="str">
        <f t="shared" si="219"/>
        <v>Not in MMS</v>
      </c>
      <c r="AQ274" s="51" t="b">
        <f t="shared" si="198"/>
        <v>0</v>
      </c>
      <c r="AR274" s="51" t="b">
        <f t="shared" si="199"/>
        <v>0</v>
      </c>
      <c r="AS274" s="51" t="str">
        <f t="shared" si="200"/>
        <v/>
      </c>
      <c r="AT274" s="51" t="str">
        <f t="shared" si="201"/>
        <v/>
      </c>
      <c r="AU274" s="51" t="str">
        <f t="shared" si="202"/>
        <v/>
      </c>
      <c r="AV274" s="51" t="str">
        <f t="shared" si="203"/>
        <v/>
      </c>
      <c r="AW274" s="51" t="str">
        <f t="shared" si="204"/>
        <v/>
      </c>
      <c r="AX274" s="51" t="str">
        <f t="shared" si="205"/>
        <v/>
      </c>
      <c r="AY274" s="51" t="str">
        <f t="shared" si="206"/>
        <v/>
      </c>
      <c r="AZ274" s="51" t="str">
        <f t="shared" si="207"/>
        <v/>
      </c>
      <c r="BA274" s="51" t="str">
        <f t="shared" si="208"/>
        <v/>
      </c>
      <c r="BB274" s="51" t="str">
        <f t="shared" si="209"/>
        <v/>
      </c>
      <c r="BC274" s="51" t="str">
        <f t="shared" si="210"/>
        <v/>
      </c>
      <c r="BD274" s="51" t="str">
        <f t="shared" si="211"/>
        <v/>
      </c>
      <c r="BE274" s="51" t="str">
        <f t="shared" si="212"/>
        <v/>
      </c>
      <c r="BF274" s="51" t="str">
        <f t="shared" si="213"/>
        <v/>
      </c>
      <c r="BG274" s="51" t="str">
        <f t="shared" si="214"/>
        <v/>
      </c>
      <c r="BH274" s="51" t="b">
        <f t="shared" si="215"/>
        <v>0</v>
      </c>
      <c r="BI274" s="51" t="str">
        <f t="shared" si="216"/>
        <v/>
      </c>
      <c r="BJ274" s="51" t="str">
        <f t="shared" si="217"/>
        <v/>
      </c>
      <c r="BK274" s="51" t="b">
        <f t="shared" si="218"/>
        <v>0</v>
      </c>
      <c r="BL274" s="192"/>
    </row>
    <row r="275" spans="1:64" ht="13.5" thickBot="1" x14ac:dyDescent="0.25">
      <c r="A275" s="185" t="s">
        <v>966</v>
      </c>
      <c r="B275" s="194" t="s">
        <v>695</v>
      </c>
      <c r="C275" s="194" t="s">
        <v>695</v>
      </c>
      <c r="D275" s="194" t="s">
        <v>695</v>
      </c>
      <c r="E275" s="193" t="s">
        <v>694</v>
      </c>
      <c r="F275" s="160" t="s">
        <v>20</v>
      </c>
      <c r="G275" s="161"/>
      <c r="H275" s="186" t="str">
        <f t="shared" si="176"/>
        <v>N/A</v>
      </c>
      <c r="I275" s="186" t="b">
        <f t="shared" si="177"/>
        <v>1</v>
      </c>
      <c r="J275" s="186" t="str">
        <f t="shared" si="178"/>
        <v>N/A</v>
      </c>
      <c r="K275" s="186" t="b">
        <f t="shared" si="179"/>
        <v>1</v>
      </c>
      <c r="L275" s="186" t="str">
        <f t="shared" si="180"/>
        <v>N/A</v>
      </c>
      <c r="M275" s="186" t="b">
        <f t="shared" si="181"/>
        <v>1</v>
      </c>
      <c r="N275" s="186" t="str">
        <f t="shared" si="182"/>
        <v>Used?</v>
      </c>
      <c r="O275" s="186" t="b">
        <f t="shared" si="183"/>
        <v>0</v>
      </c>
      <c r="P275" s="26" t="s">
        <v>696</v>
      </c>
      <c r="Q275" s="160" t="s">
        <v>20</v>
      </c>
      <c r="R275" s="160" t="s">
        <v>20</v>
      </c>
      <c r="S275" s="26" t="s">
        <v>697</v>
      </c>
      <c r="T275" s="165" t="str">
        <f t="shared" si="184"/>
        <v>Not Used</v>
      </c>
      <c r="U275" s="162"/>
      <c r="V275" s="55"/>
      <c r="W275" s="51" t="b">
        <f t="shared" si="185"/>
        <v>1</v>
      </c>
      <c r="X275" s="51" t="str">
        <f t="shared" si="186"/>
        <v>Not Used</v>
      </c>
      <c r="Y275" s="51" t="str">
        <f t="shared" si="187"/>
        <v>Not Used</v>
      </c>
      <c r="Z275" s="51" t="str">
        <f t="shared" si="188"/>
        <v>Not Used</v>
      </c>
      <c r="AA275" s="51" t="str">
        <f t="shared" si="188"/>
        <v>Not Used</v>
      </c>
      <c r="AB275" s="51" t="str">
        <f t="shared" si="189"/>
        <v>Not Used</v>
      </c>
      <c r="AC275" s="51" t="b">
        <f t="shared" si="190"/>
        <v>1</v>
      </c>
      <c r="AD275" s="51">
        <f>COUNTIF($X$5:$X$275, "Not Used")</f>
        <v>271</v>
      </c>
      <c r="AE275" s="51">
        <f>COUNTIF($X$5:$X$275, "TRUE")</f>
        <v>0</v>
      </c>
      <c r="AF275" s="51" t="b">
        <f t="shared" si="191"/>
        <v>1</v>
      </c>
      <c r="AI275" s="51" t="b">
        <f t="shared" si="192"/>
        <v>0</v>
      </c>
      <c r="AJ275" s="51" t="b">
        <f t="shared" si="193"/>
        <v>0</v>
      </c>
      <c r="AK275" s="51" t="b">
        <f t="shared" si="194"/>
        <v>0</v>
      </c>
      <c r="AL275" s="51" t="b">
        <f t="shared" si="195"/>
        <v>0</v>
      </c>
      <c r="AM275" s="51" t="b">
        <f t="shared" si="196"/>
        <v>0</v>
      </c>
      <c r="AN275" s="51"/>
      <c r="AO275" s="51" t="b">
        <f t="shared" si="197"/>
        <v>0</v>
      </c>
      <c r="AP275" s="51" t="str">
        <f t="shared" si="219"/>
        <v>Not in MMS</v>
      </c>
      <c r="AQ275" s="51" t="b">
        <f t="shared" si="198"/>
        <v>0</v>
      </c>
      <c r="AR275" s="51" t="b">
        <f t="shared" si="199"/>
        <v>0</v>
      </c>
      <c r="AS275" s="51" t="str">
        <f t="shared" si="200"/>
        <v/>
      </c>
      <c r="AT275" s="51" t="str">
        <f t="shared" si="201"/>
        <v/>
      </c>
      <c r="AU275" s="51" t="str">
        <f t="shared" si="202"/>
        <v/>
      </c>
      <c r="AV275" s="51" t="str">
        <f t="shared" si="203"/>
        <v/>
      </c>
      <c r="AW275" s="51" t="str">
        <f t="shared" si="204"/>
        <v/>
      </c>
      <c r="AX275" s="51" t="str">
        <f t="shared" si="205"/>
        <v/>
      </c>
      <c r="AY275" s="51" t="str">
        <f t="shared" si="206"/>
        <v/>
      </c>
      <c r="AZ275" s="51" t="str">
        <f t="shared" si="207"/>
        <v/>
      </c>
      <c r="BA275" s="51" t="str">
        <f t="shared" si="208"/>
        <v/>
      </c>
      <c r="BB275" s="51" t="str">
        <f t="shared" si="209"/>
        <v/>
      </c>
      <c r="BC275" s="51" t="str">
        <f t="shared" si="210"/>
        <v/>
      </c>
      <c r="BD275" s="51" t="str">
        <f t="shared" si="211"/>
        <v/>
      </c>
      <c r="BE275" s="51" t="str">
        <f t="shared" si="212"/>
        <v/>
      </c>
      <c r="BF275" s="51" t="str">
        <f t="shared" si="213"/>
        <v/>
      </c>
      <c r="BG275" s="51" t="str">
        <f t="shared" si="214"/>
        <v/>
      </c>
      <c r="BH275" s="51" t="b">
        <f t="shared" si="215"/>
        <v>0</v>
      </c>
      <c r="BI275" s="51" t="str">
        <f t="shared" si="216"/>
        <v/>
      </c>
      <c r="BJ275" s="51" t="str">
        <f t="shared" si="217"/>
        <v/>
      </c>
      <c r="BK275" s="51" t="b">
        <f t="shared" si="218"/>
        <v>0</v>
      </c>
      <c r="BL275" s="192"/>
    </row>
    <row r="276" spans="1:64" ht="13.5" thickBot="1" x14ac:dyDescent="0.25">
      <c r="A276" s="185" t="s">
        <v>967</v>
      </c>
      <c r="B276" s="194" t="s">
        <v>695</v>
      </c>
      <c r="C276" s="194" t="s">
        <v>695</v>
      </c>
      <c r="D276" s="194" t="s">
        <v>695</v>
      </c>
      <c r="E276" s="193" t="s">
        <v>694</v>
      </c>
      <c r="F276" s="160" t="s">
        <v>20</v>
      </c>
      <c r="G276" s="161"/>
      <c r="H276" s="186" t="str">
        <f t="shared" si="176"/>
        <v>N/A</v>
      </c>
      <c r="I276" s="186" t="b">
        <f t="shared" si="177"/>
        <v>1</v>
      </c>
      <c r="J276" s="186" t="str">
        <f t="shared" si="178"/>
        <v>N/A</v>
      </c>
      <c r="K276" s="186" t="b">
        <f t="shared" si="179"/>
        <v>1</v>
      </c>
      <c r="L276" s="186" t="str">
        <f t="shared" si="180"/>
        <v>N/A</v>
      </c>
      <c r="M276" s="186" t="b">
        <f t="shared" si="181"/>
        <v>1</v>
      </c>
      <c r="N276" s="186" t="str">
        <f t="shared" si="182"/>
        <v>Used?</v>
      </c>
      <c r="O276" s="186" t="b">
        <f t="shared" si="183"/>
        <v>0</v>
      </c>
      <c r="P276" s="26" t="s">
        <v>696</v>
      </c>
      <c r="Q276" s="160" t="s">
        <v>20</v>
      </c>
      <c r="R276" s="160" t="s">
        <v>20</v>
      </c>
      <c r="S276" s="26" t="s">
        <v>697</v>
      </c>
      <c r="T276" s="165" t="str">
        <f t="shared" si="184"/>
        <v>Not Used</v>
      </c>
      <c r="U276" s="162"/>
      <c r="V276" s="55"/>
      <c r="W276" s="51" t="b">
        <f t="shared" si="185"/>
        <v>1</v>
      </c>
      <c r="X276" s="51" t="str">
        <f t="shared" si="186"/>
        <v>Not Used</v>
      </c>
      <c r="Y276" s="51" t="str">
        <f t="shared" si="187"/>
        <v>Not Used</v>
      </c>
      <c r="Z276" s="51" t="str">
        <f t="shared" si="188"/>
        <v>Not Used</v>
      </c>
      <c r="AA276" s="51" t="str">
        <f t="shared" si="188"/>
        <v>Not Used</v>
      </c>
      <c r="AB276" s="51" t="str">
        <f t="shared" si="189"/>
        <v>Not Used</v>
      </c>
      <c r="AC276" s="51" t="b">
        <f t="shared" si="190"/>
        <v>1</v>
      </c>
      <c r="AD276" s="51">
        <f>COUNTIF($X$5:$X$276, "Not Used")</f>
        <v>272</v>
      </c>
      <c r="AE276" s="51">
        <f>COUNTIF($X$5:$X$276, "TRUE")</f>
        <v>0</v>
      </c>
      <c r="AF276" s="51" t="b">
        <f t="shared" si="191"/>
        <v>1</v>
      </c>
      <c r="AI276" s="51" t="b">
        <f t="shared" si="192"/>
        <v>0</v>
      </c>
      <c r="AJ276" s="51" t="b">
        <f t="shared" si="193"/>
        <v>0</v>
      </c>
      <c r="AK276" s="51" t="b">
        <f t="shared" si="194"/>
        <v>0</v>
      </c>
      <c r="AL276" s="51" t="b">
        <f t="shared" si="195"/>
        <v>0</v>
      </c>
      <c r="AM276" s="51" t="b">
        <f t="shared" si="196"/>
        <v>0</v>
      </c>
      <c r="AN276" s="51"/>
      <c r="AO276" s="51" t="b">
        <f t="shared" si="197"/>
        <v>0</v>
      </c>
      <c r="AP276" s="51" t="str">
        <f t="shared" si="219"/>
        <v>Not in MMS</v>
      </c>
      <c r="AQ276" s="51" t="b">
        <f t="shared" si="198"/>
        <v>0</v>
      </c>
      <c r="AR276" s="51" t="b">
        <f t="shared" si="199"/>
        <v>0</v>
      </c>
      <c r="AS276" s="51" t="str">
        <f t="shared" si="200"/>
        <v/>
      </c>
      <c r="AT276" s="51" t="str">
        <f t="shared" si="201"/>
        <v/>
      </c>
      <c r="AU276" s="51" t="str">
        <f t="shared" si="202"/>
        <v/>
      </c>
      <c r="AV276" s="51" t="str">
        <f t="shared" si="203"/>
        <v/>
      </c>
      <c r="AW276" s="51" t="str">
        <f t="shared" si="204"/>
        <v/>
      </c>
      <c r="AX276" s="51" t="str">
        <f t="shared" si="205"/>
        <v/>
      </c>
      <c r="AY276" s="51" t="str">
        <f t="shared" si="206"/>
        <v/>
      </c>
      <c r="AZ276" s="51" t="str">
        <f t="shared" si="207"/>
        <v/>
      </c>
      <c r="BA276" s="51" t="str">
        <f t="shared" si="208"/>
        <v/>
      </c>
      <c r="BB276" s="51" t="str">
        <f t="shared" si="209"/>
        <v/>
      </c>
      <c r="BC276" s="51" t="str">
        <f t="shared" si="210"/>
        <v/>
      </c>
      <c r="BD276" s="51" t="str">
        <f t="shared" si="211"/>
        <v/>
      </c>
      <c r="BE276" s="51" t="str">
        <f t="shared" si="212"/>
        <v/>
      </c>
      <c r="BF276" s="51" t="str">
        <f t="shared" si="213"/>
        <v/>
      </c>
      <c r="BG276" s="51" t="str">
        <f t="shared" si="214"/>
        <v/>
      </c>
      <c r="BH276" s="51" t="b">
        <f t="shared" si="215"/>
        <v>0</v>
      </c>
      <c r="BI276" s="51" t="str">
        <f t="shared" si="216"/>
        <v/>
      </c>
      <c r="BJ276" s="51" t="str">
        <f t="shared" si="217"/>
        <v/>
      </c>
      <c r="BK276" s="51" t="b">
        <f t="shared" si="218"/>
        <v>0</v>
      </c>
      <c r="BL276" s="192"/>
    </row>
    <row r="277" spans="1:64" ht="13.5" thickBot="1" x14ac:dyDescent="0.25">
      <c r="A277" s="185" t="s">
        <v>968</v>
      </c>
      <c r="B277" s="194" t="s">
        <v>695</v>
      </c>
      <c r="C277" s="194" t="s">
        <v>695</v>
      </c>
      <c r="D277" s="194" t="s">
        <v>695</v>
      </c>
      <c r="E277" s="193" t="s">
        <v>694</v>
      </c>
      <c r="F277" s="160" t="s">
        <v>20</v>
      </c>
      <c r="G277" s="161"/>
      <c r="H277" s="186" t="str">
        <f t="shared" si="176"/>
        <v>N/A</v>
      </c>
      <c r="I277" s="186" t="b">
        <f t="shared" si="177"/>
        <v>1</v>
      </c>
      <c r="J277" s="186" t="str">
        <f t="shared" si="178"/>
        <v>N/A</v>
      </c>
      <c r="K277" s="186" t="b">
        <f t="shared" si="179"/>
        <v>1</v>
      </c>
      <c r="L277" s="186" t="str">
        <f t="shared" si="180"/>
        <v>N/A</v>
      </c>
      <c r="M277" s="186" t="b">
        <f t="shared" si="181"/>
        <v>1</v>
      </c>
      <c r="N277" s="186" t="str">
        <f t="shared" si="182"/>
        <v>Used?</v>
      </c>
      <c r="O277" s="186" t="b">
        <f t="shared" si="183"/>
        <v>0</v>
      </c>
      <c r="P277" s="26" t="s">
        <v>696</v>
      </c>
      <c r="Q277" s="160" t="s">
        <v>20</v>
      </c>
      <c r="R277" s="160" t="s">
        <v>20</v>
      </c>
      <c r="S277" s="26" t="s">
        <v>697</v>
      </c>
      <c r="T277" s="165" t="str">
        <f t="shared" si="184"/>
        <v>Not Used</v>
      </c>
      <c r="U277" s="162"/>
      <c r="V277" s="55"/>
      <c r="W277" s="51" t="b">
        <f t="shared" si="185"/>
        <v>1</v>
      </c>
      <c r="X277" s="51" t="str">
        <f t="shared" si="186"/>
        <v>Not Used</v>
      </c>
      <c r="Y277" s="51" t="str">
        <f t="shared" si="187"/>
        <v>Not Used</v>
      </c>
      <c r="Z277" s="51" t="str">
        <f t="shared" si="188"/>
        <v>Not Used</v>
      </c>
      <c r="AA277" s="51" t="str">
        <f t="shared" si="188"/>
        <v>Not Used</v>
      </c>
      <c r="AB277" s="51" t="str">
        <f t="shared" si="189"/>
        <v>Not Used</v>
      </c>
      <c r="AC277" s="51" t="b">
        <f t="shared" si="190"/>
        <v>1</v>
      </c>
      <c r="AD277" s="51">
        <f>COUNTIF($X$5:$X$277, "Not Used")</f>
        <v>273</v>
      </c>
      <c r="AE277" s="51">
        <f>COUNTIF($X$5:$X$277, "TRUE")</f>
        <v>0</v>
      </c>
      <c r="AF277" s="51" t="b">
        <f t="shared" si="191"/>
        <v>1</v>
      </c>
      <c r="AI277" s="51" t="b">
        <f t="shared" si="192"/>
        <v>0</v>
      </c>
      <c r="AJ277" s="51" t="b">
        <f t="shared" si="193"/>
        <v>0</v>
      </c>
      <c r="AK277" s="51" t="b">
        <f t="shared" si="194"/>
        <v>0</v>
      </c>
      <c r="AL277" s="51" t="b">
        <f t="shared" si="195"/>
        <v>0</v>
      </c>
      <c r="AM277" s="51" t="b">
        <f t="shared" si="196"/>
        <v>0</v>
      </c>
      <c r="AN277" s="51"/>
      <c r="AO277" s="51" t="b">
        <f t="shared" si="197"/>
        <v>0</v>
      </c>
      <c r="AP277" s="51" t="str">
        <f t="shared" si="219"/>
        <v>Not in MMS</v>
      </c>
      <c r="AQ277" s="51" t="b">
        <f t="shared" si="198"/>
        <v>0</v>
      </c>
      <c r="AR277" s="51" t="b">
        <f t="shared" si="199"/>
        <v>0</v>
      </c>
      <c r="AS277" s="51" t="str">
        <f t="shared" si="200"/>
        <v/>
      </c>
      <c r="AT277" s="51" t="str">
        <f t="shared" si="201"/>
        <v/>
      </c>
      <c r="AU277" s="51" t="str">
        <f t="shared" si="202"/>
        <v/>
      </c>
      <c r="AV277" s="51" t="str">
        <f t="shared" si="203"/>
        <v/>
      </c>
      <c r="AW277" s="51" t="str">
        <f t="shared" si="204"/>
        <v/>
      </c>
      <c r="AX277" s="51" t="str">
        <f t="shared" si="205"/>
        <v/>
      </c>
      <c r="AY277" s="51" t="str">
        <f t="shared" si="206"/>
        <v/>
      </c>
      <c r="AZ277" s="51" t="str">
        <f t="shared" si="207"/>
        <v/>
      </c>
      <c r="BA277" s="51" t="str">
        <f t="shared" si="208"/>
        <v/>
      </c>
      <c r="BB277" s="51" t="str">
        <f t="shared" si="209"/>
        <v/>
      </c>
      <c r="BC277" s="51" t="str">
        <f t="shared" si="210"/>
        <v/>
      </c>
      <c r="BD277" s="51" t="str">
        <f t="shared" si="211"/>
        <v/>
      </c>
      <c r="BE277" s="51" t="str">
        <f t="shared" si="212"/>
        <v/>
      </c>
      <c r="BF277" s="51" t="str">
        <f t="shared" si="213"/>
        <v/>
      </c>
      <c r="BG277" s="51" t="str">
        <f t="shared" si="214"/>
        <v/>
      </c>
      <c r="BH277" s="51" t="b">
        <f t="shared" si="215"/>
        <v>0</v>
      </c>
      <c r="BI277" s="51" t="str">
        <f t="shared" si="216"/>
        <v/>
      </c>
      <c r="BJ277" s="51" t="str">
        <f t="shared" si="217"/>
        <v/>
      </c>
      <c r="BK277" s="51" t="b">
        <f t="shared" si="218"/>
        <v>0</v>
      </c>
      <c r="BL277" s="192"/>
    </row>
    <row r="278" spans="1:64" ht="13.5" thickBot="1" x14ac:dyDescent="0.25">
      <c r="A278" s="185" t="s">
        <v>969</v>
      </c>
      <c r="B278" s="194" t="s">
        <v>695</v>
      </c>
      <c r="C278" s="194" t="s">
        <v>695</v>
      </c>
      <c r="D278" s="194" t="s">
        <v>695</v>
      </c>
      <c r="E278" s="193" t="s">
        <v>694</v>
      </c>
      <c r="F278" s="160" t="s">
        <v>20</v>
      </c>
      <c r="G278" s="161"/>
      <c r="H278" s="186" t="str">
        <f t="shared" si="176"/>
        <v>N/A</v>
      </c>
      <c r="I278" s="186" t="b">
        <f t="shared" si="177"/>
        <v>1</v>
      </c>
      <c r="J278" s="186" t="str">
        <f t="shared" si="178"/>
        <v>N/A</v>
      </c>
      <c r="K278" s="186" t="b">
        <f t="shared" si="179"/>
        <v>1</v>
      </c>
      <c r="L278" s="186" t="str">
        <f t="shared" si="180"/>
        <v>N/A</v>
      </c>
      <c r="M278" s="186" t="b">
        <f t="shared" si="181"/>
        <v>1</v>
      </c>
      <c r="N278" s="186" t="str">
        <f t="shared" si="182"/>
        <v>Used?</v>
      </c>
      <c r="O278" s="186" t="b">
        <f t="shared" si="183"/>
        <v>0</v>
      </c>
      <c r="P278" s="26" t="s">
        <v>696</v>
      </c>
      <c r="Q278" s="160" t="s">
        <v>20</v>
      </c>
      <c r="R278" s="160" t="s">
        <v>20</v>
      </c>
      <c r="S278" s="26" t="s">
        <v>697</v>
      </c>
      <c r="T278" s="165" t="str">
        <f t="shared" si="184"/>
        <v>Not Used</v>
      </c>
      <c r="U278" s="162"/>
      <c r="V278" s="55"/>
      <c r="W278" s="51" t="b">
        <f t="shared" si="185"/>
        <v>1</v>
      </c>
      <c r="X278" s="51" t="str">
        <f t="shared" si="186"/>
        <v>Not Used</v>
      </c>
      <c r="Y278" s="51" t="str">
        <f t="shared" si="187"/>
        <v>Not Used</v>
      </c>
      <c r="Z278" s="51" t="str">
        <f t="shared" si="188"/>
        <v>Not Used</v>
      </c>
      <c r="AA278" s="51" t="str">
        <f t="shared" si="188"/>
        <v>Not Used</v>
      </c>
      <c r="AB278" s="51" t="str">
        <f t="shared" si="189"/>
        <v>Not Used</v>
      </c>
      <c r="AC278" s="51" t="b">
        <f t="shared" si="190"/>
        <v>1</v>
      </c>
      <c r="AD278" s="51">
        <f>COUNTIF($X$5:$X$278, "Not Used")</f>
        <v>274</v>
      </c>
      <c r="AE278" s="51">
        <f>COUNTIF($X$5:$X$278, "TRUE")</f>
        <v>0</v>
      </c>
      <c r="AF278" s="51" t="b">
        <f t="shared" si="191"/>
        <v>1</v>
      </c>
      <c r="AI278" s="51" t="b">
        <f t="shared" si="192"/>
        <v>0</v>
      </c>
      <c r="AJ278" s="51" t="b">
        <f t="shared" si="193"/>
        <v>0</v>
      </c>
      <c r="AK278" s="51" t="b">
        <f t="shared" si="194"/>
        <v>0</v>
      </c>
      <c r="AL278" s="51" t="b">
        <f t="shared" si="195"/>
        <v>0</v>
      </c>
      <c r="AM278" s="51" t="b">
        <f t="shared" si="196"/>
        <v>0</v>
      </c>
      <c r="AN278" s="51"/>
      <c r="AO278" s="51" t="b">
        <f t="shared" si="197"/>
        <v>0</v>
      </c>
      <c r="AP278" s="51" t="str">
        <f t="shared" si="219"/>
        <v>Not in MMS</v>
      </c>
      <c r="AQ278" s="51" t="b">
        <f t="shared" si="198"/>
        <v>0</v>
      </c>
      <c r="AR278" s="51" t="b">
        <f t="shared" si="199"/>
        <v>0</v>
      </c>
      <c r="AS278" s="51" t="str">
        <f t="shared" si="200"/>
        <v/>
      </c>
      <c r="AT278" s="51" t="str">
        <f t="shared" si="201"/>
        <v/>
      </c>
      <c r="AU278" s="51" t="str">
        <f t="shared" si="202"/>
        <v/>
      </c>
      <c r="AV278" s="51" t="str">
        <f t="shared" si="203"/>
        <v/>
      </c>
      <c r="AW278" s="51" t="str">
        <f t="shared" si="204"/>
        <v/>
      </c>
      <c r="AX278" s="51" t="str">
        <f t="shared" si="205"/>
        <v/>
      </c>
      <c r="AY278" s="51" t="str">
        <f t="shared" si="206"/>
        <v/>
      </c>
      <c r="AZ278" s="51" t="str">
        <f t="shared" si="207"/>
        <v/>
      </c>
      <c r="BA278" s="51" t="str">
        <f t="shared" si="208"/>
        <v/>
      </c>
      <c r="BB278" s="51" t="str">
        <f t="shared" si="209"/>
        <v/>
      </c>
      <c r="BC278" s="51" t="str">
        <f t="shared" si="210"/>
        <v/>
      </c>
      <c r="BD278" s="51" t="str">
        <f t="shared" si="211"/>
        <v/>
      </c>
      <c r="BE278" s="51" t="str">
        <f t="shared" si="212"/>
        <v/>
      </c>
      <c r="BF278" s="51" t="str">
        <f t="shared" si="213"/>
        <v/>
      </c>
      <c r="BG278" s="51" t="str">
        <f t="shared" si="214"/>
        <v/>
      </c>
      <c r="BH278" s="51" t="b">
        <f t="shared" si="215"/>
        <v>0</v>
      </c>
      <c r="BI278" s="51" t="str">
        <f t="shared" si="216"/>
        <v/>
      </c>
      <c r="BJ278" s="51" t="str">
        <f t="shared" si="217"/>
        <v/>
      </c>
      <c r="BK278" s="51" t="b">
        <f t="shared" si="218"/>
        <v>0</v>
      </c>
      <c r="BL278" s="192"/>
    </row>
    <row r="279" spans="1:64" ht="13.5" thickBot="1" x14ac:dyDescent="0.25">
      <c r="A279" s="185" t="s">
        <v>970</v>
      </c>
      <c r="B279" s="194" t="s">
        <v>695</v>
      </c>
      <c r="C279" s="194" t="s">
        <v>695</v>
      </c>
      <c r="D279" s="194" t="s">
        <v>695</v>
      </c>
      <c r="E279" s="193" t="s">
        <v>694</v>
      </c>
      <c r="F279" s="160" t="s">
        <v>20</v>
      </c>
      <c r="G279" s="161"/>
      <c r="H279" s="186" t="str">
        <f t="shared" si="176"/>
        <v>N/A</v>
      </c>
      <c r="I279" s="186" t="b">
        <f t="shared" si="177"/>
        <v>1</v>
      </c>
      <c r="J279" s="186" t="str">
        <f t="shared" si="178"/>
        <v>N/A</v>
      </c>
      <c r="K279" s="186" t="b">
        <f t="shared" si="179"/>
        <v>1</v>
      </c>
      <c r="L279" s="186" t="str">
        <f t="shared" si="180"/>
        <v>N/A</v>
      </c>
      <c r="M279" s="186" t="b">
        <f t="shared" si="181"/>
        <v>1</v>
      </c>
      <c r="N279" s="186" t="str">
        <f t="shared" si="182"/>
        <v>Used?</v>
      </c>
      <c r="O279" s="186" t="b">
        <f t="shared" si="183"/>
        <v>0</v>
      </c>
      <c r="P279" s="26" t="s">
        <v>696</v>
      </c>
      <c r="Q279" s="160" t="s">
        <v>20</v>
      </c>
      <c r="R279" s="160" t="s">
        <v>20</v>
      </c>
      <c r="S279" s="26" t="s">
        <v>697</v>
      </c>
      <c r="T279" s="165" t="str">
        <f t="shared" si="184"/>
        <v>Not Used</v>
      </c>
      <c r="U279" s="162"/>
      <c r="V279" s="55"/>
      <c r="W279" s="51" t="b">
        <f t="shared" si="185"/>
        <v>1</v>
      </c>
      <c r="X279" s="51" t="str">
        <f t="shared" si="186"/>
        <v>Not Used</v>
      </c>
      <c r="Y279" s="51" t="str">
        <f t="shared" si="187"/>
        <v>Not Used</v>
      </c>
      <c r="Z279" s="51" t="str">
        <f t="shared" si="188"/>
        <v>Not Used</v>
      </c>
      <c r="AA279" s="51" t="str">
        <f t="shared" si="188"/>
        <v>Not Used</v>
      </c>
      <c r="AB279" s="51" t="str">
        <f t="shared" si="189"/>
        <v>Not Used</v>
      </c>
      <c r="AC279" s="51" t="b">
        <f t="shared" si="190"/>
        <v>1</v>
      </c>
      <c r="AD279" s="51">
        <f>COUNTIF($X$5:$X$279, "Not Used")</f>
        <v>275</v>
      </c>
      <c r="AE279" s="51">
        <f>COUNTIF($X$5:$X$279, "TRUE")</f>
        <v>0</v>
      </c>
      <c r="AF279" s="51" t="b">
        <f t="shared" si="191"/>
        <v>1</v>
      </c>
      <c r="AI279" s="51" t="b">
        <f t="shared" si="192"/>
        <v>0</v>
      </c>
      <c r="AJ279" s="51" t="b">
        <f t="shared" si="193"/>
        <v>0</v>
      </c>
      <c r="AK279" s="51" t="b">
        <f t="shared" si="194"/>
        <v>0</v>
      </c>
      <c r="AL279" s="51" t="b">
        <f t="shared" si="195"/>
        <v>0</v>
      </c>
      <c r="AM279" s="51" t="b">
        <f t="shared" si="196"/>
        <v>0</v>
      </c>
      <c r="AN279" s="51"/>
      <c r="AO279" s="51" t="b">
        <f t="shared" si="197"/>
        <v>0</v>
      </c>
      <c r="AP279" s="51" t="str">
        <f t="shared" si="219"/>
        <v>Not in MMS</v>
      </c>
      <c r="AQ279" s="51" t="b">
        <f t="shared" si="198"/>
        <v>0</v>
      </c>
      <c r="AR279" s="51" t="b">
        <f t="shared" si="199"/>
        <v>0</v>
      </c>
      <c r="AS279" s="51" t="str">
        <f t="shared" si="200"/>
        <v/>
      </c>
      <c r="AT279" s="51" t="str">
        <f t="shared" si="201"/>
        <v/>
      </c>
      <c r="AU279" s="51" t="str">
        <f t="shared" si="202"/>
        <v/>
      </c>
      <c r="AV279" s="51" t="str">
        <f t="shared" si="203"/>
        <v/>
      </c>
      <c r="AW279" s="51" t="str">
        <f t="shared" si="204"/>
        <v/>
      </c>
      <c r="AX279" s="51" t="str">
        <f t="shared" si="205"/>
        <v/>
      </c>
      <c r="AY279" s="51" t="str">
        <f t="shared" si="206"/>
        <v/>
      </c>
      <c r="AZ279" s="51" t="str">
        <f t="shared" si="207"/>
        <v/>
      </c>
      <c r="BA279" s="51" t="str">
        <f t="shared" si="208"/>
        <v/>
      </c>
      <c r="BB279" s="51" t="str">
        <f t="shared" si="209"/>
        <v/>
      </c>
      <c r="BC279" s="51" t="str">
        <f t="shared" si="210"/>
        <v/>
      </c>
      <c r="BD279" s="51" t="str">
        <f t="shared" si="211"/>
        <v/>
      </c>
      <c r="BE279" s="51" t="str">
        <f t="shared" si="212"/>
        <v/>
      </c>
      <c r="BF279" s="51" t="str">
        <f t="shared" si="213"/>
        <v/>
      </c>
      <c r="BG279" s="51" t="str">
        <f t="shared" si="214"/>
        <v/>
      </c>
      <c r="BH279" s="51" t="b">
        <f t="shared" si="215"/>
        <v>0</v>
      </c>
      <c r="BI279" s="51" t="str">
        <f t="shared" si="216"/>
        <v/>
      </c>
      <c r="BJ279" s="51" t="str">
        <f t="shared" si="217"/>
        <v/>
      </c>
      <c r="BK279" s="51" t="b">
        <f t="shared" si="218"/>
        <v>0</v>
      </c>
      <c r="BL279" s="192"/>
    </row>
    <row r="280" spans="1:64" ht="13.5" thickBot="1" x14ac:dyDescent="0.25">
      <c r="A280" s="185" t="s">
        <v>971</v>
      </c>
      <c r="B280" s="194" t="s">
        <v>695</v>
      </c>
      <c r="C280" s="194" t="s">
        <v>695</v>
      </c>
      <c r="D280" s="194" t="s">
        <v>695</v>
      </c>
      <c r="E280" s="193" t="s">
        <v>694</v>
      </c>
      <c r="F280" s="160" t="s">
        <v>20</v>
      </c>
      <c r="G280" s="161"/>
      <c r="H280" s="186" t="str">
        <f t="shared" si="176"/>
        <v>N/A</v>
      </c>
      <c r="I280" s="186" t="b">
        <f t="shared" si="177"/>
        <v>1</v>
      </c>
      <c r="J280" s="186" t="str">
        <f t="shared" si="178"/>
        <v>N/A</v>
      </c>
      <c r="K280" s="186" t="b">
        <f t="shared" si="179"/>
        <v>1</v>
      </c>
      <c r="L280" s="186" t="str">
        <f t="shared" si="180"/>
        <v>N/A</v>
      </c>
      <c r="M280" s="186" t="b">
        <f t="shared" si="181"/>
        <v>1</v>
      </c>
      <c r="N280" s="186" t="str">
        <f t="shared" si="182"/>
        <v>Used?</v>
      </c>
      <c r="O280" s="186" t="b">
        <f t="shared" si="183"/>
        <v>0</v>
      </c>
      <c r="P280" s="26" t="s">
        <v>696</v>
      </c>
      <c r="Q280" s="160" t="s">
        <v>20</v>
      </c>
      <c r="R280" s="160" t="s">
        <v>20</v>
      </c>
      <c r="S280" s="26" t="s">
        <v>697</v>
      </c>
      <c r="T280" s="165" t="str">
        <f t="shared" si="184"/>
        <v>Not Used</v>
      </c>
      <c r="U280" s="162"/>
      <c r="V280" s="55"/>
      <c r="W280" s="51" t="b">
        <f t="shared" si="185"/>
        <v>1</v>
      </c>
      <c r="X280" s="51" t="str">
        <f t="shared" si="186"/>
        <v>Not Used</v>
      </c>
      <c r="Y280" s="51" t="str">
        <f t="shared" si="187"/>
        <v>Not Used</v>
      </c>
      <c r="Z280" s="51" t="str">
        <f t="shared" si="188"/>
        <v>Not Used</v>
      </c>
      <c r="AA280" s="51" t="str">
        <f t="shared" si="188"/>
        <v>Not Used</v>
      </c>
      <c r="AB280" s="51" t="str">
        <f t="shared" si="189"/>
        <v>Not Used</v>
      </c>
      <c r="AC280" s="51" t="b">
        <f t="shared" si="190"/>
        <v>1</v>
      </c>
      <c r="AD280" s="51">
        <f>COUNTIF($X$5:$X$280, "Not Used")</f>
        <v>276</v>
      </c>
      <c r="AE280" s="51">
        <f>COUNTIF($X$5:$X$280, "TRUE")</f>
        <v>0</v>
      </c>
      <c r="AF280" s="51" t="b">
        <f t="shared" si="191"/>
        <v>1</v>
      </c>
      <c r="AI280" s="51" t="b">
        <f t="shared" si="192"/>
        <v>0</v>
      </c>
      <c r="AJ280" s="51" t="b">
        <f t="shared" si="193"/>
        <v>0</v>
      </c>
      <c r="AK280" s="51" t="b">
        <f t="shared" si="194"/>
        <v>0</v>
      </c>
      <c r="AL280" s="51" t="b">
        <f t="shared" si="195"/>
        <v>0</v>
      </c>
      <c r="AM280" s="51" t="b">
        <f t="shared" si="196"/>
        <v>0</v>
      </c>
      <c r="AN280" s="51"/>
      <c r="AO280" s="51" t="b">
        <f t="shared" si="197"/>
        <v>0</v>
      </c>
      <c r="AP280" s="51" t="str">
        <f t="shared" si="219"/>
        <v>Not in MMS</v>
      </c>
      <c r="AQ280" s="51" t="b">
        <f t="shared" si="198"/>
        <v>0</v>
      </c>
      <c r="AR280" s="51" t="b">
        <f t="shared" si="199"/>
        <v>0</v>
      </c>
      <c r="AS280" s="51" t="str">
        <f t="shared" si="200"/>
        <v/>
      </c>
      <c r="AT280" s="51" t="str">
        <f t="shared" si="201"/>
        <v/>
      </c>
      <c r="AU280" s="51" t="str">
        <f t="shared" si="202"/>
        <v/>
      </c>
      <c r="AV280" s="51" t="str">
        <f t="shared" si="203"/>
        <v/>
      </c>
      <c r="AW280" s="51" t="str">
        <f t="shared" si="204"/>
        <v/>
      </c>
      <c r="AX280" s="51" t="str">
        <f t="shared" si="205"/>
        <v/>
      </c>
      <c r="AY280" s="51" t="str">
        <f t="shared" si="206"/>
        <v/>
      </c>
      <c r="AZ280" s="51" t="str">
        <f t="shared" si="207"/>
        <v/>
      </c>
      <c r="BA280" s="51" t="str">
        <f t="shared" si="208"/>
        <v/>
      </c>
      <c r="BB280" s="51" t="str">
        <f t="shared" si="209"/>
        <v/>
      </c>
      <c r="BC280" s="51" t="str">
        <f t="shared" si="210"/>
        <v/>
      </c>
      <c r="BD280" s="51" t="str">
        <f t="shared" si="211"/>
        <v/>
      </c>
      <c r="BE280" s="51" t="str">
        <f t="shared" si="212"/>
        <v/>
      </c>
      <c r="BF280" s="51" t="str">
        <f t="shared" si="213"/>
        <v/>
      </c>
      <c r="BG280" s="51" t="str">
        <f t="shared" si="214"/>
        <v/>
      </c>
      <c r="BH280" s="51" t="b">
        <f t="shared" si="215"/>
        <v>0</v>
      </c>
      <c r="BI280" s="51" t="str">
        <f t="shared" si="216"/>
        <v/>
      </c>
      <c r="BJ280" s="51" t="str">
        <f t="shared" si="217"/>
        <v/>
      </c>
      <c r="BK280" s="51" t="b">
        <f t="shared" si="218"/>
        <v>0</v>
      </c>
      <c r="BL280" s="192"/>
    </row>
    <row r="281" spans="1:64" ht="13.5" thickBot="1" x14ac:dyDescent="0.25">
      <c r="A281" s="185" t="s">
        <v>972</v>
      </c>
      <c r="B281" s="194" t="s">
        <v>695</v>
      </c>
      <c r="C281" s="194" t="s">
        <v>695</v>
      </c>
      <c r="D281" s="194" t="s">
        <v>695</v>
      </c>
      <c r="E281" s="193" t="s">
        <v>694</v>
      </c>
      <c r="F281" s="160" t="s">
        <v>20</v>
      </c>
      <c r="G281" s="161"/>
      <c r="H281" s="186" t="str">
        <f t="shared" si="176"/>
        <v>N/A</v>
      </c>
      <c r="I281" s="186" t="b">
        <f t="shared" si="177"/>
        <v>1</v>
      </c>
      <c r="J281" s="186" t="str">
        <f t="shared" si="178"/>
        <v>N/A</v>
      </c>
      <c r="K281" s="186" t="b">
        <f t="shared" si="179"/>
        <v>1</v>
      </c>
      <c r="L281" s="186" t="str">
        <f t="shared" si="180"/>
        <v>N/A</v>
      </c>
      <c r="M281" s="186" t="b">
        <f t="shared" si="181"/>
        <v>1</v>
      </c>
      <c r="N281" s="186" t="str">
        <f t="shared" si="182"/>
        <v>Used?</v>
      </c>
      <c r="O281" s="186" t="b">
        <f t="shared" si="183"/>
        <v>0</v>
      </c>
      <c r="P281" s="26" t="s">
        <v>696</v>
      </c>
      <c r="Q281" s="160" t="s">
        <v>20</v>
      </c>
      <c r="R281" s="160" t="s">
        <v>20</v>
      </c>
      <c r="S281" s="26" t="s">
        <v>697</v>
      </c>
      <c r="T281" s="165" t="str">
        <f t="shared" si="184"/>
        <v>Not Used</v>
      </c>
      <c r="U281" s="162"/>
      <c r="V281" s="55"/>
      <c r="W281" s="51" t="b">
        <f t="shared" si="185"/>
        <v>1</v>
      </c>
      <c r="X281" s="51" t="str">
        <f t="shared" si="186"/>
        <v>Not Used</v>
      </c>
      <c r="Y281" s="51" t="str">
        <f t="shared" si="187"/>
        <v>Not Used</v>
      </c>
      <c r="Z281" s="51" t="str">
        <f t="shared" si="188"/>
        <v>Not Used</v>
      </c>
      <c r="AA281" s="51" t="str">
        <f t="shared" si="188"/>
        <v>Not Used</v>
      </c>
      <c r="AB281" s="51" t="str">
        <f t="shared" si="189"/>
        <v>Not Used</v>
      </c>
      <c r="AC281" s="51" t="b">
        <f t="shared" si="190"/>
        <v>1</v>
      </c>
      <c r="AD281" s="51">
        <f>COUNTIF($X$5:$X$281, "Not Used")</f>
        <v>277</v>
      </c>
      <c r="AE281" s="51">
        <f>COUNTIF($X$5:$X$281, "TRUE")</f>
        <v>0</v>
      </c>
      <c r="AF281" s="51" t="b">
        <f t="shared" si="191"/>
        <v>1</v>
      </c>
      <c r="AI281" s="51" t="b">
        <f t="shared" si="192"/>
        <v>0</v>
      </c>
      <c r="AJ281" s="51" t="b">
        <f t="shared" si="193"/>
        <v>0</v>
      </c>
      <c r="AK281" s="51" t="b">
        <f t="shared" si="194"/>
        <v>0</v>
      </c>
      <c r="AL281" s="51" t="b">
        <f t="shared" si="195"/>
        <v>0</v>
      </c>
      <c r="AM281" s="51" t="b">
        <f t="shared" si="196"/>
        <v>0</v>
      </c>
      <c r="AN281" s="51"/>
      <c r="AO281" s="51" t="b">
        <f t="shared" si="197"/>
        <v>0</v>
      </c>
      <c r="AP281" s="51" t="str">
        <f t="shared" si="219"/>
        <v>Not in MMS</v>
      </c>
      <c r="AQ281" s="51" t="b">
        <f t="shared" si="198"/>
        <v>0</v>
      </c>
      <c r="AR281" s="51" t="b">
        <f t="shared" si="199"/>
        <v>0</v>
      </c>
      <c r="AS281" s="51" t="str">
        <f t="shared" si="200"/>
        <v/>
      </c>
      <c r="AT281" s="51" t="str">
        <f t="shared" si="201"/>
        <v/>
      </c>
      <c r="AU281" s="51" t="str">
        <f t="shared" si="202"/>
        <v/>
      </c>
      <c r="AV281" s="51" t="str">
        <f t="shared" si="203"/>
        <v/>
      </c>
      <c r="AW281" s="51" t="str">
        <f t="shared" si="204"/>
        <v/>
      </c>
      <c r="AX281" s="51" t="str">
        <f t="shared" si="205"/>
        <v/>
      </c>
      <c r="AY281" s="51" t="str">
        <f t="shared" si="206"/>
        <v/>
      </c>
      <c r="AZ281" s="51" t="str">
        <f t="shared" si="207"/>
        <v/>
      </c>
      <c r="BA281" s="51" t="str">
        <f t="shared" si="208"/>
        <v/>
      </c>
      <c r="BB281" s="51" t="str">
        <f t="shared" si="209"/>
        <v/>
      </c>
      <c r="BC281" s="51" t="str">
        <f t="shared" si="210"/>
        <v/>
      </c>
      <c r="BD281" s="51" t="str">
        <f t="shared" si="211"/>
        <v/>
      </c>
      <c r="BE281" s="51" t="str">
        <f t="shared" si="212"/>
        <v/>
      </c>
      <c r="BF281" s="51" t="str">
        <f t="shared" si="213"/>
        <v/>
      </c>
      <c r="BG281" s="51" t="str">
        <f t="shared" si="214"/>
        <v/>
      </c>
      <c r="BH281" s="51" t="b">
        <f t="shared" si="215"/>
        <v>0</v>
      </c>
      <c r="BI281" s="51" t="str">
        <f t="shared" si="216"/>
        <v/>
      </c>
      <c r="BJ281" s="51" t="str">
        <f t="shared" si="217"/>
        <v/>
      </c>
      <c r="BK281" s="51" t="b">
        <f t="shared" si="218"/>
        <v>0</v>
      </c>
      <c r="BL281" s="192"/>
    </row>
    <row r="282" spans="1:64" ht="13.5" thickBot="1" x14ac:dyDescent="0.25">
      <c r="A282" s="185" t="s">
        <v>973</v>
      </c>
      <c r="B282" s="194" t="s">
        <v>695</v>
      </c>
      <c r="C282" s="194" t="s">
        <v>695</v>
      </c>
      <c r="D282" s="194" t="s">
        <v>695</v>
      </c>
      <c r="E282" s="193" t="s">
        <v>694</v>
      </c>
      <c r="F282" s="160" t="s">
        <v>20</v>
      </c>
      <c r="G282" s="161"/>
      <c r="H282" s="186" t="str">
        <f t="shared" si="176"/>
        <v>N/A</v>
      </c>
      <c r="I282" s="186" t="b">
        <f t="shared" si="177"/>
        <v>1</v>
      </c>
      <c r="J282" s="186" t="str">
        <f t="shared" si="178"/>
        <v>N/A</v>
      </c>
      <c r="K282" s="186" t="b">
        <f t="shared" si="179"/>
        <v>1</v>
      </c>
      <c r="L282" s="186" t="str">
        <f t="shared" si="180"/>
        <v>N/A</v>
      </c>
      <c r="M282" s="186" t="b">
        <f t="shared" si="181"/>
        <v>1</v>
      </c>
      <c r="N282" s="186" t="str">
        <f t="shared" si="182"/>
        <v>Used?</v>
      </c>
      <c r="O282" s="186" t="b">
        <f t="shared" si="183"/>
        <v>0</v>
      </c>
      <c r="P282" s="26" t="s">
        <v>696</v>
      </c>
      <c r="Q282" s="160" t="s">
        <v>20</v>
      </c>
      <c r="R282" s="160" t="s">
        <v>20</v>
      </c>
      <c r="S282" s="26" t="s">
        <v>697</v>
      </c>
      <c r="T282" s="165" t="str">
        <f t="shared" si="184"/>
        <v>Not Used</v>
      </c>
      <c r="U282" s="162"/>
      <c r="V282" s="55"/>
      <c r="W282" s="51" t="b">
        <f t="shared" si="185"/>
        <v>1</v>
      </c>
      <c r="X282" s="51" t="str">
        <f t="shared" si="186"/>
        <v>Not Used</v>
      </c>
      <c r="Y282" s="51" t="str">
        <f t="shared" si="187"/>
        <v>Not Used</v>
      </c>
      <c r="Z282" s="51" t="str">
        <f t="shared" si="188"/>
        <v>Not Used</v>
      </c>
      <c r="AA282" s="51" t="str">
        <f t="shared" si="188"/>
        <v>Not Used</v>
      </c>
      <c r="AB282" s="51" t="str">
        <f t="shared" si="189"/>
        <v>Not Used</v>
      </c>
      <c r="AC282" s="51" t="b">
        <f t="shared" si="190"/>
        <v>1</v>
      </c>
      <c r="AD282" s="51">
        <f>COUNTIF($X$5:$X$282, "Not Used")</f>
        <v>278</v>
      </c>
      <c r="AE282" s="51">
        <f>COUNTIF($X$5:$X$282, "TRUE")</f>
        <v>0</v>
      </c>
      <c r="AF282" s="51" t="b">
        <f t="shared" si="191"/>
        <v>1</v>
      </c>
      <c r="AI282" s="51" t="b">
        <f t="shared" si="192"/>
        <v>0</v>
      </c>
      <c r="AJ282" s="51" t="b">
        <f t="shared" si="193"/>
        <v>0</v>
      </c>
      <c r="AK282" s="51" t="b">
        <f t="shared" si="194"/>
        <v>0</v>
      </c>
      <c r="AL282" s="51" t="b">
        <f t="shared" si="195"/>
        <v>0</v>
      </c>
      <c r="AM282" s="51" t="b">
        <f t="shared" si="196"/>
        <v>0</v>
      </c>
      <c r="AN282" s="51"/>
      <c r="AO282" s="51" t="b">
        <f t="shared" si="197"/>
        <v>0</v>
      </c>
      <c r="AP282" s="51" t="str">
        <f t="shared" si="219"/>
        <v>Not in MMS</v>
      </c>
      <c r="AQ282" s="51" t="b">
        <f t="shared" si="198"/>
        <v>0</v>
      </c>
      <c r="AR282" s="51" t="b">
        <f t="shared" si="199"/>
        <v>0</v>
      </c>
      <c r="AS282" s="51" t="str">
        <f t="shared" si="200"/>
        <v/>
      </c>
      <c r="AT282" s="51" t="str">
        <f t="shared" si="201"/>
        <v/>
      </c>
      <c r="AU282" s="51" t="str">
        <f t="shared" si="202"/>
        <v/>
      </c>
      <c r="AV282" s="51" t="str">
        <f t="shared" si="203"/>
        <v/>
      </c>
      <c r="AW282" s="51" t="str">
        <f t="shared" si="204"/>
        <v/>
      </c>
      <c r="AX282" s="51" t="str">
        <f t="shared" si="205"/>
        <v/>
      </c>
      <c r="AY282" s="51" t="str">
        <f t="shared" si="206"/>
        <v/>
      </c>
      <c r="AZ282" s="51" t="str">
        <f t="shared" si="207"/>
        <v/>
      </c>
      <c r="BA282" s="51" t="str">
        <f t="shared" si="208"/>
        <v/>
      </c>
      <c r="BB282" s="51" t="str">
        <f t="shared" si="209"/>
        <v/>
      </c>
      <c r="BC282" s="51" t="str">
        <f t="shared" si="210"/>
        <v/>
      </c>
      <c r="BD282" s="51" t="str">
        <f t="shared" si="211"/>
        <v/>
      </c>
      <c r="BE282" s="51" t="str">
        <f t="shared" si="212"/>
        <v/>
      </c>
      <c r="BF282" s="51" t="str">
        <f t="shared" si="213"/>
        <v/>
      </c>
      <c r="BG282" s="51" t="str">
        <f t="shared" si="214"/>
        <v/>
      </c>
      <c r="BH282" s="51" t="b">
        <f t="shared" si="215"/>
        <v>0</v>
      </c>
      <c r="BI282" s="51" t="str">
        <f t="shared" si="216"/>
        <v/>
      </c>
      <c r="BJ282" s="51" t="str">
        <f t="shared" si="217"/>
        <v/>
      </c>
      <c r="BK282" s="51" t="b">
        <f t="shared" si="218"/>
        <v>0</v>
      </c>
      <c r="BL282" s="192"/>
    </row>
    <row r="283" spans="1:64" ht="13.5" thickBot="1" x14ac:dyDescent="0.25">
      <c r="A283" s="185" t="s">
        <v>974</v>
      </c>
      <c r="B283" s="194" t="s">
        <v>695</v>
      </c>
      <c r="C283" s="194" t="s">
        <v>695</v>
      </c>
      <c r="D283" s="194" t="s">
        <v>695</v>
      </c>
      <c r="E283" s="193" t="s">
        <v>694</v>
      </c>
      <c r="F283" s="160" t="s">
        <v>20</v>
      </c>
      <c r="G283" s="161"/>
      <c r="H283" s="186" t="str">
        <f t="shared" si="176"/>
        <v>N/A</v>
      </c>
      <c r="I283" s="186" t="b">
        <f t="shared" si="177"/>
        <v>1</v>
      </c>
      <c r="J283" s="186" t="str">
        <f t="shared" si="178"/>
        <v>N/A</v>
      </c>
      <c r="K283" s="186" t="b">
        <f t="shared" si="179"/>
        <v>1</v>
      </c>
      <c r="L283" s="186" t="str">
        <f t="shared" si="180"/>
        <v>N/A</v>
      </c>
      <c r="M283" s="186" t="b">
        <f t="shared" si="181"/>
        <v>1</v>
      </c>
      <c r="N283" s="186" t="str">
        <f t="shared" si="182"/>
        <v>Used?</v>
      </c>
      <c r="O283" s="186" t="b">
        <f t="shared" si="183"/>
        <v>0</v>
      </c>
      <c r="P283" s="26" t="s">
        <v>696</v>
      </c>
      <c r="Q283" s="160" t="s">
        <v>20</v>
      </c>
      <c r="R283" s="160" t="s">
        <v>20</v>
      </c>
      <c r="S283" s="26" t="s">
        <v>697</v>
      </c>
      <c r="T283" s="165" t="str">
        <f t="shared" si="184"/>
        <v>Not Used</v>
      </c>
      <c r="U283" s="162"/>
      <c r="V283" s="55"/>
      <c r="W283" s="51" t="b">
        <f t="shared" si="185"/>
        <v>1</v>
      </c>
      <c r="X283" s="51" t="str">
        <f t="shared" si="186"/>
        <v>Not Used</v>
      </c>
      <c r="Y283" s="51" t="str">
        <f t="shared" si="187"/>
        <v>Not Used</v>
      </c>
      <c r="Z283" s="51" t="str">
        <f t="shared" si="188"/>
        <v>Not Used</v>
      </c>
      <c r="AA283" s="51" t="str">
        <f t="shared" si="188"/>
        <v>Not Used</v>
      </c>
      <c r="AB283" s="51" t="str">
        <f t="shared" si="189"/>
        <v>Not Used</v>
      </c>
      <c r="AC283" s="51" t="b">
        <f t="shared" si="190"/>
        <v>1</v>
      </c>
      <c r="AD283" s="51">
        <f>COUNTIF($X$5:$X$283, "Not Used")</f>
        <v>279</v>
      </c>
      <c r="AE283" s="51">
        <f>COUNTIF($X$5:$X$283, "TRUE")</f>
        <v>0</v>
      </c>
      <c r="AF283" s="51" t="b">
        <f t="shared" si="191"/>
        <v>1</v>
      </c>
      <c r="AI283" s="51" t="b">
        <f t="shared" si="192"/>
        <v>0</v>
      </c>
      <c r="AJ283" s="51" t="b">
        <f t="shared" si="193"/>
        <v>0</v>
      </c>
      <c r="AK283" s="51" t="b">
        <f t="shared" si="194"/>
        <v>0</v>
      </c>
      <c r="AL283" s="51" t="b">
        <f t="shared" si="195"/>
        <v>0</v>
      </c>
      <c r="AM283" s="51" t="b">
        <f t="shared" si="196"/>
        <v>0</v>
      </c>
      <c r="AN283" s="51"/>
      <c r="AO283" s="51" t="b">
        <f t="shared" si="197"/>
        <v>0</v>
      </c>
      <c r="AP283" s="51" t="str">
        <f t="shared" si="219"/>
        <v>Not in MMS</v>
      </c>
      <c r="AQ283" s="51" t="b">
        <f t="shared" si="198"/>
        <v>0</v>
      </c>
      <c r="AR283" s="51" t="b">
        <f t="shared" si="199"/>
        <v>0</v>
      </c>
      <c r="AS283" s="51" t="str">
        <f t="shared" si="200"/>
        <v/>
      </c>
      <c r="AT283" s="51" t="str">
        <f t="shared" si="201"/>
        <v/>
      </c>
      <c r="AU283" s="51" t="str">
        <f t="shared" si="202"/>
        <v/>
      </c>
      <c r="AV283" s="51" t="str">
        <f t="shared" si="203"/>
        <v/>
      </c>
      <c r="AW283" s="51" t="str">
        <f t="shared" si="204"/>
        <v/>
      </c>
      <c r="AX283" s="51" t="str">
        <f t="shared" si="205"/>
        <v/>
      </c>
      <c r="AY283" s="51" t="str">
        <f t="shared" si="206"/>
        <v/>
      </c>
      <c r="AZ283" s="51" t="str">
        <f t="shared" si="207"/>
        <v/>
      </c>
      <c r="BA283" s="51" t="str">
        <f t="shared" si="208"/>
        <v/>
      </c>
      <c r="BB283" s="51" t="str">
        <f t="shared" si="209"/>
        <v/>
      </c>
      <c r="BC283" s="51" t="str">
        <f t="shared" si="210"/>
        <v/>
      </c>
      <c r="BD283" s="51" t="str">
        <f t="shared" si="211"/>
        <v/>
      </c>
      <c r="BE283" s="51" t="str">
        <f t="shared" si="212"/>
        <v/>
      </c>
      <c r="BF283" s="51" t="str">
        <f t="shared" si="213"/>
        <v/>
      </c>
      <c r="BG283" s="51" t="str">
        <f t="shared" si="214"/>
        <v/>
      </c>
      <c r="BH283" s="51" t="b">
        <f t="shared" si="215"/>
        <v>0</v>
      </c>
      <c r="BI283" s="51" t="str">
        <f t="shared" si="216"/>
        <v/>
      </c>
      <c r="BJ283" s="51" t="str">
        <f t="shared" si="217"/>
        <v/>
      </c>
      <c r="BK283" s="51" t="b">
        <f t="shared" si="218"/>
        <v>0</v>
      </c>
      <c r="BL283" s="192"/>
    </row>
    <row r="284" spans="1:64" ht="13.5" thickBot="1" x14ac:dyDescent="0.25">
      <c r="A284" s="185" t="s">
        <v>975</v>
      </c>
      <c r="B284" s="194" t="s">
        <v>695</v>
      </c>
      <c r="C284" s="194" t="s">
        <v>695</v>
      </c>
      <c r="D284" s="194" t="s">
        <v>695</v>
      </c>
      <c r="E284" s="193" t="s">
        <v>694</v>
      </c>
      <c r="F284" s="160" t="s">
        <v>20</v>
      </c>
      <c r="G284" s="161"/>
      <c r="H284" s="186" t="str">
        <f t="shared" si="176"/>
        <v>N/A</v>
      </c>
      <c r="I284" s="186" t="b">
        <f t="shared" si="177"/>
        <v>1</v>
      </c>
      <c r="J284" s="186" t="str">
        <f t="shared" si="178"/>
        <v>N/A</v>
      </c>
      <c r="K284" s="186" t="b">
        <f t="shared" si="179"/>
        <v>1</v>
      </c>
      <c r="L284" s="186" t="str">
        <f t="shared" si="180"/>
        <v>N/A</v>
      </c>
      <c r="M284" s="186" t="b">
        <f t="shared" si="181"/>
        <v>1</v>
      </c>
      <c r="N284" s="186" t="str">
        <f t="shared" si="182"/>
        <v>Used?</v>
      </c>
      <c r="O284" s="186" t="b">
        <f t="shared" si="183"/>
        <v>0</v>
      </c>
      <c r="P284" s="26" t="s">
        <v>696</v>
      </c>
      <c r="Q284" s="160" t="s">
        <v>20</v>
      </c>
      <c r="R284" s="160" t="s">
        <v>20</v>
      </c>
      <c r="S284" s="26" t="s">
        <v>697</v>
      </c>
      <c r="T284" s="165" t="str">
        <f t="shared" si="184"/>
        <v>Not Used</v>
      </c>
      <c r="U284" s="162"/>
      <c r="V284" s="55"/>
      <c r="W284" s="51" t="b">
        <f t="shared" si="185"/>
        <v>1</v>
      </c>
      <c r="X284" s="51" t="str">
        <f t="shared" si="186"/>
        <v>Not Used</v>
      </c>
      <c r="Y284" s="51" t="str">
        <f t="shared" si="187"/>
        <v>Not Used</v>
      </c>
      <c r="Z284" s="51" t="str">
        <f t="shared" si="188"/>
        <v>Not Used</v>
      </c>
      <c r="AA284" s="51" t="str">
        <f t="shared" si="188"/>
        <v>Not Used</v>
      </c>
      <c r="AB284" s="51" t="str">
        <f t="shared" si="189"/>
        <v>Not Used</v>
      </c>
      <c r="AC284" s="51" t="b">
        <f t="shared" si="190"/>
        <v>1</v>
      </c>
      <c r="AD284" s="51">
        <f>COUNTIF($X$5:$X$284, "Not Used")</f>
        <v>280</v>
      </c>
      <c r="AE284" s="51">
        <f>COUNTIF($X$5:$X$284, "TRUE")</f>
        <v>0</v>
      </c>
      <c r="AF284" s="51" t="b">
        <f t="shared" si="191"/>
        <v>1</v>
      </c>
      <c r="AI284" s="51" t="b">
        <f t="shared" si="192"/>
        <v>0</v>
      </c>
      <c r="AJ284" s="51" t="b">
        <f t="shared" si="193"/>
        <v>0</v>
      </c>
      <c r="AK284" s="51" t="b">
        <f t="shared" si="194"/>
        <v>0</v>
      </c>
      <c r="AL284" s="51" t="b">
        <f t="shared" si="195"/>
        <v>0</v>
      </c>
      <c r="AM284" s="51" t="b">
        <f t="shared" si="196"/>
        <v>0</v>
      </c>
      <c r="AN284" s="51"/>
      <c r="AO284" s="51" t="b">
        <f t="shared" si="197"/>
        <v>0</v>
      </c>
      <c r="AP284" s="51" t="str">
        <f t="shared" si="219"/>
        <v>Not in MMS</v>
      </c>
      <c r="AQ284" s="51" t="b">
        <f t="shared" si="198"/>
        <v>0</v>
      </c>
      <c r="AR284" s="51" t="b">
        <f t="shared" si="199"/>
        <v>0</v>
      </c>
      <c r="AS284" s="51" t="str">
        <f t="shared" si="200"/>
        <v/>
      </c>
      <c r="AT284" s="51" t="str">
        <f t="shared" si="201"/>
        <v/>
      </c>
      <c r="AU284" s="51" t="str">
        <f t="shared" si="202"/>
        <v/>
      </c>
      <c r="AV284" s="51" t="str">
        <f t="shared" si="203"/>
        <v/>
      </c>
      <c r="AW284" s="51" t="str">
        <f t="shared" si="204"/>
        <v/>
      </c>
      <c r="AX284" s="51" t="str">
        <f t="shared" si="205"/>
        <v/>
      </c>
      <c r="AY284" s="51" t="str">
        <f t="shared" si="206"/>
        <v/>
      </c>
      <c r="AZ284" s="51" t="str">
        <f t="shared" si="207"/>
        <v/>
      </c>
      <c r="BA284" s="51" t="str">
        <f t="shared" si="208"/>
        <v/>
      </c>
      <c r="BB284" s="51" t="str">
        <f t="shared" si="209"/>
        <v/>
      </c>
      <c r="BC284" s="51" t="str">
        <f t="shared" si="210"/>
        <v/>
      </c>
      <c r="BD284" s="51" t="str">
        <f t="shared" si="211"/>
        <v/>
      </c>
      <c r="BE284" s="51" t="str">
        <f t="shared" si="212"/>
        <v/>
      </c>
      <c r="BF284" s="51" t="str">
        <f t="shared" si="213"/>
        <v/>
      </c>
      <c r="BG284" s="51" t="str">
        <f t="shared" si="214"/>
        <v/>
      </c>
      <c r="BH284" s="51" t="b">
        <f t="shared" si="215"/>
        <v>0</v>
      </c>
      <c r="BI284" s="51" t="str">
        <f t="shared" si="216"/>
        <v/>
      </c>
      <c r="BJ284" s="51" t="str">
        <f t="shared" si="217"/>
        <v/>
      </c>
      <c r="BK284" s="51" t="b">
        <f t="shared" si="218"/>
        <v>0</v>
      </c>
      <c r="BL284" s="192"/>
    </row>
    <row r="285" spans="1:64" ht="13.5" thickBot="1" x14ac:dyDescent="0.25">
      <c r="A285" s="185" t="s">
        <v>976</v>
      </c>
      <c r="B285" s="194" t="s">
        <v>695</v>
      </c>
      <c r="C285" s="194" t="s">
        <v>695</v>
      </c>
      <c r="D285" s="194" t="s">
        <v>695</v>
      </c>
      <c r="E285" s="193" t="s">
        <v>694</v>
      </c>
      <c r="F285" s="160" t="s">
        <v>20</v>
      </c>
      <c r="G285" s="161"/>
      <c r="H285" s="186" t="str">
        <f t="shared" si="176"/>
        <v>N/A</v>
      </c>
      <c r="I285" s="186" t="b">
        <f t="shared" si="177"/>
        <v>1</v>
      </c>
      <c r="J285" s="186" t="str">
        <f t="shared" si="178"/>
        <v>N/A</v>
      </c>
      <c r="K285" s="186" t="b">
        <f t="shared" si="179"/>
        <v>1</v>
      </c>
      <c r="L285" s="186" t="str">
        <f t="shared" si="180"/>
        <v>N/A</v>
      </c>
      <c r="M285" s="186" t="b">
        <f t="shared" si="181"/>
        <v>1</v>
      </c>
      <c r="N285" s="186" t="str">
        <f t="shared" si="182"/>
        <v>Used?</v>
      </c>
      <c r="O285" s="186" t="b">
        <f t="shared" si="183"/>
        <v>0</v>
      </c>
      <c r="P285" s="26" t="s">
        <v>696</v>
      </c>
      <c r="Q285" s="160" t="s">
        <v>20</v>
      </c>
      <c r="R285" s="160" t="s">
        <v>20</v>
      </c>
      <c r="S285" s="26" t="s">
        <v>697</v>
      </c>
      <c r="T285" s="165" t="str">
        <f t="shared" si="184"/>
        <v>Not Used</v>
      </c>
      <c r="U285" s="162"/>
      <c r="V285" s="55"/>
      <c r="W285" s="51" t="b">
        <f t="shared" si="185"/>
        <v>1</v>
      </c>
      <c r="X285" s="51" t="str">
        <f t="shared" si="186"/>
        <v>Not Used</v>
      </c>
      <c r="Y285" s="51" t="str">
        <f t="shared" si="187"/>
        <v>Not Used</v>
      </c>
      <c r="Z285" s="51" t="str">
        <f t="shared" si="188"/>
        <v>Not Used</v>
      </c>
      <c r="AA285" s="51" t="str">
        <f t="shared" si="188"/>
        <v>Not Used</v>
      </c>
      <c r="AB285" s="51" t="str">
        <f t="shared" si="189"/>
        <v>Not Used</v>
      </c>
      <c r="AC285" s="51" t="b">
        <f t="shared" si="190"/>
        <v>1</v>
      </c>
      <c r="AD285" s="51">
        <f>COUNTIF($X$5:$X$285, "Not Used")</f>
        <v>281</v>
      </c>
      <c r="AE285" s="51">
        <f>COUNTIF($X$5:$X$285, "TRUE")</f>
        <v>0</v>
      </c>
      <c r="AF285" s="51" t="b">
        <f t="shared" si="191"/>
        <v>1</v>
      </c>
      <c r="AI285" s="51" t="b">
        <f t="shared" si="192"/>
        <v>0</v>
      </c>
      <c r="AJ285" s="51" t="b">
        <f t="shared" si="193"/>
        <v>0</v>
      </c>
      <c r="AK285" s="51" t="b">
        <f t="shared" si="194"/>
        <v>0</v>
      </c>
      <c r="AL285" s="51" t="b">
        <f t="shared" si="195"/>
        <v>0</v>
      </c>
      <c r="AM285" s="51" t="b">
        <f t="shared" si="196"/>
        <v>0</v>
      </c>
      <c r="AN285" s="51"/>
      <c r="AO285" s="51" t="b">
        <f t="shared" si="197"/>
        <v>0</v>
      </c>
      <c r="AP285" s="51" t="str">
        <f t="shared" si="219"/>
        <v>Not in MMS</v>
      </c>
      <c r="AQ285" s="51" t="b">
        <f t="shared" si="198"/>
        <v>0</v>
      </c>
      <c r="AR285" s="51" t="b">
        <f t="shared" si="199"/>
        <v>0</v>
      </c>
      <c r="AS285" s="51" t="str">
        <f t="shared" si="200"/>
        <v/>
      </c>
      <c r="AT285" s="51" t="str">
        <f t="shared" si="201"/>
        <v/>
      </c>
      <c r="AU285" s="51" t="str">
        <f t="shared" si="202"/>
        <v/>
      </c>
      <c r="AV285" s="51" t="str">
        <f t="shared" si="203"/>
        <v/>
      </c>
      <c r="AW285" s="51" t="str">
        <f t="shared" si="204"/>
        <v/>
      </c>
      <c r="AX285" s="51" t="str">
        <f t="shared" si="205"/>
        <v/>
      </c>
      <c r="AY285" s="51" t="str">
        <f t="shared" si="206"/>
        <v/>
      </c>
      <c r="AZ285" s="51" t="str">
        <f t="shared" si="207"/>
        <v/>
      </c>
      <c r="BA285" s="51" t="str">
        <f t="shared" si="208"/>
        <v/>
      </c>
      <c r="BB285" s="51" t="str">
        <f t="shared" si="209"/>
        <v/>
      </c>
      <c r="BC285" s="51" t="str">
        <f t="shared" si="210"/>
        <v/>
      </c>
      <c r="BD285" s="51" t="str">
        <f t="shared" si="211"/>
        <v/>
      </c>
      <c r="BE285" s="51" t="str">
        <f t="shared" si="212"/>
        <v/>
      </c>
      <c r="BF285" s="51" t="str">
        <f t="shared" si="213"/>
        <v/>
      </c>
      <c r="BG285" s="51" t="str">
        <f t="shared" si="214"/>
        <v/>
      </c>
      <c r="BH285" s="51" t="b">
        <f t="shared" si="215"/>
        <v>0</v>
      </c>
      <c r="BI285" s="51" t="str">
        <f t="shared" si="216"/>
        <v/>
      </c>
      <c r="BJ285" s="51" t="str">
        <f t="shared" si="217"/>
        <v/>
      </c>
      <c r="BK285" s="51" t="b">
        <f t="shared" si="218"/>
        <v>0</v>
      </c>
      <c r="BL285" s="192"/>
    </row>
    <row r="286" spans="1:64" ht="13.5" thickBot="1" x14ac:dyDescent="0.25">
      <c r="A286" s="185" t="s">
        <v>977</v>
      </c>
      <c r="B286" s="194" t="s">
        <v>695</v>
      </c>
      <c r="C286" s="194" t="s">
        <v>695</v>
      </c>
      <c r="D286" s="194" t="s">
        <v>695</v>
      </c>
      <c r="E286" s="193" t="s">
        <v>694</v>
      </c>
      <c r="F286" s="160" t="s">
        <v>20</v>
      </c>
      <c r="G286" s="161"/>
      <c r="H286" s="186" t="str">
        <f t="shared" si="176"/>
        <v>N/A</v>
      </c>
      <c r="I286" s="186" t="b">
        <f t="shared" si="177"/>
        <v>1</v>
      </c>
      <c r="J286" s="186" t="str">
        <f t="shared" si="178"/>
        <v>N/A</v>
      </c>
      <c r="K286" s="186" t="b">
        <f t="shared" si="179"/>
        <v>1</v>
      </c>
      <c r="L286" s="186" t="str">
        <f t="shared" si="180"/>
        <v>N/A</v>
      </c>
      <c r="M286" s="186" t="b">
        <f t="shared" si="181"/>
        <v>1</v>
      </c>
      <c r="N286" s="186" t="str">
        <f t="shared" si="182"/>
        <v>Used?</v>
      </c>
      <c r="O286" s="186" t="b">
        <f t="shared" si="183"/>
        <v>0</v>
      </c>
      <c r="P286" s="26" t="s">
        <v>696</v>
      </c>
      <c r="Q286" s="160" t="s">
        <v>20</v>
      </c>
      <c r="R286" s="160" t="s">
        <v>20</v>
      </c>
      <c r="S286" s="26" t="s">
        <v>697</v>
      </c>
      <c r="T286" s="165" t="str">
        <f t="shared" si="184"/>
        <v>Not Used</v>
      </c>
      <c r="U286" s="162"/>
      <c r="V286" s="55"/>
      <c r="W286" s="51" t="b">
        <f t="shared" si="185"/>
        <v>1</v>
      </c>
      <c r="X286" s="51" t="str">
        <f t="shared" si="186"/>
        <v>Not Used</v>
      </c>
      <c r="Y286" s="51" t="str">
        <f t="shared" si="187"/>
        <v>Not Used</v>
      </c>
      <c r="Z286" s="51" t="str">
        <f t="shared" si="188"/>
        <v>Not Used</v>
      </c>
      <c r="AA286" s="51" t="str">
        <f t="shared" si="188"/>
        <v>Not Used</v>
      </c>
      <c r="AB286" s="51" t="str">
        <f t="shared" si="189"/>
        <v>Not Used</v>
      </c>
      <c r="AC286" s="51" t="b">
        <f t="shared" si="190"/>
        <v>1</v>
      </c>
      <c r="AD286" s="51">
        <f>COUNTIF($X$5:$X$286, "Not Used")</f>
        <v>282</v>
      </c>
      <c r="AE286" s="51">
        <f>COUNTIF($X$5:$X$286, "TRUE")</f>
        <v>0</v>
      </c>
      <c r="AF286" s="51" t="b">
        <f t="shared" si="191"/>
        <v>1</v>
      </c>
      <c r="AI286" s="51" t="b">
        <f t="shared" si="192"/>
        <v>0</v>
      </c>
      <c r="AJ286" s="51" t="b">
        <f t="shared" si="193"/>
        <v>0</v>
      </c>
      <c r="AK286" s="51" t="b">
        <f t="shared" si="194"/>
        <v>0</v>
      </c>
      <c r="AL286" s="51" t="b">
        <f t="shared" si="195"/>
        <v>0</v>
      </c>
      <c r="AM286" s="51" t="b">
        <f t="shared" si="196"/>
        <v>0</v>
      </c>
      <c r="AN286" s="51"/>
      <c r="AO286" s="51" t="b">
        <f t="shared" si="197"/>
        <v>0</v>
      </c>
      <c r="AP286" s="51" t="str">
        <f t="shared" si="219"/>
        <v>Not in MMS</v>
      </c>
      <c r="AQ286" s="51" t="b">
        <f t="shared" si="198"/>
        <v>0</v>
      </c>
      <c r="AR286" s="51" t="b">
        <f t="shared" si="199"/>
        <v>0</v>
      </c>
      <c r="AS286" s="51" t="str">
        <f t="shared" si="200"/>
        <v/>
      </c>
      <c r="AT286" s="51" t="str">
        <f t="shared" si="201"/>
        <v/>
      </c>
      <c r="AU286" s="51" t="str">
        <f t="shared" si="202"/>
        <v/>
      </c>
      <c r="AV286" s="51" t="str">
        <f t="shared" si="203"/>
        <v/>
      </c>
      <c r="AW286" s="51" t="str">
        <f t="shared" si="204"/>
        <v/>
      </c>
      <c r="AX286" s="51" t="str">
        <f t="shared" si="205"/>
        <v/>
      </c>
      <c r="AY286" s="51" t="str">
        <f t="shared" si="206"/>
        <v/>
      </c>
      <c r="AZ286" s="51" t="str">
        <f t="shared" si="207"/>
        <v/>
      </c>
      <c r="BA286" s="51" t="str">
        <f t="shared" si="208"/>
        <v/>
      </c>
      <c r="BB286" s="51" t="str">
        <f t="shared" si="209"/>
        <v/>
      </c>
      <c r="BC286" s="51" t="str">
        <f t="shared" si="210"/>
        <v/>
      </c>
      <c r="BD286" s="51" t="str">
        <f t="shared" si="211"/>
        <v/>
      </c>
      <c r="BE286" s="51" t="str">
        <f t="shared" si="212"/>
        <v/>
      </c>
      <c r="BF286" s="51" t="str">
        <f t="shared" si="213"/>
        <v/>
      </c>
      <c r="BG286" s="51" t="str">
        <f t="shared" si="214"/>
        <v/>
      </c>
      <c r="BH286" s="51" t="b">
        <f t="shared" si="215"/>
        <v>0</v>
      </c>
      <c r="BI286" s="51" t="str">
        <f t="shared" si="216"/>
        <v/>
      </c>
      <c r="BJ286" s="51" t="str">
        <f t="shared" si="217"/>
        <v/>
      </c>
      <c r="BK286" s="51" t="b">
        <f t="shared" si="218"/>
        <v>0</v>
      </c>
      <c r="BL286" s="192"/>
    </row>
    <row r="287" spans="1:64" ht="13.5" thickBot="1" x14ac:dyDescent="0.25">
      <c r="A287" s="185" t="s">
        <v>978</v>
      </c>
      <c r="B287" s="194" t="s">
        <v>695</v>
      </c>
      <c r="C287" s="194" t="s">
        <v>695</v>
      </c>
      <c r="D287" s="194" t="s">
        <v>695</v>
      </c>
      <c r="E287" s="193" t="s">
        <v>694</v>
      </c>
      <c r="F287" s="160" t="s">
        <v>20</v>
      </c>
      <c r="G287" s="161"/>
      <c r="H287" s="186" t="str">
        <f t="shared" si="176"/>
        <v>N/A</v>
      </c>
      <c r="I287" s="186" t="b">
        <f t="shared" si="177"/>
        <v>1</v>
      </c>
      <c r="J287" s="186" t="str">
        <f t="shared" si="178"/>
        <v>N/A</v>
      </c>
      <c r="K287" s="186" t="b">
        <f t="shared" si="179"/>
        <v>1</v>
      </c>
      <c r="L287" s="186" t="str">
        <f t="shared" si="180"/>
        <v>N/A</v>
      </c>
      <c r="M287" s="186" t="b">
        <f t="shared" si="181"/>
        <v>1</v>
      </c>
      <c r="N287" s="186" t="str">
        <f t="shared" si="182"/>
        <v>Used?</v>
      </c>
      <c r="O287" s="186" t="b">
        <f t="shared" si="183"/>
        <v>0</v>
      </c>
      <c r="P287" s="26" t="s">
        <v>696</v>
      </c>
      <c r="Q287" s="160" t="s">
        <v>20</v>
      </c>
      <c r="R287" s="160" t="s">
        <v>20</v>
      </c>
      <c r="S287" s="26" t="s">
        <v>697</v>
      </c>
      <c r="T287" s="165" t="str">
        <f t="shared" si="184"/>
        <v>Not Used</v>
      </c>
      <c r="U287" s="162"/>
      <c r="V287" s="55"/>
      <c r="W287" s="51" t="b">
        <f t="shared" si="185"/>
        <v>1</v>
      </c>
      <c r="X287" s="51" t="str">
        <f t="shared" si="186"/>
        <v>Not Used</v>
      </c>
      <c r="Y287" s="51" t="str">
        <f t="shared" si="187"/>
        <v>Not Used</v>
      </c>
      <c r="Z287" s="51" t="str">
        <f t="shared" si="188"/>
        <v>Not Used</v>
      </c>
      <c r="AA287" s="51" t="str">
        <f t="shared" si="188"/>
        <v>Not Used</v>
      </c>
      <c r="AB287" s="51" t="str">
        <f t="shared" si="189"/>
        <v>Not Used</v>
      </c>
      <c r="AC287" s="51" t="b">
        <f t="shared" si="190"/>
        <v>1</v>
      </c>
      <c r="AD287" s="51">
        <f>COUNTIF($X$5:$X$287, "Not Used")</f>
        <v>283</v>
      </c>
      <c r="AE287" s="51">
        <f>COUNTIF($X$5:$X$287, "TRUE")</f>
        <v>0</v>
      </c>
      <c r="AF287" s="51" t="b">
        <f t="shared" si="191"/>
        <v>1</v>
      </c>
      <c r="AI287" s="51" t="b">
        <f t="shared" si="192"/>
        <v>0</v>
      </c>
      <c r="AJ287" s="51" t="b">
        <f t="shared" si="193"/>
        <v>0</v>
      </c>
      <c r="AK287" s="51" t="b">
        <f t="shared" si="194"/>
        <v>0</v>
      </c>
      <c r="AL287" s="51" t="b">
        <f t="shared" si="195"/>
        <v>0</v>
      </c>
      <c r="AM287" s="51" t="b">
        <f t="shared" si="196"/>
        <v>0</v>
      </c>
      <c r="AN287" s="51"/>
      <c r="AO287" s="51" t="b">
        <f t="shared" si="197"/>
        <v>0</v>
      </c>
      <c r="AP287" s="51" t="str">
        <f t="shared" si="219"/>
        <v>Not in MMS</v>
      </c>
      <c r="AQ287" s="51" t="b">
        <f t="shared" si="198"/>
        <v>0</v>
      </c>
      <c r="AR287" s="51" t="b">
        <f t="shared" si="199"/>
        <v>0</v>
      </c>
      <c r="AS287" s="51" t="str">
        <f t="shared" si="200"/>
        <v/>
      </c>
      <c r="AT287" s="51" t="str">
        <f t="shared" si="201"/>
        <v/>
      </c>
      <c r="AU287" s="51" t="str">
        <f t="shared" si="202"/>
        <v/>
      </c>
      <c r="AV287" s="51" t="str">
        <f t="shared" si="203"/>
        <v/>
      </c>
      <c r="AW287" s="51" t="str">
        <f t="shared" si="204"/>
        <v/>
      </c>
      <c r="AX287" s="51" t="str">
        <f t="shared" si="205"/>
        <v/>
      </c>
      <c r="AY287" s="51" t="str">
        <f t="shared" si="206"/>
        <v/>
      </c>
      <c r="AZ287" s="51" t="str">
        <f t="shared" si="207"/>
        <v/>
      </c>
      <c r="BA287" s="51" t="str">
        <f t="shared" si="208"/>
        <v/>
      </c>
      <c r="BB287" s="51" t="str">
        <f t="shared" si="209"/>
        <v/>
      </c>
      <c r="BC287" s="51" t="str">
        <f t="shared" si="210"/>
        <v/>
      </c>
      <c r="BD287" s="51" t="str">
        <f t="shared" si="211"/>
        <v/>
      </c>
      <c r="BE287" s="51" t="str">
        <f t="shared" si="212"/>
        <v/>
      </c>
      <c r="BF287" s="51" t="str">
        <f t="shared" si="213"/>
        <v/>
      </c>
      <c r="BG287" s="51" t="str">
        <f t="shared" si="214"/>
        <v/>
      </c>
      <c r="BH287" s="51" t="b">
        <f t="shared" si="215"/>
        <v>0</v>
      </c>
      <c r="BI287" s="51" t="str">
        <f t="shared" si="216"/>
        <v/>
      </c>
      <c r="BJ287" s="51" t="str">
        <f t="shared" si="217"/>
        <v/>
      </c>
      <c r="BK287" s="51" t="b">
        <f t="shared" si="218"/>
        <v>0</v>
      </c>
      <c r="BL287" s="192"/>
    </row>
    <row r="288" spans="1:64" ht="13.5" thickBot="1" x14ac:dyDescent="0.25">
      <c r="A288" s="185" t="s">
        <v>979</v>
      </c>
      <c r="B288" s="194" t="s">
        <v>695</v>
      </c>
      <c r="C288" s="194" t="s">
        <v>695</v>
      </c>
      <c r="D288" s="194" t="s">
        <v>695</v>
      </c>
      <c r="E288" s="193" t="s">
        <v>694</v>
      </c>
      <c r="F288" s="160" t="s">
        <v>20</v>
      </c>
      <c r="G288" s="161"/>
      <c r="H288" s="186" t="str">
        <f t="shared" si="176"/>
        <v>N/A</v>
      </c>
      <c r="I288" s="186" t="b">
        <f t="shared" si="177"/>
        <v>1</v>
      </c>
      <c r="J288" s="186" t="str">
        <f t="shared" si="178"/>
        <v>N/A</v>
      </c>
      <c r="K288" s="186" t="b">
        <f t="shared" si="179"/>
        <v>1</v>
      </c>
      <c r="L288" s="186" t="str">
        <f t="shared" si="180"/>
        <v>N/A</v>
      </c>
      <c r="M288" s="186" t="b">
        <f t="shared" si="181"/>
        <v>1</v>
      </c>
      <c r="N288" s="186" t="str">
        <f t="shared" si="182"/>
        <v>Used?</v>
      </c>
      <c r="O288" s="186" t="b">
        <f t="shared" si="183"/>
        <v>0</v>
      </c>
      <c r="P288" s="26" t="s">
        <v>696</v>
      </c>
      <c r="Q288" s="160" t="s">
        <v>20</v>
      </c>
      <c r="R288" s="160" t="s">
        <v>20</v>
      </c>
      <c r="S288" s="26" t="s">
        <v>697</v>
      </c>
      <c r="T288" s="165" t="str">
        <f t="shared" si="184"/>
        <v>Not Used</v>
      </c>
      <c r="U288" s="162"/>
      <c r="V288" s="55"/>
      <c r="W288" s="51" t="b">
        <f t="shared" si="185"/>
        <v>1</v>
      </c>
      <c r="X288" s="51" t="str">
        <f t="shared" si="186"/>
        <v>Not Used</v>
      </c>
      <c r="Y288" s="51" t="str">
        <f t="shared" si="187"/>
        <v>Not Used</v>
      </c>
      <c r="Z288" s="51" t="str">
        <f t="shared" si="188"/>
        <v>Not Used</v>
      </c>
      <c r="AA288" s="51" t="str">
        <f t="shared" si="188"/>
        <v>Not Used</v>
      </c>
      <c r="AB288" s="51" t="str">
        <f t="shared" si="189"/>
        <v>Not Used</v>
      </c>
      <c r="AC288" s="51" t="b">
        <f t="shared" si="190"/>
        <v>1</v>
      </c>
      <c r="AD288" s="51">
        <f>COUNTIF($X$5:$X$288, "Not Used")</f>
        <v>284</v>
      </c>
      <c r="AE288" s="51">
        <f>COUNTIF($X$5:$X$288, "TRUE")</f>
        <v>0</v>
      </c>
      <c r="AF288" s="51" t="b">
        <f t="shared" si="191"/>
        <v>1</v>
      </c>
      <c r="AI288" s="51" t="b">
        <f t="shared" si="192"/>
        <v>0</v>
      </c>
      <c r="AJ288" s="51" t="b">
        <f t="shared" si="193"/>
        <v>0</v>
      </c>
      <c r="AK288" s="51" t="b">
        <f t="shared" si="194"/>
        <v>0</v>
      </c>
      <c r="AL288" s="51" t="b">
        <f t="shared" si="195"/>
        <v>0</v>
      </c>
      <c r="AM288" s="51" t="b">
        <f t="shared" si="196"/>
        <v>0</v>
      </c>
      <c r="AN288" s="51"/>
      <c r="AO288" s="51" t="b">
        <f t="shared" si="197"/>
        <v>0</v>
      </c>
      <c r="AP288" s="51" t="str">
        <f t="shared" si="219"/>
        <v>Not in MMS</v>
      </c>
      <c r="AQ288" s="51" t="b">
        <f t="shared" si="198"/>
        <v>0</v>
      </c>
      <c r="AR288" s="51" t="b">
        <f t="shared" si="199"/>
        <v>0</v>
      </c>
      <c r="AS288" s="51" t="str">
        <f t="shared" si="200"/>
        <v/>
      </c>
      <c r="AT288" s="51" t="str">
        <f t="shared" si="201"/>
        <v/>
      </c>
      <c r="AU288" s="51" t="str">
        <f t="shared" si="202"/>
        <v/>
      </c>
      <c r="AV288" s="51" t="str">
        <f t="shared" si="203"/>
        <v/>
      </c>
      <c r="AW288" s="51" t="str">
        <f t="shared" si="204"/>
        <v/>
      </c>
      <c r="AX288" s="51" t="str">
        <f t="shared" si="205"/>
        <v/>
      </c>
      <c r="AY288" s="51" t="str">
        <f t="shared" si="206"/>
        <v/>
      </c>
      <c r="AZ288" s="51" t="str">
        <f t="shared" si="207"/>
        <v/>
      </c>
      <c r="BA288" s="51" t="str">
        <f t="shared" si="208"/>
        <v/>
      </c>
      <c r="BB288" s="51" t="str">
        <f t="shared" si="209"/>
        <v/>
      </c>
      <c r="BC288" s="51" t="str">
        <f t="shared" si="210"/>
        <v/>
      </c>
      <c r="BD288" s="51" t="str">
        <f t="shared" si="211"/>
        <v/>
      </c>
      <c r="BE288" s="51" t="str">
        <f t="shared" si="212"/>
        <v/>
      </c>
      <c r="BF288" s="51" t="str">
        <f t="shared" si="213"/>
        <v/>
      </c>
      <c r="BG288" s="51" t="str">
        <f t="shared" si="214"/>
        <v/>
      </c>
      <c r="BH288" s="51" t="b">
        <f t="shared" si="215"/>
        <v>0</v>
      </c>
      <c r="BI288" s="51" t="str">
        <f t="shared" si="216"/>
        <v/>
      </c>
      <c r="BJ288" s="51" t="str">
        <f t="shared" si="217"/>
        <v/>
      </c>
      <c r="BK288" s="51" t="b">
        <f t="shared" si="218"/>
        <v>0</v>
      </c>
      <c r="BL288" s="192"/>
    </row>
    <row r="289" spans="1:64" ht="13.5" thickBot="1" x14ac:dyDescent="0.25">
      <c r="A289" s="185" t="s">
        <v>980</v>
      </c>
      <c r="B289" s="194" t="s">
        <v>695</v>
      </c>
      <c r="C289" s="194" t="s">
        <v>695</v>
      </c>
      <c r="D289" s="194" t="s">
        <v>695</v>
      </c>
      <c r="E289" s="193" t="s">
        <v>694</v>
      </c>
      <c r="F289" s="160" t="s">
        <v>20</v>
      </c>
      <c r="G289" s="161"/>
      <c r="H289" s="186" t="str">
        <f t="shared" si="176"/>
        <v>N/A</v>
      </c>
      <c r="I289" s="186" t="b">
        <f t="shared" si="177"/>
        <v>1</v>
      </c>
      <c r="J289" s="186" t="str">
        <f t="shared" si="178"/>
        <v>N/A</v>
      </c>
      <c r="K289" s="186" t="b">
        <f t="shared" si="179"/>
        <v>1</v>
      </c>
      <c r="L289" s="186" t="str">
        <f t="shared" si="180"/>
        <v>N/A</v>
      </c>
      <c r="M289" s="186" t="b">
        <f t="shared" si="181"/>
        <v>1</v>
      </c>
      <c r="N289" s="186" t="str">
        <f t="shared" si="182"/>
        <v>Used?</v>
      </c>
      <c r="O289" s="186" t="b">
        <f t="shared" si="183"/>
        <v>0</v>
      </c>
      <c r="P289" s="26" t="s">
        <v>696</v>
      </c>
      <c r="Q289" s="160" t="s">
        <v>20</v>
      </c>
      <c r="R289" s="160" t="s">
        <v>20</v>
      </c>
      <c r="S289" s="26" t="s">
        <v>697</v>
      </c>
      <c r="T289" s="165" t="str">
        <f t="shared" si="184"/>
        <v>Not Used</v>
      </c>
      <c r="U289" s="162"/>
      <c r="V289" s="55"/>
      <c r="W289" s="51" t="b">
        <f t="shared" si="185"/>
        <v>1</v>
      </c>
      <c r="X289" s="51" t="str">
        <f t="shared" si="186"/>
        <v>Not Used</v>
      </c>
      <c r="Y289" s="51" t="str">
        <f t="shared" si="187"/>
        <v>Not Used</v>
      </c>
      <c r="Z289" s="51" t="str">
        <f t="shared" si="188"/>
        <v>Not Used</v>
      </c>
      <c r="AA289" s="51" t="str">
        <f t="shared" si="188"/>
        <v>Not Used</v>
      </c>
      <c r="AB289" s="51" t="str">
        <f t="shared" si="189"/>
        <v>Not Used</v>
      </c>
      <c r="AC289" s="51" t="b">
        <f t="shared" si="190"/>
        <v>1</v>
      </c>
      <c r="AD289" s="51">
        <f>COUNTIF($X$5:$X$289, "Not Used")</f>
        <v>285</v>
      </c>
      <c r="AE289" s="51">
        <f>COUNTIF($X$5:$X$289, "TRUE")</f>
        <v>0</v>
      </c>
      <c r="AF289" s="51" t="b">
        <f t="shared" si="191"/>
        <v>1</v>
      </c>
      <c r="AI289" s="51" t="b">
        <f t="shared" si="192"/>
        <v>0</v>
      </c>
      <c r="AJ289" s="51" t="b">
        <f t="shared" si="193"/>
        <v>0</v>
      </c>
      <c r="AK289" s="51" t="b">
        <f t="shared" si="194"/>
        <v>0</v>
      </c>
      <c r="AL289" s="51" t="b">
        <f t="shared" si="195"/>
        <v>0</v>
      </c>
      <c r="AM289" s="51" t="b">
        <f t="shared" si="196"/>
        <v>0</v>
      </c>
      <c r="AN289" s="51"/>
      <c r="AO289" s="51" t="b">
        <f t="shared" si="197"/>
        <v>0</v>
      </c>
      <c r="AP289" s="51" t="str">
        <f t="shared" si="219"/>
        <v>Not in MMS</v>
      </c>
      <c r="AQ289" s="51" t="b">
        <f t="shared" si="198"/>
        <v>0</v>
      </c>
      <c r="AR289" s="51" t="b">
        <f t="shared" si="199"/>
        <v>0</v>
      </c>
      <c r="AS289" s="51" t="str">
        <f t="shared" si="200"/>
        <v/>
      </c>
      <c r="AT289" s="51" t="str">
        <f t="shared" si="201"/>
        <v/>
      </c>
      <c r="AU289" s="51" t="str">
        <f t="shared" si="202"/>
        <v/>
      </c>
      <c r="AV289" s="51" t="str">
        <f t="shared" si="203"/>
        <v/>
      </c>
      <c r="AW289" s="51" t="str">
        <f t="shared" si="204"/>
        <v/>
      </c>
      <c r="AX289" s="51" t="str">
        <f t="shared" si="205"/>
        <v/>
      </c>
      <c r="AY289" s="51" t="str">
        <f t="shared" si="206"/>
        <v/>
      </c>
      <c r="AZ289" s="51" t="str">
        <f t="shared" si="207"/>
        <v/>
      </c>
      <c r="BA289" s="51" t="str">
        <f t="shared" si="208"/>
        <v/>
      </c>
      <c r="BB289" s="51" t="str">
        <f t="shared" si="209"/>
        <v/>
      </c>
      <c r="BC289" s="51" t="str">
        <f t="shared" si="210"/>
        <v/>
      </c>
      <c r="BD289" s="51" t="str">
        <f t="shared" si="211"/>
        <v/>
      </c>
      <c r="BE289" s="51" t="str">
        <f t="shared" si="212"/>
        <v/>
      </c>
      <c r="BF289" s="51" t="str">
        <f t="shared" si="213"/>
        <v/>
      </c>
      <c r="BG289" s="51" t="str">
        <f t="shared" si="214"/>
        <v/>
      </c>
      <c r="BH289" s="51" t="b">
        <f t="shared" si="215"/>
        <v>0</v>
      </c>
      <c r="BI289" s="51" t="str">
        <f t="shared" si="216"/>
        <v/>
      </c>
      <c r="BJ289" s="51" t="str">
        <f t="shared" si="217"/>
        <v/>
      </c>
      <c r="BK289" s="51" t="b">
        <f t="shared" si="218"/>
        <v>0</v>
      </c>
      <c r="BL289" s="192"/>
    </row>
    <row r="290" spans="1:64" ht="13.5" thickBot="1" x14ac:dyDescent="0.25">
      <c r="A290" s="185" t="s">
        <v>981</v>
      </c>
      <c r="B290" s="194" t="s">
        <v>695</v>
      </c>
      <c r="C290" s="194" t="s">
        <v>695</v>
      </c>
      <c r="D290" s="194" t="s">
        <v>695</v>
      </c>
      <c r="E290" s="193" t="s">
        <v>694</v>
      </c>
      <c r="F290" s="160" t="s">
        <v>20</v>
      </c>
      <c r="G290" s="161"/>
      <c r="H290" s="186" t="str">
        <f t="shared" si="176"/>
        <v>N/A</v>
      </c>
      <c r="I290" s="186" t="b">
        <f t="shared" si="177"/>
        <v>1</v>
      </c>
      <c r="J290" s="186" t="str">
        <f t="shared" si="178"/>
        <v>N/A</v>
      </c>
      <c r="K290" s="186" t="b">
        <f t="shared" si="179"/>
        <v>1</v>
      </c>
      <c r="L290" s="186" t="str">
        <f t="shared" si="180"/>
        <v>N/A</v>
      </c>
      <c r="M290" s="186" t="b">
        <f t="shared" si="181"/>
        <v>1</v>
      </c>
      <c r="N290" s="186" t="str">
        <f t="shared" si="182"/>
        <v>Used?</v>
      </c>
      <c r="O290" s="186" t="b">
        <f t="shared" si="183"/>
        <v>0</v>
      </c>
      <c r="P290" s="26" t="s">
        <v>696</v>
      </c>
      <c r="Q290" s="160" t="s">
        <v>20</v>
      </c>
      <c r="R290" s="160" t="s">
        <v>20</v>
      </c>
      <c r="S290" s="26" t="s">
        <v>697</v>
      </c>
      <c r="T290" s="165" t="str">
        <f t="shared" si="184"/>
        <v>Not Used</v>
      </c>
      <c r="U290" s="162"/>
      <c r="V290" s="55"/>
      <c r="W290" s="51" t="b">
        <f t="shared" si="185"/>
        <v>1</v>
      </c>
      <c r="X290" s="51" t="str">
        <f t="shared" si="186"/>
        <v>Not Used</v>
      </c>
      <c r="Y290" s="51" t="str">
        <f t="shared" si="187"/>
        <v>Not Used</v>
      </c>
      <c r="Z290" s="51" t="str">
        <f t="shared" si="188"/>
        <v>Not Used</v>
      </c>
      <c r="AA290" s="51" t="str">
        <f t="shared" si="188"/>
        <v>Not Used</v>
      </c>
      <c r="AB290" s="51" t="str">
        <f t="shared" si="189"/>
        <v>Not Used</v>
      </c>
      <c r="AC290" s="51" t="b">
        <f t="shared" si="190"/>
        <v>1</v>
      </c>
      <c r="AD290" s="51">
        <f>COUNTIF($X$5:$X$290, "Not Used")</f>
        <v>286</v>
      </c>
      <c r="AE290" s="51">
        <f>COUNTIF($X$5:$X$290, "TRUE")</f>
        <v>0</v>
      </c>
      <c r="AF290" s="51" t="b">
        <f t="shared" si="191"/>
        <v>1</v>
      </c>
      <c r="AI290" s="51" t="b">
        <f t="shared" si="192"/>
        <v>0</v>
      </c>
      <c r="AJ290" s="51" t="b">
        <f t="shared" si="193"/>
        <v>0</v>
      </c>
      <c r="AK290" s="51" t="b">
        <f t="shared" si="194"/>
        <v>0</v>
      </c>
      <c r="AL290" s="51" t="b">
        <f t="shared" si="195"/>
        <v>0</v>
      </c>
      <c r="AM290" s="51" t="b">
        <f t="shared" si="196"/>
        <v>0</v>
      </c>
      <c r="AN290" s="51"/>
      <c r="AO290" s="51" t="b">
        <f t="shared" si="197"/>
        <v>0</v>
      </c>
      <c r="AP290" s="51" t="str">
        <f t="shared" si="219"/>
        <v>Not in MMS</v>
      </c>
      <c r="AQ290" s="51" t="b">
        <f t="shared" si="198"/>
        <v>0</v>
      </c>
      <c r="AR290" s="51" t="b">
        <f t="shared" si="199"/>
        <v>0</v>
      </c>
      <c r="AS290" s="51" t="str">
        <f t="shared" si="200"/>
        <v/>
      </c>
      <c r="AT290" s="51" t="str">
        <f t="shared" si="201"/>
        <v/>
      </c>
      <c r="AU290" s="51" t="str">
        <f t="shared" si="202"/>
        <v/>
      </c>
      <c r="AV290" s="51" t="str">
        <f t="shared" si="203"/>
        <v/>
      </c>
      <c r="AW290" s="51" t="str">
        <f t="shared" si="204"/>
        <v/>
      </c>
      <c r="AX290" s="51" t="str">
        <f t="shared" si="205"/>
        <v/>
      </c>
      <c r="AY290" s="51" t="str">
        <f t="shared" si="206"/>
        <v/>
      </c>
      <c r="AZ290" s="51" t="str">
        <f t="shared" si="207"/>
        <v/>
      </c>
      <c r="BA290" s="51" t="str">
        <f t="shared" si="208"/>
        <v/>
      </c>
      <c r="BB290" s="51" t="str">
        <f t="shared" si="209"/>
        <v/>
      </c>
      <c r="BC290" s="51" t="str">
        <f t="shared" si="210"/>
        <v/>
      </c>
      <c r="BD290" s="51" t="str">
        <f t="shared" si="211"/>
        <v/>
      </c>
      <c r="BE290" s="51" t="str">
        <f t="shared" si="212"/>
        <v/>
      </c>
      <c r="BF290" s="51" t="str">
        <f t="shared" si="213"/>
        <v/>
      </c>
      <c r="BG290" s="51" t="str">
        <f t="shared" si="214"/>
        <v/>
      </c>
      <c r="BH290" s="51" t="b">
        <f t="shared" si="215"/>
        <v>0</v>
      </c>
      <c r="BI290" s="51" t="str">
        <f t="shared" si="216"/>
        <v/>
      </c>
      <c r="BJ290" s="51" t="str">
        <f t="shared" si="217"/>
        <v/>
      </c>
      <c r="BK290" s="51" t="b">
        <f t="shared" si="218"/>
        <v>0</v>
      </c>
      <c r="BL290" s="192"/>
    </row>
    <row r="291" spans="1:64" ht="13.5" thickBot="1" x14ac:dyDescent="0.25">
      <c r="A291" s="185" t="s">
        <v>982</v>
      </c>
      <c r="B291" s="194" t="s">
        <v>695</v>
      </c>
      <c r="C291" s="194" t="s">
        <v>695</v>
      </c>
      <c r="D291" s="194" t="s">
        <v>695</v>
      </c>
      <c r="E291" s="193" t="s">
        <v>694</v>
      </c>
      <c r="F291" s="160" t="s">
        <v>20</v>
      </c>
      <c r="G291" s="161"/>
      <c r="H291" s="186" t="str">
        <f t="shared" si="176"/>
        <v>N/A</v>
      </c>
      <c r="I291" s="186" t="b">
        <f t="shared" si="177"/>
        <v>1</v>
      </c>
      <c r="J291" s="186" t="str">
        <f t="shared" si="178"/>
        <v>N/A</v>
      </c>
      <c r="K291" s="186" t="b">
        <f t="shared" si="179"/>
        <v>1</v>
      </c>
      <c r="L291" s="186" t="str">
        <f t="shared" si="180"/>
        <v>N/A</v>
      </c>
      <c r="M291" s="186" t="b">
        <f t="shared" si="181"/>
        <v>1</v>
      </c>
      <c r="N291" s="186" t="str">
        <f t="shared" si="182"/>
        <v>Used?</v>
      </c>
      <c r="O291" s="186" t="b">
        <f t="shared" si="183"/>
        <v>0</v>
      </c>
      <c r="P291" s="26" t="s">
        <v>696</v>
      </c>
      <c r="Q291" s="160" t="s">
        <v>20</v>
      </c>
      <c r="R291" s="160" t="s">
        <v>20</v>
      </c>
      <c r="S291" s="26" t="s">
        <v>697</v>
      </c>
      <c r="T291" s="165" t="str">
        <f t="shared" si="184"/>
        <v>Not Used</v>
      </c>
      <c r="U291" s="162"/>
      <c r="V291" s="55"/>
      <c r="W291" s="51" t="b">
        <f t="shared" si="185"/>
        <v>1</v>
      </c>
      <c r="X291" s="51" t="str">
        <f t="shared" si="186"/>
        <v>Not Used</v>
      </c>
      <c r="Y291" s="51" t="str">
        <f t="shared" si="187"/>
        <v>Not Used</v>
      </c>
      <c r="Z291" s="51" t="str">
        <f t="shared" si="188"/>
        <v>Not Used</v>
      </c>
      <c r="AA291" s="51" t="str">
        <f t="shared" si="188"/>
        <v>Not Used</v>
      </c>
      <c r="AB291" s="51" t="str">
        <f t="shared" si="189"/>
        <v>Not Used</v>
      </c>
      <c r="AC291" s="51" t="b">
        <f t="shared" si="190"/>
        <v>1</v>
      </c>
      <c r="AD291" s="51">
        <f>COUNTIF($X$5:$X$291, "Not Used")</f>
        <v>287</v>
      </c>
      <c r="AE291" s="51">
        <f>COUNTIF($X$5:$X$291, "TRUE")</f>
        <v>0</v>
      </c>
      <c r="AF291" s="51" t="b">
        <f t="shared" si="191"/>
        <v>1</v>
      </c>
      <c r="AI291" s="51" t="b">
        <f t="shared" si="192"/>
        <v>0</v>
      </c>
      <c r="AJ291" s="51" t="b">
        <f t="shared" si="193"/>
        <v>0</v>
      </c>
      <c r="AK291" s="51" t="b">
        <f t="shared" si="194"/>
        <v>0</v>
      </c>
      <c r="AL291" s="51" t="b">
        <f t="shared" si="195"/>
        <v>0</v>
      </c>
      <c r="AM291" s="51" t="b">
        <f t="shared" si="196"/>
        <v>0</v>
      </c>
      <c r="AN291" s="51"/>
      <c r="AO291" s="51" t="b">
        <f t="shared" si="197"/>
        <v>0</v>
      </c>
      <c r="AP291" s="51" t="str">
        <f t="shared" si="219"/>
        <v>Not in MMS</v>
      </c>
      <c r="AQ291" s="51" t="b">
        <f t="shared" si="198"/>
        <v>0</v>
      </c>
      <c r="AR291" s="51" t="b">
        <f t="shared" si="199"/>
        <v>0</v>
      </c>
      <c r="AS291" s="51" t="str">
        <f t="shared" si="200"/>
        <v/>
      </c>
      <c r="AT291" s="51" t="str">
        <f t="shared" si="201"/>
        <v/>
      </c>
      <c r="AU291" s="51" t="str">
        <f t="shared" si="202"/>
        <v/>
      </c>
      <c r="AV291" s="51" t="str">
        <f t="shared" si="203"/>
        <v/>
      </c>
      <c r="AW291" s="51" t="str">
        <f t="shared" si="204"/>
        <v/>
      </c>
      <c r="AX291" s="51" t="str">
        <f t="shared" si="205"/>
        <v/>
      </c>
      <c r="AY291" s="51" t="str">
        <f t="shared" si="206"/>
        <v/>
      </c>
      <c r="AZ291" s="51" t="str">
        <f t="shared" si="207"/>
        <v/>
      </c>
      <c r="BA291" s="51" t="str">
        <f t="shared" si="208"/>
        <v/>
      </c>
      <c r="BB291" s="51" t="str">
        <f t="shared" si="209"/>
        <v/>
      </c>
      <c r="BC291" s="51" t="str">
        <f t="shared" si="210"/>
        <v/>
      </c>
      <c r="BD291" s="51" t="str">
        <f t="shared" si="211"/>
        <v/>
      </c>
      <c r="BE291" s="51" t="str">
        <f t="shared" si="212"/>
        <v/>
      </c>
      <c r="BF291" s="51" t="str">
        <f t="shared" si="213"/>
        <v/>
      </c>
      <c r="BG291" s="51" t="str">
        <f t="shared" si="214"/>
        <v/>
      </c>
      <c r="BH291" s="51" t="b">
        <f t="shared" si="215"/>
        <v>0</v>
      </c>
      <c r="BI291" s="51" t="str">
        <f t="shared" si="216"/>
        <v/>
      </c>
      <c r="BJ291" s="51" t="str">
        <f t="shared" si="217"/>
        <v/>
      </c>
      <c r="BK291" s="51" t="b">
        <f t="shared" si="218"/>
        <v>0</v>
      </c>
      <c r="BL291" s="192"/>
    </row>
    <row r="292" spans="1:64" ht="13.5" thickBot="1" x14ac:dyDescent="0.25">
      <c r="A292" s="185" t="s">
        <v>983</v>
      </c>
      <c r="B292" s="194" t="s">
        <v>695</v>
      </c>
      <c r="C292" s="194" t="s">
        <v>695</v>
      </c>
      <c r="D292" s="194" t="s">
        <v>695</v>
      </c>
      <c r="E292" s="193" t="s">
        <v>694</v>
      </c>
      <c r="F292" s="160" t="s">
        <v>20</v>
      </c>
      <c r="G292" s="161"/>
      <c r="H292" s="186" t="str">
        <f t="shared" si="176"/>
        <v>N/A</v>
      </c>
      <c r="I292" s="186" t="b">
        <f t="shared" si="177"/>
        <v>1</v>
      </c>
      <c r="J292" s="186" t="str">
        <f t="shared" si="178"/>
        <v>N/A</v>
      </c>
      <c r="K292" s="186" t="b">
        <f t="shared" si="179"/>
        <v>1</v>
      </c>
      <c r="L292" s="186" t="str">
        <f t="shared" si="180"/>
        <v>N/A</v>
      </c>
      <c r="M292" s="186" t="b">
        <f t="shared" si="181"/>
        <v>1</v>
      </c>
      <c r="N292" s="186" t="str">
        <f t="shared" si="182"/>
        <v>Used?</v>
      </c>
      <c r="O292" s="186" t="b">
        <f t="shared" si="183"/>
        <v>0</v>
      </c>
      <c r="P292" s="26" t="s">
        <v>696</v>
      </c>
      <c r="Q292" s="160" t="s">
        <v>20</v>
      </c>
      <c r="R292" s="160" t="s">
        <v>20</v>
      </c>
      <c r="S292" s="26" t="s">
        <v>697</v>
      </c>
      <c r="T292" s="165" t="str">
        <f t="shared" si="184"/>
        <v>Not Used</v>
      </c>
      <c r="U292" s="162"/>
      <c r="V292" s="55"/>
      <c r="W292" s="51" t="b">
        <f t="shared" si="185"/>
        <v>1</v>
      </c>
      <c r="X292" s="51" t="str">
        <f t="shared" si="186"/>
        <v>Not Used</v>
      </c>
      <c r="Y292" s="51" t="str">
        <f t="shared" si="187"/>
        <v>Not Used</v>
      </c>
      <c r="Z292" s="51" t="str">
        <f t="shared" si="188"/>
        <v>Not Used</v>
      </c>
      <c r="AA292" s="51" t="str">
        <f t="shared" si="188"/>
        <v>Not Used</v>
      </c>
      <c r="AB292" s="51" t="str">
        <f t="shared" si="189"/>
        <v>Not Used</v>
      </c>
      <c r="AC292" s="51" t="b">
        <f t="shared" si="190"/>
        <v>1</v>
      </c>
      <c r="AD292" s="51">
        <f>COUNTIF($X$5:$X$292, "Not Used")</f>
        <v>288</v>
      </c>
      <c r="AE292" s="51">
        <f>COUNTIF($X$5:$X$292, "TRUE")</f>
        <v>0</v>
      </c>
      <c r="AF292" s="51" t="b">
        <f t="shared" si="191"/>
        <v>1</v>
      </c>
      <c r="AI292" s="51" t="b">
        <f t="shared" si="192"/>
        <v>0</v>
      </c>
      <c r="AJ292" s="51" t="b">
        <f t="shared" si="193"/>
        <v>0</v>
      </c>
      <c r="AK292" s="51" t="b">
        <f t="shared" si="194"/>
        <v>0</v>
      </c>
      <c r="AL292" s="51" t="b">
        <f t="shared" si="195"/>
        <v>0</v>
      </c>
      <c r="AM292" s="51" t="b">
        <f t="shared" si="196"/>
        <v>0</v>
      </c>
      <c r="AN292" s="51"/>
      <c r="AO292" s="51" t="b">
        <f t="shared" si="197"/>
        <v>0</v>
      </c>
      <c r="AP292" s="51" t="str">
        <f t="shared" si="219"/>
        <v>Not in MMS</v>
      </c>
      <c r="AQ292" s="51" t="b">
        <f t="shared" si="198"/>
        <v>0</v>
      </c>
      <c r="AR292" s="51" t="b">
        <f t="shared" si="199"/>
        <v>0</v>
      </c>
      <c r="AS292" s="51" t="str">
        <f t="shared" si="200"/>
        <v/>
      </c>
      <c r="AT292" s="51" t="str">
        <f t="shared" si="201"/>
        <v/>
      </c>
      <c r="AU292" s="51" t="str">
        <f t="shared" si="202"/>
        <v/>
      </c>
      <c r="AV292" s="51" t="str">
        <f t="shared" si="203"/>
        <v/>
      </c>
      <c r="AW292" s="51" t="str">
        <f t="shared" si="204"/>
        <v/>
      </c>
      <c r="AX292" s="51" t="str">
        <f t="shared" si="205"/>
        <v/>
      </c>
      <c r="AY292" s="51" t="str">
        <f t="shared" si="206"/>
        <v/>
      </c>
      <c r="AZ292" s="51" t="str">
        <f t="shared" si="207"/>
        <v/>
      </c>
      <c r="BA292" s="51" t="str">
        <f t="shared" si="208"/>
        <v/>
      </c>
      <c r="BB292" s="51" t="str">
        <f t="shared" si="209"/>
        <v/>
      </c>
      <c r="BC292" s="51" t="str">
        <f t="shared" si="210"/>
        <v/>
      </c>
      <c r="BD292" s="51" t="str">
        <f t="shared" si="211"/>
        <v/>
      </c>
      <c r="BE292" s="51" t="str">
        <f t="shared" si="212"/>
        <v/>
      </c>
      <c r="BF292" s="51" t="str">
        <f t="shared" si="213"/>
        <v/>
      </c>
      <c r="BG292" s="51" t="str">
        <f t="shared" si="214"/>
        <v/>
      </c>
      <c r="BH292" s="51" t="b">
        <f t="shared" si="215"/>
        <v>0</v>
      </c>
      <c r="BI292" s="51" t="str">
        <f t="shared" si="216"/>
        <v/>
      </c>
      <c r="BJ292" s="51" t="str">
        <f t="shared" si="217"/>
        <v/>
      </c>
      <c r="BK292" s="51" t="b">
        <f t="shared" si="218"/>
        <v>0</v>
      </c>
      <c r="BL292" s="192"/>
    </row>
    <row r="293" spans="1:64" ht="13.5" thickBot="1" x14ac:dyDescent="0.25">
      <c r="A293" s="185" t="s">
        <v>984</v>
      </c>
      <c r="B293" s="194" t="s">
        <v>695</v>
      </c>
      <c r="C293" s="194" t="s">
        <v>695</v>
      </c>
      <c r="D293" s="194" t="s">
        <v>695</v>
      </c>
      <c r="E293" s="193" t="s">
        <v>694</v>
      </c>
      <c r="F293" s="160" t="s">
        <v>20</v>
      </c>
      <c r="G293" s="161"/>
      <c r="H293" s="186" t="str">
        <f t="shared" si="176"/>
        <v>N/A</v>
      </c>
      <c r="I293" s="186" t="b">
        <f t="shared" si="177"/>
        <v>1</v>
      </c>
      <c r="J293" s="186" t="str">
        <f t="shared" si="178"/>
        <v>N/A</v>
      </c>
      <c r="K293" s="186" t="b">
        <f t="shared" si="179"/>
        <v>1</v>
      </c>
      <c r="L293" s="186" t="str">
        <f t="shared" si="180"/>
        <v>N/A</v>
      </c>
      <c r="M293" s="186" t="b">
        <f t="shared" si="181"/>
        <v>1</v>
      </c>
      <c r="N293" s="186" t="str">
        <f t="shared" si="182"/>
        <v>Used?</v>
      </c>
      <c r="O293" s="186" t="b">
        <f t="shared" si="183"/>
        <v>0</v>
      </c>
      <c r="P293" s="26" t="s">
        <v>696</v>
      </c>
      <c r="Q293" s="160" t="s">
        <v>20</v>
      </c>
      <c r="R293" s="160" t="s">
        <v>20</v>
      </c>
      <c r="S293" s="26" t="s">
        <v>697</v>
      </c>
      <c r="T293" s="165" t="str">
        <f t="shared" si="184"/>
        <v>Not Used</v>
      </c>
      <c r="U293" s="162"/>
      <c r="V293" s="55"/>
      <c r="W293" s="51" t="b">
        <f t="shared" si="185"/>
        <v>1</v>
      </c>
      <c r="X293" s="51" t="str">
        <f t="shared" si="186"/>
        <v>Not Used</v>
      </c>
      <c r="Y293" s="51" t="str">
        <f t="shared" si="187"/>
        <v>Not Used</v>
      </c>
      <c r="Z293" s="51" t="str">
        <f t="shared" si="188"/>
        <v>Not Used</v>
      </c>
      <c r="AA293" s="51" t="str">
        <f t="shared" si="188"/>
        <v>Not Used</v>
      </c>
      <c r="AB293" s="51" t="str">
        <f t="shared" si="189"/>
        <v>Not Used</v>
      </c>
      <c r="AC293" s="51" t="b">
        <f t="shared" si="190"/>
        <v>1</v>
      </c>
      <c r="AD293" s="51">
        <f>COUNTIF($X$5:$X$293, "Not Used")</f>
        <v>289</v>
      </c>
      <c r="AE293" s="51">
        <f>COUNTIF($X$5:$X$293, "TRUE")</f>
        <v>0</v>
      </c>
      <c r="AF293" s="51" t="b">
        <f t="shared" si="191"/>
        <v>1</v>
      </c>
      <c r="AI293" s="51" t="b">
        <f t="shared" si="192"/>
        <v>0</v>
      </c>
      <c r="AJ293" s="51" t="b">
        <f t="shared" si="193"/>
        <v>0</v>
      </c>
      <c r="AK293" s="51" t="b">
        <f t="shared" si="194"/>
        <v>0</v>
      </c>
      <c r="AL293" s="51" t="b">
        <f t="shared" si="195"/>
        <v>0</v>
      </c>
      <c r="AM293" s="51" t="b">
        <f t="shared" si="196"/>
        <v>0</v>
      </c>
      <c r="AN293" s="51"/>
      <c r="AO293" s="51" t="b">
        <f t="shared" si="197"/>
        <v>0</v>
      </c>
      <c r="AP293" s="51" t="str">
        <f t="shared" si="219"/>
        <v>Not in MMS</v>
      </c>
      <c r="AQ293" s="51" t="b">
        <f t="shared" si="198"/>
        <v>0</v>
      </c>
      <c r="AR293" s="51" t="b">
        <f t="shared" si="199"/>
        <v>0</v>
      </c>
      <c r="AS293" s="51" t="str">
        <f t="shared" si="200"/>
        <v/>
      </c>
      <c r="AT293" s="51" t="str">
        <f t="shared" si="201"/>
        <v/>
      </c>
      <c r="AU293" s="51" t="str">
        <f t="shared" si="202"/>
        <v/>
      </c>
      <c r="AV293" s="51" t="str">
        <f t="shared" si="203"/>
        <v/>
      </c>
      <c r="AW293" s="51" t="str">
        <f t="shared" si="204"/>
        <v/>
      </c>
      <c r="AX293" s="51" t="str">
        <f t="shared" si="205"/>
        <v/>
      </c>
      <c r="AY293" s="51" t="str">
        <f t="shared" si="206"/>
        <v/>
      </c>
      <c r="AZ293" s="51" t="str">
        <f t="shared" si="207"/>
        <v/>
      </c>
      <c r="BA293" s="51" t="str">
        <f t="shared" si="208"/>
        <v/>
      </c>
      <c r="BB293" s="51" t="str">
        <f t="shared" si="209"/>
        <v/>
      </c>
      <c r="BC293" s="51" t="str">
        <f t="shared" si="210"/>
        <v/>
      </c>
      <c r="BD293" s="51" t="str">
        <f t="shared" si="211"/>
        <v/>
      </c>
      <c r="BE293" s="51" t="str">
        <f t="shared" si="212"/>
        <v/>
      </c>
      <c r="BF293" s="51" t="str">
        <f t="shared" si="213"/>
        <v/>
      </c>
      <c r="BG293" s="51" t="str">
        <f t="shared" si="214"/>
        <v/>
      </c>
      <c r="BH293" s="51" t="b">
        <f t="shared" si="215"/>
        <v>0</v>
      </c>
      <c r="BI293" s="51" t="str">
        <f t="shared" si="216"/>
        <v/>
      </c>
      <c r="BJ293" s="51" t="str">
        <f t="shared" si="217"/>
        <v/>
      </c>
      <c r="BK293" s="51" t="b">
        <f t="shared" si="218"/>
        <v>0</v>
      </c>
      <c r="BL293" s="192"/>
    </row>
    <row r="294" spans="1:64" ht="13.5" thickBot="1" x14ac:dyDescent="0.25">
      <c r="A294" s="185" t="s">
        <v>985</v>
      </c>
      <c r="B294" s="194" t="s">
        <v>695</v>
      </c>
      <c r="C294" s="194" t="s">
        <v>695</v>
      </c>
      <c r="D294" s="194" t="s">
        <v>695</v>
      </c>
      <c r="E294" s="193" t="s">
        <v>694</v>
      </c>
      <c r="F294" s="160" t="s">
        <v>20</v>
      </c>
      <c r="G294" s="161"/>
      <c r="H294" s="186" t="str">
        <f t="shared" si="176"/>
        <v>N/A</v>
      </c>
      <c r="I294" s="186" t="b">
        <f t="shared" si="177"/>
        <v>1</v>
      </c>
      <c r="J294" s="186" t="str">
        <f t="shared" si="178"/>
        <v>N/A</v>
      </c>
      <c r="K294" s="186" t="b">
        <f t="shared" si="179"/>
        <v>1</v>
      </c>
      <c r="L294" s="186" t="str">
        <f t="shared" si="180"/>
        <v>N/A</v>
      </c>
      <c r="M294" s="186" t="b">
        <f t="shared" si="181"/>
        <v>1</v>
      </c>
      <c r="N294" s="186" t="str">
        <f t="shared" si="182"/>
        <v>Used?</v>
      </c>
      <c r="O294" s="186" t="b">
        <f t="shared" si="183"/>
        <v>0</v>
      </c>
      <c r="P294" s="26" t="s">
        <v>696</v>
      </c>
      <c r="Q294" s="160" t="s">
        <v>20</v>
      </c>
      <c r="R294" s="160" t="s">
        <v>20</v>
      </c>
      <c r="S294" s="26" t="s">
        <v>697</v>
      </c>
      <c r="T294" s="165" t="str">
        <f t="shared" si="184"/>
        <v>Not Used</v>
      </c>
      <c r="U294" s="162"/>
      <c r="V294" s="55"/>
      <c r="W294" s="51" t="b">
        <f t="shared" si="185"/>
        <v>1</v>
      </c>
      <c r="X294" s="51" t="str">
        <f t="shared" si="186"/>
        <v>Not Used</v>
      </c>
      <c r="Y294" s="51" t="str">
        <f t="shared" si="187"/>
        <v>Not Used</v>
      </c>
      <c r="Z294" s="51" t="str">
        <f t="shared" si="188"/>
        <v>Not Used</v>
      </c>
      <c r="AA294" s="51" t="str">
        <f t="shared" si="188"/>
        <v>Not Used</v>
      </c>
      <c r="AB294" s="51" t="str">
        <f t="shared" si="189"/>
        <v>Not Used</v>
      </c>
      <c r="AC294" s="51" t="b">
        <f t="shared" si="190"/>
        <v>1</v>
      </c>
      <c r="AD294" s="51">
        <f>COUNTIF($X$5:$X$294, "Not Used")</f>
        <v>290</v>
      </c>
      <c r="AE294" s="51">
        <f>COUNTIF($X$5:$X$294, "TRUE")</f>
        <v>0</v>
      </c>
      <c r="AF294" s="51" t="b">
        <f t="shared" si="191"/>
        <v>1</v>
      </c>
      <c r="AI294" s="51" t="b">
        <f t="shared" si="192"/>
        <v>0</v>
      </c>
      <c r="AJ294" s="51" t="b">
        <f t="shared" si="193"/>
        <v>0</v>
      </c>
      <c r="AK294" s="51" t="b">
        <f t="shared" si="194"/>
        <v>0</v>
      </c>
      <c r="AL294" s="51" t="b">
        <f t="shared" si="195"/>
        <v>0</v>
      </c>
      <c r="AM294" s="51" t="b">
        <f t="shared" si="196"/>
        <v>0</v>
      </c>
      <c r="AN294" s="51"/>
      <c r="AO294" s="51" t="b">
        <f t="shared" si="197"/>
        <v>0</v>
      </c>
      <c r="AP294" s="51" t="str">
        <f t="shared" si="219"/>
        <v>Not in MMS</v>
      </c>
      <c r="AQ294" s="51" t="b">
        <f t="shared" si="198"/>
        <v>0</v>
      </c>
      <c r="AR294" s="51" t="b">
        <f t="shared" si="199"/>
        <v>0</v>
      </c>
      <c r="AS294" s="51" t="str">
        <f t="shared" si="200"/>
        <v/>
      </c>
      <c r="AT294" s="51" t="str">
        <f t="shared" si="201"/>
        <v/>
      </c>
      <c r="AU294" s="51" t="str">
        <f t="shared" si="202"/>
        <v/>
      </c>
      <c r="AV294" s="51" t="str">
        <f t="shared" si="203"/>
        <v/>
      </c>
      <c r="AW294" s="51" t="str">
        <f t="shared" si="204"/>
        <v/>
      </c>
      <c r="AX294" s="51" t="str">
        <f t="shared" si="205"/>
        <v/>
      </c>
      <c r="AY294" s="51" t="str">
        <f t="shared" si="206"/>
        <v/>
      </c>
      <c r="AZ294" s="51" t="str">
        <f t="shared" si="207"/>
        <v/>
      </c>
      <c r="BA294" s="51" t="str">
        <f t="shared" si="208"/>
        <v/>
      </c>
      <c r="BB294" s="51" t="str">
        <f t="shared" si="209"/>
        <v/>
      </c>
      <c r="BC294" s="51" t="str">
        <f t="shared" si="210"/>
        <v/>
      </c>
      <c r="BD294" s="51" t="str">
        <f t="shared" si="211"/>
        <v/>
      </c>
      <c r="BE294" s="51" t="str">
        <f t="shared" si="212"/>
        <v/>
      </c>
      <c r="BF294" s="51" t="str">
        <f t="shared" si="213"/>
        <v/>
      </c>
      <c r="BG294" s="51" t="str">
        <f t="shared" si="214"/>
        <v/>
      </c>
      <c r="BH294" s="51" t="b">
        <f t="shared" si="215"/>
        <v>0</v>
      </c>
      <c r="BI294" s="51" t="str">
        <f t="shared" si="216"/>
        <v/>
      </c>
      <c r="BJ294" s="51" t="str">
        <f t="shared" si="217"/>
        <v/>
      </c>
      <c r="BK294" s="51" t="b">
        <f t="shared" si="218"/>
        <v>0</v>
      </c>
      <c r="BL294" s="192"/>
    </row>
    <row r="295" spans="1:64" ht="13.5" thickBot="1" x14ac:dyDescent="0.25">
      <c r="A295" s="185" t="s">
        <v>986</v>
      </c>
      <c r="B295" s="194" t="s">
        <v>695</v>
      </c>
      <c r="C295" s="194" t="s">
        <v>695</v>
      </c>
      <c r="D295" s="194" t="s">
        <v>695</v>
      </c>
      <c r="E295" s="193" t="s">
        <v>694</v>
      </c>
      <c r="F295" s="160" t="s">
        <v>20</v>
      </c>
      <c r="G295" s="161"/>
      <c r="H295" s="186" t="str">
        <f t="shared" si="176"/>
        <v>N/A</v>
      </c>
      <c r="I295" s="186" t="b">
        <f t="shared" si="177"/>
        <v>1</v>
      </c>
      <c r="J295" s="186" t="str">
        <f t="shared" si="178"/>
        <v>N/A</v>
      </c>
      <c r="K295" s="186" t="b">
        <f t="shared" si="179"/>
        <v>1</v>
      </c>
      <c r="L295" s="186" t="str">
        <f t="shared" si="180"/>
        <v>N/A</v>
      </c>
      <c r="M295" s="186" t="b">
        <f t="shared" si="181"/>
        <v>1</v>
      </c>
      <c r="N295" s="186" t="str">
        <f t="shared" si="182"/>
        <v>Used?</v>
      </c>
      <c r="O295" s="186" t="b">
        <f t="shared" si="183"/>
        <v>0</v>
      </c>
      <c r="P295" s="26" t="s">
        <v>696</v>
      </c>
      <c r="Q295" s="160" t="s">
        <v>20</v>
      </c>
      <c r="R295" s="160" t="s">
        <v>20</v>
      </c>
      <c r="S295" s="26" t="s">
        <v>697</v>
      </c>
      <c r="T295" s="165" t="str">
        <f t="shared" si="184"/>
        <v>Not Used</v>
      </c>
      <c r="U295" s="162"/>
      <c r="V295" s="55"/>
      <c r="W295" s="51" t="b">
        <f t="shared" si="185"/>
        <v>1</v>
      </c>
      <c r="X295" s="51" t="str">
        <f t="shared" si="186"/>
        <v>Not Used</v>
      </c>
      <c r="Y295" s="51" t="str">
        <f t="shared" si="187"/>
        <v>Not Used</v>
      </c>
      <c r="Z295" s="51" t="str">
        <f t="shared" si="188"/>
        <v>Not Used</v>
      </c>
      <c r="AA295" s="51" t="str">
        <f t="shared" si="188"/>
        <v>Not Used</v>
      </c>
      <c r="AB295" s="51" t="str">
        <f t="shared" si="189"/>
        <v>Not Used</v>
      </c>
      <c r="AC295" s="51" t="b">
        <f t="shared" si="190"/>
        <v>1</v>
      </c>
      <c r="AD295" s="51">
        <f>COUNTIF($X$5:$X$295, "Not Used")</f>
        <v>291</v>
      </c>
      <c r="AE295" s="51">
        <f>COUNTIF($X$5:$X$295, "TRUE")</f>
        <v>0</v>
      </c>
      <c r="AF295" s="51" t="b">
        <f t="shared" si="191"/>
        <v>1</v>
      </c>
      <c r="AI295" s="51" t="b">
        <f t="shared" si="192"/>
        <v>0</v>
      </c>
      <c r="AJ295" s="51" t="b">
        <f t="shared" si="193"/>
        <v>0</v>
      </c>
      <c r="AK295" s="51" t="b">
        <f t="shared" si="194"/>
        <v>0</v>
      </c>
      <c r="AL295" s="51" t="b">
        <f t="shared" si="195"/>
        <v>0</v>
      </c>
      <c r="AM295" s="51" t="b">
        <f t="shared" si="196"/>
        <v>0</v>
      </c>
      <c r="AN295" s="51"/>
      <c r="AO295" s="51" t="b">
        <f t="shared" si="197"/>
        <v>0</v>
      </c>
      <c r="AP295" s="51" t="str">
        <f t="shared" si="219"/>
        <v>Not in MMS</v>
      </c>
      <c r="AQ295" s="51" t="b">
        <f t="shared" si="198"/>
        <v>0</v>
      </c>
      <c r="AR295" s="51" t="b">
        <f t="shared" si="199"/>
        <v>0</v>
      </c>
      <c r="AS295" s="51" t="str">
        <f t="shared" si="200"/>
        <v/>
      </c>
      <c r="AT295" s="51" t="str">
        <f t="shared" si="201"/>
        <v/>
      </c>
      <c r="AU295" s="51" t="str">
        <f t="shared" si="202"/>
        <v/>
      </c>
      <c r="AV295" s="51" t="str">
        <f t="shared" si="203"/>
        <v/>
      </c>
      <c r="AW295" s="51" t="str">
        <f t="shared" si="204"/>
        <v/>
      </c>
      <c r="AX295" s="51" t="str">
        <f t="shared" si="205"/>
        <v/>
      </c>
      <c r="AY295" s="51" t="str">
        <f t="shared" si="206"/>
        <v/>
      </c>
      <c r="AZ295" s="51" t="str">
        <f t="shared" si="207"/>
        <v/>
      </c>
      <c r="BA295" s="51" t="str">
        <f t="shared" si="208"/>
        <v/>
      </c>
      <c r="BB295" s="51" t="str">
        <f t="shared" si="209"/>
        <v/>
      </c>
      <c r="BC295" s="51" t="str">
        <f t="shared" si="210"/>
        <v/>
      </c>
      <c r="BD295" s="51" t="str">
        <f t="shared" si="211"/>
        <v/>
      </c>
      <c r="BE295" s="51" t="str">
        <f t="shared" si="212"/>
        <v/>
      </c>
      <c r="BF295" s="51" t="str">
        <f t="shared" si="213"/>
        <v/>
      </c>
      <c r="BG295" s="51" t="str">
        <f t="shared" si="214"/>
        <v/>
      </c>
      <c r="BH295" s="51" t="b">
        <f t="shared" si="215"/>
        <v>0</v>
      </c>
      <c r="BI295" s="51" t="str">
        <f t="shared" si="216"/>
        <v/>
      </c>
      <c r="BJ295" s="51" t="str">
        <f t="shared" si="217"/>
        <v/>
      </c>
      <c r="BK295" s="51" t="b">
        <f t="shared" si="218"/>
        <v>0</v>
      </c>
      <c r="BL295" s="192"/>
    </row>
    <row r="296" spans="1:64" ht="13.5" thickBot="1" x14ac:dyDescent="0.25">
      <c r="A296" s="185" t="s">
        <v>987</v>
      </c>
      <c r="B296" s="194" t="s">
        <v>695</v>
      </c>
      <c r="C296" s="194" t="s">
        <v>695</v>
      </c>
      <c r="D296" s="194" t="s">
        <v>695</v>
      </c>
      <c r="E296" s="193" t="s">
        <v>694</v>
      </c>
      <c r="F296" s="160" t="s">
        <v>20</v>
      </c>
      <c r="G296" s="161"/>
      <c r="H296" s="186" t="str">
        <f t="shared" si="176"/>
        <v>N/A</v>
      </c>
      <c r="I296" s="186" t="b">
        <f t="shared" si="177"/>
        <v>1</v>
      </c>
      <c r="J296" s="186" t="str">
        <f t="shared" si="178"/>
        <v>N/A</v>
      </c>
      <c r="K296" s="186" t="b">
        <f t="shared" si="179"/>
        <v>1</v>
      </c>
      <c r="L296" s="186" t="str">
        <f t="shared" si="180"/>
        <v>N/A</v>
      </c>
      <c r="M296" s="186" t="b">
        <f t="shared" si="181"/>
        <v>1</v>
      </c>
      <c r="N296" s="186" t="str">
        <f t="shared" si="182"/>
        <v>Used?</v>
      </c>
      <c r="O296" s="186" t="b">
        <f t="shared" si="183"/>
        <v>0</v>
      </c>
      <c r="P296" s="26" t="s">
        <v>696</v>
      </c>
      <c r="Q296" s="160" t="s">
        <v>20</v>
      </c>
      <c r="R296" s="160" t="s">
        <v>20</v>
      </c>
      <c r="S296" s="26" t="s">
        <v>697</v>
      </c>
      <c r="T296" s="165" t="str">
        <f t="shared" si="184"/>
        <v>Not Used</v>
      </c>
      <c r="U296" s="162"/>
      <c r="V296" s="55"/>
      <c r="W296" s="51" t="b">
        <f t="shared" si="185"/>
        <v>1</v>
      </c>
      <c r="X296" s="51" t="str">
        <f t="shared" si="186"/>
        <v>Not Used</v>
      </c>
      <c r="Y296" s="51" t="str">
        <f t="shared" si="187"/>
        <v>Not Used</v>
      </c>
      <c r="Z296" s="51" t="str">
        <f t="shared" si="188"/>
        <v>Not Used</v>
      </c>
      <c r="AA296" s="51" t="str">
        <f t="shared" si="188"/>
        <v>Not Used</v>
      </c>
      <c r="AB296" s="51" t="str">
        <f t="shared" si="189"/>
        <v>Not Used</v>
      </c>
      <c r="AC296" s="51" t="b">
        <f t="shared" si="190"/>
        <v>1</v>
      </c>
      <c r="AD296" s="51">
        <f>COUNTIF($X$5:$X$296, "Not Used")</f>
        <v>292</v>
      </c>
      <c r="AE296" s="51">
        <f>COUNTIF($X$5:$X$296, "TRUE")</f>
        <v>0</v>
      </c>
      <c r="AF296" s="51" t="b">
        <f t="shared" si="191"/>
        <v>1</v>
      </c>
      <c r="AI296" s="51" t="b">
        <f t="shared" si="192"/>
        <v>0</v>
      </c>
      <c r="AJ296" s="51" t="b">
        <f t="shared" si="193"/>
        <v>0</v>
      </c>
      <c r="AK296" s="51" t="b">
        <f t="shared" si="194"/>
        <v>0</v>
      </c>
      <c r="AL296" s="51" t="b">
        <f t="shared" si="195"/>
        <v>0</v>
      </c>
      <c r="AM296" s="51" t="b">
        <f t="shared" si="196"/>
        <v>0</v>
      </c>
      <c r="AN296" s="51"/>
      <c r="AO296" s="51" t="b">
        <f t="shared" si="197"/>
        <v>0</v>
      </c>
      <c r="AP296" s="51" t="str">
        <f t="shared" si="219"/>
        <v>Not in MMS</v>
      </c>
      <c r="AQ296" s="51" t="b">
        <f t="shared" si="198"/>
        <v>0</v>
      </c>
      <c r="AR296" s="51" t="b">
        <f t="shared" si="199"/>
        <v>0</v>
      </c>
      <c r="AS296" s="51" t="str">
        <f t="shared" si="200"/>
        <v/>
      </c>
      <c r="AT296" s="51" t="str">
        <f t="shared" si="201"/>
        <v/>
      </c>
      <c r="AU296" s="51" t="str">
        <f t="shared" si="202"/>
        <v/>
      </c>
      <c r="AV296" s="51" t="str">
        <f t="shared" si="203"/>
        <v/>
      </c>
      <c r="AW296" s="51" t="str">
        <f t="shared" si="204"/>
        <v/>
      </c>
      <c r="AX296" s="51" t="str">
        <f t="shared" si="205"/>
        <v/>
      </c>
      <c r="AY296" s="51" t="str">
        <f t="shared" si="206"/>
        <v/>
      </c>
      <c r="AZ296" s="51" t="str">
        <f t="shared" si="207"/>
        <v/>
      </c>
      <c r="BA296" s="51" t="str">
        <f t="shared" si="208"/>
        <v/>
      </c>
      <c r="BB296" s="51" t="str">
        <f t="shared" si="209"/>
        <v/>
      </c>
      <c r="BC296" s="51" t="str">
        <f t="shared" si="210"/>
        <v/>
      </c>
      <c r="BD296" s="51" t="str">
        <f t="shared" si="211"/>
        <v/>
      </c>
      <c r="BE296" s="51" t="str">
        <f t="shared" si="212"/>
        <v/>
      </c>
      <c r="BF296" s="51" t="str">
        <f t="shared" si="213"/>
        <v/>
      </c>
      <c r="BG296" s="51" t="str">
        <f t="shared" si="214"/>
        <v/>
      </c>
      <c r="BH296" s="51" t="b">
        <f t="shared" si="215"/>
        <v>0</v>
      </c>
      <c r="BI296" s="51" t="str">
        <f t="shared" si="216"/>
        <v/>
      </c>
      <c r="BJ296" s="51" t="str">
        <f t="shared" si="217"/>
        <v/>
      </c>
      <c r="BK296" s="51" t="b">
        <f t="shared" si="218"/>
        <v>0</v>
      </c>
      <c r="BL296" s="192"/>
    </row>
    <row r="297" spans="1:64" ht="13.5" thickBot="1" x14ac:dyDescent="0.25">
      <c r="A297" s="185" t="s">
        <v>988</v>
      </c>
      <c r="B297" s="194" t="s">
        <v>695</v>
      </c>
      <c r="C297" s="194" t="s">
        <v>695</v>
      </c>
      <c r="D297" s="194" t="s">
        <v>695</v>
      </c>
      <c r="E297" s="193" t="s">
        <v>694</v>
      </c>
      <c r="F297" s="160" t="s">
        <v>20</v>
      </c>
      <c r="G297" s="161"/>
      <c r="H297" s="186" t="str">
        <f t="shared" si="176"/>
        <v>N/A</v>
      </c>
      <c r="I297" s="186" t="b">
        <f t="shared" si="177"/>
        <v>1</v>
      </c>
      <c r="J297" s="186" t="str">
        <f t="shared" si="178"/>
        <v>N/A</v>
      </c>
      <c r="K297" s="186" t="b">
        <f t="shared" si="179"/>
        <v>1</v>
      </c>
      <c r="L297" s="186" t="str">
        <f t="shared" si="180"/>
        <v>N/A</v>
      </c>
      <c r="M297" s="186" t="b">
        <f t="shared" si="181"/>
        <v>1</v>
      </c>
      <c r="N297" s="186" t="str">
        <f t="shared" si="182"/>
        <v>Used?</v>
      </c>
      <c r="O297" s="186" t="b">
        <f t="shared" si="183"/>
        <v>0</v>
      </c>
      <c r="P297" s="26" t="s">
        <v>696</v>
      </c>
      <c r="Q297" s="160" t="s">
        <v>20</v>
      </c>
      <c r="R297" s="160" t="s">
        <v>20</v>
      </c>
      <c r="S297" s="26" t="s">
        <v>697</v>
      </c>
      <c r="T297" s="165" t="str">
        <f t="shared" si="184"/>
        <v>Not Used</v>
      </c>
      <c r="U297" s="162"/>
      <c r="V297" s="55"/>
      <c r="W297" s="51" t="b">
        <f t="shared" si="185"/>
        <v>1</v>
      </c>
      <c r="X297" s="51" t="str">
        <f t="shared" si="186"/>
        <v>Not Used</v>
      </c>
      <c r="Y297" s="51" t="str">
        <f t="shared" si="187"/>
        <v>Not Used</v>
      </c>
      <c r="Z297" s="51" t="str">
        <f t="shared" si="188"/>
        <v>Not Used</v>
      </c>
      <c r="AA297" s="51" t="str">
        <f t="shared" si="188"/>
        <v>Not Used</v>
      </c>
      <c r="AB297" s="51" t="str">
        <f t="shared" si="189"/>
        <v>Not Used</v>
      </c>
      <c r="AC297" s="51" t="b">
        <f t="shared" si="190"/>
        <v>1</v>
      </c>
      <c r="AD297" s="51">
        <f>COUNTIF($X$5:$X$297, "Not Used")</f>
        <v>293</v>
      </c>
      <c r="AE297" s="51">
        <f>COUNTIF($X$5:$X$297, "TRUE")</f>
        <v>0</v>
      </c>
      <c r="AF297" s="51" t="b">
        <f t="shared" si="191"/>
        <v>1</v>
      </c>
      <c r="AI297" s="51" t="b">
        <f t="shared" si="192"/>
        <v>0</v>
      </c>
      <c r="AJ297" s="51" t="b">
        <f t="shared" si="193"/>
        <v>0</v>
      </c>
      <c r="AK297" s="51" t="b">
        <f t="shared" si="194"/>
        <v>0</v>
      </c>
      <c r="AL297" s="51" t="b">
        <f t="shared" si="195"/>
        <v>0</v>
      </c>
      <c r="AM297" s="51" t="b">
        <f t="shared" si="196"/>
        <v>0</v>
      </c>
      <c r="AN297" s="51"/>
      <c r="AO297" s="51" t="b">
        <f t="shared" si="197"/>
        <v>0</v>
      </c>
      <c r="AP297" s="51" t="str">
        <f t="shared" si="219"/>
        <v>Not in MMS</v>
      </c>
      <c r="AQ297" s="51" t="b">
        <f t="shared" si="198"/>
        <v>0</v>
      </c>
      <c r="AR297" s="51" t="b">
        <f t="shared" si="199"/>
        <v>0</v>
      </c>
      <c r="AS297" s="51" t="str">
        <f t="shared" si="200"/>
        <v/>
      </c>
      <c r="AT297" s="51" t="str">
        <f t="shared" si="201"/>
        <v/>
      </c>
      <c r="AU297" s="51" t="str">
        <f t="shared" si="202"/>
        <v/>
      </c>
      <c r="AV297" s="51" t="str">
        <f t="shared" si="203"/>
        <v/>
      </c>
      <c r="AW297" s="51" t="str">
        <f t="shared" si="204"/>
        <v/>
      </c>
      <c r="AX297" s="51" t="str">
        <f t="shared" si="205"/>
        <v/>
      </c>
      <c r="AY297" s="51" t="str">
        <f t="shared" si="206"/>
        <v/>
      </c>
      <c r="AZ297" s="51" t="str">
        <f t="shared" si="207"/>
        <v/>
      </c>
      <c r="BA297" s="51" t="str">
        <f t="shared" si="208"/>
        <v/>
      </c>
      <c r="BB297" s="51" t="str">
        <f t="shared" si="209"/>
        <v/>
      </c>
      <c r="BC297" s="51" t="str">
        <f t="shared" si="210"/>
        <v/>
      </c>
      <c r="BD297" s="51" t="str">
        <f t="shared" si="211"/>
        <v/>
      </c>
      <c r="BE297" s="51" t="str">
        <f t="shared" si="212"/>
        <v/>
      </c>
      <c r="BF297" s="51" t="str">
        <f t="shared" si="213"/>
        <v/>
      </c>
      <c r="BG297" s="51" t="str">
        <f t="shared" si="214"/>
        <v/>
      </c>
      <c r="BH297" s="51" t="b">
        <f t="shared" si="215"/>
        <v>0</v>
      </c>
      <c r="BI297" s="51" t="str">
        <f t="shared" si="216"/>
        <v/>
      </c>
      <c r="BJ297" s="51" t="str">
        <f t="shared" si="217"/>
        <v/>
      </c>
      <c r="BK297" s="51" t="b">
        <f t="shared" si="218"/>
        <v>0</v>
      </c>
      <c r="BL297" s="192"/>
    </row>
    <row r="298" spans="1:64" ht="13.5" thickBot="1" x14ac:dyDescent="0.25">
      <c r="A298" s="185" t="s">
        <v>989</v>
      </c>
      <c r="B298" s="194" t="s">
        <v>695</v>
      </c>
      <c r="C298" s="194" t="s">
        <v>695</v>
      </c>
      <c r="D298" s="194" t="s">
        <v>695</v>
      </c>
      <c r="E298" s="193" t="s">
        <v>694</v>
      </c>
      <c r="F298" s="160" t="s">
        <v>20</v>
      </c>
      <c r="G298" s="161"/>
      <c r="H298" s="186" t="str">
        <f t="shared" si="176"/>
        <v>N/A</v>
      </c>
      <c r="I298" s="186" t="b">
        <f t="shared" si="177"/>
        <v>1</v>
      </c>
      <c r="J298" s="186" t="str">
        <f t="shared" si="178"/>
        <v>N/A</v>
      </c>
      <c r="K298" s="186" t="b">
        <f t="shared" si="179"/>
        <v>1</v>
      </c>
      <c r="L298" s="186" t="str">
        <f t="shared" si="180"/>
        <v>N/A</v>
      </c>
      <c r="M298" s="186" t="b">
        <f t="shared" si="181"/>
        <v>1</v>
      </c>
      <c r="N298" s="186" t="str">
        <f t="shared" si="182"/>
        <v>Used?</v>
      </c>
      <c r="O298" s="186" t="b">
        <f t="shared" si="183"/>
        <v>0</v>
      </c>
      <c r="P298" s="26" t="s">
        <v>696</v>
      </c>
      <c r="Q298" s="160" t="s">
        <v>20</v>
      </c>
      <c r="R298" s="160" t="s">
        <v>20</v>
      </c>
      <c r="S298" s="26" t="s">
        <v>697</v>
      </c>
      <c r="T298" s="165" t="str">
        <f t="shared" si="184"/>
        <v>Not Used</v>
      </c>
      <c r="U298" s="162"/>
      <c r="V298" s="55"/>
      <c r="W298" s="51" t="b">
        <f t="shared" si="185"/>
        <v>1</v>
      </c>
      <c r="X298" s="51" t="str">
        <f t="shared" si="186"/>
        <v>Not Used</v>
      </c>
      <c r="Y298" s="51" t="str">
        <f t="shared" si="187"/>
        <v>Not Used</v>
      </c>
      <c r="Z298" s="51" t="str">
        <f t="shared" si="188"/>
        <v>Not Used</v>
      </c>
      <c r="AA298" s="51" t="str">
        <f t="shared" si="188"/>
        <v>Not Used</v>
      </c>
      <c r="AB298" s="51" t="str">
        <f t="shared" si="189"/>
        <v>Not Used</v>
      </c>
      <c r="AC298" s="51" t="b">
        <f t="shared" si="190"/>
        <v>1</v>
      </c>
      <c r="AD298" s="51">
        <f>COUNTIF($X$5:$X$298, "Not Used")</f>
        <v>294</v>
      </c>
      <c r="AE298" s="51">
        <f>COUNTIF($X$5:$X$298, "TRUE")</f>
        <v>0</v>
      </c>
      <c r="AF298" s="51" t="b">
        <f t="shared" si="191"/>
        <v>1</v>
      </c>
      <c r="AI298" s="51" t="b">
        <f t="shared" si="192"/>
        <v>0</v>
      </c>
      <c r="AJ298" s="51" t="b">
        <f t="shared" si="193"/>
        <v>0</v>
      </c>
      <c r="AK298" s="51" t="b">
        <f t="shared" si="194"/>
        <v>0</v>
      </c>
      <c r="AL298" s="51" t="b">
        <f t="shared" si="195"/>
        <v>0</v>
      </c>
      <c r="AM298" s="51" t="b">
        <f t="shared" si="196"/>
        <v>0</v>
      </c>
      <c r="AN298" s="51"/>
      <c r="AO298" s="51" t="b">
        <f t="shared" si="197"/>
        <v>0</v>
      </c>
      <c r="AP298" s="51" t="str">
        <f t="shared" si="219"/>
        <v>Not in MMS</v>
      </c>
      <c r="AQ298" s="51" t="b">
        <f t="shared" si="198"/>
        <v>0</v>
      </c>
      <c r="AR298" s="51" t="b">
        <f t="shared" si="199"/>
        <v>0</v>
      </c>
      <c r="AS298" s="51" t="str">
        <f t="shared" si="200"/>
        <v/>
      </c>
      <c r="AT298" s="51" t="str">
        <f t="shared" si="201"/>
        <v/>
      </c>
      <c r="AU298" s="51" t="str">
        <f t="shared" si="202"/>
        <v/>
      </c>
      <c r="AV298" s="51" t="str">
        <f t="shared" si="203"/>
        <v/>
      </c>
      <c r="AW298" s="51" t="str">
        <f t="shared" si="204"/>
        <v/>
      </c>
      <c r="AX298" s="51" t="str">
        <f t="shared" si="205"/>
        <v/>
      </c>
      <c r="AY298" s="51" t="str">
        <f t="shared" si="206"/>
        <v/>
      </c>
      <c r="AZ298" s="51" t="str">
        <f t="shared" si="207"/>
        <v/>
      </c>
      <c r="BA298" s="51" t="str">
        <f t="shared" si="208"/>
        <v/>
      </c>
      <c r="BB298" s="51" t="str">
        <f t="shared" si="209"/>
        <v/>
      </c>
      <c r="BC298" s="51" t="str">
        <f t="shared" si="210"/>
        <v/>
      </c>
      <c r="BD298" s="51" t="str">
        <f t="shared" si="211"/>
        <v/>
      </c>
      <c r="BE298" s="51" t="str">
        <f t="shared" si="212"/>
        <v/>
      </c>
      <c r="BF298" s="51" t="str">
        <f t="shared" si="213"/>
        <v/>
      </c>
      <c r="BG298" s="51" t="str">
        <f t="shared" si="214"/>
        <v/>
      </c>
      <c r="BH298" s="51" t="b">
        <f t="shared" si="215"/>
        <v>0</v>
      </c>
      <c r="BI298" s="51" t="str">
        <f t="shared" si="216"/>
        <v/>
      </c>
      <c r="BJ298" s="51" t="str">
        <f t="shared" si="217"/>
        <v/>
      </c>
      <c r="BK298" s="51" t="b">
        <f t="shared" si="218"/>
        <v>0</v>
      </c>
      <c r="BL298" s="192"/>
    </row>
    <row r="299" spans="1:64" ht="13.5" thickBot="1" x14ac:dyDescent="0.25">
      <c r="A299" s="185" t="s">
        <v>990</v>
      </c>
      <c r="B299" s="194" t="s">
        <v>695</v>
      </c>
      <c r="C299" s="194" t="s">
        <v>695</v>
      </c>
      <c r="D299" s="194" t="s">
        <v>695</v>
      </c>
      <c r="E299" s="193" t="s">
        <v>694</v>
      </c>
      <c r="F299" s="160" t="s">
        <v>20</v>
      </c>
      <c r="G299" s="161"/>
      <c r="H299" s="186" t="str">
        <f t="shared" si="176"/>
        <v>N/A</v>
      </c>
      <c r="I299" s="186" t="b">
        <f t="shared" si="177"/>
        <v>1</v>
      </c>
      <c r="J299" s="186" t="str">
        <f t="shared" si="178"/>
        <v>N/A</v>
      </c>
      <c r="K299" s="186" t="b">
        <f t="shared" si="179"/>
        <v>1</v>
      </c>
      <c r="L299" s="186" t="str">
        <f t="shared" si="180"/>
        <v>N/A</v>
      </c>
      <c r="M299" s="186" t="b">
        <f t="shared" si="181"/>
        <v>1</v>
      </c>
      <c r="N299" s="186" t="str">
        <f t="shared" si="182"/>
        <v>Used?</v>
      </c>
      <c r="O299" s="186" t="b">
        <f t="shared" si="183"/>
        <v>0</v>
      </c>
      <c r="P299" s="26" t="s">
        <v>696</v>
      </c>
      <c r="Q299" s="160" t="s">
        <v>20</v>
      </c>
      <c r="R299" s="160" t="s">
        <v>20</v>
      </c>
      <c r="S299" s="26" t="s">
        <v>697</v>
      </c>
      <c r="T299" s="165" t="str">
        <f t="shared" si="184"/>
        <v>Not Used</v>
      </c>
      <c r="U299" s="162"/>
      <c r="V299" s="55"/>
      <c r="W299" s="51" t="b">
        <f t="shared" si="185"/>
        <v>1</v>
      </c>
      <c r="X299" s="51" t="str">
        <f t="shared" si="186"/>
        <v>Not Used</v>
      </c>
      <c r="Y299" s="51" t="str">
        <f t="shared" si="187"/>
        <v>Not Used</v>
      </c>
      <c r="Z299" s="51" t="str">
        <f t="shared" si="188"/>
        <v>Not Used</v>
      </c>
      <c r="AA299" s="51" t="str">
        <f t="shared" si="188"/>
        <v>Not Used</v>
      </c>
      <c r="AB299" s="51" t="str">
        <f t="shared" si="189"/>
        <v>Not Used</v>
      </c>
      <c r="AC299" s="51" t="b">
        <f t="shared" si="190"/>
        <v>1</v>
      </c>
      <c r="AD299" s="51">
        <f>COUNTIF($X$5:$X$299, "Not Used")</f>
        <v>295</v>
      </c>
      <c r="AE299" s="51">
        <f>COUNTIF($X$5:$X$299, "TRUE")</f>
        <v>0</v>
      </c>
      <c r="AF299" s="51" t="b">
        <f t="shared" si="191"/>
        <v>1</v>
      </c>
      <c r="AI299" s="51" t="b">
        <f t="shared" si="192"/>
        <v>0</v>
      </c>
      <c r="AJ299" s="51" t="b">
        <f t="shared" si="193"/>
        <v>0</v>
      </c>
      <c r="AK299" s="51" t="b">
        <f t="shared" si="194"/>
        <v>0</v>
      </c>
      <c r="AL299" s="51" t="b">
        <f t="shared" si="195"/>
        <v>0</v>
      </c>
      <c r="AM299" s="51" t="b">
        <f t="shared" si="196"/>
        <v>0</v>
      </c>
      <c r="AN299" s="51"/>
      <c r="AO299" s="51" t="b">
        <f t="shared" si="197"/>
        <v>0</v>
      </c>
      <c r="AP299" s="51" t="str">
        <f t="shared" si="219"/>
        <v>Not in MMS</v>
      </c>
      <c r="AQ299" s="51" t="b">
        <f t="shared" si="198"/>
        <v>0</v>
      </c>
      <c r="AR299" s="51" t="b">
        <f t="shared" si="199"/>
        <v>0</v>
      </c>
      <c r="AS299" s="51" t="str">
        <f t="shared" si="200"/>
        <v/>
      </c>
      <c r="AT299" s="51" t="str">
        <f t="shared" si="201"/>
        <v/>
      </c>
      <c r="AU299" s="51" t="str">
        <f t="shared" si="202"/>
        <v/>
      </c>
      <c r="AV299" s="51" t="str">
        <f t="shared" si="203"/>
        <v/>
      </c>
      <c r="AW299" s="51" t="str">
        <f t="shared" si="204"/>
        <v/>
      </c>
      <c r="AX299" s="51" t="str">
        <f t="shared" si="205"/>
        <v/>
      </c>
      <c r="AY299" s="51" t="str">
        <f t="shared" si="206"/>
        <v/>
      </c>
      <c r="AZ299" s="51" t="str">
        <f t="shared" si="207"/>
        <v/>
      </c>
      <c r="BA299" s="51" t="str">
        <f t="shared" si="208"/>
        <v/>
      </c>
      <c r="BB299" s="51" t="str">
        <f t="shared" si="209"/>
        <v/>
      </c>
      <c r="BC299" s="51" t="str">
        <f t="shared" si="210"/>
        <v/>
      </c>
      <c r="BD299" s="51" t="str">
        <f t="shared" si="211"/>
        <v/>
      </c>
      <c r="BE299" s="51" t="str">
        <f t="shared" si="212"/>
        <v/>
      </c>
      <c r="BF299" s="51" t="str">
        <f t="shared" si="213"/>
        <v/>
      </c>
      <c r="BG299" s="51" t="str">
        <f t="shared" si="214"/>
        <v/>
      </c>
      <c r="BH299" s="51" t="b">
        <f t="shared" si="215"/>
        <v>0</v>
      </c>
      <c r="BI299" s="51" t="str">
        <f t="shared" si="216"/>
        <v/>
      </c>
      <c r="BJ299" s="51" t="str">
        <f t="shared" si="217"/>
        <v/>
      </c>
      <c r="BK299" s="51" t="b">
        <f t="shared" si="218"/>
        <v>0</v>
      </c>
      <c r="BL299" s="192"/>
    </row>
    <row r="300" spans="1:64" ht="13.5" thickBot="1" x14ac:dyDescent="0.25">
      <c r="A300" s="185" t="s">
        <v>991</v>
      </c>
      <c r="B300" s="194" t="s">
        <v>695</v>
      </c>
      <c r="C300" s="194" t="s">
        <v>695</v>
      </c>
      <c r="D300" s="194" t="s">
        <v>695</v>
      </c>
      <c r="E300" s="193" t="s">
        <v>694</v>
      </c>
      <c r="F300" s="160" t="s">
        <v>20</v>
      </c>
      <c r="G300" s="161"/>
      <c r="H300" s="186" t="str">
        <f t="shared" si="176"/>
        <v>N/A</v>
      </c>
      <c r="I300" s="186" t="b">
        <f t="shared" si="177"/>
        <v>1</v>
      </c>
      <c r="J300" s="186" t="str">
        <f t="shared" si="178"/>
        <v>N/A</v>
      </c>
      <c r="K300" s="186" t="b">
        <f t="shared" si="179"/>
        <v>1</v>
      </c>
      <c r="L300" s="186" t="str">
        <f t="shared" si="180"/>
        <v>N/A</v>
      </c>
      <c r="M300" s="186" t="b">
        <f t="shared" si="181"/>
        <v>1</v>
      </c>
      <c r="N300" s="186" t="str">
        <f t="shared" si="182"/>
        <v>Used?</v>
      </c>
      <c r="O300" s="186" t="b">
        <f t="shared" si="183"/>
        <v>0</v>
      </c>
      <c r="P300" s="26" t="s">
        <v>696</v>
      </c>
      <c r="Q300" s="160" t="s">
        <v>20</v>
      </c>
      <c r="R300" s="160" t="s">
        <v>20</v>
      </c>
      <c r="S300" s="26" t="s">
        <v>697</v>
      </c>
      <c r="T300" s="165" t="str">
        <f t="shared" si="184"/>
        <v>Not Used</v>
      </c>
      <c r="U300" s="162"/>
      <c r="V300" s="55"/>
      <c r="W300" s="51" t="b">
        <f t="shared" si="185"/>
        <v>1</v>
      </c>
      <c r="X300" s="51" t="str">
        <f t="shared" si="186"/>
        <v>Not Used</v>
      </c>
      <c r="Y300" s="51" t="str">
        <f t="shared" si="187"/>
        <v>Not Used</v>
      </c>
      <c r="Z300" s="51" t="str">
        <f t="shared" si="188"/>
        <v>Not Used</v>
      </c>
      <c r="AA300" s="51" t="str">
        <f t="shared" si="188"/>
        <v>Not Used</v>
      </c>
      <c r="AB300" s="51" t="str">
        <f t="shared" si="189"/>
        <v>Not Used</v>
      </c>
      <c r="AC300" s="51" t="b">
        <f t="shared" si="190"/>
        <v>1</v>
      </c>
      <c r="AD300" s="51">
        <f>COUNTIF($X$5:$X$300, "Not Used")</f>
        <v>296</v>
      </c>
      <c r="AE300" s="51">
        <f>COUNTIF($X$5:$X$300, "TRUE")</f>
        <v>0</v>
      </c>
      <c r="AF300" s="51" t="b">
        <f t="shared" si="191"/>
        <v>1</v>
      </c>
      <c r="AI300" s="51" t="b">
        <f t="shared" si="192"/>
        <v>0</v>
      </c>
      <c r="AJ300" s="51" t="b">
        <f t="shared" si="193"/>
        <v>0</v>
      </c>
      <c r="AK300" s="51" t="b">
        <f t="shared" si="194"/>
        <v>0</v>
      </c>
      <c r="AL300" s="51" t="b">
        <f t="shared" si="195"/>
        <v>0</v>
      </c>
      <c r="AM300" s="51" t="b">
        <f t="shared" si="196"/>
        <v>0</v>
      </c>
      <c r="AN300" s="51"/>
      <c r="AO300" s="51" t="b">
        <f t="shared" si="197"/>
        <v>0</v>
      </c>
      <c r="AP300" s="51" t="str">
        <f t="shared" si="219"/>
        <v>Not in MMS</v>
      </c>
      <c r="AQ300" s="51" t="b">
        <f t="shared" si="198"/>
        <v>0</v>
      </c>
      <c r="AR300" s="51" t="b">
        <f t="shared" si="199"/>
        <v>0</v>
      </c>
      <c r="AS300" s="51" t="str">
        <f t="shared" si="200"/>
        <v/>
      </c>
      <c r="AT300" s="51" t="str">
        <f t="shared" si="201"/>
        <v/>
      </c>
      <c r="AU300" s="51" t="str">
        <f t="shared" si="202"/>
        <v/>
      </c>
      <c r="AV300" s="51" t="str">
        <f t="shared" si="203"/>
        <v/>
      </c>
      <c r="AW300" s="51" t="str">
        <f t="shared" si="204"/>
        <v/>
      </c>
      <c r="AX300" s="51" t="str">
        <f t="shared" si="205"/>
        <v/>
      </c>
      <c r="AY300" s="51" t="str">
        <f t="shared" si="206"/>
        <v/>
      </c>
      <c r="AZ300" s="51" t="str">
        <f t="shared" si="207"/>
        <v/>
      </c>
      <c r="BA300" s="51" t="str">
        <f t="shared" si="208"/>
        <v/>
      </c>
      <c r="BB300" s="51" t="str">
        <f t="shared" si="209"/>
        <v/>
      </c>
      <c r="BC300" s="51" t="str">
        <f t="shared" si="210"/>
        <v/>
      </c>
      <c r="BD300" s="51" t="str">
        <f t="shared" si="211"/>
        <v/>
      </c>
      <c r="BE300" s="51" t="str">
        <f t="shared" si="212"/>
        <v/>
      </c>
      <c r="BF300" s="51" t="str">
        <f t="shared" si="213"/>
        <v/>
      </c>
      <c r="BG300" s="51" t="str">
        <f t="shared" si="214"/>
        <v/>
      </c>
      <c r="BH300" s="51" t="b">
        <f t="shared" si="215"/>
        <v>0</v>
      </c>
      <c r="BI300" s="51" t="str">
        <f t="shared" si="216"/>
        <v/>
      </c>
      <c r="BJ300" s="51" t="str">
        <f t="shared" si="217"/>
        <v/>
      </c>
      <c r="BK300" s="51" t="b">
        <f t="shared" si="218"/>
        <v>0</v>
      </c>
      <c r="BL300" s="192"/>
    </row>
    <row r="301" spans="1:64" ht="13.5" thickBot="1" x14ac:dyDescent="0.25">
      <c r="A301" s="185" t="s">
        <v>992</v>
      </c>
      <c r="B301" s="194" t="s">
        <v>695</v>
      </c>
      <c r="C301" s="194" t="s">
        <v>695</v>
      </c>
      <c r="D301" s="194" t="s">
        <v>695</v>
      </c>
      <c r="E301" s="193" t="s">
        <v>694</v>
      </c>
      <c r="F301" s="160" t="s">
        <v>20</v>
      </c>
      <c r="G301" s="161"/>
      <c r="H301" s="186" t="str">
        <f t="shared" si="176"/>
        <v>N/A</v>
      </c>
      <c r="I301" s="186" t="b">
        <f t="shared" si="177"/>
        <v>1</v>
      </c>
      <c r="J301" s="186" t="str">
        <f t="shared" si="178"/>
        <v>N/A</v>
      </c>
      <c r="K301" s="186" t="b">
        <f t="shared" si="179"/>
        <v>1</v>
      </c>
      <c r="L301" s="186" t="str">
        <f t="shared" si="180"/>
        <v>N/A</v>
      </c>
      <c r="M301" s="186" t="b">
        <f t="shared" si="181"/>
        <v>1</v>
      </c>
      <c r="N301" s="186" t="str">
        <f t="shared" si="182"/>
        <v>Used?</v>
      </c>
      <c r="O301" s="186" t="b">
        <f t="shared" si="183"/>
        <v>0</v>
      </c>
      <c r="P301" s="26" t="s">
        <v>696</v>
      </c>
      <c r="Q301" s="160" t="s">
        <v>20</v>
      </c>
      <c r="R301" s="160" t="s">
        <v>20</v>
      </c>
      <c r="S301" s="26" t="s">
        <v>697</v>
      </c>
      <c r="T301" s="165" t="str">
        <f t="shared" si="184"/>
        <v>Not Used</v>
      </c>
      <c r="U301" s="162"/>
      <c r="V301" s="55"/>
      <c r="W301" s="51" t="b">
        <f t="shared" si="185"/>
        <v>1</v>
      </c>
      <c r="X301" s="51" t="str">
        <f t="shared" si="186"/>
        <v>Not Used</v>
      </c>
      <c r="Y301" s="51" t="str">
        <f t="shared" si="187"/>
        <v>Not Used</v>
      </c>
      <c r="Z301" s="51" t="str">
        <f t="shared" si="188"/>
        <v>Not Used</v>
      </c>
      <c r="AA301" s="51" t="str">
        <f t="shared" si="188"/>
        <v>Not Used</v>
      </c>
      <c r="AB301" s="51" t="str">
        <f t="shared" si="189"/>
        <v>Not Used</v>
      </c>
      <c r="AC301" s="51" t="b">
        <f t="shared" si="190"/>
        <v>1</v>
      </c>
      <c r="AD301" s="51">
        <f>COUNTIF($X$5:$X$301, "Not Used")</f>
        <v>297</v>
      </c>
      <c r="AE301" s="51">
        <f>COUNTIF($X$5:$X$301, "TRUE")</f>
        <v>0</v>
      </c>
      <c r="AF301" s="51" t="b">
        <f t="shared" si="191"/>
        <v>1</v>
      </c>
      <c r="AI301" s="51" t="b">
        <f t="shared" si="192"/>
        <v>0</v>
      </c>
      <c r="AJ301" s="51" t="b">
        <f t="shared" si="193"/>
        <v>0</v>
      </c>
      <c r="AK301" s="51" t="b">
        <f t="shared" si="194"/>
        <v>0</v>
      </c>
      <c r="AL301" s="51" t="b">
        <f t="shared" si="195"/>
        <v>0</v>
      </c>
      <c r="AM301" s="51" t="b">
        <f t="shared" si="196"/>
        <v>0</v>
      </c>
      <c r="AN301" s="51"/>
      <c r="AO301" s="51" t="b">
        <f t="shared" si="197"/>
        <v>0</v>
      </c>
      <c r="AP301" s="51" t="str">
        <f t="shared" si="219"/>
        <v>Not in MMS</v>
      </c>
      <c r="AQ301" s="51" t="b">
        <f t="shared" si="198"/>
        <v>0</v>
      </c>
      <c r="AR301" s="51" t="b">
        <f t="shared" si="199"/>
        <v>0</v>
      </c>
      <c r="AS301" s="51" t="str">
        <f t="shared" si="200"/>
        <v/>
      </c>
      <c r="AT301" s="51" t="str">
        <f t="shared" si="201"/>
        <v/>
      </c>
      <c r="AU301" s="51" t="str">
        <f t="shared" si="202"/>
        <v/>
      </c>
      <c r="AV301" s="51" t="str">
        <f t="shared" si="203"/>
        <v/>
      </c>
      <c r="AW301" s="51" t="str">
        <f t="shared" si="204"/>
        <v/>
      </c>
      <c r="AX301" s="51" t="str">
        <f t="shared" si="205"/>
        <v/>
      </c>
      <c r="AY301" s="51" t="str">
        <f t="shared" si="206"/>
        <v/>
      </c>
      <c r="AZ301" s="51" t="str">
        <f t="shared" si="207"/>
        <v/>
      </c>
      <c r="BA301" s="51" t="str">
        <f t="shared" si="208"/>
        <v/>
      </c>
      <c r="BB301" s="51" t="str">
        <f t="shared" si="209"/>
        <v/>
      </c>
      <c r="BC301" s="51" t="str">
        <f t="shared" si="210"/>
        <v/>
      </c>
      <c r="BD301" s="51" t="str">
        <f t="shared" si="211"/>
        <v/>
      </c>
      <c r="BE301" s="51" t="str">
        <f t="shared" si="212"/>
        <v/>
      </c>
      <c r="BF301" s="51" t="str">
        <f t="shared" si="213"/>
        <v/>
      </c>
      <c r="BG301" s="51" t="str">
        <f t="shared" si="214"/>
        <v/>
      </c>
      <c r="BH301" s="51" t="b">
        <f t="shared" si="215"/>
        <v>0</v>
      </c>
      <c r="BI301" s="51" t="str">
        <f t="shared" si="216"/>
        <v/>
      </c>
      <c r="BJ301" s="51" t="str">
        <f t="shared" si="217"/>
        <v/>
      </c>
      <c r="BK301" s="51" t="b">
        <f t="shared" si="218"/>
        <v>0</v>
      </c>
      <c r="BL301" s="192"/>
    </row>
    <row r="302" spans="1:64" ht="13.5" thickBot="1" x14ac:dyDescent="0.25">
      <c r="A302" s="185" t="s">
        <v>993</v>
      </c>
      <c r="B302" s="194" t="s">
        <v>695</v>
      </c>
      <c r="C302" s="194" t="s">
        <v>695</v>
      </c>
      <c r="D302" s="194" t="s">
        <v>695</v>
      </c>
      <c r="E302" s="193" t="s">
        <v>694</v>
      </c>
      <c r="F302" s="160" t="s">
        <v>20</v>
      </c>
      <c r="G302" s="161"/>
      <c r="H302" s="186" t="str">
        <f t="shared" si="176"/>
        <v>N/A</v>
      </c>
      <c r="I302" s="186" t="b">
        <f t="shared" si="177"/>
        <v>1</v>
      </c>
      <c r="J302" s="186" t="str">
        <f t="shared" si="178"/>
        <v>N/A</v>
      </c>
      <c r="K302" s="186" t="b">
        <f t="shared" si="179"/>
        <v>1</v>
      </c>
      <c r="L302" s="186" t="str">
        <f t="shared" si="180"/>
        <v>N/A</v>
      </c>
      <c r="M302" s="186" t="b">
        <f t="shared" si="181"/>
        <v>1</v>
      </c>
      <c r="N302" s="186" t="str">
        <f t="shared" si="182"/>
        <v>Used?</v>
      </c>
      <c r="O302" s="186" t="b">
        <f t="shared" si="183"/>
        <v>0</v>
      </c>
      <c r="P302" s="26" t="s">
        <v>696</v>
      </c>
      <c r="Q302" s="160" t="s">
        <v>20</v>
      </c>
      <c r="R302" s="160" t="s">
        <v>20</v>
      </c>
      <c r="S302" s="26" t="s">
        <v>697</v>
      </c>
      <c r="T302" s="165" t="str">
        <f t="shared" si="184"/>
        <v>Not Used</v>
      </c>
      <c r="U302" s="162"/>
      <c r="V302" s="55"/>
      <c r="W302" s="51" t="b">
        <f t="shared" si="185"/>
        <v>1</v>
      </c>
      <c r="X302" s="51" t="str">
        <f t="shared" si="186"/>
        <v>Not Used</v>
      </c>
      <c r="Y302" s="51" t="str">
        <f t="shared" si="187"/>
        <v>Not Used</v>
      </c>
      <c r="Z302" s="51" t="str">
        <f t="shared" si="188"/>
        <v>Not Used</v>
      </c>
      <c r="AA302" s="51" t="str">
        <f t="shared" si="188"/>
        <v>Not Used</v>
      </c>
      <c r="AB302" s="51" t="str">
        <f t="shared" si="189"/>
        <v>Not Used</v>
      </c>
      <c r="AC302" s="51" t="b">
        <f t="shared" si="190"/>
        <v>1</v>
      </c>
      <c r="AD302" s="51">
        <f>COUNTIF($X$5:$X$302, "Not Used")</f>
        <v>298</v>
      </c>
      <c r="AE302" s="51">
        <f>COUNTIF($X$5:$X$302, "TRUE")</f>
        <v>0</v>
      </c>
      <c r="AF302" s="51" t="b">
        <f t="shared" si="191"/>
        <v>1</v>
      </c>
      <c r="AI302" s="51" t="b">
        <f t="shared" si="192"/>
        <v>0</v>
      </c>
      <c r="AJ302" s="51" t="b">
        <f t="shared" si="193"/>
        <v>0</v>
      </c>
      <c r="AK302" s="51" t="b">
        <f t="shared" si="194"/>
        <v>0</v>
      </c>
      <c r="AL302" s="51" t="b">
        <f t="shared" si="195"/>
        <v>0</v>
      </c>
      <c r="AM302" s="51" t="b">
        <f t="shared" si="196"/>
        <v>0</v>
      </c>
      <c r="AN302" s="51"/>
      <c r="AO302" s="51" t="b">
        <f t="shared" si="197"/>
        <v>0</v>
      </c>
      <c r="AP302" s="51" t="str">
        <f t="shared" si="219"/>
        <v>Not in MMS</v>
      </c>
      <c r="AQ302" s="51" t="b">
        <f t="shared" si="198"/>
        <v>0</v>
      </c>
      <c r="AR302" s="51" t="b">
        <f t="shared" si="199"/>
        <v>0</v>
      </c>
      <c r="AS302" s="51" t="str">
        <f t="shared" si="200"/>
        <v/>
      </c>
      <c r="AT302" s="51" t="str">
        <f t="shared" si="201"/>
        <v/>
      </c>
      <c r="AU302" s="51" t="str">
        <f t="shared" si="202"/>
        <v/>
      </c>
      <c r="AV302" s="51" t="str">
        <f t="shared" si="203"/>
        <v/>
      </c>
      <c r="AW302" s="51" t="str">
        <f t="shared" si="204"/>
        <v/>
      </c>
      <c r="AX302" s="51" t="str">
        <f t="shared" si="205"/>
        <v/>
      </c>
      <c r="AY302" s="51" t="str">
        <f t="shared" si="206"/>
        <v/>
      </c>
      <c r="AZ302" s="51" t="str">
        <f t="shared" si="207"/>
        <v/>
      </c>
      <c r="BA302" s="51" t="str">
        <f t="shared" si="208"/>
        <v/>
      </c>
      <c r="BB302" s="51" t="str">
        <f t="shared" si="209"/>
        <v/>
      </c>
      <c r="BC302" s="51" t="str">
        <f t="shared" si="210"/>
        <v/>
      </c>
      <c r="BD302" s="51" t="str">
        <f t="shared" si="211"/>
        <v/>
      </c>
      <c r="BE302" s="51" t="str">
        <f t="shared" si="212"/>
        <v/>
      </c>
      <c r="BF302" s="51" t="str">
        <f t="shared" si="213"/>
        <v/>
      </c>
      <c r="BG302" s="51" t="str">
        <f t="shared" si="214"/>
        <v/>
      </c>
      <c r="BH302" s="51" t="b">
        <f t="shared" si="215"/>
        <v>0</v>
      </c>
      <c r="BI302" s="51" t="str">
        <f t="shared" si="216"/>
        <v/>
      </c>
      <c r="BJ302" s="51" t="str">
        <f t="shared" si="217"/>
        <v/>
      </c>
      <c r="BK302" s="51" t="b">
        <f t="shared" si="218"/>
        <v>0</v>
      </c>
      <c r="BL302" s="192"/>
    </row>
    <row r="303" spans="1:64" ht="13.5" thickBot="1" x14ac:dyDescent="0.25">
      <c r="A303" s="185" t="s">
        <v>994</v>
      </c>
      <c r="B303" s="194" t="s">
        <v>695</v>
      </c>
      <c r="C303" s="194" t="s">
        <v>695</v>
      </c>
      <c r="D303" s="194" t="s">
        <v>695</v>
      </c>
      <c r="E303" s="193" t="s">
        <v>694</v>
      </c>
      <c r="F303" s="160" t="s">
        <v>20</v>
      </c>
      <c r="G303" s="161"/>
      <c r="H303" s="186" t="str">
        <f t="shared" si="176"/>
        <v>N/A</v>
      </c>
      <c r="I303" s="186" t="b">
        <f t="shared" si="177"/>
        <v>1</v>
      </c>
      <c r="J303" s="186" t="str">
        <f t="shared" si="178"/>
        <v>N/A</v>
      </c>
      <c r="K303" s="186" t="b">
        <f t="shared" si="179"/>
        <v>1</v>
      </c>
      <c r="L303" s="186" t="str">
        <f t="shared" si="180"/>
        <v>N/A</v>
      </c>
      <c r="M303" s="186" t="b">
        <f t="shared" si="181"/>
        <v>1</v>
      </c>
      <c r="N303" s="186" t="str">
        <f t="shared" si="182"/>
        <v>Used?</v>
      </c>
      <c r="O303" s="186" t="b">
        <f t="shared" si="183"/>
        <v>0</v>
      </c>
      <c r="P303" s="26" t="s">
        <v>696</v>
      </c>
      <c r="Q303" s="160" t="s">
        <v>20</v>
      </c>
      <c r="R303" s="160" t="s">
        <v>20</v>
      </c>
      <c r="S303" s="26" t="s">
        <v>697</v>
      </c>
      <c r="T303" s="165" t="str">
        <f t="shared" si="184"/>
        <v>Not Used</v>
      </c>
      <c r="U303" s="162"/>
      <c r="V303" s="55"/>
      <c r="W303" s="51" t="b">
        <f t="shared" si="185"/>
        <v>1</v>
      </c>
      <c r="X303" s="51" t="str">
        <f t="shared" si="186"/>
        <v>Not Used</v>
      </c>
      <c r="Y303" s="51" t="str">
        <f t="shared" si="187"/>
        <v>Not Used</v>
      </c>
      <c r="Z303" s="51" t="str">
        <f t="shared" si="188"/>
        <v>Not Used</v>
      </c>
      <c r="AA303" s="51" t="str">
        <f t="shared" si="188"/>
        <v>Not Used</v>
      </c>
      <c r="AB303" s="51" t="str">
        <f t="shared" si="189"/>
        <v>Not Used</v>
      </c>
      <c r="AC303" s="51" t="b">
        <f t="shared" si="190"/>
        <v>1</v>
      </c>
      <c r="AD303" s="51">
        <f>COUNTIF($X$5:$X$303, "Not Used")</f>
        <v>299</v>
      </c>
      <c r="AE303" s="51">
        <f>COUNTIF($X$5:$X$303, "TRUE")</f>
        <v>0</v>
      </c>
      <c r="AF303" s="51" t="b">
        <f t="shared" si="191"/>
        <v>1</v>
      </c>
      <c r="AI303" s="51" t="b">
        <f t="shared" si="192"/>
        <v>0</v>
      </c>
      <c r="AJ303" s="51" t="b">
        <f t="shared" si="193"/>
        <v>0</v>
      </c>
      <c r="AK303" s="51" t="b">
        <f t="shared" si="194"/>
        <v>0</v>
      </c>
      <c r="AL303" s="51" t="b">
        <f t="shared" si="195"/>
        <v>0</v>
      </c>
      <c r="AM303" s="51" t="b">
        <f t="shared" si="196"/>
        <v>0</v>
      </c>
      <c r="AN303" s="51"/>
      <c r="AO303" s="51" t="b">
        <f t="shared" si="197"/>
        <v>0</v>
      </c>
      <c r="AP303" s="51" t="str">
        <f t="shared" si="219"/>
        <v>Not in MMS</v>
      </c>
      <c r="AQ303" s="51" t="b">
        <f t="shared" si="198"/>
        <v>0</v>
      </c>
      <c r="AR303" s="51" t="b">
        <f t="shared" si="199"/>
        <v>0</v>
      </c>
      <c r="AS303" s="51" t="str">
        <f t="shared" si="200"/>
        <v/>
      </c>
      <c r="AT303" s="51" t="str">
        <f t="shared" si="201"/>
        <v/>
      </c>
      <c r="AU303" s="51" t="str">
        <f t="shared" si="202"/>
        <v/>
      </c>
      <c r="AV303" s="51" t="str">
        <f t="shared" si="203"/>
        <v/>
      </c>
      <c r="AW303" s="51" t="str">
        <f t="shared" si="204"/>
        <v/>
      </c>
      <c r="AX303" s="51" t="str">
        <f t="shared" si="205"/>
        <v/>
      </c>
      <c r="AY303" s="51" t="str">
        <f t="shared" si="206"/>
        <v/>
      </c>
      <c r="AZ303" s="51" t="str">
        <f t="shared" si="207"/>
        <v/>
      </c>
      <c r="BA303" s="51" t="str">
        <f t="shared" si="208"/>
        <v/>
      </c>
      <c r="BB303" s="51" t="str">
        <f t="shared" si="209"/>
        <v/>
      </c>
      <c r="BC303" s="51" t="str">
        <f t="shared" si="210"/>
        <v/>
      </c>
      <c r="BD303" s="51" t="str">
        <f t="shared" si="211"/>
        <v/>
      </c>
      <c r="BE303" s="51" t="str">
        <f t="shared" si="212"/>
        <v/>
      </c>
      <c r="BF303" s="51" t="str">
        <f t="shared" si="213"/>
        <v/>
      </c>
      <c r="BG303" s="51" t="str">
        <f t="shared" si="214"/>
        <v/>
      </c>
      <c r="BH303" s="51" t="b">
        <f t="shared" si="215"/>
        <v>0</v>
      </c>
      <c r="BI303" s="51" t="str">
        <f t="shared" si="216"/>
        <v/>
      </c>
      <c r="BJ303" s="51" t="str">
        <f t="shared" si="217"/>
        <v/>
      </c>
      <c r="BK303" s="51" t="b">
        <f t="shared" si="218"/>
        <v>0</v>
      </c>
      <c r="BL303" s="192"/>
    </row>
    <row r="304" spans="1:64" ht="13.5" thickBot="1" x14ac:dyDescent="0.25">
      <c r="A304" s="185" t="s">
        <v>995</v>
      </c>
      <c r="B304" s="194" t="s">
        <v>695</v>
      </c>
      <c r="C304" s="194" t="s">
        <v>695</v>
      </c>
      <c r="D304" s="194" t="s">
        <v>695</v>
      </c>
      <c r="E304" s="193" t="s">
        <v>694</v>
      </c>
      <c r="F304" s="160" t="s">
        <v>20</v>
      </c>
      <c r="G304" s="161"/>
      <c r="H304" s="186" t="str">
        <f t="shared" si="176"/>
        <v>N/A</v>
      </c>
      <c r="I304" s="186" t="b">
        <f t="shared" si="177"/>
        <v>1</v>
      </c>
      <c r="J304" s="186" t="str">
        <f t="shared" si="178"/>
        <v>N/A</v>
      </c>
      <c r="K304" s="186" t="b">
        <f t="shared" si="179"/>
        <v>1</v>
      </c>
      <c r="L304" s="186" t="str">
        <f t="shared" si="180"/>
        <v>N/A</v>
      </c>
      <c r="M304" s="186" t="b">
        <f t="shared" si="181"/>
        <v>1</v>
      </c>
      <c r="N304" s="186" t="str">
        <f t="shared" si="182"/>
        <v>Used?</v>
      </c>
      <c r="O304" s="186" t="b">
        <f t="shared" si="183"/>
        <v>0</v>
      </c>
      <c r="P304" s="26" t="s">
        <v>696</v>
      </c>
      <c r="Q304" s="160" t="s">
        <v>20</v>
      </c>
      <c r="R304" s="160" t="s">
        <v>20</v>
      </c>
      <c r="S304" s="26" t="s">
        <v>697</v>
      </c>
      <c r="T304" s="165" t="str">
        <f t="shared" si="184"/>
        <v>Not Used</v>
      </c>
      <c r="U304" s="162"/>
      <c r="V304" s="55"/>
      <c r="W304" s="51" t="b">
        <f t="shared" si="185"/>
        <v>1</v>
      </c>
      <c r="X304" s="51" t="str">
        <f t="shared" si="186"/>
        <v>Not Used</v>
      </c>
      <c r="Y304" s="51" t="str">
        <f t="shared" si="187"/>
        <v>Not Used</v>
      </c>
      <c r="Z304" s="51" t="str">
        <f t="shared" si="188"/>
        <v>Not Used</v>
      </c>
      <c r="AA304" s="51" t="str">
        <f t="shared" si="188"/>
        <v>Not Used</v>
      </c>
      <c r="AB304" s="51" t="str">
        <f t="shared" si="189"/>
        <v>Not Used</v>
      </c>
      <c r="AC304" s="51" t="b">
        <f t="shared" si="190"/>
        <v>1</v>
      </c>
      <c r="AD304" s="51">
        <f>COUNTIF($X$5:$X$304, "Not Used")</f>
        <v>300</v>
      </c>
      <c r="AE304" s="51">
        <f>COUNTIF($X$5:$X$304, "TRUE")</f>
        <v>0</v>
      </c>
      <c r="AF304" s="51" t="b">
        <f t="shared" si="191"/>
        <v>1</v>
      </c>
      <c r="AI304" s="51" t="b">
        <f t="shared" si="192"/>
        <v>0</v>
      </c>
      <c r="AJ304" s="51" t="b">
        <f t="shared" si="193"/>
        <v>0</v>
      </c>
      <c r="AK304" s="51" t="b">
        <f t="shared" si="194"/>
        <v>0</v>
      </c>
      <c r="AL304" s="51" t="b">
        <f t="shared" si="195"/>
        <v>0</v>
      </c>
      <c r="AM304" s="51" t="b">
        <f t="shared" si="196"/>
        <v>0</v>
      </c>
      <c r="AN304" s="51"/>
      <c r="AO304" s="51" t="b">
        <f t="shared" si="197"/>
        <v>0</v>
      </c>
      <c r="AP304" s="51" t="str">
        <f t="shared" si="219"/>
        <v>Not in MMS</v>
      </c>
      <c r="AQ304" s="51" t="b">
        <f t="shared" si="198"/>
        <v>0</v>
      </c>
      <c r="AR304" s="51" t="b">
        <f t="shared" si="199"/>
        <v>0</v>
      </c>
      <c r="AS304" s="51" t="str">
        <f t="shared" si="200"/>
        <v/>
      </c>
      <c r="AT304" s="51" t="str">
        <f t="shared" si="201"/>
        <v/>
      </c>
      <c r="AU304" s="51" t="str">
        <f t="shared" si="202"/>
        <v/>
      </c>
      <c r="AV304" s="51" t="str">
        <f t="shared" si="203"/>
        <v/>
      </c>
      <c r="AW304" s="51" t="str">
        <f t="shared" si="204"/>
        <v/>
      </c>
      <c r="AX304" s="51" t="str">
        <f t="shared" si="205"/>
        <v/>
      </c>
      <c r="AY304" s="51" t="str">
        <f t="shared" si="206"/>
        <v/>
      </c>
      <c r="AZ304" s="51" t="str">
        <f t="shared" si="207"/>
        <v/>
      </c>
      <c r="BA304" s="51" t="str">
        <f t="shared" si="208"/>
        <v/>
      </c>
      <c r="BB304" s="51" t="str">
        <f t="shared" si="209"/>
        <v/>
      </c>
      <c r="BC304" s="51" t="str">
        <f t="shared" si="210"/>
        <v/>
      </c>
      <c r="BD304" s="51" t="str">
        <f t="shared" si="211"/>
        <v/>
      </c>
      <c r="BE304" s="51" t="str">
        <f t="shared" si="212"/>
        <v/>
      </c>
      <c r="BF304" s="51" t="str">
        <f t="shared" si="213"/>
        <v/>
      </c>
      <c r="BG304" s="51" t="str">
        <f t="shared" si="214"/>
        <v/>
      </c>
      <c r="BH304" s="51" t="b">
        <f t="shared" si="215"/>
        <v>0</v>
      </c>
      <c r="BI304" s="51" t="str">
        <f t="shared" si="216"/>
        <v/>
      </c>
      <c r="BJ304" s="51" t="str">
        <f t="shared" si="217"/>
        <v/>
      </c>
      <c r="BK304" s="51" t="b">
        <f t="shared" si="218"/>
        <v>0</v>
      </c>
      <c r="BL304" s="192"/>
    </row>
    <row r="305" spans="1:64" ht="13.5" thickBot="1" x14ac:dyDescent="0.25">
      <c r="A305" s="185" t="s">
        <v>996</v>
      </c>
      <c r="B305" s="194" t="s">
        <v>695</v>
      </c>
      <c r="C305" s="194" t="s">
        <v>695</v>
      </c>
      <c r="D305" s="194" t="s">
        <v>695</v>
      </c>
      <c r="E305" s="193" t="s">
        <v>694</v>
      </c>
      <c r="F305" s="160" t="s">
        <v>20</v>
      </c>
      <c r="G305" s="161"/>
      <c r="H305" s="186" t="str">
        <f t="shared" si="176"/>
        <v>N/A</v>
      </c>
      <c r="I305" s="186" t="b">
        <f t="shared" si="177"/>
        <v>1</v>
      </c>
      <c r="J305" s="186" t="str">
        <f t="shared" si="178"/>
        <v>N/A</v>
      </c>
      <c r="K305" s="186" t="b">
        <f t="shared" si="179"/>
        <v>1</v>
      </c>
      <c r="L305" s="186" t="str">
        <f t="shared" si="180"/>
        <v>N/A</v>
      </c>
      <c r="M305" s="186" t="b">
        <f t="shared" si="181"/>
        <v>1</v>
      </c>
      <c r="N305" s="186" t="str">
        <f t="shared" si="182"/>
        <v>Used?</v>
      </c>
      <c r="O305" s="186" t="b">
        <f t="shared" si="183"/>
        <v>0</v>
      </c>
      <c r="P305" s="26" t="s">
        <v>696</v>
      </c>
      <c r="Q305" s="160" t="s">
        <v>20</v>
      </c>
      <c r="R305" s="160" t="s">
        <v>20</v>
      </c>
      <c r="S305" s="26" t="s">
        <v>697</v>
      </c>
      <c r="T305" s="165" t="str">
        <f t="shared" si="184"/>
        <v>Not Used</v>
      </c>
      <c r="U305" s="162"/>
      <c r="V305" s="55"/>
      <c r="W305" s="51" t="b">
        <f t="shared" si="185"/>
        <v>1</v>
      </c>
      <c r="X305" s="51" t="str">
        <f t="shared" si="186"/>
        <v>Not Used</v>
      </c>
      <c r="Y305" s="51" t="str">
        <f t="shared" si="187"/>
        <v>Not Used</v>
      </c>
      <c r="Z305" s="51" t="str">
        <f t="shared" si="188"/>
        <v>Not Used</v>
      </c>
      <c r="AA305" s="51" t="str">
        <f t="shared" si="188"/>
        <v>Not Used</v>
      </c>
      <c r="AB305" s="51" t="str">
        <f t="shared" si="189"/>
        <v>Not Used</v>
      </c>
      <c r="AC305" s="51" t="b">
        <f t="shared" si="190"/>
        <v>1</v>
      </c>
      <c r="AD305" s="51">
        <f>COUNTIF($X$5:$X$305, "Not Used")</f>
        <v>301</v>
      </c>
      <c r="AE305" s="51">
        <f>COUNTIF($X$5:$X$305, "TRUE")</f>
        <v>0</v>
      </c>
      <c r="AF305" s="51" t="b">
        <f t="shared" si="191"/>
        <v>1</v>
      </c>
      <c r="AI305" s="51" t="b">
        <f t="shared" si="192"/>
        <v>0</v>
      </c>
      <c r="AJ305" s="51" t="b">
        <f t="shared" si="193"/>
        <v>0</v>
      </c>
      <c r="AK305" s="51" t="b">
        <f t="shared" si="194"/>
        <v>0</v>
      </c>
      <c r="AL305" s="51" t="b">
        <f t="shared" si="195"/>
        <v>0</v>
      </c>
      <c r="AM305" s="51" t="b">
        <f t="shared" si="196"/>
        <v>0</v>
      </c>
      <c r="AN305" s="51"/>
      <c r="AO305" s="51" t="b">
        <f t="shared" si="197"/>
        <v>0</v>
      </c>
      <c r="AP305" s="51" t="str">
        <f t="shared" si="219"/>
        <v>Not in MMS</v>
      </c>
      <c r="AQ305" s="51" t="b">
        <f t="shared" si="198"/>
        <v>0</v>
      </c>
      <c r="AR305" s="51" t="b">
        <f t="shared" si="199"/>
        <v>0</v>
      </c>
      <c r="AS305" s="51" t="str">
        <f t="shared" si="200"/>
        <v/>
      </c>
      <c r="AT305" s="51" t="str">
        <f t="shared" si="201"/>
        <v/>
      </c>
      <c r="AU305" s="51" t="str">
        <f t="shared" si="202"/>
        <v/>
      </c>
      <c r="AV305" s="51" t="str">
        <f t="shared" si="203"/>
        <v/>
      </c>
      <c r="AW305" s="51" t="str">
        <f t="shared" si="204"/>
        <v/>
      </c>
      <c r="AX305" s="51" t="str">
        <f t="shared" si="205"/>
        <v/>
      </c>
      <c r="AY305" s="51" t="str">
        <f t="shared" si="206"/>
        <v/>
      </c>
      <c r="AZ305" s="51" t="str">
        <f t="shared" si="207"/>
        <v/>
      </c>
      <c r="BA305" s="51" t="str">
        <f t="shared" si="208"/>
        <v/>
      </c>
      <c r="BB305" s="51" t="str">
        <f t="shared" si="209"/>
        <v/>
      </c>
      <c r="BC305" s="51" t="str">
        <f t="shared" si="210"/>
        <v/>
      </c>
      <c r="BD305" s="51" t="str">
        <f t="shared" si="211"/>
        <v/>
      </c>
      <c r="BE305" s="51" t="str">
        <f t="shared" si="212"/>
        <v/>
      </c>
      <c r="BF305" s="51" t="str">
        <f t="shared" si="213"/>
        <v/>
      </c>
      <c r="BG305" s="51" t="str">
        <f t="shared" si="214"/>
        <v/>
      </c>
      <c r="BH305" s="51" t="b">
        <f t="shared" si="215"/>
        <v>0</v>
      </c>
      <c r="BI305" s="51" t="str">
        <f t="shared" si="216"/>
        <v/>
      </c>
      <c r="BJ305" s="51" t="str">
        <f t="shared" si="217"/>
        <v/>
      </c>
      <c r="BK305" s="51" t="b">
        <f t="shared" si="218"/>
        <v>0</v>
      </c>
      <c r="BL305" s="192"/>
    </row>
    <row r="306" spans="1:64" ht="13.5" thickBot="1" x14ac:dyDescent="0.25">
      <c r="A306" s="185" t="s">
        <v>997</v>
      </c>
      <c r="B306" s="194" t="s">
        <v>695</v>
      </c>
      <c r="C306" s="194" t="s">
        <v>695</v>
      </c>
      <c r="D306" s="194" t="s">
        <v>695</v>
      </c>
      <c r="E306" s="193" t="s">
        <v>694</v>
      </c>
      <c r="F306" s="160" t="s">
        <v>20</v>
      </c>
      <c r="G306" s="161"/>
      <c r="H306" s="186" t="str">
        <f t="shared" si="176"/>
        <v>N/A</v>
      </c>
      <c r="I306" s="186" t="b">
        <f t="shared" si="177"/>
        <v>1</v>
      </c>
      <c r="J306" s="186" t="str">
        <f t="shared" si="178"/>
        <v>N/A</v>
      </c>
      <c r="K306" s="186" t="b">
        <f t="shared" si="179"/>
        <v>1</v>
      </c>
      <c r="L306" s="186" t="str">
        <f t="shared" si="180"/>
        <v>N/A</v>
      </c>
      <c r="M306" s="186" t="b">
        <f t="shared" si="181"/>
        <v>1</v>
      </c>
      <c r="N306" s="186" t="str">
        <f t="shared" si="182"/>
        <v>Used?</v>
      </c>
      <c r="O306" s="186" t="b">
        <f t="shared" si="183"/>
        <v>0</v>
      </c>
      <c r="P306" s="26" t="s">
        <v>696</v>
      </c>
      <c r="Q306" s="160" t="s">
        <v>20</v>
      </c>
      <c r="R306" s="160" t="s">
        <v>20</v>
      </c>
      <c r="S306" s="26" t="s">
        <v>697</v>
      </c>
      <c r="T306" s="165" t="str">
        <f t="shared" si="184"/>
        <v>Not Used</v>
      </c>
      <c r="U306" s="162"/>
      <c r="V306" s="55"/>
      <c r="W306" s="51" t="b">
        <f t="shared" si="185"/>
        <v>1</v>
      </c>
      <c r="X306" s="51" t="str">
        <f t="shared" si="186"/>
        <v>Not Used</v>
      </c>
      <c r="Y306" s="51" t="str">
        <f t="shared" si="187"/>
        <v>Not Used</v>
      </c>
      <c r="Z306" s="51" t="str">
        <f t="shared" si="188"/>
        <v>Not Used</v>
      </c>
      <c r="AA306" s="51" t="str">
        <f t="shared" si="188"/>
        <v>Not Used</v>
      </c>
      <c r="AB306" s="51" t="str">
        <f t="shared" si="189"/>
        <v>Not Used</v>
      </c>
      <c r="AC306" s="51" t="b">
        <f t="shared" si="190"/>
        <v>1</v>
      </c>
      <c r="AD306" s="51">
        <f>COUNTIF($X$5:$X$306, "Not Used")</f>
        <v>302</v>
      </c>
      <c r="AE306" s="51">
        <f>COUNTIF($X$5:$X$306, "TRUE")</f>
        <v>0</v>
      </c>
      <c r="AF306" s="51" t="b">
        <f t="shared" si="191"/>
        <v>1</v>
      </c>
      <c r="AI306" s="51" t="b">
        <f t="shared" si="192"/>
        <v>0</v>
      </c>
      <c r="AJ306" s="51" t="b">
        <f t="shared" si="193"/>
        <v>0</v>
      </c>
      <c r="AK306" s="51" t="b">
        <f t="shared" si="194"/>
        <v>0</v>
      </c>
      <c r="AL306" s="51" t="b">
        <f t="shared" si="195"/>
        <v>0</v>
      </c>
      <c r="AM306" s="51" t="b">
        <f t="shared" si="196"/>
        <v>0</v>
      </c>
      <c r="AN306" s="51"/>
      <c r="AO306" s="51" t="b">
        <f t="shared" si="197"/>
        <v>0</v>
      </c>
      <c r="AP306" s="51" t="str">
        <f t="shared" si="219"/>
        <v>Not in MMS</v>
      </c>
      <c r="AQ306" s="51" t="b">
        <f t="shared" si="198"/>
        <v>0</v>
      </c>
      <c r="AR306" s="51" t="b">
        <f t="shared" si="199"/>
        <v>0</v>
      </c>
      <c r="AS306" s="51" t="str">
        <f t="shared" si="200"/>
        <v/>
      </c>
      <c r="AT306" s="51" t="str">
        <f t="shared" si="201"/>
        <v/>
      </c>
      <c r="AU306" s="51" t="str">
        <f t="shared" si="202"/>
        <v/>
      </c>
      <c r="AV306" s="51" t="str">
        <f t="shared" si="203"/>
        <v/>
      </c>
      <c r="AW306" s="51" t="str">
        <f t="shared" si="204"/>
        <v/>
      </c>
      <c r="AX306" s="51" t="str">
        <f t="shared" si="205"/>
        <v/>
      </c>
      <c r="AY306" s="51" t="str">
        <f t="shared" si="206"/>
        <v/>
      </c>
      <c r="AZ306" s="51" t="str">
        <f t="shared" si="207"/>
        <v/>
      </c>
      <c r="BA306" s="51" t="str">
        <f t="shared" si="208"/>
        <v/>
      </c>
      <c r="BB306" s="51" t="str">
        <f t="shared" si="209"/>
        <v/>
      </c>
      <c r="BC306" s="51" t="str">
        <f t="shared" si="210"/>
        <v/>
      </c>
      <c r="BD306" s="51" t="str">
        <f t="shared" si="211"/>
        <v/>
      </c>
      <c r="BE306" s="51" t="str">
        <f t="shared" si="212"/>
        <v/>
      </c>
      <c r="BF306" s="51" t="str">
        <f t="shared" si="213"/>
        <v/>
      </c>
      <c r="BG306" s="51" t="str">
        <f t="shared" si="214"/>
        <v/>
      </c>
      <c r="BH306" s="51" t="b">
        <f t="shared" si="215"/>
        <v>0</v>
      </c>
      <c r="BI306" s="51" t="str">
        <f t="shared" si="216"/>
        <v/>
      </c>
      <c r="BJ306" s="51" t="str">
        <f t="shared" si="217"/>
        <v/>
      </c>
      <c r="BK306" s="51" t="b">
        <f t="shared" si="218"/>
        <v>0</v>
      </c>
      <c r="BL306" s="192"/>
    </row>
    <row r="307" spans="1:64" ht="13.5" thickBot="1" x14ac:dyDescent="0.25">
      <c r="A307" s="185" t="s">
        <v>998</v>
      </c>
      <c r="B307" s="194" t="s">
        <v>695</v>
      </c>
      <c r="C307" s="194" t="s">
        <v>695</v>
      </c>
      <c r="D307" s="194" t="s">
        <v>695</v>
      </c>
      <c r="E307" s="193" t="s">
        <v>694</v>
      </c>
      <c r="F307" s="160" t="s">
        <v>20</v>
      </c>
      <c r="G307" s="161"/>
      <c r="H307" s="186" t="str">
        <f t="shared" si="176"/>
        <v>N/A</v>
      </c>
      <c r="I307" s="186" t="b">
        <f t="shared" si="177"/>
        <v>1</v>
      </c>
      <c r="J307" s="186" t="str">
        <f t="shared" si="178"/>
        <v>N/A</v>
      </c>
      <c r="K307" s="186" t="b">
        <f t="shared" si="179"/>
        <v>1</v>
      </c>
      <c r="L307" s="186" t="str">
        <f t="shared" si="180"/>
        <v>N/A</v>
      </c>
      <c r="M307" s="186" t="b">
        <f t="shared" si="181"/>
        <v>1</v>
      </c>
      <c r="N307" s="186" t="str">
        <f t="shared" si="182"/>
        <v>Used?</v>
      </c>
      <c r="O307" s="186" t="b">
        <f t="shared" si="183"/>
        <v>0</v>
      </c>
      <c r="P307" s="26" t="s">
        <v>696</v>
      </c>
      <c r="Q307" s="160" t="s">
        <v>20</v>
      </c>
      <c r="R307" s="160" t="s">
        <v>20</v>
      </c>
      <c r="S307" s="26" t="s">
        <v>697</v>
      </c>
      <c r="T307" s="165" t="str">
        <f t="shared" si="184"/>
        <v>Not Used</v>
      </c>
      <c r="U307" s="162"/>
      <c r="V307" s="55"/>
      <c r="W307" s="51" t="b">
        <f t="shared" si="185"/>
        <v>1</v>
      </c>
      <c r="X307" s="51" t="str">
        <f t="shared" si="186"/>
        <v>Not Used</v>
      </c>
      <c r="Y307" s="51" t="str">
        <f t="shared" si="187"/>
        <v>Not Used</v>
      </c>
      <c r="Z307" s="51" t="str">
        <f t="shared" si="188"/>
        <v>Not Used</v>
      </c>
      <c r="AA307" s="51" t="str">
        <f t="shared" si="188"/>
        <v>Not Used</v>
      </c>
      <c r="AB307" s="51" t="str">
        <f t="shared" si="189"/>
        <v>Not Used</v>
      </c>
      <c r="AC307" s="51" t="b">
        <f t="shared" si="190"/>
        <v>1</v>
      </c>
      <c r="AD307" s="51">
        <f>COUNTIF($X$5:$X$307, "Not Used")</f>
        <v>303</v>
      </c>
      <c r="AE307" s="51">
        <f>COUNTIF($X$5:$X$307, "TRUE")</f>
        <v>0</v>
      </c>
      <c r="AF307" s="51" t="b">
        <f t="shared" si="191"/>
        <v>1</v>
      </c>
      <c r="AI307" s="51" t="b">
        <f t="shared" si="192"/>
        <v>0</v>
      </c>
      <c r="AJ307" s="51" t="b">
        <f t="shared" si="193"/>
        <v>0</v>
      </c>
      <c r="AK307" s="51" t="b">
        <f t="shared" si="194"/>
        <v>0</v>
      </c>
      <c r="AL307" s="51" t="b">
        <f t="shared" si="195"/>
        <v>0</v>
      </c>
      <c r="AM307" s="51" t="b">
        <f t="shared" si="196"/>
        <v>0</v>
      </c>
      <c r="AN307" s="51"/>
      <c r="AO307" s="51" t="b">
        <f t="shared" si="197"/>
        <v>0</v>
      </c>
      <c r="AP307" s="51" t="str">
        <f t="shared" si="219"/>
        <v>Not in MMS</v>
      </c>
      <c r="AQ307" s="51" t="b">
        <f t="shared" si="198"/>
        <v>0</v>
      </c>
      <c r="AR307" s="51" t="b">
        <f t="shared" si="199"/>
        <v>0</v>
      </c>
      <c r="AS307" s="51" t="str">
        <f t="shared" si="200"/>
        <v/>
      </c>
      <c r="AT307" s="51" t="str">
        <f t="shared" si="201"/>
        <v/>
      </c>
      <c r="AU307" s="51" t="str">
        <f t="shared" si="202"/>
        <v/>
      </c>
      <c r="AV307" s="51" t="str">
        <f t="shared" si="203"/>
        <v/>
      </c>
      <c r="AW307" s="51" t="str">
        <f t="shared" si="204"/>
        <v/>
      </c>
      <c r="AX307" s="51" t="str">
        <f t="shared" si="205"/>
        <v/>
      </c>
      <c r="AY307" s="51" t="str">
        <f t="shared" si="206"/>
        <v/>
      </c>
      <c r="AZ307" s="51" t="str">
        <f t="shared" si="207"/>
        <v/>
      </c>
      <c r="BA307" s="51" t="str">
        <f t="shared" si="208"/>
        <v/>
      </c>
      <c r="BB307" s="51" t="str">
        <f t="shared" si="209"/>
        <v/>
      </c>
      <c r="BC307" s="51" t="str">
        <f t="shared" si="210"/>
        <v/>
      </c>
      <c r="BD307" s="51" t="str">
        <f t="shared" si="211"/>
        <v/>
      </c>
      <c r="BE307" s="51" t="str">
        <f t="shared" si="212"/>
        <v/>
      </c>
      <c r="BF307" s="51" t="str">
        <f t="shared" si="213"/>
        <v/>
      </c>
      <c r="BG307" s="51" t="str">
        <f t="shared" si="214"/>
        <v/>
      </c>
      <c r="BH307" s="51" t="b">
        <f t="shared" si="215"/>
        <v>0</v>
      </c>
      <c r="BI307" s="51" t="str">
        <f t="shared" si="216"/>
        <v/>
      </c>
      <c r="BJ307" s="51" t="str">
        <f t="shared" si="217"/>
        <v/>
      </c>
      <c r="BK307" s="51" t="b">
        <f t="shared" si="218"/>
        <v>0</v>
      </c>
      <c r="BL307" s="192"/>
    </row>
    <row r="308" spans="1:64" ht="13.5" thickBot="1" x14ac:dyDescent="0.25">
      <c r="A308" s="185" t="s">
        <v>999</v>
      </c>
      <c r="B308" s="194" t="s">
        <v>695</v>
      </c>
      <c r="C308" s="194" t="s">
        <v>695</v>
      </c>
      <c r="D308" s="194" t="s">
        <v>695</v>
      </c>
      <c r="E308" s="193" t="s">
        <v>694</v>
      </c>
      <c r="F308" s="160" t="s">
        <v>20</v>
      </c>
      <c r="G308" s="161"/>
      <c r="H308" s="186" t="str">
        <f t="shared" si="176"/>
        <v>N/A</v>
      </c>
      <c r="I308" s="186" t="b">
        <f t="shared" si="177"/>
        <v>1</v>
      </c>
      <c r="J308" s="186" t="str">
        <f t="shared" si="178"/>
        <v>N/A</v>
      </c>
      <c r="K308" s="186" t="b">
        <f t="shared" si="179"/>
        <v>1</v>
      </c>
      <c r="L308" s="186" t="str">
        <f t="shared" si="180"/>
        <v>N/A</v>
      </c>
      <c r="M308" s="186" t="b">
        <f t="shared" si="181"/>
        <v>1</v>
      </c>
      <c r="N308" s="186" t="str">
        <f t="shared" si="182"/>
        <v>Used?</v>
      </c>
      <c r="O308" s="186" t="b">
        <f t="shared" si="183"/>
        <v>0</v>
      </c>
      <c r="P308" s="26" t="s">
        <v>696</v>
      </c>
      <c r="Q308" s="160" t="s">
        <v>20</v>
      </c>
      <c r="R308" s="160" t="s">
        <v>20</v>
      </c>
      <c r="S308" s="26" t="s">
        <v>697</v>
      </c>
      <c r="T308" s="165" t="str">
        <f t="shared" si="184"/>
        <v>Not Used</v>
      </c>
      <c r="U308" s="162"/>
      <c r="V308" s="55"/>
      <c r="W308" s="51" t="b">
        <f t="shared" si="185"/>
        <v>1</v>
      </c>
      <c r="X308" s="51" t="str">
        <f t="shared" si="186"/>
        <v>Not Used</v>
      </c>
      <c r="Y308" s="51" t="str">
        <f t="shared" si="187"/>
        <v>Not Used</v>
      </c>
      <c r="Z308" s="51" t="str">
        <f t="shared" si="188"/>
        <v>Not Used</v>
      </c>
      <c r="AA308" s="51" t="str">
        <f t="shared" si="188"/>
        <v>Not Used</v>
      </c>
      <c r="AB308" s="51" t="str">
        <f t="shared" si="189"/>
        <v>Not Used</v>
      </c>
      <c r="AC308" s="51" t="b">
        <f t="shared" si="190"/>
        <v>1</v>
      </c>
      <c r="AD308" s="51">
        <f>COUNTIF($X$5:$X$308, "Not Used")</f>
        <v>304</v>
      </c>
      <c r="AE308" s="51">
        <f>COUNTIF($X$5:$X$308, "TRUE")</f>
        <v>0</v>
      </c>
      <c r="AF308" s="51" t="b">
        <f t="shared" si="191"/>
        <v>1</v>
      </c>
      <c r="AI308" s="51" t="b">
        <f t="shared" si="192"/>
        <v>0</v>
      </c>
      <c r="AJ308" s="51" t="b">
        <f t="shared" si="193"/>
        <v>0</v>
      </c>
      <c r="AK308" s="51" t="b">
        <f t="shared" si="194"/>
        <v>0</v>
      </c>
      <c r="AL308" s="51" t="b">
        <f t="shared" si="195"/>
        <v>0</v>
      </c>
      <c r="AM308" s="51" t="b">
        <f t="shared" si="196"/>
        <v>0</v>
      </c>
      <c r="AN308" s="51"/>
      <c r="AO308" s="51" t="b">
        <f t="shared" si="197"/>
        <v>0</v>
      </c>
      <c r="AP308" s="51" t="str">
        <f t="shared" si="219"/>
        <v>Not in MMS</v>
      </c>
      <c r="AQ308" s="51" t="b">
        <f t="shared" si="198"/>
        <v>0</v>
      </c>
      <c r="AR308" s="51" t="b">
        <f t="shared" si="199"/>
        <v>0</v>
      </c>
      <c r="AS308" s="51" t="str">
        <f t="shared" si="200"/>
        <v/>
      </c>
      <c r="AT308" s="51" t="str">
        <f t="shared" si="201"/>
        <v/>
      </c>
      <c r="AU308" s="51" t="str">
        <f t="shared" si="202"/>
        <v/>
      </c>
      <c r="AV308" s="51" t="str">
        <f t="shared" si="203"/>
        <v/>
      </c>
      <c r="AW308" s="51" t="str">
        <f t="shared" si="204"/>
        <v/>
      </c>
      <c r="AX308" s="51" t="str">
        <f t="shared" si="205"/>
        <v/>
      </c>
      <c r="AY308" s="51" t="str">
        <f t="shared" si="206"/>
        <v/>
      </c>
      <c r="AZ308" s="51" t="str">
        <f t="shared" si="207"/>
        <v/>
      </c>
      <c r="BA308" s="51" t="str">
        <f t="shared" si="208"/>
        <v/>
      </c>
      <c r="BB308" s="51" t="str">
        <f t="shared" si="209"/>
        <v/>
      </c>
      <c r="BC308" s="51" t="str">
        <f t="shared" si="210"/>
        <v/>
      </c>
      <c r="BD308" s="51" t="str">
        <f t="shared" si="211"/>
        <v/>
      </c>
      <c r="BE308" s="51" t="str">
        <f t="shared" si="212"/>
        <v/>
      </c>
      <c r="BF308" s="51" t="str">
        <f t="shared" si="213"/>
        <v/>
      </c>
      <c r="BG308" s="51" t="str">
        <f t="shared" si="214"/>
        <v/>
      </c>
      <c r="BH308" s="51" t="b">
        <f t="shared" si="215"/>
        <v>0</v>
      </c>
      <c r="BI308" s="51" t="str">
        <f t="shared" si="216"/>
        <v/>
      </c>
      <c r="BJ308" s="51" t="str">
        <f t="shared" si="217"/>
        <v/>
      </c>
      <c r="BK308" s="51" t="b">
        <f t="shared" si="218"/>
        <v>0</v>
      </c>
      <c r="BL308" s="192"/>
    </row>
    <row r="309" spans="1:64" ht="13.5" thickBot="1" x14ac:dyDescent="0.25">
      <c r="A309" s="185" t="s">
        <v>1000</v>
      </c>
      <c r="B309" s="194" t="s">
        <v>695</v>
      </c>
      <c r="C309" s="194" t="s">
        <v>695</v>
      </c>
      <c r="D309" s="194" t="s">
        <v>695</v>
      </c>
      <c r="E309" s="193" t="s">
        <v>694</v>
      </c>
      <c r="F309" s="160" t="s">
        <v>20</v>
      </c>
      <c r="G309" s="161"/>
      <c r="H309" s="186" t="str">
        <f t="shared" si="176"/>
        <v>N/A</v>
      </c>
      <c r="I309" s="186" t="b">
        <f t="shared" si="177"/>
        <v>1</v>
      </c>
      <c r="J309" s="186" t="str">
        <f t="shared" si="178"/>
        <v>N/A</v>
      </c>
      <c r="K309" s="186" t="b">
        <f t="shared" si="179"/>
        <v>1</v>
      </c>
      <c r="L309" s="186" t="str">
        <f t="shared" si="180"/>
        <v>N/A</v>
      </c>
      <c r="M309" s="186" t="b">
        <f t="shared" si="181"/>
        <v>1</v>
      </c>
      <c r="N309" s="186" t="str">
        <f t="shared" si="182"/>
        <v>Used?</v>
      </c>
      <c r="O309" s="186" t="b">
        <f t="shared" si="183"/>
        <v>0</v>
      </c>
      <c r="P309" s="26" t="s">
        <v>696</v>
      </c>
      <c r="Q309" s="160" t="s">
        <v>20</v>
      </c>
      <c r="R309" s="160" t="s">
        <v>20</v>
      </c>
      <c r="S309" s="26" t="s">
        <v>697</v>
      </c>
      <c r="T309" s="165" t="str">
        <f t="shared" si="184"/>
        <v>Not Used</v>
      </c>
      <c r="U309" s="162"/>
      <c r="V309" s="55"/>
      <c r="W309" s="51" t="b">
        <f t="shared" si="185"/>
        <v>1</v>
      </c>
      <c r="X309" s="51" t="str">
        <f t="shared" si="186"/>
        <v>Not Used</v>
      </c>
      <c r="Y309" s="51" t="str">
        <f t="shared" si="187"/>
        <v>Not Used</v>
      </c>
      <c r="Z309" s="51" t="str">
        <f t="shared" si="188"/>
        <v>Not Used</v>
      </c>
      <c r="AA309" s="51" t="str">
        <f t="shared" si="188"/>
        <v>Not Used</v>
      </c>
      <c r="AB309" s="51" t="str">
        <f t="shared" si="189"/>
        <v>Not Used</v>
      </c>
      <c r="AC309" s="51" t="b">
        <f t="shared" si="190"/>
        <v>1</v>
      </c>
      <c r="AD309" s="51">
        <f>COUNTIF($X$5:$X$309, "Not Used")</f>
        <v>305</v>
      </c>
      <c r="AE309" s="51">
        <f>COUNTIF($X$5:$X$309, "TRUE")</f>
        <v>0</v>
      </c>
      <c r="AF309" s="51" t="b">
        <f t="shared" si="191"/>
        <v>1</v>
      </c>
      <c r="AI309" s="51" t="b">
        <f t="shared" si="192"/>
        <v>0</v>
      </c>
      <c r="AJ309" s="51" t="b">
        <f t="shared" si="193"/>
        <v>0</v>
      </c>
      <c r="AK309" s="51" t="b">
        <f t="shared" si="194"/>
        <v>0</v>
      </c>
      <c r="AL309" s="51" t="b">
        <f t="shared" si="195"/>
        <v>0</v>
      </c>
      <c r="AM309" s="51" t="b">
        <f t="shared" si="196"/>
        <v>0</v>
      </c>
      <c r="AN309" s="51"/>
      <c r="AO309" s="51" t="b">
        <f t="shared" si="197"/>
        <v>0</v>
      </c>
      <c r="AP309" s="51" t="str">
        <f t="shared" si="219"/>
        <v>Not in MMS</v>
      </c>
      <c r="AQ309" s="51" t="b">
        <f t="shared" si="198"/>
        <v>0</v>
      </c>
      <c r="AR309" s="51" t="b">
        <f t="shared" si="199"/>
        <v>0</v>
      </c>
      <c r="AS309" s="51" t="str">
        <f t="shared" si="200"/>
        <v/>
      </c>
      <c r="AT309" s="51" t="str">
        <f t="shared" si="201"/>
        <v/>
      </c>
      <c r="AU309" s="51" t="str">
        <f t="shared" si="202"/>
        <v/>
      </c>
      <c r="AV309" s="51" t="str">
        <f t="shared" si="203"/>
        <v/>
      </c>
      <c r="AW309" s="51" t="str">
        <f t="shared" si="204"/>
        <v/>
      </c>
      <c r="AX309" s="51" t="str">
        <f t="shared" si="205"/>
        <v/>
      </c>
      <c r="AY309" s="51" t="str">
        <f t="shared" si="206"/>
        <v/>
      </c>
      <c r="AZ309" s="51" t="str">
        <f t="shared" si="207"/>
        <v/>
      </c>
      <c r="BA309" s="51" t="str">
        <f t="shared" si="208"/>
        <v/>
      </c>
      <c r="BB309" s="51" t="str">
        <f t="shared" si="209"/>
        <v/>
      </c>
      <c r="BC309" s="51" t="str">
        <f t="shared" si="210"/>
        <v/>
      </c>
      <c r="BD309" s="51" t="str">
        <f t="shared" si="211"/>
        <v/>
      </c>
      <c r="BE309" s="51" t="str">
        <f t="shared" si="212"/>
        <v/>
      </c>
      <c r="BF309" s="51" t="str">
        <f t="shared" si="213"/>
        <v/>
      </c>
      <c r="BG309" s="51" t="str">
        <f t="shared" si="214"/>
        <v/>
      </c>
      <c r="BH309" s="51" t="b">
        <f t="shared" si="215"/>
        <v>0</v>
      </c>
      <c r="BI309" s="51" t="str">
        <f t="shared" si="216"/>
        <v/>
      </c>
      <c r="BJ309" s="51" t="str">
        <f t="shared" si="217"/>
        <v/>
      </c>
      <c r="BK309" s="51" t="b">
        <f t="shared" si="218"/>
        <v>0</v>
      </c>
      <c r="BL309" s="192"/>
    </row>
    <row r="310" spans="1:64" ht="13.5" thickBot="1" x14ac:dyDescent="0.25">
      <c r="A310" s="185" t="s">
        <v>1892</v>
      </c>
      <c r="B310" s="194" t="s">
        <v>695</v>
      </c>
      <c r="C310" s="194" t="s">
        <v>695</v>
      </c>
      <c r="D310" s="194" t="s">
        <v>695</v>
      </c>
      <c r="E310" s="193" t="s">
        <v>694</v>
      </c>
      <c r="F310" s="160" t="s">
        <v>20</v>
      </c>
      <c r="G310" s="161"/>
      <c r="H310" s="186" t="str">
        <f t="shared" si="176"/>
        <v>N/A</v>
      </c>
      <c r="I310" s="186" t="b">
        <f t="shared" si="177"/>
        <v>1</v>
      </c>
      <c r="J310" s="186" t="str">
        <f t="shared" si="178"/>
        <v>N/A</v>
      </c>
      <c r="K310" s="186" t="b">
        <f t="shared" si="179"/>
        <v>1</v>
      </c>
      <c r="L310" s="186" t="str">
        <f t="shared" si="180"/>
        <v>N/A</v>
      </c>
      <c r="M310" s="186" t="b">
        <f t="shared" si="181"/>
        <v>1</v>
      </c>
      <c r="N310" s="186" t="str">
        <f t="shared" si="182"/>
        <v>Used?</v>
      </c>
      <c r="O310" s="186" t="b">
        <f t="shared" si="183"/>
        <v>0</v>
      </c>
      <c r="P310" s="26" t="s">
        <v>696</v>
      </c>
      <c r="Q310" s="160" t="s">
        <v>20</v>
      </c>
      <c r="R310" s="160" t="s">
        <v>20</v>
      </c>
      <c r="S310" s="26" t="s">
        <v>697</v>
      </c>
      <c r="T310" s="165" t="str">
        <f t="shared" si="184"/>
        <v>Not Used</v>
      </c>
      <c r="U310" s="162"/>
      <c r="V310" s="55"/>
      <c r="W310" s="51" t="b">
        <f t="shared" si="185"/>
        <v>1</v>
      </c>
      <c r="X310" s="51" t="str">
        <f t="shared" si="186"/>
        <v>Not Used</v>
      </c>
      <c r="Y310" s="51" t="str">
        <f t="shared" si="187"/>
        <v>Not Used</v>
      </c>
      <c r="Z310" s="51" t="str">
        <f t="shared" si="188"/>
        <v>Not Used</v>
      </c>
      <c r="AA310" s="51" t="str">
        <f t="shared" si="188"/>
        <v>Not Used</v>
      </c>
      <c r="AB310" s="51" t="str">
        <f t="shared" si="189"/>
        <v>Not Used</v>
      </c>
      <c r="AC310" s="51" t="b">
        <f t="shared" si="190"/>
        <v>1</v>
      </c>
      <c r="AD310" s="51">
        <f t="shared" ref="AD310:AD318" si="220">COUNTIF($X$5:$X$319, "Not Used")</f>
        <v>315</v>
      </c>
      <c r="AE310" s="51">
        <f t="shared" ref="AE310:AE318" si="221">COUNTIF($X$5:$X$319, "TRUE")</f>
        <v>0</v>
      </c>
      <c r="AF310" s="51" t="b">
        <f t="shared" si="191"/>
        <v>1</v>
      </c>
      <c r="AI310" s="51" t="b">
        <f t="shared" si="192"/>
        <v>0</v>
      </c>
      <c r="AJ310" s="51" t="b">
        <f t="shared" si="193"/>
        <v>0</v>
      </c>
      <c r="AK310" s="51" t="b">
        <f t="shared" si="194"/>
        <v>0</v>
      </c>
      <c r="AL310" s="51" t="b">
        <f t="shared" si="195"/>
        <v>0</v>
      </c>
      <c r="AM310" s="51" t="b">
        <f t="shared" si="196"/>
        <v>0</v>
      </c>
      <c r="AN310" s="51"/>
      <c r="AO310" s="51" t="b">
        <f t="shared" si="197"/>
        <v>0</v>
      </c>
      <c r="AP310" s="51" t="str">
        <f t="shared" si="219"/>
        <v>Not in MMS</v>
      </c>
      <c r="AQ310" s="51" t="b">
        <f t="shared" si="198"/>
        <v>0</v>
      </c>
      <c r="AR310" s="51" t="b">
        <f t="shared" si="199"/>
        <v>0</v>
      </c>
      <c r="AS310" s="51" t="str">
        <f t="shared" si="200"/>
        <v/>
      </c>
      <c r="AT310" s="51" t="str">
        <f t="shared" si="201"/>
        <v/>
      </c>
      <c r="AU310" s="51" t="str">
        <f t="shared" si="202"/>
        <v/>
      </c>
      <c r="AV310" s="51" t="str">
        <f t="shared" si="203"/>
        <v/>
      </c>
      <c r="AW310" s="51" t="str">
        <f t="shared" si="204"/>
        <v/>
      </c>
      <c r="AX310" s="51" t="str">
        <f t="shared" si="205"/>
        <v/>
      </c>
      <c r="AY310" s="51" t="str">
        <f t="shared" si="206"/>
        <v/>
      </c>
      <c r="AZ310" s="51" t="str">
        <f t="shared" si="207"/>
        <v/>
      </c>
      <c r="BA310" s="51" t="str">
        <f t="shared" si="208"/>
        <v/>
      </c>
      <c r="BB310" s="51" t="str">
        <f t="shared" si="209"/>
        <v/>
      </c>
      <c r="BC310" s="51" t="str">
        <f t="shared" si="210"/>
        <v/>
      </c>
      <c r="BD310" s="51" t="str">
        <f t="shared" si="211"/>
        <v/>
      </c>
      <c r="BE310" s="51" t="str">
        <f t="shared" si="212"/>
        <v/>
      </c>
      <c r="BF310" s="51" t="str">
        <f t="shared" si="213"/>
        <v/>
      </c>
      <c r="BG310" s="51" t="str">
        <f t="shared" si="214"/>
        <v/>
      </c>
      <c r="BH310" s="51" t="b">
        <f t="shared" si="215"/>
        <v>0</v>
      </c>
      <c r="BI310" s="51" t="str">
        <f t="shared" si="216"/>
        <v/>
      </c>
      <c r="BJ310" s="51" t="str">
        <f t="shared" si="217"/>
        <v/>
      </c>
      <c r="BK310" s="51" t="b">
        <f t="shared" si="218"/>
        <v>0</v>
      </c>
      <c r="BL310" s="192"/>
    </row>
    <row r="311" spans="1:64" ht="13.5" thickBot="1" x14ac:dyDescent="0.25">
      <c r="A311" s="185" t="s">
        <v>1893</v>
      </c>
      <c r="B311" s="194" t="s">
        <v>695</v>
      </c>
      <c r="C311" s="194" t="s">
        <v>695</v>
      </c>
      <c r="D311" s="194" t="s">
        <v>695</v>
      </c>
      <c r="E311" s="193" t="s">
        <v>694</v>
      </c>
      <c r="F311" s="160" t="s">
        <v>20</v>
      </c>
      <c r="G311" s="161"/>
      <c r="H311" s="186" t="str">
        <f t="shared" si="176"/>
        <v>N/A</v>
      </c>
      <c r="I311" s="186" t="b">
        <f t="shared" si="177"/>
        <v>1</v>
      </c>
      <c r="J311" s="186" t="str">
        <f t="shared" si="178"/>
        <v>N/A</v>
      </c>
      <c r="K311" s="186" t="b">
        <f t="shared" si="179"/>
        <v>1</v>
      </c>
      <c r="L311" s="186" t="str">
        <f t="shared" si="180"/>
        <v>N/A</v>
      </c>
      <c r="M311" s="186" t="b">
        <f t="shared" si="181"/>
        <v>1</v>
      </c>
      <c r="N311" s="186" t="str">
        <f t="shared" si="182"/>
        <v>Used?</v>
      </c>
      <c r="O311" s="186" t="b">
        <f t="shared" si="183"/>
        <v>0</v>
      </c>
      <c r="P311" s="26" t="s">
        <v>696</v>
      </c>
      <c r="Q311" s="160" t="s">
        <v>20</v>
      </c>
      <c r="R311" s="160" t="s">
        <v>20</v>
      </c>
      <c r="S311" s="26" t="s">
        <v>697</v>
      </c>
      <c r="T311" s="165" t="str">
        <f t="shared" si="184"/>
        <v>Not Used</v>
      </c>
      <c r="U311" s="162"/>
      <c r="V311" s="55"/>
      <c r="W311" s="51" t="b">
        <f t="shared" si="185"/>
        <v>1</v>
      </c>
      <c r="X311" s="51" t="str">
        <f t="shared" si="186"/>
        <v>Not Used</v>
      </c>
      <c r="Y311" s="51" t="str">
        <f t="shared" si="187"/>
        <v>Not Used</v>
      </c>
      <c r="Z311" s="51" t="str">
        <f t="shared" si="188"/>
        <v>Not Used</v>
      </c>
      <c r="AA311" s="51" t="str">
        <f t="shared" si="188"/>
        <v>Not Used</v>
      </c>
      <c r="AB311" s="51" t="str">
        <f t="shared" si="189"/>
        <v>Not Used</v>
      </c>
      <c r="AC311" s="51" t="b">
        <f t="shared" si="190"/>
        <v>1</v>
      </c>
      <c r="AD311" s="51">
        <f t="shared" si="220"/>
        <v>315</v>
      </c>
      <c r="AE311" s="51">
        <f t="shared" si="221"/>
        <v>0</v>
      </c>
      <c r="AF311" s="51" t="b">
        <f t="shared" si="191"/>
        <v>1</v>
      </c>
      <c r="AI311" s="51" t="b">
        <f t="shared" si="192"/>
        <v>0</v>
      </c>
      <c r="AJ311" s="51" t="b">
        <f t="shared" si="193"/>
        <v>0</v>
      </c>
      <c r="AK311" s="51" t="b">
        <f t="shared" si="194"/>
        <v>0</v>
      </c>
      <c r="AL311" s="51" t="b">
        <f t="shared" si="195"/>
        <v>0</v>
      </c>
      <c r="AM311" s="51" t="b">
        <f t="shared" si="196"/>
        <v>0</v>
      </c>
      <c r="AN311" s="51"/>
      <c r="AO311" s="51" t="b">
        <f t="shared" si="197"/>
        <v>0</v>
      </c>
      <c r="AP311" s="51" t="str">
        <f t="shared" si="219"/>
        <v>Not in MMS</v>
      </c>
      <c r="AQ311" s="51" t="b">
        <f t="shared" si="198"/>
        <v>0</v>
      </c>
      <c r="AR311" s="51" t="b">
        <f t="shared" si="199"/>
        <v>0</v>
      </c>
      <c r="AS311" s="51" t="str">
        <f t="shared" si="200"/>
        <v/>
      </c>
      <c r="AT311" s="51" t="str">
        <f t="shared" si="201"/>
        <v/>
      </c>
      <c r="AU311" s="51" t="str">
        <f t="shared" si="202"/>
        <v/>
      </c>
      <c r="AV311" s="51" t="str">
        <f t="shared" si="203"/>
        <v/>
      </c>
      <c r="AW311" s="51" t="str">
        <f t="shared" si="204"/>
        <v/>
      </c>
      <c r="AX311" s="51" t="str">
        <f t="shared" si="205"/>
        <v/>
      </c>
      <c r="AY311" s="51" t="str">
        <f t="shared" si="206"/>
        <v/>
      </c>
      <c r="AZ311" s="51" t="str">
        <f t="shared" si="207"/>
        <v/>
      </c>
      <c r="BA311" s="51" t="str">
        <f t="shared" si="208"/>
        <v/>
      </c>
      <c r="BB311" s="51" t="str">
        <f t="shared" si="209"/>
        <v/>
      </c>
      <c r="BC311" s="51" t="str">
        <f t="shared" si="210"/>
        <v/>
      </c>
      <c r="BD311" s="51" t="str">
        <f t="shared" si="211"/>
        <v/>
      </c>
      <c r="BE311" s="51" t="str">
        <f t="shared" si="212"/>
        <v/>
      </c>
      <c r="BF311" s="51" t="str">
        <f t="shared" si="213"/>
        <v/>
      </c>
      <c r="BG311" s="51" t="str">
        <f t="shared" si="214"/>
        <v/>
      </c>
      <c r="BH311" s="51" t="b">
        <f t="shared" si="215"/>
        <v>0</v>
      </c>
      <c r="BI311" s="51" t="str">
        <f t="shared" si="216"/>
        <v/>
      </c>
      <c r="BJ311" s="51" t="str">
        <f t="shared" si="217"/>
        <v/>
      </c>
      <c r="BK311" s="51" t="b">
        <f t="shared" si="218"/>
        <v>0</v>
      </c>
      <c r="BL311" s="192"/>
    </row>
    <row r="312" spans="1:64" ht="13.5" thickBot="1" x14ac:dyDescent="0.25">
      <c r="A312" s="185" t="s">
        <v>1894</v>
      </c>
      <c r="B312" s="194" t="s">
        <v>695</v>
      </c>
      <c r="C312" s="194" t="s">
        <v>695</v>
      </c>
      <c r="D312" s="194" t="s">
        <v>695</v>
      </c>
      <c r="E312" s="193" t="s">
        <v>694</v>
      </c>
      <c r="F312" s="160" t="s">
        <v>20</v>
      </c>
      <c r="G312" s="161"/>
      <c r="H312" s="186" t="str">
        <f t="shared" si="176"/>
        <v>N/A</v>
      </c>
      <c r="I312" s="186" t="b">
        <f t="shared" si="177"/>
        <v>1</v>
      </c>
      <c r="J312" s="186" t="str">
        <f t="shared" si="178"/>
        <v>N/A</v>
      </c>
      <c r="K312" s="186" t="b">
        <f t="shared" si="179"/>
        <v>1</v>
      </c>
      <c r="L312" s="186" t="str">
        <f t="shared" si="180"/>
        <v>N/A</v>
      </c>
      <c r="M312" s="186" t="b">
        <f t="shared" si="181"/>
        <v>1</v>
      </c>
      <c r="N312" s="186" t="str">
        <f t="shared" si="182"/>
        <v>Used?</v>
      </c>
      <c r="O312" s="186" t="b">
        <f t="shared" si="183"/>
        <v>0</v>
      </c>
      <c r="P312" s="26" t="s">
        <v>696</v>
      </c>
      <c r="Q312" s="160" t="s">
        <v>20</v>
      </c>
      <c r="R312" s="160" t="s">
        <v>20</v>
      </c>
      <c r="S312" s="26" t="s">
        <v>697</v>
      </c>
      <c r="T312" s="165" t="str">
        <f t="shared" si="184"/>
        <v>Not Used</v>
      </c>
      <c r="U312" s="162"/>
      <c r="V312" s="55"/>
      <c r="W312" s="51" t="b">
        <f t="shared" si="185"/>
        <v>1</v>
      </c>
      <c r="X312" s="51" t="str">
        <f t="shared" si="186"/>
        <v>Not Used</v>
      </c>
      <c r="Y312" s="51" t="str">
        <f t="shared" si="187"/>
        <v>Not Used</v>
      </c>
      <c r="Z312" s="51" t="str">
        <f t="shared" si="188"/>
        <v>Not Used</v>
      </c>
      <c r="AA312" s="51" t="str">
        <f t="shared" si="188"/>
        <v>Not Used</v>
      </c>
      <c r="AB312" s="51" t="str">
        <f t="shared" si="189"/>
        <v>Not Used</v>
      </c>
      <c r="AC312" s="51" t="b">
        <f t="shared" si="190"/>
        <v>1</v>
      </c>
      <c r="AD312" s="51">
        <f t="shared" si="220"/>
        <v>315</v>
      </c>
      <c r="AE312" s="51">
        <f t="shared" si="221"/>
        <v>0</v>
      </c>
      <c r="AF312" s="51" t="b">
        <f t="shared" si="191"/>
        <v>1</v>
      </c>
      <c r="AI312" s="51" t="b">
        <f t="shared" si="192"/>
        <v>0</v>
      </c>
      <c r="AJ312" s="51" t="b">
        <f t="shared" si="193"/>
        <v>0</v>
      </c>
      <c r="AK312" s="51" t="b">
        <f t="shared" si="194"/>
        <v>0</v>
      </c>
      <c r="AL312" s="51" t="b">
        <f t="shared" si="195"/>
        <v>0</v>
      </c>
      <c r="AM312" s="51" t="b">
        <f t="shared" si="196"/>
        <v>0</v>
      </c>
      <c r="AN312" s="51"/>
      <c r="AO312" s="51" t="b">
        <f t="shared" si="197"/>
        <v>0</v>
      </c>
      <c r="AP312" s="51" t="str">
        <f t="shared" si="219"/>
        <v>Not in MMS</v>
      </c>
      <c r="AQ312" s="51" t="b">
        <f t="shared" si="198"/>
        <v>0</v>
      </c>
      <c r="AR312" s="51" t="b">
        <f t="shared" si="199"/>
        <v>0</v>
      </c>
      <c r="AS312" s="51" t="str">
        <f t="shared" si="200"/>
        <v/>
      </c>
      <c r="AT312" s="51" t="str">
        <f t="shared" si="201"/>
        <v/>
      </c>
      <c r="AU312" s="51" t="str">
        <f t="shared" si="202"/>
        <v/>
      </c>
      <c r="AV312" s="51" t="str">
        <f t="shared" si="203"/>
        <v/>
      </c>
      <c r="AW312" s="51" t="str">
        <f t="shared" si="204"/>
        <v/>
      </c>
      <c r="AX312" s="51" t="str">
        <f t="shared" si="205"/>
        <v/>
      </c>
      <c r="AY312" s="51" t="str">
        <f t="shared" si="206"/>
        <v/>
      </c>
      <c r="AZ312" s="51" t="str">
        <f t="shared" si="207"/>
        <v/>
      </c>
      <c r="BA312" s="51" t="str">
        <f t="shared" si="208"/>
        <v/>
      </c>
      <c r="BB312" s="51" t="str">
        <f t="shared" si="209"/>
        <v/>
      </c>
      <c r="BC312" s="51" t="str">
        <f t="shared" si="210"/>
        <v/>
      </c>
      <c r="BD312" s="51" t="str">
        <f t="shared" si="211"/>
        <v/>
      </c>
      <c r="BE312" s="51" t="str">
        <f t="shared" si="212"/>
        <v/>
      </c>
      <c r="BF312" s="51" t="str">
        <f t="shared" si="213"/>
        <v/>
      </c>
      <c r="BG312" s="51" t="str">
        <f t="shared" si="214"/>
        <v/>
      </c>
      <c r="BH312" s="51" t="b">
        <f t="shared" si="215"/>
        <v>0</v>
      </c>
      <c r="BI312" s="51" t="str">
        <f t="shared" si="216"/>
        <v/>
      </c>
      <c r="BJ312" s="51" t="str">
        <f t="shared" si="217"/>
        <v/>
      </c>
      <c r="BK312" s="51" t="b">
        <f t="shared" si="218"/>
        <v>0</v>
      </c>
      <c r="BL312" s="192"/>
    </row>
    <row r="313" spans="1:64" ht="13.5" thickBot="1" x14ac:dyDescent="0.25">
      <c r="A313" s="185" t="s">
        <v>1895</v>
      </c>
      <c r="B313" s="194" t="s">
        <v>695</v>
      </c>
      <c r="C313" s="194" t="s">
        <v>695</v>
      </c>
      <c r="D313" s="194" t="s">
        <v>695</v>
      </c>
      <c r="E313" s="193" t="s">
        <v>694</v>
      </c>
      <c r="F313" s="160" t="s">
        <v>20</v>
      </c>
      <c r="G313" s="161"/>
      <c r="H313" s="186" t="str">
        <f t="shared" si="176"/>
        <v>N/A</v>
      </c>
      <c r="I313" s="186" t="b">
        <f t="shared" si="177"/>
        <v>1</v>
      </c>
      <c r="J313" s="186" t="str">
        <f t="shared" si="178"/>
        <v>N/A</v>
      </c>
      <c r="K313" s="186" t="b">
        <f t="shared" si="179"/>
        <v>1</v>
      </c>
      <c r="L313" s="186" t="str">
        <f t="shared" si="180"/>
        <v>N/A</v>
      </c>
      <c r="M313" s="186" t="b">
        <f t="shared" si="181"/>
        <v>1</v>
      </c>
      <c r="N313" s="186" t="str">
        <f t="shared" si="182"/>
        <v>Used?</v>
      </c>
      <c r="O313" s="186" t="b">
        <f t="shared" si="183"/>
        <v>0</v>
      </c>
      <c r="P313" s="26" t="s">
        <v>696</v>
      </c>
      <c r="Q313" s="160" t="s">
        <v>20</v>
      </c>
      <c r="R313" s="160" t="s">
        <v>20</v>
      </c>
      <c r="S313" s="26" t="s">
        <v>697</v>
      </c>
      <c r="T313" s="165" t="str">
        <f t="shared" si="184"/>
        <v>Not Used</v>
      </c>
      <c r="U313" s="162"/>
      <c r="V313" s="55"/>
      <c r="W313" s="51" t="b">
        <f t="shared" si="185"/>
        <v>1</v>
      </c>
      <c r="X313" s="51" t="str">
        <f t="shared" si="186"/>
        <v>Not Used</v>
      </c>
      <c r="Y313" s="51" t="str">
        <f t="shared" si="187"/>
        <v>Not Used</v>
      </c>
      <c r="Z313" s="51" t="str">
        <f t="shared" si="188"/>
        <v>Not Used</v>
      </c>
      <c r="AA313" s="51" t="str">
        <f t="shared" si="188"/>
        <v>Not Used</v>
      </c>
      <c r="AB313" s="51" t="str">
        <f t="shared" si="189"/>
        <v>Not Used</v>
      </c>
      <c r="AC313" s="51" t="b">
        <f t="shared" si="190"/>
        <v>1</v>
      </c>
      <c r="AD313" s="51">
        <f t="shared" si="220"/>
        <v>315</v>
      </c>
      <c r="AE313" s="51">
        <f t="shared" si="221"/>
        <v>0</v>
      </c>
      <c r="AF313" s="51" t="b">
        <f t="shared" si="191"/>
        <v>1</v>
      </c>
      <c r="AI313" s="51" t="b">
        <f t="shared" si="192"/>
        <v>0</v>
      </c>
      <c r="AJ313" s="51" t="b">
        <f t="shared" si="193"/>
        <v>0</v>
      </c>
      <c r="AK313" s="51" t="b">
        <f t="shared" si="194"/>
        <v>0</v>
      </c>
      <c r="AL313" s="51" t="b">
        <f t="shared" si="195"/>
        <v>0</v>
      </c>
      <c r="AM313" s="51" t="b">
        <f t="shared" si="196"/>
        <v>0</v>
      </c>
      <c r="AN313" s="51"/>
      <c r="AO313" s="51" t="b">
        <f t="shared" si="197"/>
        <v>0</v>
      </c>
      <c r="AP313" s="51" t="str">
        <f t="shared" si="219"/>
        <v>Not in MMS</v>
      </c>
      <c r="AQ313" s="51" t="b">
        <f t="shared" si="198"/>
        <v>0</v>
      </c>
      <c r="AR313" s="51" t="b">
        <f t="shared" si="199"/>
        <v>0</v>
      </c>
      <c r="AS313" s="51" t="str">
        <f t="shared" si="200"/>
        <v/>
      </c>
      <c r="AT313" s="51" t="str">
        <f t="shared" si="201"/>
        <v/>
      </c>
      <c r="AU313" s="51" t="str">
        <f t="shared" si="202"/>
        <v/>
      </c>
      <c r="AV313" s="51" t="str">
        <f t="shared" si="203"/>
        <v/>
      </c>
      <c r="AW313" s="51" t="str">
        <f t="shared" si="204"/>
        <v/>
      </c>
      <c r="AX313" s="51" t="str">
        <f t="shared" si="205"/>
        <v/>
      </c>
      <c r="AY313" s="51" t="str">
        <f t="shared" si="206"/>
        <v/>
      </c>
      <c r="AZ313" s="51" t="str">
        <f t="shared" si="207"/>
        <v/>
      </c>
      <c r="BA313" s="51" t="str">
        <f t="shared" si="208"/>
        <v/>
      </c>
      <c r="BB313" s="51" t="str">
        <f t="shared" si="209"/>
        <v/>
      </c>
      <c r="BC313" s="51" t="str">
        <f t="shared" si="210"/>
        <v/>
      </c>
      <c r="BD313" s="51" t="str">
        <f t="shared" si="211"/>
        <v/>
      </c>
      <c r="BE313" s="51" t="str">
        <f t="shared" si="212"/>
        <v/>
      </c>
      <c r="BF313" s="51" t="str">
        <f t="shared" si="213"/>
        <v/>
      </c>
      <c r="BG313" s="51" t="str">
        <f t="shared" si="214"/>
        <v/>
      </c>
      <c r="BH313" s="51" t="b">
        <f t="shared" si="215"/>
        <v>0</v>
      </c>
      <c r="BI313" s="51" t="str">
        <f t="shared" si="216"/>
        <v/>
      </c>
      <c r="BJ313" s="51" t="str">
        <f t="shared" si="217"/>
        <v/>
      </c>
      <c r="BK313" s="51" t="b">
        <f t="shared" si="218"/>
        <v>0</v>
      </c>
      <c r="BL313" s="192"/>
    </row>
    <row r="314" spans="1:64" ht="13.5" thickBot="1" x14ac:dyDescent="0.25">
      <c r="A314" s="185" t="s">
        <v>1896</v>
      </c>
      <c r="B314" s="194" t="s">
        <v>695</v>
      </c>
      <c r="C314" s="194" t="s">
        <v>695</v>
      </c>
      <c r="D314" s="194" t="s">
        <v>695</v>
      </c>
      <c r="E314" s="193" t="s">
        <v>694</v>
      </c>
      <c r="F314" s="160" t="s">
        <v>20</v>
      </c>
      <c r="G314" s="161"/>
      <c r="H314" s="186" t="str">
        <f t="shared" si="176"/>
        <v>N/A</v>
      </c>
      <c r="I314" s="186" t="b">
        <f t="shared" si="177"/>
        <v>1</v>
      </c>
      <c r="J314" s="186" t="str">
        <f t="shared" si="178"/>
        <v>N/A</v>
      </c>
      <c r="K314" s="186" t="b">
        <f t="shared" si="179"/>
        <v>1</v>
      </c>
      <c r="L314" s="186" t="str">
        <f t="shared" si="180"/>
        <v>N/A</v>
      </c>
      <c r="M314" s="186" t="b">
        <f t="shared" si="181"/>
        <v>1</v>
      </c>
      <c r="N314" s="186" t="str">
        <f t="shared" si="182"/>
        <v>Used?</v>
      </c>
      <c r="O314" s="186" t="b">
        <f t="shared" si="183"/>
        <v>0</v>
      </c>
      <c r="P314" s="26" t="s">
        <v>696</v>
      </c>
      <c r="Q314" s="160" t="s">
        <v>20</v>
      </c>
      <c r="R314" s="160" t="s">
        <v>20</v>
      </c>
      <c r="S314" s="26" t="s">
        <v>697</v>
      </c>
      <c r="T314" s="165" t="str">
        <f t="shared" si="184"/>
        <v>Not Used</v>
      </c>
      <c r="U314" s="162"/>
      <c r="V314" s="55"/>
      <c r="W314" s="51" t="b">
        <f t="shared" si="185"/>
        <v>1</v>
      </c>
      <c r="X314" s="51" t="str">
        <f t="shared" si="186"/>
        <v>Not Used</v>
      </c>
      <c r="Y314" s="51" t="str">
        <f t="shared" si="187"/>
        <v>Not Used</v>
      </c>
      <c r="Z314" s="51" t="str">
        <f t="shared" si="188"/>
        <v>Not Used</v>
      </c>
      <c r="AA314" s="51" t="str">
        <f t="shared" si="188"/>
        <v>Not Used</v>
      </c>
      <c r="AB314" s="51" t="str">
        <f t="shared" si="189"/>
        <v>Not Used</v>
      </c>
      <c r="AC314" s="51" t="b">
        <f t="shared" si="190"/>
        <v>1</v>
      </c>
      <c r="AD314" s="51">
        <f t="shared" si="220"/>
        <v>315</v>
      </c>
      <c r="AE314" s="51">
        <f t="shared" si="221"/>
        <v>0</v>
      </c>
      <c r="AF314" s="51" t="b">
        <f t="shared" si="191"/>
        <v>1</v>
      </c>
      <c r="AI314" s="51" t="b">
        <f t="shared" si="192"/>
        <v>0</v>
      </c>
      <c r="AJ314" s="51" t="b">
        <f t="shared" si="193"/>
        <v>0</v>
      </c>
      <c r="AK314" s="51" t="b">
        <f t="shared" si="194"/>
        <v>0</v>
      </c>
      <c r="AL314" s="51" t="b">
        <f t="shared" si="195"/>
        <v>0</v>
      </c>
      <c r="AM314" s="51" t="b">
        <f t="shared" si="196"/>
        <v>0</v>
      </c>
      <c r="AN314" s="51"/>
      <c r="AO314" s="51" t="b">
        <f t="shared" si="197"/>
        <v>0</v>
      </c>
      <c r="AP314" s="51" t="str">
        <f t="shared" si="219"/>
        <v>Not in MMS</v>
      </c>
      <c r="AQ314" s="51" t="b">
        <f t="shared" si="198"/>
        <v>0</v>
      </c>
      <c r="AR314" s="51" t="b">
        <f t="shared" si="199"/>
        <v>0</v>
      </c>
      <c r="AS314" s="51" t="str">
        <f t="shared" si="200"/>
        <v/>
      </c>
      <c r="AT314" s="51" t="str">
        <f t="shared" si="201"/>
        <v/>
      </c>
      <c r="AU314" s="51" t="str">
        <f t="shared" si="202"/>
        <v/>
      </c>
      <c r="AV314" s="51" t="str">
        <f t="shared" si="203"/>
        <v/>
      </c>
      <c r="AW314" s="51" t="str">
        <f t="shared" si="204"/>
        <v/>
      </c>
      <c r="AX314" s="51" t="str">
        <f t="shared" si="205"/>
        <v/>
      </c>
      <c r="AY314" s="51" t="str">
        <f t="shared" si="206"/>
        <v/>
      </c>
      <c r="AZ314" s="51" t="str">
        <f t="shared" si="207"/>
        <v/>
      </c>
      <c r="BA314" s="51" t="str">
        <f t="shared" si="208"/>
        <v/>
      </c>
      <c r="BB314" s="51" t="str">
        <f t="shared" si="209"/>
        <v/>
      </c>
      <c r="BC314" s="51" t="str">
        <f t="shared" si="210"/>
        <v/>
      </c>
      <c r="BD314" s="51" t="str">
        <f t="shared" si="211"/>
        <v/>
      </c>
      <c r="BE314" s="51" t="str">
        <f t="shared" si="212"/>
        <v/>
      </c>
      <c r="BF314" s="51" t="str">
        <f t="shared" si="213"/>
        <v/>
      </c>
      <c r="BG314" s="51" t="str">
        <f t="shared" si="214"/>
        <v/>
      </c>
      <c r="BH314" s="51" t="b">
        <f t="shared" si="215"/>
        <v>0</v>
      </c>
      <c r="BI314" s="51" t="str">
        <f t="shared" si="216"/>
        <v/>
      </c>
      <c r="BJ314" s="51" t="str">
        <f t="shared" si="217"/>
        <v/>
      </c>
      <c r="BK314" s="51" t="b">
        <f t="shared" si="218"/>
        <v>0</v>
      </c>
      <c r="BL314" s="192"/>
    </row>
    <row r="315" spans="1:64" ht="13.5" thickBot="1" x14ac:dyDescent="0.25">
      <c r="A315" s="185" t="s">
        <v>1897</v>
      </c>
      <c r="B315" s="194" t="s">
        <v>695</v>
      </c>
      <c r="C315" s="194" t="s">
        <v>695</v>
      </c>
      <c r="D315" s="194" t="s">
        <v>695</v>
      </c>
      <c r="E315" s="193" t="s">
        <v>694</v>
      </c>
      <c r="F315" s="160" t="s">
        <v>20</v>
      </c>
      <c r="G315" s="161"/>
      <c r="H315" s="186" t="str">
        <f t="shared" si="176"/>
        <v>N/A</v>
      </c>
      <c r="I315" s="186" t="b">
        <f t="shared" si="177"/>
        <v>1</v>
      </c>
      <c r="J315" s="186" t="str">
        <f t="shared" si="178"/>
        <v>N/A</v>
      </c>
      <c r="K315" s="186" t="b">
        <f t="shared" si="179"/>
        <v>1</v>
      </c>
      <c r="L315" s="186" t="str">
        <f t="shared" si="180"/>
        <v>N/A</v>
      </c>
      <c r="M315" s="186" t="b">
        <f t="shared" si="181"/>
        <v>1</v>
      </c>
      <c r="N315" s="186" t="str">
        <f t="shared" si="182"/>
        <v>Used?</v>
      </c>
      <c r="O315" s="186" t="b">
        <f t="shared" si="183"/>
        <v>0</v>
      </c>
      <c r="P315" s="26" t="s">
        <v>696</v>
      </c>
      <c r="Q315" s="160" t="s">
        <v>20</v>
      </c>
      <c r="R315" s="160" t="s">
        <v>20</v>
      </c>
      <c r="S315" s="26" t="s">
        <v>697</v>
      </c>
      <c r="T315" s="165" t="str">
        <f t="shared" si="184"/>
        <v>Not Used</v>
      </c>
      <c r="U315" s="162"/>
      <c r="V315" s="55"/>
      <c r="W315" s="51" t="b">
        <f t="shared" si="185"/>
        <v>1</v>
      </c>
      <c r="X315" s="51" t="str">
        <f t="shared" si="186"/>
        <v>Not Used</v>
      </c>
      <c r="Y315" s="51" t="str">
        <f t="shared" si="187"/>
        <v>Not Used</v>
      </c>
      <c r="Z315" s="51" t="str">
        <f t="shared" si="188"/>
        <v>Not Used</v>
      </c>
      <c r="AA315" s="51" t="str">
        <f t="shared" si="188"/>
        <v>Not Used</v>
      </c>
      <c r="AB315" s="51" t="str">
        <f t="shared" si="189"/>
        <v>Not Used</v>
      </c>
      <c r="AC315" s="51" t="b">
        <f t="shared" si="190"/>
        <v>1</v>
      </c>
      <c r="AD315" s="51">
        <f t="shared" si="220"/>
        <v>315</v>
      </c>
      <c r="AE315" s="51">
        <f t="shared" si="221"/>
        <v>0</v>
      </c>
      <c r="AF315" s="51" t="b">
        <f t="shared" si="191"/>
        <v>1</v>
      </c>
      <c r="AI315" s="51" t="b">
        <f t="shared" si="192"/>
        <v>0</v>
      </c>
      <c r="AJ315" s="51" t="b">
        <f t="shared" si="193"/>
        <v>0</v>
      </c>
      <c r="AK315" s="51" t="b">
        <f t="shared" si="194"/>
        <v>0</v>
      </c>
      <c r="AL315" s="51" t="b">
        <f t="shared" si="195"/>
        <v>0</v>
      </c>
      <c r="AM315" s="51" t="b">
        <f t="shared" si="196"/>
        <v>0</v>
      </c>
      <c r="AN315" s="51"/>
      <c r="AO315" s="51" t="b">
        <f t="shared" si="197"/>
        <v>0</v>
      </c>
      <c r="AP315" s="51" t="str">
        <f t="shared" si="219"/>
        <v>Not in MMS</v>
      </c>
      <c r="AQ315" s="51" t="b">
        <f t="shared" si="198"/>
        <v>0</v>
      </c>
      <c r="AR315" s="51" t="b">
        <f t="shared" si="199"/>
        <v>0</v>
      </c>
      <c r="AS315" s="51" t="str">
        <f t="shared" si="200"/>
        <v/>
      </c>
      <c r="AT315" s="51" t="str">
        <f t="shared" si="201"/>
        <v/>
      </c>
      <c r="AU315" s="51" t="str">
        <f t="shared" si="202"/>
        <v/>
      </c>
      <c r="AV315" s="51" t="str">
        <f t="shared" si="203"/>
        <v/>
      </c>
      <c r="AW315" s="51" t="str">
        <f t="shared" si="204"/>
        <v/>
      </c>
      <c r="AX315" s="51" t="str">
        <f t="shared" si="205"/>
        <v/>
      </c>
      <c r="AY315" s="51" t="str">
        <f t="shared" si="206"/>
        <v/>
      </c>
      <c r="AZ315" s="51" t="str">
        <f t="shared" si="207"/>
        <v/>
      </c>
      <c r="BA315" s="51" t="str">
        <f t="shared" si="208"/>
        <v/>
      </c>
      <c r="BB315" s="51" t="str">
        <f t="shared" si="209"/>
        <v/>
      </c>
      <c r="BC315" s="51" t="str">
        <f t="shared" si="210"/>
        <v/>
      </c>
      <c r="BD315" s="51" t="str">
        <f t="shared" si="211"/>
        <v/>
      </c>
      <c r="BE315" s="51" t="str">
        <f t="shared" si="212"/>
        <v/>
      </c>
      <c r="BF315" s="51" t="str">
        <f t="shared" si="213"/>
        <v/>
      </c>
      <c r="BG315" s="51" t="str">
        <f t="shared" si="214"/>
        <v/>
      </c>
      <c r="BH315" s="51" t="b">
        <f t="shared" si="215"/>
        <v>0</v>
      </c>
      <c r="BI315" s="51" t="str">
        <f t="shared" si="216"/>
        <v/>
      </c>
      <c r="BJ315" s="51" t="str">
        <f t="shared" si="217"/>
        <v/>
      </c>
      <c r="BK315" s="51" t="b">
        <f t="shared" si="218"/>
        <v>0</v>
      </c>
      <c r="BL315" s="192"/>
    </row>
    <row r="316" spans="1:64" ht="13.5" thickBot="1" x14ac:dyDescent="0.25">
      <c r="A316" s="185" t="s">
        <v>1898</v>
      </c>
      <c r="B316" s="194" t="s">
        <v>695</v>
      </c>
      <c r="C316" s="194" t="s">
        <v>695</v>
      </c>
      <c r="D316" s="194" t="s">
        <v>695</v>
      </c>
      <c r="E316" s="193" t="s">
        <v>694</v>
      </c>
      <c r="F316" s="160" t="s">
        <v>20</v>
      </c>
      <c r="G316" s="161"/>
      <c r="H316" s="186" t="str">
        <f t="shared" si="176"/>
        <v>N/A</v>
      </c>
      <c r="I316" s="186" t="b">
        <f t="shared" si="177"/>
        <v>1</v>
      </c>
      <c r="J316" s="186" t="str">
        <f t="shared" si="178"/>
        <v>N/A</v>
      </c>
      <c r="K316" s="186" t="b">
        <f t="shared" si="179"/>
        <v>1</v>
      </c>
      <c r="L316" s="186" t="str">
        <f t="shared" si="180"/>
        <v>N/A</v>
      </c>
      <c r="M316" s="186" t="b">
        <f t="shared" si="181"/>
        <v>1</v>
      </c>
      <c r="N316" s="186" t="str">
        <f t="shared" si="182"/>
        <v>Used?</v>
      </c>
      <c r="O316" s="186" t="b">
        <f t="shared" si="183"/>
        <v>0</v>
      </c>
      <c r="P316" s="26" t="s">
        <v>696</v>
      </c>
      <c r="Q316" s="160" t="s">
        <v>20</v>
      </c>
      <c r="R316" s="160" t="s">
        <v>20</v>
      </c>
      <c r="S316" s="26" t="s">
        <v>697</v>
      </c>
      <c r="T316" s="165" t="str">
        <f t="shared" si="184"/>
        <v>Not Used</v>
      </c>
      <c r="U316" s="162"/>
      <c r="V316" s="55"/>
      <c r="W316" s="51" t="b">
        <f t="shared" si="185"/>
        <v>1</v>
      </c>
      <c r="X316" s="51" t="str">
        <f t="shared" si="186"/>
        <v>Not Used</v>
      </c>
      <c r="Y316" s="51" t="str">
        <f t="shared" si="187"/>
        <v>Not Used</v>
      </c>
      <c r="Z316" s="51" t="str">
        <f t="shared" si="188"/>
        <v>Not Used</v>
      </c>
      <c r="AA316" s="51" t="str">
        <f t="shared" si="188"/>
        <v>Not Used</v>
      </c>
      <c r="AB316" s="51" t="str">
        <f t="shared" si="189"/>
        <v>Not Used</v>
      </c>
      <c r="AC316" s="51" t="b">
        <f t="shared" si="190"/>
        <v>1</v>
      </c>
      <c r="AD316" s="51">
        <f t="shared" si="220"/>
        <v>315</v>
      </c>
      <c r="AE316" s="51">
        <f t="shared" si="221"/>
        <v>0</v>
      </c>
      <c r="AF316" s="51" t="b">
        <f t="shared" si="191"/>
        <v>1</v>
      </c>
      <c r="AI316" s="51" t="b">
        <f t="shared" si="192"/>
        <v>0</v>
      </c>
      <c r="AJ316" s="51" t="b">
        <f t="shared" si="193"/>
        <v>0</v>
      </c>
      <c r="AK316" s="51" t="b">
        <f t="shared" si="194"/>
        <v>0</v>
      </c>
      <c r="AL316" s="51" t="b">
        <f t="shared" si="195"/>
        <v>0</v>
      </c>
      <c r="AM316" s="51" t="b">
        <f t="shared" si="196"/>
        <v>0</v>
      </c>
      <c r="AN316" s="51"/>
      <c r="AO316" s="51" t="b">
        <f t="shared" si="197"/>
        <v>0</v>
      </c>
      <c r="AP316" s="51" t="str">
        <f t="shared" si="219"/>
        <v>Not in MMS</v>
      </c>
      <c r="AQ316" s="51" t="b">
        <f t="shared" si="198"/>
        <v>0</v>
      </c>
      <c r="AR316" s="51" t="b">
        <f t="shared" si="199"/>
        <v>0</v>
      </c>
      <c r="AS316" s="51" t="str">
        <f t="shared" si="200"/>
        <v/>
      </c>
      <c r="AT316" s="51" t="str">
        <f t="shared" si="201"/>
        <v/>
      </c>
      <c r="AU316" s="51" t="str">
        <f t="shared" si="202"/>
        <v/>
      </c>
      <c r="AV316" s="51" t="str">
        <f t="shared" si="203"/>
        <v/>
      </c>
      <c r="AW316" s="51" t="str">
        <f t="shared" si="204"/>
        <v/>
      </c>
      <c r="AX316" s="51" t="str">
        <f t="shared" si="205"/>
        <v/>
      </c>
      <c r="AY316" s="51" t="str">
        <f t="shared" si="206"/>
        <v/>
      </c>
      <c r="AZ316" s="51" t="str">
        <f t="shared" si="207"/>
        <v/>
      </c>
      <c r="BA316" s="51" t="str">
        <f t="shared" si="208"/>
        <v/>
      </c>
      <c r="BB316" s="51" t="str">
        <f t="shared" si="209"/>
        <v/>
      </c>
      <c r="BC316" s="51" t="str">
        <f t="shared" si="210"/>
        <v/>
      </c>
      <c r="BD316" s="51" t="str">
        <f t="shared" si="211"/>
        <v/>
      </c>
      <c r="BE316" s="51" t="str">
        <f t="shared" si="212"/>
        <v/>
      </c>
      <c r="BF316" s="51" t="str">
        <f t="shared" si="213"/>
        <v/>
      </c>
      <c r="BG316" s="51" t="str">
        <f t="shared" si="214"/>
        <v/>
      </c>
      <c r="BH316" s="51" t="b">
        <f t="shared" si="215"/>
        <v>0</v>
      </c>
      <c r="BI316" s="51" t="str">
        <f t="shared" si="216"/>
        <v/>
      </c>
      <c r="BJ316" s="51" t="str">
        <f t="shared" si="217"/>
        <v/>
      </c>
      <c r="BK316" s="51" t="b">
        <f t="shared" si="218"/>
        <v>0</v>
      </c>
      <c r="BL316" s="192"/>
    </row>
    <row r="317" spans="1:64" ht="13.5" thickBot="1" x14ac:dyDescent="0.25">
      <c r="A317" s="185" t="s">
        <v>1899</v>
      </c>
      <c r="B317" s="194" t="s">
        <v>695</v>
      </c>
      <c r="C317" s="194" t="s">
        <v>695</v>
      </c>
      <c r="D317" s="194" t="s">
        <v>695</v>
      </c>
      <c r="E317" s="193" t="s">
        <v>694</v>
      </c>
      <c r="F317" s="160" t="s">
        <v>20</v>
      </c>
      <c r="G317" s="161"/>
      <c r="H317" s="186" t="str">
        <f t="shared" si="176"/>
        <v>N/A</v>
      </c>
      <c r="I317" s="186" t="b">
        <f t="shared" si="177"/>
        <v>1</v>
      </c>
      <c r="J317" s="186" t="str">
        <f t="shared" si="178"/>
        <v>N/A</v>
      </c>
      <c r="K317" s="186" t="b">
        <f t="shared" si="179"/>
        <v>1</v>
      </c>
      <c r="L317" s="186" t="str">
        <f t="shared" si="180"/>
        <v>N/A</v>
      </c>
      <c r="M317" s="186" t="b">
        <f t="shared" si="181"/>
        <v>1</v>
      </c>
      <c r="N317" s="186" t="str">
        <f t="shared" si="182"/>
        <v>Used?</v>
      </c>
      <c r="O317" s="186" t="b">
        <f t="shared" si="183"/>
        <v>0</v>
      </c>
      <c r="P317" s="26" t="s">
        <v>696</v>
      </c>
      <c r="Q317" s="160" t="s">
        <v>20</v>
      </c>
      <c r="R317" s="160" t="s">
        <v>20</v>
      </c>
      <c r="S317" s="26" t="s">
        <v>697</v>
      </c>
      <c r="T317" s="165" t="str">
        <f t="shared" si="184"/>
        <v>Not Used</v>
      </c>
      <c r="U317" s="162"/>
      <c r="V317" s="55"/>
      <c r="W317" s="51" t="b">
        <f t="shared" si="185"/>
        <v>1</v>
      </c>
      <c r="X317" s="51" t="str">
        <f t="shared" si="186"/>
        <v>Not Used</v>
      </c>
      <c r="Y317" s="51" t="str">
        <f t="shared" si="187"/>
        <v>Not Used</v>
      </c>
      <c r="Z317" s="51" t="str">
        <f t="shared" si="188"/>
        <v>Not Used</v>
      </c>
      <c r="AA317" s="51" t="str">
        <f t="shared" si="188"/>
        <v>Not Used</v>
      </c>
      <c r="AB317" s="51" t="str">
        <f t="shared" si="189"/>
        <v>Not Used</v>
      </c>
      <c r="AC317" s="51" t="b">
        <f t="shared" si="190"/>
        <v>1</v>
      </c>
      <c r="AD317" s="51">
        <f t="shared" si="220"/>
        <v>315</v>
      </c>
      <c r="AE317" s="51">
        <f t="shared" si="221"/>
        <v>0</v>
      </c>
      <c r="AF317" s="51" t="b">
        <f t="shared" si="191"/>
        <v>1</v>
      </c>
      <c r="AI317" s="51" t="b">
        <f t="shared" si="192"/>
        <v>0</v>
      </c>
      <c r="AJ317" s="51" t="b">
        <f t="shared" si="193"/>
        <v>0</v>
      </c>
      <c r="AK317" s="51" t="b">
        <f t="shared" si="194"/>
        <v>0</v>
      </c>
      <c r="AL317" s="51" t="b">
        <f t="shared" si="195"/>
        <v>0</v>
      </c>
      <c r="AM317" s="51" t="b">
        <f t="shared" si="196"/>
        <v>0</v>
      </c>
      <c r="AN317" s="51"/>
      <c r="AO317" s="51" t="b">
        <f t="shared" si="197"/>
        <v>0</v>
      </c>
      <c r="AP317" s="51" t="str">
        <f t="shared" si="219"/>
        <v>Not in MMS</v>
      </c>
      <c r="AQ317" s="51" t="b">
        <f t="shared" si="198"/>
        <v>0</v>
      </c>
      <c r="AR317" s="51" t="b">
        <f t="shared" si="199"/>
        <v>0</v>
      </c>
      <c r="AS317" s="51" t="str">
        <f t="shared" si="200"/>
        <v/>
      </c>
      <c r="AT317" s="51" t="str">
        <f t="shared" si="201"/>
        <v/>
      </c>
      <c r="AU317" s="51" t="str">
        <f t="shared" si="202"/>
        <v/>
      </c>
      <c r="AV317" s="51" t="str">
        <f t="shared" si="203"/>
        <v/>
      </c>
      <c r="AW317" s="51" t="str">
        <f t="shared" si="204"/>
        <v/>
      </c>
      <c r="AX317" s="51" t="str">
        <f t="shared" si="205"/>
        <v/>
      </c>
      <c r="AY317" s="51" t="str">
        <f t="shared" si="206"/>
        <v/>
      </c>
      <c r="AZ317" s="51" t="str">
        <f t="shared" si="207"/>
        <v/>
      </c>
      <c r="BA317" s="51" t="str">
        <f t="shared" si="208"/>
        <v/>
      </c>
      <c r="BB317" s="51" t="str">
        <f t="shared" si="209"/>
        <v/>
      </c>
      <c r="BC317" s="51" t="str">
        <f t="shared" si="210"/>
        <v/>
      </c>
      <c r="BD317" s="51" t="str">
        <f t="shared" si="211"/>
        <v/>
      </c>
      <c r="BE317" s="51" t="str">
        <f t="shared" si="212"/>
        <v/>
      </c>
      <c r="BF317" s="51" t="str">
        <f t="shared" si="213"/>
        <v/>
      </c>
      <c r="BG317" s="51" t="str">
        <f t="shared" si="214"/>
        <v/>
      </c>
      <c r="BH317" s="51" t="b">
        <f t="shared" si="215"/>
        <v>0</v>
      </c>
      <c r="BI317" s="51" t="str">
        <f t="shared" si="216"/>
        <v/>
      </c>
      <c r="BJ317" s="51" t="str">
        <f t="shared" si="217"/>
        <v/>
      </c>
      <c r="BK317" s="51" t="b">
        <f t="shared" si="218"/>
        <v>0</v>
      </c>
      <c r="BL317" s="192"/>
    </row>
    <row r="318" spans="1:64" ht="13.5" thickBot="1" x14ac:dyDescent="0.25">
      <c r="A318" s="185" t="s">
        <v>1900</v>
      </c>
      <c r="B318" s="194" t="s">
        <v>695</v>
      </c>
      <c r="C318" s="194" t="s">
        <v>695</v>
      </c>
      <c r="D318" s="194" t="s">
        <v>695</v>
      </c>
      <c r="E318" s="193" t="s">
        <v>694</v>
      </c>
      <c r="F318" s="160" t="s">
        <v>20</v>
      </c>
      <c r="G318" s="161"/>
      <c r="H318" s="186" t="str">
        <f t="shared" si="176"/>
        <v>N/A</v>
      </c>
      <c r="I318" s="186" t="b">
        <f t="shared" si="177"/>
        <v>1</v>
      </c>
      <c r="J318" s="186" t="str">
        <f t="shared" si="178"/>
        <v>N/A</v>
      </c>
      <c r="K318" s="186" t="b">
        <f t="shared" si="179"/>
        <v>1</v>
      </c>
      <c r="L318" s="186" t="str">
        <f t="shared" si="180"/>
        <v>N/A</v>
      </c>
      <c r="M318" s="186" t="b">
        <f t="shared" si="181"/>
        <v>1</v>
      </c>
      <c r="N318" s="186" t="str">
        <f t="shared" si="182"/>
        <v>Used?</v>
      </c>
      <c r="O318" s="186" t="b">
        <f t="shared" si="183"/>
        <v>0</v>
      </c>
      <c r="P318" s="26" t="s">
        <v>696</v>
      </c>
      <c r="Q318" s="160" t="s">
        <v>20</v>
      </c>
      <c r="R318" s="160" t="s">
        <v>20</v>
      </c>
      <c r="S318" s="26" t="s">
        <v>697</v>
      </c>
      <c r="T318" s="165" t="str">
        <f t="shared" si="184"/>
        <v>Not Used</v>
      </c>
      <c r="U318" s="162"/>
      <c r="V318" s="55"/>
      <c r="W318" s="51" t="b">
        <f t="shared" si="185"/>
        <v>1</v>
      </c>
      <c r="X318" s="51" t="str">
        <f t="shared" si="186"/>
        <v>Not Used</v>
      </c>
      <c r="Y318" s="51" t="str">
        <f t="shared" si="187"/>
        <v>Not Used</v>
      </c>
      <c r="Z318" s="51" t="str">
        <f t="shared" si="188"/>
        <v>Not Used</v>
      </c>
      <c r="AA318" s="51" t="str">
        <f t="shared" si="188"/>
        <v>Not Used</v>
      </c>
      <c r="AB318" s="51" t="str">
        <f t="shared" si="189"/>
        <v>Not Used</v>
      </c>
      <c r="AC318" s="51" t="b">
        <f t="shared" si="190"/>
        <v>1</v>
      </c>
      <c r="AD318" s="51">
        <f t="shared" si="220"/>
        <v>315</v>
      </c>
      <c r="AE318" s="51">
        <f t="shared" si="221"/>
        <v>0</v>
      </c>
      <c r="AF318" s="51" t="b">
        <f t="shared" si="191"/>
        <v>1</v>
      </c>
      <c r="AI318" s="51" t="b">
        <f t="shared" si="192"/>
        <v>0</v>
      </c>
      <c r="AJ318" s="51" t="b">
        <f t="shared" si="193"/>
        <v>0</v>
      </c>
      <c r="AK318" s="51" t="b">
        <f t="shared" si="194"/>
        <v>0</v>
      </c>
      <c r="AL318" s="51" t="b">
        <f t="shared" si="195"/>
        <v>0</v>
      </c>
      <c r="AM318" s="51" t="b">
        <f t="shared" si="196"/>
        <v>0</v>
      </c>
      <c r="AN318" s="51"/>
      <c r="AO318" s="51" t="b">
        <f t="shared" si="197"/>
        <v>0</v>
      </c>
      <c r="AP318" s="51" t="str">
        <f t="shared" si="219"/>
        <v>Not in MMS</v>
      </c>
      <c r="AQ318" s="51" t="b">
        <f t="shared" si="198"/>
        <v>0</v>
      </c>
      <c r="AR318" s="51" t="b">
        <f t="shared" si="199"/>
        <v>0</v>
      </c>
      <c r="AS318" s="51" t="str">
        <f t="shared" si="200"/>
        <v/>
      </c>
      <c r="AT318" s="51" t="str">
        <f t="shared" si="201"/>
        <v/>
      </c>
      <c r="AU318" s="51" t="str">
        <f t="shared" si="202"/>
        <v/>
      </c>
      <c r="AV318" s="51" t="str">
        <f t="shared" si="203"/>
        <v/>
      </c>
      <c r="AW318" s="51" t="str">
        <f t="shared" si="204"/>
        <v/>
      </c>
      <c r="AX318" s="51" t="str">
        <f t="shared" si="205"/>
        <v/>
      </c>
      <c r="AY318" s="51" t="str">
        <f t="shared" si="206"/>
        <v/>
      </c>
      <c r="AZ318" s="51" t="str">
        <f t="shared" si="207"/>
        <v/>
      </c>
      <c r="BA318" s="51" t="str">
        <f t="shared" si="208"/>
        <v/>
      </c>
      <c r="BB318" s="51" t="str">
        <f t="shared" si="209"/>
        <v/>
      </c>
      <c r="BC318" s="51" t="str">
        <f t="shared" si="210"/>
        <v/>
      </c>
      <c r="BD318" s="51" t="str">
        <f t="shared" si="211"/>
        <v/>
      </c>
      <c r="BE318" s="51" t="str">
        <f t="shared" si="212"/>
        <v/>
      </c>
      <c r="BF318" s="51" t="str">
        <f t="shared" si="213"/>
        <v/>
      </c>
      <c r="BG318" s="51" t="str">
        <f t="shared" si="214"/>
        <v/>
      </c>
      <c r="BH318" s="51" t="b">
        <f t="shared" si="215"/>
        <v>0</v>
      </c>
      <c r="BI318" s="51" t="str">
        <f t="shared" si="216"/>
        <v/>
      </c>
      <c r="BJ318" s="51" t="str">
        <f t="shared" si="217"/>
        <v/>
      </c>
      <c r="BK318" s="51" t="b">
        <f t="shared" si="218"/>
        <v>0</v>
      </c>
      <c r="BL318" s="192"/>
    </row>
    <row r="319" spans="1:64" ht="13.5" thickBot="1" x14ac:dyDescent="0.25">
      <c r="A319" s="185" t="s">
        <v>1001</v>
      </c>
      <c r="B319" s="194" t="s">
        <v>695</v>
      </c>
      <c r="C319" s="194" t="s">
        <v>695</v>
      </c>
      <c r="D319" s="194" t="s">
        <v>695</v>
      </c>
      <c r="E319" s="193" t="s">
        <v>694</v>
      </c>
      <c r="F319" s="160" t="s">
        <v>20</v>
      </c>
      <c r="G319" s="161"/>
      <c r="H319" s="186" t="str">
        <f t="shared" si="176"/>
        <v>N/A</v>
      </c>
      <c r="I319" s="186" t="b">
        <f t="shared" si="177"/>
        <v>1</v>
      </c>
      <c r="J319" s="186" t="str">
        <f t="shared" si="178"/>
        <v>N/A</v>
      </c>
      <c r="K319" s="186" t="b">
        <f t="shared" si="179"/>
        <v>1</v>
      </c>
      <c r="L319" s="186" t="str">
        <f t="shared" si="180"/>
        <v>N/A</v>
      </c>
      <c r="M319" s="186" t="b">
        <f t="shared" si="181"/>
        <v>1</v>
      </c>
      <c r="N319" s="186" t="str">
        <f t="shared" si="182"/>
        <v>Used?</v>
      </c>
      <c r="O319" s="186" t="b">
        <f t="shared" si="183"/>
        <v>0</v>
      </c>
      <c r="P319" s="26" t="s">
        <v>696</v>
      </c>
      <c r="Q319" s="160" t="s">
        <v>20</v>
      </c>
      <c r="R319" s="160" t="s">
        <v>20</v>
      </c>
      <c r="S319" s="26" t="s">
        <v>697</v>
      </c>
      <c r="T319" s="165" t="str">
        <f t="shared" si="184"/>
        <v>Not Used</v>
      </c>
      <c r="U319" s="162"/>
      <c r="V319" s="55"/>
      <c r="W319" s="51" t="b">
        <f t="shared" si="185"/>
        <v>1</v>
      </c>
      <c r="X319" s="51" t="str">
        <f t="shared" si="186"/>
        <v>Not Used</v>
      </c>
      <c r="Y319" s="51" t="str">
        <f t="shared" si="187"/>
        <v>Not Used</v>
      </c>
      <c r="Z319" s="51" t="str">
        <f t="shared" si="188"/>
        <v>Not Used</v>
      </c>
      <c r="AA319" s="51" t="str">
        <f t="shared" si="188"/>
        <v>Not Used</v>
      </c>
      <c r="AB319" s="51" t="str">
        <f t="shared" si="189"/>
        <v>Not Used</v>
      </c>
      <c r="AC319" s="51" t="b">
        <f t="shared" si="190"/>
        <v>1</v>
      </c>
      <c r="AD319" s="51">
        <f>COUNTIF($X$5:$X$319, "Not Used")</f>
        <v>315</v>
      </c>
      <c r="AE319" s="51">
        <f>COUNTIF($X$5:$X$319, "TRUE")</f>
        <v>0</v>
      </c>
      <c r="AF319" s="51" t="b">
        <f t="shared" si="191"/>
        <v>1</v>
      </c>
      <c r="AI319" s="51" t="b">
        <f t="shared" si="192"/>
        <v>0</v>
      </c>
      <c r="AJ319" s="51" t="b">
        <f t="shared" si="193"/>
        <v>0</v>
      </c>
      <c r="AK319" s="51" t="b">
        <f t="shared" si="194"/>
        <v>0</v>
      </c>
      <c r="AL319" s="51" t="b">
        <f t="shared" si="195"/>
        <v>0</v>
      </c>
      <c r="AM319" s="51" t="b">
        <f t="shared" si="196"/>
        <v>0</v>
      </c>
      <c r="AN319" s="51"/>
      <c r="AO319" s="51" t="b">
        <f t="shared" si="197"/>
        <v>0</v>
      </c>
      <c r="AP319" s="51" t="str">
        <f t="shared" si="219"/>
        <v>Not in MMS</v>
      </c>
      <c r="AQ319" s="51" t="b">
        <f t="shared" si="198"/>
        <v>0</v>
      </c>
      <c r="AR319" s="51" t="b">
        <f t="shared" si="199"/>
        <v>0</v>
      </c>
      <c r="AS319" s="51" t="str">
        <f t="shared" si="200"/>
        <v/>
      </c>
      <c r="AT319" s="51" t="str">
        <f t="shared" si="201"/>
        <v/>
      </c>
      <c r="AU319" s="51" t="str">
        <f t="shared" si="202"/>
        <v/>
      </c>
      <c r="AV319" s="51" t="str">
        <f t="shared" si="203"/>
        <v/>
      </c>
      <c r="AW319" s="51" t="str">
        <f t="shared" si="204"/>
        <v/>
      </c>
      <c r="AX319" s="51" t="str">
        <f t="shared" si="205"/>
        <v/>
      </c>
      <c r="AY319" s="51" t="str">
        <f t="shared" si="206"/>
        <v/>
      </c>
      <c r="AZ319" s="51" t="str">
        <f t="shared" si="207"/>
        <v/>
      </c>
      <c r="BA319" s="51" t="str">
        <f t="shared" si="208"/>
        <v/>
      </c>
      <c r="BB319" s="51" t="str">
        <f t="shared" si="209"/>
        <v/>
      </c>
      <c r="BC319" s="51" t="str">
        <f t="shared" si="210"/>
        <v/>
      </c>
      <c r="BD319" s="51" t="str">
        <f t="shared" si="211"/>
        <v/>
      </c>
      <c r="BE319" s="51" t="str">
        <f t="shared" si="212"/>
        <v/>
      </c>
      <c r="BF319" s="51" t="str">
        <f t="shared" si="213"/>
        <v/>
      </c>
      <c r="BG319" s="51" t="str">
        <f t="shared" si="214"/>
        <v/>
      </c>
      <c r="BH319" s="51" t="b">
        <f t="shared" si="215"/>
        <v>0</v>
      </c>
      <c r="BI319" s="51" t="str">
        <f t="shared" si="216"/>
        <v/>
      </c>
      <c r="BJ319" s="51" t="str">
        <f t="shared" si="217"/>
        <v/>
      </c>
      <c r="BK319" s="51" t="b">
        <f t="shared" si="218"/>
        <v>0</v>
      </c>
      <c r="BL319" s="192"/>
    </row>
    <row r="320" spans="1:64" ht="13.5" thickBot="1" x14ac:dyDescent="0.25">
      <c r="A320" s="185" t="s">
        <v>1002</v>
      </c>
      <c r="B320" s="194" t="s">
        <v>695</v>
      </c>
      <c r="C320" s="194" t="s">
        <v>695</v>
      </c>
      <c r="D320" s="194" t="s">
        <v>695</v>
      </c>
      <c r="E320" s="193" t="s">
        <v>694</v>
      </c>
      <c r="F320" s="160" t="s">
        <v>20</v>
      </c>
      <c r="G320" s="161"/>
      <c r="H320" s="186" t="str">
        <f t="shared" si="176"/>
        <v>N/A</v>
      </c>
      <c r="I320" s="186" t="b">
        <f t="shared" si="177"/>
        <v>1</v>
      </c>
      <c r="J320" s="186" t="str">
        <f t="shared" si="178"/>
        <v>N/A</v>
      </c>
      <c r="K320" s="186" t="b">
        <f t="shared" si="179"/>
        <v>1</v>
      </c>
      <c r="L320" s="186" t="str">
        <f t="shared" si="180"/>
        <v>N/A</v>
      </c>
      <c r="M320" s="186" t="b">
        <f t="shared" si="181"/>
        <v>1</v>
      </c>
      <c r="N320" s="186" t="str">
        <f t="shared" si="182"/>
        <v>Used?</v>
      </c>
      <c r="O320" s="186" t="b">
        <f t="shared" si="183"/>
        <v>0</v>
      </c>
      <c r="P320" s="26" t="s">
        <v>696</v>
      </c>
      <c r="Q320" s="160" t="s">
        <v>20</v>
      </c>
      <c r="R320" s="160" t="s">
        <v>20</v>
      </c>
      <c r="S320" s="26" t="s">
        <v>697</v>
      </c>
      <c r="T320" s="165" t="str">
        <f t="shared" si="184"/>
        <v>Not Used</v>
      </c>
      <c r="U320" s="162"/>
      <c r="V320" s="55"/>
      <c r="W320" s="51" t="b">
        <f t="shared" si="185"/>
        <v>1</v>
      </c>
      <c r="X320" s="51" t="str">
        <f t="shared" si="186"/>
        <v>Not Used</v>
      </c>
      <c r="Y320" s="51" t="str">
        <f t="shared" si="187"/>
        <v>Not Used</v>
      </c>
      <c r="Z320" s="51" t="str">
        <f t="shared" si="188"/>
        <v>Not Used</v>
      </c>
      <c r="AA320" s="51" t="str">
        <f t="shared" si="188"/>
        <v>Not Used</v>
      </c>
      <c r="AB320" s="51" t="str">
        <f t="shared" si="189"/>
        <v>Not Used</v>
      </c>
      <c r="AC320" s="51" t="b">
        <f t="shared" si="190"/>
        <v>1</v>
      </c>
      <c r="AD320" s="51">
        <f>COUNTIF($X$5:$X$320, "Not Used")</f>
        <v>316</v>
      </c>
      <c r="AE320" s="51">
        <f>COUNTIF($X$5:$X$320, "TRUE")</f>
        <v>0</v>
      </c>
      <c r="AF320" s="51" t="b">
        <f t="shared" si="191"/>
        <v>1</v>
      </c>
      <c r="AI320" s="51" t="b">
        <f t="shared" si="192"/>
        <v>0</v>
      </c>
      <c r="AJ320" s="51" t="b">
        <f t="shared" si="193"/>
        <v>0</v>
      </c>
      <c r="AK320" s="51" t="b">
        <f t="shared" si="194"/>
        <v>0</v>
      </c>
      <c r="AL320" s="51" t="b">
        <f t="shared" si="195"/>
        <v>0</v>
      </c>
      <c r="AM320" s="51" t="b">
        <f t="shared" si="196"/>
        <v>0</v>
      </c>
      <c r="AN320" s="51"/>
      <c r="AO320" s="51" t="b">
        <f t="shared" si="197"/>
        <v>0</v>
      </c>
      <c r="AP320" s="51" t="str">
        <f t="shared" si="219"/>
        <v>Not in MMS</v>
      </c>
      <c r="AQ320" s="51" t="b">
        <f t="shared" si="198"/>
        <v>0</v>
      </c>
      <c r="AR320" s="51" t="b">
        <f t="shared" si="199"/>
        <v>0</v>
      </c>
      <c r="AS320" s="51" t="str">
        <f t="shared" si="200"/>
        <v/>
      </c>
      <c r="AT320" s="51" t="str">
        <f t="shared" si="201"/>
        <v/>
      </c>
      <c r="AU320" s="51" t="str">
        <f t="shared" si="202"/>
        <v/>
      </c>
      <c r="AV320" s="51" t="str">
        <f t="shared" si="203"/>
        <v/>
      </c>
      <c r="AW320" s="51" t="str">
        <f t="shared" si="204"/>
        <v/>
      </c>
      <c r="AX320" s="51" t="str">
        <f t="shared" si="205"/>
        <v/>
      </c>
      <c r="AY320" s="51" t="str">
        <f t="shared" si="206"/>
        <v/>
      </c>
      <c r="AZ320" s="51" t="str">
        <f t="shared" si="207"/>
        <v/>
      </c>
      <c r="BA320" s="51" t="str">
        <f t="shared" si="208"/>
        <v/>
      </c>
      <c r="BB320" s="51" t="str">
        <f t="shared" si="209"/>
        <v/>
      </c>
      <c r="BC320" s="51" t="str">
        <f t="shared" si="210"/>
        <v/>
      </c>
      <c r="BD320" s="51" t="str">
        <f t="shared" si="211"/>
        <v/>
      </c>
      <c r="BE320" s="51" t="str">
        <f t="shared" si="212"/>
        <v/>
      </c>
      <c r="BF320" s="51" t="str">
        <f t="shared" si="213"/>
        <v/>
      </c>
      <c r="BG320" s="51" t="str">
        <f t="shared" si="214"/>
        <v/>
      </c>
      <c r="BH320" s="51" t="b">
        <f t="shared" si="215"/>
        <v>0</v>
      </c>
      <c r="BI320" s="51" t="str">
        <f t="shared" si="216"/>
        <v/>
      </c>
      <c r="BJ320" s="51" t="str">
        <f t="shared" si="217"/>
        <v/>
      </c>
      <c r="BK320" s="51" t="b">
        <f t="shared" si="218"/>
        <v>0</v>
      </c>
      <c r="BL320" s="192"/>
    </row>
    <row r="321" spans="1:64" ht="13.5" thickBot="1" x14ac:dyDescent="0.25">
      <c r="A321" s="185" t="s">
        <v>1003</v>
      </c>
      <c r="B321" s="194" t="s">
        <v>695</v>
      </c>
      <c r="C321" s="194" t="s">
        <v>695</v>
      </c>
      <c r="D321" s="194" t="s">
        <v>695</v>
      </c>
      <c r="E321" s="193" t="s">
        <v>694</v>
      </c>
      <c r="F321" s="160" t="s">
        <v>20</v>
      </c>
      <c r="G321" s="161"/>
      <c r="H321" s="186" t="str">
        <f t="shared" si="176"/>
        <v>N/A</v>
      </c>
      <c r="I321" s="186" t="b">
        <f t="shared" si="177"/>
        <v>1</v>
      </c>
      <c r="J321" s="186" t="str">
        <f t="shared" si="178"/>
        <v>N/A</v>
      </c>
      <c r="K321" s="186" t="b">
        <f t="shared" si="179"/>
        <v>1</v>
      </c>
      <c r="L321" s="186" t="str">
        <f t="shared" si="180"/>
        <v>N/A</v>
      </c>
      <c r="M321" s="186" t="b">
        <f t="shared" si="181"/>
        <v>1</v>
      </c>
      <c r="N321" s="186" t="str">
        <f t="shared" si="182"/>
        <v>Used?</v>
      </c>
      <c r="O321" s="186" t="b">
        <f t="shared" si="183"/>
        <v>0</v>
      </c>
      <c r="P321" s="26" t="s">
        <v>696</v>
      </c>
      <c r="Q321" s="160" t="s">
        <v>20</v>
      </c>
      <c r="R321" s="160" t="s">
        <v>20</v>
      </c>
      <c r="S321" s="26" t="s">
        <v>697</v>
      </c>
      <c r="T321" s="165" t="str">
        <f t="shared" si="184"/>
        <v>Not Used</v>
      </c>
      <c r="U321" s="162"/>
      <c r="V321" s="55"/>
      <c r="W321" s="51" t="b">
        <f t="shared" si="185"/>
        <v>1</v>
      </c>
      <c r="X321" s="51" t="str">
        <f t="shared" si="186"/>
        <v>Not Used</v>
      </c>
      <c r="Y321" s="51" t="str">
        <f t="shared" si="187"/>
        <v>Not Used</v>
      </c>
      <c r="Z321" s="51" t="str">
        <f t="shared" si="188"/>
        <v>Not Used</v>
      </c>
      <c r="AA321" s="51" t="str">
        <f t="shared" si="188"/>
        <v>Not Used</v>
      </c>
      <c r="AB321" s="51" t="str">
        <f t="shared" si="189"/>
        <v>Not Used</v>
      </c>
      <c r="AC321" s="51" t="b">
        <f t="shared" si="190"/>
        <v>1</v>
      </c>
      <c r="AD321" s="51">
        <f>COUNTIF($X$5:$X$321, "Not Used")</f>
        <v>317</v>
      </c>
      <c r="AE321" s="51">
        <f>COUNTIF($X$5:$X$321, "TRUE")</f>
        <v>0</v>
      </c>
      <c r="AF321" s="51" t="b">
        <f t="shared" si="191"/>
        <v>1</v>
      </c>
      <c r="AI321" s="51" t="b">
        <f t="shared" si="192"/>
        <v>0</v>
      </c>
      <c r="AJ321" s="51" t="b">
        <f t="shared" si="193"/>
        <v>0</v>
      </c>
      <c r="AK321" s="51" t="b">
        <f t="shared" si="194"/>
        <v>0</v>
      </c>
      <c r="AL321" s="51" t="b">
        <f t="shared" si="195"/>
        <v>0</v>
      </c>
      <c r="AM321" s="51" t="b">
        <f t="shared" si="196"/>
        <v>0</v>
      </c>
      <c r="AN321" s="51"/>
      <c r="AO321" s="51" t="b">
        <f t="shared" si="197"/>
        <v>0</v>
      </c>
      <c r="AP321" s="51" t="str">
        <f t="shared" si="219"/>
        <v>Not in MMS</v>
      </c>
      <c r="AQ321" s="51" t="b">
        <f t="shared" si="198"/>
        <v>0</v>
      </c>
      <c r="AR321" s="51" t="b">
        <f t="shared" si="199"/>
        <v>0</v>
      </c>
      <c r="AS321" s="51" t="str">
        <f t="shared" si="200"/>
        <v/>
      </c>
      <c r="AT321" s="51" t="str">
        <f t="shared" si="201"/>
        <v/>
      </c>
      <c r="AU321" s="51" t="str">
        <f t="shared" si="202"/>
        <v/>
      </c>
      <c r="AV321" s="51" t="str">
        <f t="shared" si="203"/>
        <v/>
      </c>
      <c r="AW321" s="51" t="str">
        <f t="shared" si="204"/>
        <v/>
      </c>
      <c r="AX321" s="51" t="str">
        <f t="shared" si="205"/>
        <v/>
      </c>
      <c r="AY321" s="51" t="str">
        <f t="shared" si="206"/>
        <v/>
      </c>
      <c r="AZ321" s="51" t="str">
        <f t="shared" si="207"/>
        <v/>
      </c>
      <c r="BA321" s="51" t="str">
        <f t="shared" si="208"/>
        <v/>
      </c>
      <c r="BB321" s="51" t="str">
        <f t="shared" si="209"/>
        <v/>
      </c>
      <c r="BC321" s="51" t="str">
        <f t="shared" si="210"/>
        <v/>
      </c>
      <c r="BD321" s="51" t="str">
        <f t="shared" si="211"/>
        <v/>
      </c>
      <c r="BE321" s="51" t="str">
        <f t="shared" si="212"/>
        <v/>
      </c>
      <c r="BF321" s="51" t="str">
        <f t="shared" si="213"/>
        <v/>
      </c>
      <c r="BG321" s="51" t="str">
        <f t="shared" si="214"/>
        <v/>
      </c>
      <c r="BH321" s="51" t="b">
        <f t="shared" si="215"/>
        <v>0</v>
      </c>
      <c r="BI321" s="51" t="str">
        <f t="shared" si="216"/>
        <v/>
      </c>
      <c r="BJ321" s="51" t="str">
        <f t="shared" si="217"/>
        <v/>
      </c>
      <c r="BK321" s="51" t="b">
        <f t="shared" si="218"/>
        <v>0</v>
      </c>
      <c r="BL321" s="192"/>
    </row>
    <row r="322" spans="1:64" ht="13.5" thickBot="1" x14ac:dyDescent="0.25">
      <c r="A322" s="185" t="s">
        <v>1004</v>
      </c>
      <c r="B322" s="194" t="s">
        <v>695</v>
      </c>
      <c r="C322" s="194" t="s">
        <v>695</v>
      </c>
      <c r="D322" s="194" t="s">
        <v>695</v>
      </c>
      <c r="E322" s="193" t="s">
        <v>694</v>
      </c>
      <c r="F322" s="160" t="s">
        <v>20</v>
      </c>
      <c r="G322" s="161"/>
      <c r="H322" s="186" t="str">
        <f t="shared" si="176"/>
        <v>N/A</v>
      </c>
      <c r="I322" s="186" t="b">
        <f t="shared" si="177"/>
        <v>1</v>
      </c>
      <c r="J322" s="186" t="str">
        <f t="shared" si="178"/>
        <v>N/A</v>
      </c>
      <c r="K322" s="186" t="b">
        <f t="shared" si="179"/>
        <v>1</v>
      </c>
      <c r="L322" s="186" t="str">
        <f t="shared" si="180"/>
        <v>N/A</v>
      </c>
      <c r="M322" s="186" t="b">
        <f t="shared" si="181"/>
        <v>1</v>
      </c>
      <c r="N322" s="186" t="str">
        <f t="shared" si="182"/>
        <v>Used?</v>
      </c>
      <c r="O322" s="186" t="b">
        <f t="shared" si="183"/>
        <v>0</v>
      </c>
      <c r="P322" s="26" t="s">
        <v>696</v>
      </c>
      <c r="Q322" s="160" t="s">
        <v>20</v>
      </c>
      <c r="R322" s="160" t="s">
        <v>20</v>
      </c>
      <c r="S322" s="26" t="s">
        <v>697</v>
      </c>
      <c r="T322" s="165" t="str">
        <f t="shared" si="184"/>
        <v>Not Used</v>
      </c>
      <c r="U322" s="162"/>
      <c r="V322" s="55"/>
      <c r="W322" s="51" t="b">
        <f t="shared" si="185"/>
        <v>1</v>
      </c>
      <c r="X322" s="51" t="str">
        <f t="shared" si="186"/>
        <v>Not Used</v>
      </c>
      <c r="Y322" s="51" t="str">
        <f t="shared" si="187"/>
        <v>Not Used</v>
      </c>
      <c r="Z322" s="51" t="str">
        <f t="shared" si="188"/>
        <v>Not Used</v>
      </c>
      <c r="AA322" s="51" t="str">
        <f t="shared" si="188"/>
        <v>Not Used</v>
      </c>
      <c r="AB322" s="51" t="str">
        <f t="shared" si="189"/>
        <v>Not Used</v>
      </c>
      <c r="AC322" s="51" t="b">
        <f t="shared" si="190"/>
        <v>1</v>
      </c>
      <c r="AD322" s="51">
        <f>COUNTIF($X$5:$X$322, "Not Used")</f>
        <v>318</v>
      </c>
      <c r="AE322" s="51">
        <f>COUNTIF($X$5:$X$322, "TRUE")</f>
        <v>0</v>
      </c>
      <c r="AF322" s="51" t="b">
        <f t="shared" si="191"/>
        <v>1</v>
      </c>
      <c r="AI322" s="51" t="b">
        <f t="shared" si="192"/>
        <v>0</v>
      </c>
      <c r="AJ322" s="51" t="b">
        <f t="shared" si="193"/>
        <v>0</v>
      </c>
      <c r="AK322" s="51" t="b">
        <f t="shared" si="194"/>
        <v>0</v>
      </c>
      <c r="AL322" s="51" t="b">
        <f t="shared" si="195"/>
        <v>0</v>
      </c>
      <c r="AM322" s="51" t="b">
        <f t="shared" si="196"/>
        <v>0</v>
      </c>
      <c r="AN322" s="51"/>
      <c r="AO322" s="51" t="b">
        <f t="shared" si="197"/>
        <v>0</v>
      </c>
      <c r="AP322" s="51" t="str">
        <f t="shared" si="219"/>
        <v>Not in MMS</v>
      </c>
      <c r="AQ322" s="51" t="b">
        <f t="shared" si="198"/>
        <v>0</v>
      </c>
      <c r="AR322" s="51" t="b">
        <f t="shared" si="199"/>
        <v>0</v>
      </c>
      <c r="AS322" s="51" t="str">
        <f t="shared" si="200"/>
        <v/>
      </c>
      <c r="AT322" s="51" t="str">
        <f t="shared" si="201"/>
        <v/>
      </c>
      <c r="AU322" s="51" t="str">
        <f t="shared" si="202"/>
        <v/>
      </c>
      <c r="AV322" s="51" t="str">
        <f t="shared" si="203"/>
        <v/>
      </c>
      <c r="AW322" s="51" t="str">
        <f t="shared" si="204"/>
        <v/>
      </c>
      <c r="AX322" s="51" t="str">
        <f t="shared" si="205"/>
        <v/>
      </c>
      <c r="AY322" s="51" t="str">
        <f t="shared" si="206"/>
        <v/>
      </c>
      <c r="AZ322" s="51" t="str">
        <f t="shared" si="207"/>
        <v/>
      </c>
      <c r="BA322" s="51" t="str">
        <f t="shared" si="208"/>
        <v/>
      </c>
      <c r="BB322" s="51" t="str">
        <f t="shared" si="209"/>
        <v/>
      </c>
      <c r="BC322" s="51" t="str">
        <f t="shared" si="210"/>
        <v/>
      </c>
      <c r="BD322" s="51" t="str">
        <f t="shared" si="211"/>
        <v/>
      </c>
      <c r="BE322" s="51" t="str">
        <f t="shared" si="212"/>
        <v/>
      </c>
      <c r="BF322" s="51" t="str">
        <f t="shared" si="213"/>
        <v/>
      </c>
      <c r="BG322" s="51" t="str">
        <f t="shared" si="214"/>
        <v/>
      </c>
      <c r="BH322" s="51" t="b">
        <f t="shared" si="215"/>
        <v>0</v>
      </c>
      <c r="BI322" s="51" t="str">
        <f t="shared" si="216"/>
        <v/>
      </c>
      <c r="BJ322" s="51" t="str">
        <f t="shared" si="217"/>
        <v/>
      </c>
      <c r="BK322" s="51" t="b">
        <f t="shared" si="218"/>
        <v>0</v>
      </c>
      <c r="BL322" s="192"/>
    </row>
    <row r="323" spans="1:64" ht="13.5" thickBot="1" x14ac:dyDescent="0.25">
      <c r="A323" s="185" t="s">
        <v>1005</v>
      </c>
      <c r="B323" s="194" t="s">
        <v>695</v>
      </c>
      <c r="C323" s="194" t="s">
        <v>695</v>
      </c>
      <c r="D323" s="194" t="s">
        <v>695</v>
      </c>
      <c r="E323" s="193" t="s">
        <v>694</v>
      </c>
      <c r="F323" s="160" t="s">
        <v>20</v>
      </c>
      <c r="G323" s="161"/>
      <c r="H323" s="186" t="str">
        <f t="shared" si="176"/>
        <v>N/A</v>
      </c>
      <c r="I323" s="186" t="b">
        <f t="shared" si="177"/>
        <v>1</v>
      </c>
      <c r="J323" s="186" t="str">
        <f t="shared" si="178"/>
        <v>N/A</v>
      </c>
      <c r="K323" s="186" t="b">
        <f t="shared" si="179"/>
        <v>1</v>
      </c>
      <c r="L323" s="186" t="str">
        <f t="shared" si="180"/>
        <v>N/A</v>
      </c>
      <c r="M323" s="186" t="b">
        <f t="shared" si="181"/>
        <v>1</v>
      </c>
      <c r="N323" s="186" t="str">
        <f t="shared" si="182"/>
        <v>Used?</v>
      </c>
      <c r="O323" s="186" t="b">
        <f t="shared" si="183"/>
        <v>0</v>
      </c>
      <c r="P323" s="26" t="s">
        <v>696</v>
      </c>
      <c r="Q323" s="160" t="s">
        <v>20</v>
      </c>
      <c r="R323" s="160" t="s">
        <v>20</v>
      </c>
      <c r="S323" s="26" t="s">
        <v>697</v>
      </c>
      <c r="T323" s="165" t="str">
        <f t="shared" si="184"/>
        <v>Not Used</v>
      </c>
      <c r="U323" s="162"/>
      <c r="V323" s="55"/>
      <c r="W323" s="51" t="b">
        <f t="shared" si="185"/>
        <v>1</v>
      </c>
      <c r="X323" s="51" t="str">
        <f t="shared" si="186"/>
        <v>Not Used</v>
      </c>
      <c r="Y323" s="51" t="str">
        <f t="shared" si="187"/>
        <v>Not Used</v>
      </c>
      <c r="Z323" s="51" t="str">
        <f t="shared" si="188"/>
        <v>Not Used</v>
      </c>
      <c r="AA323" s="51" t="str">
        <f t="shared" si="188"/>
        <v>Not Used</v>
      </c>
      <c r="AB323" s="51" t="str">
        <f t="shared" si="189"/>
        <v>Not Used</v>
      </c>
      <c r="AC323" s="51" t="b">
        <f t="shared" si="190"/>
        <v>1</v>
      </c>
      <c r="AD323" s="51">
        <f>COUNTIF($X$5:$X$323, "Not Used")</f>
        <v>319</v>
      </c>
      <c r="AE323" s="51">
        <f>COUNTIF($X$5:$X$323, "TRUE")</f>
        <v>0</v>
      </c>
      <c r="AF323" s="51" t="b">
        <f t="shared" si="191"/>
        <v>1</v>
      </c>
      <c r="AI323" s="51" t="b">
        <f t="shared" si="192"/>
        <v>0</v>
      </c>
      <c r="AJ323" s="51" t="b">
        <f t="shared" si="193"/>
        <v>0</v>
      </c>
      <c r="AK323" s="51" t="b">
        <f t="shared" si="194"/>
        <v>0</v>
      </c>
      <c r="AL323" s="51" t="b">
        <f t="shared" si="195"/>
        <v>0</v>
      </c>
      <c r="AM323" s="51" t="b">
        <f t="shared" si="196"/>
        <v>0</v>
      </c>
      <c r="AN323" s="51"/>
      <c r="AO323" s="51" t="b">
        <f t="shared" si="197"/>
        <v>0</v>
      </c>
      <c r="AP323" s="51" t="str">
        <f t="shared" si="219"/>
        <v>Not in MMS</v>
      </c>
      <c r="AQ323" s="51" t="b">
        <f t="shared" si="198"/>
        <v>0</v>
      </c>
      <c r="AR323" s="51" t="b">
        <f t="shared" si="199"/>
        <v>0</v>
      </c>
      <c r="AS323" s="51" t="str">
        <f t="shared" si="200"/>
        <v/>
      </c>
      <c r="AT323" s="51" t="str">
        <f t="shared" si="201"/>
        <v/>
      </c>
      <c r="AU323" s="51" t="str">
        <f t="shared" si="202"/>
        <v/>
      </c>
      <c r="AV323" s="51" t="str">
        <f t="shared" si="203"/>
        <v/>
      </c>
      <c r="AW323" s="51" t="str">
        <f t="shared" si="204"/>
        <v/>
      </c>
      <c r="AX323" s="51" t="str">
        <f t="shared" si="205"/>
        <v/>
      </c>
      <c r="AY323" s="51" t="str">
        <f t="shared" si="206"/>
        <v/>
      </c>
      <c r="AZ323" s="51" t="str">
        <f t="shared" si="207"/>
        <v/>
      </c>
      <c r="BA323" s="51" t="str">
        <f t="shared" si="208"/>
        <v/>
      </c>
      <c r="BB323" s="51" t="str">
        <f t="shared" si="209"/>
        <v/>
      </c>
      <c r="BC323" s="51" t="str">
        <f t="shared" si="210"/>
        <v/>
      </c>
      <c r="BD323" s="51" t="str">
        <f t="shared" si="211"/>
        <v/>
      </c>
      <c r="BE323" s="51" t="str">
        <f t="shared" si="212"/>
        <v/>
      </c>
      <c r="BF323" s="51" t="str">
        <f t="shared" si="213"/>
        <v/>
      </c>
      <c r="BG323" s="51" t="str">
        <f t="shared" si="214"/>
        <v/>
      </c>
      <c r="BH323" s="51" t="b">
        <f t="shared" si="215"/>
        <v>0</v>
      </c>
      <c r="BI323" s="51" t="str">
        <f t="shared" si="216"/>
        <v/>
      </c>
      <c r="BJ323" s="51" t="str">
        <f t="shared" si="217"/>
        <v/>
      </c>
      <c r="BK323" s="51" t="b">
        <f t="shared" si="218"/>
        <v>0</v>
      </c>
      <c r="BL323" s="192"/>
    </row>
    <row r="324" spans="1:64" ht="13.5" thickBot="1" x14ac:dyDescent="0.25">
      <c r="A324" s="185" t="s">
        <v>1006</v>
      </c>
      <c r="B324" s="194" t="s">
        <v>695</v>
      </c>
      <c r="C324" s="194" t="s">
        <v>695</v>
      </c>
      <c r="D324" s="194" t="s">
        <v>695</v>
      </c>
      <c r="E324" s="193" t="s">
        <v>694</v>
      </c>
      <c r="F324" s="160" t="s">
        <v>20</v>
      </c>
      <c r="G324" s="161"/>
      <c r="H324" s="186" t="str">
        <f t="shared" si="176"/>
        <v>N/A</v>
      </c>
      <c r="I324" s="186" t="b">
        <f t="shared" si="177"/>
        <v>1</v>
      </c>
      <c r="J324" s="186" t="str">
        <f t="shared" si="178"/>
        <v>N/A</v>
      </c>
      <c r="K324" s="186" t="b">
        <f t="shared" si="179"/>
        <v>1</v>
      </c>
      <c r="L324" s="186" t="str">
        <f t="shared" si="180"/>
        <v>N/A</v>
      </c>
      <c r="M324" s="186" t="b">
        <f t="shared" si="181"/>
        <v>1</v>
      </c>
      <c r="N324" s="186" t="str">
        <f t="shared" si="182"/>
        <v>Used?</v>
      </c>
      <c r="O324" s="186" t="b">
        <f t="shared" si="183"/>
        <v>0</v>
      </c>
      <c r="P324" s="26" t="s">
        <v>696</v>
      </c>
      <c r="Q324" s="160" t="s">
        <v>20</v>
      </c>
      <c r="R324" s="160" t="s">
        <v>20</v>
      </c>
      <c r="S324" s="26" t="s">
        <v>697</v>
      </c>
      <c r="T324" s="165" t="str">
        <f t="shared" si="184"/>
        <v>Not Used</v>
      </c>
      <c r="U324" s="162"/>
      <c r="V324" s="55"/>
      <c r="W324" s="51" t="b">
        <f t="shared" si="185"/>
        <v>1</v>
      </c>
      <c r="X324" s="51" t="str">
        <f t="shared" si="186"/>
        <v>Not Used</v>
      </c>
      <c r="Y324" s="51" t="str">
        <f t="shared" si="187"/>
        <v>Not Used</v>
      </c>
      <c r="Z324" s="51" t="str">
        <f t="shared" si="188"/>
        <v>Not Used</v>
      </c>
      <c r="AA324" s="51" t="str">
        <f t="shared" si="188"/>
        <v>Not Used</v>
      </c>
      <c r="AB324" s="51" t="str">
        <f t="shared" si="189"/>
        <v>Not Used</v>
      </c>
      <c r="AC324" s="51" t="b">
        <f t="shared" si="190"/>
        <v>1</v>
      </c>
      <c r="AD324" s="51">
        <f>COUNTIF($X$5:$X$324, "Not Used")</f>
        <v>320</v>
      </c>
      <c r="AE324" s="51">
        <f>COUNTIF($X$5:$X$324, "TRUE")</f>
        <v>0</v>
      </c>
      <c r="AF324" s="51" t="b">
        <f t="shared" si="191"/>
        <v>1</v>
      </c>
      <c r="AI324" s="51" t="b">
        <f t="shared" si="192"/>
        <v>0</v>
      </c>
      <c r="AJ324" s="51" t="b">
        <f t="shared" si="193"/>
        <v>0</v>
      </c>
      <c r="AK324" s="51" t="b">
        <f t="shared" si="194"/>
        <v>0</v>
      </c>
      <c r="AL324" s="51" t="b">
        <f t="shared" si="195"/>
        <v>0</v>
      </c>
      <c r="AM324" s="51" t="b">
        <f t="shared" si="196"/>
        <v>0</v>
      </c>
      <c r="AN324" s="51"/>
      <c r="AO324" s="51" t="b">
        <f t="shared" si="197"/>
        <v>0</v>
      </c>
      <c r="AP324" s="51" t="str">
        <f t="shared" si="219"/>
        <v>Not in MMS</v>
      </c>
      <c r="AQ324" s="51" t="b">
        <f t="shared" si="198"/>
        <v>0</v>
      </c>
      <c r="AR324" s="51" t="b">
        <f t="shared" si="199"/>
        <v>0</v>
      </c>
      <c r="AS324" s="51" t="str">
        <f t="shared" si="200"/>
        <v/>
      </c>
      <c r="AT324" s="51" t="str">
        <f t="shared" si="201"/>
        <v/>
      </c>
      <c r="AU324" s="51" t="str">
        <f t="shared" si="202"/>
        <v/>
      </c>
      <c r="AV324" s="51" t="str">
        <f t="shared" si="203"/>
        <v/>
      </c>
      <c r="AW324" s="51" t="str">
        <f t="shared" si="204"/>
        <v/>
      </c>
      <c r="AX324" s="51" t="str">
        <f t="shared" si="205"/>
        <v/>
      </c>
      <c r="AY324" s="51" t="str">
        <f t="shared" si="206"/>
        <v/>
      </c>
      <c r="AZ324" s="51" t="str">
        <f t="shared" si="207"/>
        <v/>
      </c>
      <c r="BA324" s="51" t="str">
        <f t="shared" si="208"/>
        <v/>
      </c>
      <c r="BB324" s="51" t="str">
        <f t="shared" si="209"/>
        <v/>
      </c>
      <c r="BC324" s="51" t="str">
        <f t="shared" si="210"/>
        <v/>
      </c>
      <c r="BD324" s="51" t="str">
        <f t="shared" si="211"/>
        <v/>
      </c>
      <c r="BE324" s="51" t="str">
        <f t="shared" si="212"/>
        <v/>
      </c>
      <c r="BF324" s="51" t="str">
        <f t="shared" si="213"/>
        <v/>
      </c>
      <c r="BG324" s="51" t="str">
        <f t="shared" si="214"/>
        <v/>
      </c>
      <c r="BH324" s="51" t="b">
        <f t="shared" si="215"/>
        <v>0</v>
      </c>
      <c r="BI324" s="51" t="str">
        <f t="shared" si="216"/>
        <v/>
      </c>
      <c r="BJ324" s="51" t="str">
        <f t="shared" si="217"/>
        <v/>
      </c>
      <c r="BK324" s="51" t="b">
        <f t="shared" si="218"/>
        <v>0</v>
      </c>
      <c r="BL324" s="192"/>
    </row>
    <row r="325" spans="1:64" ht="13.5" thickBot="1" x14ac:dyDescent="0.25">
      <c r="A325" s="185" t="s">
        <v>1007</v>
      </c>
      <c r="B325" s="194" t="s">
        <v>695</v>
      </c>
      <c r="C325" s="194" t="s">
        <v>695</v>
      </c>
      <c r="D325" s="194" t="s">
        <v>695</v>
      </c>
      <c r="E325" s="193" t="s">
        <v>694</v>
      </c>
      <c r="F325" s="160" t="s">
        <v>20</v>
      </c>
      <c r="G325" s="161"/>
      <c r="H325" s="186" t="str">
        <f t="shared" si="176"/>
        <v>N/A</v>
      </c>
      <c r="I325" s="186" t="b">
        <f t="shared" si="177"/>
        <v>1</v>
      </c>
      <c r="J325" s="186" t="str">
        <f t="shared" si="178"/>
        <v>N/A</v>
      </c>
      <c r="K325" s="186" t="b">
        <f t="shared" si="179"/>
        <v>1</v>
      </c>
      <c r="L325" s="186" t="str">
        <f t="shared" si="180"/>
        <v>N/A</v>
      </c>
      <c r="M325" s="186" t="b">
        <f t="shared" si="181"/>
        <v>1</v>
      </c>
      <c r="N325" s="186" t="str">
        <f t="shared" si="182"/>
        <v>Used?</v>
      </c>
      <c r="O325" s="186" t="b">
        <f t="shared" si="183"/>
        <v>0</v>
      </c>
      <c r="P325" s="26" t="s">
        <v>696</v>
      </c>
      <c r="Q325" s="160" t="s">
        <v>20</v>
      </c>
      <c r="R325" s="160" t="s">
        <v>20</v>
      </c>
      <c r="S325" s="26" t="s">
        <v>697</v>
      </c>
      <c r="T325" s="165" t="str">
        <f t="shared" si="184"/>
        <v>Not Used</v>
      </c>
      <c r="U325" s="162"/>
      <c r="V325" s="55"/>
      <c r="W325" s="51" t="b">
        <f t="shared" si="185"/>
        <v>1</v>
      </c>
      <c r="X325" s="51" t="str">
        <f t="shared" si="186"/>
        <v>Not Used</v>
      </c>
      <c r="Y325" s="51" t="str">
        <f t="shared" si="187"/>
        <v>Not Used</v>
      </c>
      <c r="Z325" s="51" t="str">
        <f t="shared" si="188"/>
        <v>Not Used</v>
      </c>
      <c r="AA325" s="51" t="str">
        <f t="shared" si="188"/>
        <v>Not Used</v>
      </c>
      <c r="AB325" s="51" t="str">
        <f t="shared" si="189"/>
        <v>Not Used</v>
      </c>
      <c r="AC325" s="51" t="b">
        <f t="shared" si="190"/>
        <v>1</v>
      </c>
      <c r="AD325" s="51">
        <f>COUNTIF($X$5:$X$325, "Not Used")</f>
        <v>321</v>
      </c>
      <c r="AE325" s="51">
        <f>COUNTIF($X$5:$X$325, "TRUE")</f>
        <v>0</v>
      </c>
      <c r="AF325" s="51" t="b">
        <f t="shared" si="191"/>
        <v>1</v>
      </c>
      <c r="AI325" s="51" t="b">
        <f t="shared" si="192"/>
        <v>0</v>
      </c>
      <c r="AJ325" s="51" t="b">
        <f t="shared" si="193"/>
        <v>0</v>
      </c>
      <c r="AK325" s="51" t="b">
        <f t="shared" si="194"/>
        <v>0</v>
      </c>
      <c r="AL325" s="51" t="b">
        <f t="shared" si="195"/>
        <v>0</v>
      </c>
      <c r="AM325" s="51" t="b">
        <f t="shared" si="196"/>
        <v>0</v>
      </c>
      <c r="AN325" s="51"/>
      <c r="AO325" s="51" t="b">
        <f t="shared" si="197"/>
        <v>0</v>
      </c>
      <c r="AP325" s="51" t="str">
        <f t="shared" si="219"/>
        <v>Not in MMS</v>
      </c>
      <c r="AQ325" s="51" t="b">
        <f t="shared" si="198"/>
        <v>0</v>
      </c>
      <c r="AR325" s="51" t="b">
        <f t="shared" si="199"/>
        <v>0</v>
      </c>
      <c r="AS325" s="51" t="str">
        <f t="shared" si="200"/>
        <v/>
      </c>
      <c r="AT325" s="51" t="str">
        <f t="shared" si="201"/>
        <v/>
      </c>
      <c r="AU325" s="51" t="str">
        <f t="shared" si="202"/>
        <v/>
      </c>
      <c r="AV325" s="51" t="str">
        <f t="shared" si="203"/>
        <v/>
      </c>
      <c r="AW325" s="51" t="str">
        <f t="shared" si="204"/>
        <v/>
      </c>
      <c r="AX325" s="51" t="str">
        <f t="shared" si="205"/>
        <v/>
      </c>
      <c r="AY325" s="51" t="str">
        <f t="shared" si="206"/>
        <v/>
      </c>
      <c r="AZ325" s="51" t="str">
        <f t="shared" si="207"/>
        <v/>
      </c>
      <c r="BA325" s="51" t="str">
        <f t="shared" si="208"/>
        <v/>
      </c>
      <c r="BB325" s="51" t="str">
        <f t="shared" si="209"/>
        <v/>
      </c>
      <c r="BC325" s="51" t="str">
        <f t="shared" si="210"/>
        <v/>
      </c>
      <c r="BD325" s="51" t="str">
        <f t="shared" si="211"/>
        <v/>
      </c>
      <c r="BE325" s="51" t="str">
        <f t="shared" si="212"/>
        <v/>
      </c>
      <c r="BF325" s="51" t="str">
        <f t="shared" si="213"/>
        <v/>
      </c>
      <c r="BG325" s="51" t="str">
        <f t="shared" si="214"/>
        <v/>
      </c>
      <c r="BH325" s="51" t="b">
        <f t="shared" si="215"/>
        <v>0</v>
      </c>
      <c r="BI325" s="51" t="str">
        <f t="shared" si="216"/>
        <v/>
      </c>
      <c r="BJ325" s="51" t="str">
        <f t="shared" si="217"/>
        <v/>
      </c>
      <c r="BK325" s="51" t="b">
        <f t="shared" si="218"/>
        <v>0</v>
      </c>
      <c r="BL325" s="192"/>
    </row>
    <row r="326" spans="1:64" ht="13.5" thickBot="1" x14ac:dyDescent="0.25">
      <c r="A326" s="185" t="s">
        <v>1008</v>
      </c>
      <c r="B326" s="194" t="s">
        <v>695</v>
      </c>
      <c r="C326" s="194" t="s">
        <v>695</v>
      </c>
      <c r="D326" s="194" t="s">
        <v>695</v>
      </c>
      <c r="E326" s="193" t="s">
        <v>694</v>
      </c>
      <c r="F326" s="160" t="s">
        <v>20</v>
      </c>
      <c r="G326" s="161"/>
      <c r="H326" s="186" t="str">
        <f t="shared" si="176"/>
        <v>N/A</v>
      </c>
      <c r="I326" s="186" t="b">
        <f t="shared" si="177"/>
        <v>1</v>
      </c>
      <c r="J326" s="186" t="str">
        <f t="shared" si="178"/>
        <v>N/A</v>
      </c>
      <c r="K326" s="186" t="b">
        <f t="shared" si="179"/>
        <v>1</v>
      </c>
      <c r="L326" s="186" t="str">
        <f t="shared" si="180"/>
        <v>N/A</v>
      </c>
      <c r="M326" s="186" t="b">
        <f t="shared" si="181"/>
        <v>1</v>
      </c>
      <c r="N326" s="186" t="str">
        <f t="shared" si="182"/>
        <v>Used?</v>
      </c>
      <c r="O326" s="186" t="b">
        <f t="shared" si="183"/>
        <v>0</v>
      </c>
      <c r="P326" s="26" t="s">
        <v>696</v>
      </c>
      <c r="Q326" s="160" t="s">
        <v>20</v>
      </c>
      <c r="R326" s="160" t="s">
        <v>20</v>
      </c>
      <c r="S326" s="26" t="s">
        <v>697</v>
      </c>
      <c r="T326" s="165" t="str">
        <f t="shared" si="184"/>
        <v>Not Used</v>
      </c>
      <c r="U326" s="162"/>
      <c r="V326" s="55"/>
      <c r="W326" s="51" t="b">
        <f t="shared" si="185"/>
        <v>1</v>
      </c>
      <c r="X326" s="51" t="str">
        <f t="shared" si="186"/>
        <v>Not Used</v>
      </c>
      <c r="Y326" s="51" t="str">
        <f t="shared" si="187"/>
        <v>Not Used</v>
      </c>
      <c r="Z326" s="51" t="str">
        <f t="shared" si="188"/>
        <v>Not Used</v>
      </c>
      <c r="AA326" s="51" t="str">
        <f t="shared" si="188"/>
        <v>Not Used</v>
      </c>
      <c r="AB326" s="51" t="str">
        <f t="shared" si="189"/>
        <v>Not Used</v>
      </c>
      <c r="AC326" s="51" t="b">
        <f t="shared" si="190"/>
        <v>1</v>
      </c>
      <c r="AD326" s="51">
        <f>COUNTIF($X$5:$X$326, "Not Used")</f>
        <v>322</v>
      </c>
      <c r="AE326" s="51">
        <f>COUNTIF($X$5:$X$326, "TRUE")</f>
        <v>0</v>
      </c>
      <c r="AF326" s="51" t="b">
        <f t="shared" si="191"/>
        <v>1</v>
      </c>
      <c r="AI326" s="51" t="b">
        <f t="shared" si="192"/>
        <v>0</v>
      </c>
      <c r="AJ326" s="51" t="b">
        <f t="shared" si="193"/>
        <v>0</v>
      </c>
      <c r="AK326" s="51" t="b">
        <f t="shared" si="194"/>
        <v>0</v>
      </c>
      <c r="AL326" s="51" t="b">
        <f t="shared" si="195"/>
        <v>0</v>
      </c>
      <c r="AM326" s="51" t="b">
        <f t="shared" si="196"/>
        <v>0</v>
      </c>
      <c r="AN326" s="51"/>
      <c r="AO326" s="51" t="b">
        <f t="shared" si="197"/>
        <v>0</v>
      </c>
      <c r="AP326" s="51" t="str">
        <f t="shared" si="219"/>
        <v>Not in MMS</v>
      </c>
      <c r="AQ326" s="51" t="b">
        <f t="shared" si="198"/>
        <v>0</v>
      </c>
      <c r="AR326" s="51" t="b">
        <f t="shared" si="199"/>
        <v>0</v>
      </c>
      <c r="AS326" s="51" t="str">
        <f t="shared" si="200"/>
        <v/>
      </c>
      <c r="AT326" s="51" t="str">
        <f t="shared" si="201"/>
        <v/>
      </c>
      <c r="AU326" s="51" t="str">
        <f t="shared" si="202"/>
        <v/>
      </c>
      <c r="AV326" s="51" t="str">
        <f t="shared" si="203"/>
        <v/>
      </c>
      <c r="AW326" s="51" t="str">
        <f t="shared" si="204"/>
        <v/>
      </c>
      <c r="AX326" s="51" t="str">
        <f t="shared" si="205"/>
        <v/>
      </c>
      <c r="AY326" s="51" t="str">
        <f t="shared" si="206"/>
        <v/>
      </c>
      <c r="AZ326" s="51" t="str">
        <f t="shared" si="207"/>
        <v/>
      </c>
      <c r="BA326" s="51" t="str">
        <f t="shared" si="208"/>
        <v/>
      </c>
      <c r="BB326" s="51" t="str">
        <f t="shared" si="209"/>
        <v/>
      </c>
      <c r="BC326" s="51" t="str">
        <f t="shared" si="210"/>
        <v/>
      </c>
      <c r="BD326" s="51" t="str">
        <f t="shared" si="211"/>
        <v/>
      </c>
      <c r="BE326" s="51" t="str">
        <f t="shared" si="212"/>
        <v/>
      </c>
      <c r="BF326" s="51" t="str">
        <f t="shared" si="213"/>
        <v/>
      </c>
      <c r="BG326" s="51" t="str">
        <f t="shared" si="214"/>
        <v/>
      </c>
      <c r="BH326" s="51" t="b">
        <f t="shared" si="215"/>
        <v>0</v>
      </c>
      <c r="BI326" s="51" t="str">
        <f t="shared" si="216"/>
        <v/>
      </c>
      <c r="BJ326" s="51" t="str">
        <f t="shared" si="217"/>
        <v/>
      </c>
      <c r="BK326" s="51" t="b">
        <f t="shared" si="218"/>
        <v>0</v>
      </c>
      <c r="BL326" s="192"/>
    </row>
    <row r="327" spans="1:64" ht="13.5" thickBot="1" x14ac:dyDescent="0.25">
      <c r="A327" s="185" t="s">
        <v>1009</v>
      </c>
      <c r="B327" s="194" t="s">
        <v>695</v>
      </c>
      <c r="C327" s="194" t="s">
        <v>695</v>
      </c>
      <c r="D327" s="194" t="s">
        <v>695</v>
      </c>
      <c r="E327" s="193" t="s">
        <v>694</v>
      </c>
      <c r="F327" s="160" t="s">
        <v>20</v>
      </c>
      <c r="G327" s="161"/>
      <c r="H327" s="186" t="str">
        <f t="shared" si="176"/>
        <v>N/A</v>
      </c>
      <c r="I327" s="186" t="b">
        <f t="shared" si="177"/>
        <v>1</v>
      </c>
      <c r="J327" s="186" t="str">
        <f t="shared" si="178"/>
        <v>N/A</v>
      </c>
      <c r="K327" s="186" t="b">
        <f t="shared" si="179"/>
        <v>1</v>
      </c>
      <c r="L327" s="186" t="str">
        <f t="shared" si="180"/>
        <v>N/A</v>
      </c>
      <c r="M327" s="186" t="b">
        <f t="shared" si="181"/>
        <v>1</v>
      </c>
      <c r="N327" s="186" t="str">
        <f t="shared" si="182"/>
        <v>Used?</v>
      </c>
      <c r="O327" s="186" t="b">
        <f t="shared" si="183"/>
        <v>0</v>
      </c>
      <c r="P327" s="26" t="s">
        <v>696</v>
      </c>
      <c r="Q327" s="160" t="s">
        <v>20</v>
      </c>
      <c r="R327" s="160" t="s">
        <v>20</v>
      </c>
      <c r="S327" s="26" t="s">
        <v>697</v>
      </c>
      <c r="T327" s="165" t="str">
        <f t="shared" si="184"/>
        <v>Not Used</v>
      </c>
      <c r="U327" s="162"/>
      <c r="V327" s="55"/>
      <c r="W327" s="51" t="b">
        <f t="shared" si="185"/>
        <v>1</v>
      </c>
      <c r="X327" s="51" t="str">
        <f t="shared" si="186"/>
        <v>Not Used</v>
      </c>
      <c r="Y327" s="51" t="str">
        <f t="shared" si="187"/>
        <v>Not Used</v>
      </c>
      <c r="Z327" s="51" t="str">
        <f t="shared" si="188"/>
        <v>Not Used</v>
      </c>
      <c r="AA327" s="51" t="str">
        <f t="shared" si="188"/>
        <v>Not Used</v>
      </c>
      <c r="AB327" s="51" t="str">
        <f t="shared" si="189"/>
        <v>Not Used</v>
      </c>
      <c r="AC327" s="51" t="b">
        <f t="shared" si="190"/>
        <v>1</v>
      </c>
      <c r="AD327" s="51">
        <f>COUNTIF($X$5:$X$327, "Not Used")</f>
        <v>323</v>
      </c>
      <c r="AE327" s="51">
        <f>COUNTIF($X$5:$X$327, "TRUE")</f>
        <v>0</v>
      </c>
      <c r="AF327" s="51" t="b">
        <f t="shared" si="191"/>
        <v>1</v>
      </c>
      <c r="AI327" s="51" t="b">
        <f t="shared" si="192"/>
        <v>0</v>
      </c>
      <c r="AJ327" s="51" t="b">
        <f t="shared" si="193"/>
        <v>0</v>
      </c>
      <c r="AK327" s="51" t="b">
        <f t="shared" si="194"/>
        <v>0</v>
      </c>
      <c r="AL327" s="51" t="b">
        <f t="shared" si="195"/>
        <v>0</v>
      </c>
      <c r="AM327" s="51" t="b">
        <f t="shared" si="196"/>
        <v>0</v>
      </c>
      <c r="AN327" s="51"/>
      <c r="AO327" s="51" t="b">
        <f t="shared" si="197"/>
        <v>0</v>
      </c>
      <c r="AP327" s="51" t="str">
        <f t="shared" si="219"/>
        <v>Not in MMS</v>
      </c>
      <c r="AQ327" s="51" t="b">
        <f t="shared" si="198"/>
        <v>0</v>
      </c>
      <c r="AR327" s="51" t="b">
        <f t="shared" si="199"/>
        <v>0</v>
      </c>
      <c r="AS327" s="51" t="str">
        <f t="shared" si="200"/>
        <v/>
      </c>
      <c r="AT327" s="51" t="str">
        <f t="shared" si="201"/>
        <v/>
      </c>
      <c r="AU327" s="51" t="str">
        <f t="shared" si="202"/>
        <v/>
      </c>
      <c r="AV327" s="51" t="str">
        <f t="shared" si="203"/>
        <v/>
      </c>
      <c r="AW327" s="51" t="str">
        <f t="shared" si="204"/>
        <v/>
      </c>
      <c r="AX327" s="51" t="str">
        <f t="shared" si="205"/>
        <v/>
      </c>
      <c r="AY327" s="51" t="str">
        <f t="shared" si="206"/>
        <v/>
      </c>
      <c r="AZ327" s="51" t="str">
        <f t="shared" si="207"/>
        <v/>
      </c>
      <c r="BA327" s="51" t="str">
        <f t="shared" si="208"/>
        <v/>
      </c>
      <c r="BB327" s="51" t="str">
        <f t="shared" si="209"/>
        <v/>
      </c>
      <c r="BC327" s="51" t="str">
        <f t="shared" si="210"/>
        <v/>
      </c>
      <c r="BD327" s="51" t="str">
        <f t="shared" si="211"/>
        <v/>
      </c>
      <c r="BE327" s="51" t="str">
        <f t="shared" si="212"/>
        <v/>
      </c>
      <c r="BF327" s="51" t="str">
        <f t="shared" si="213"/>
        <v/>
      </c>
      <c r="BG327" s="51" t="str">
        <f t="shared" si="214"/>
        <v/>
      </c>
      <c r="BH327" s="51" t="b">
        <f t="shared" si="215"/>
        <v>0</v>
      </c>
      <c r="BI327" s="51" t="str">
        <f t="shared" si="216"/>
        <v/>
      </c>
      <c r="BJ327" s="51" t="str">
        <f t="shared" si="217"/>
        <v/>
      </c>
      <c r="BK327" s="51" t="b">
        <f t="shared" si="218"/>
        <v>0</v>
      </c>
      <c r="BL327" s="192"/>
    </row>
    <row r="328" spans="1:64" ht="13.5" thickBot="1" x14ac:dyDescent="0.25">
      <c r="A328" s="185" t="s">
        <v>1010</v>
      </c>
      <c r="B328" s="194" t="s">
        <v>695</v>
      </c>
      <c r="C328" s="194" t="s">
        <v>695</v>
      </c>
      <c r="D328" s="194" t="s">
        <v>695</v>
      </c>
      <c r="E328" s="193" t="s">
        <v>694</v>
      </c>
      <c r="F328" s="160" t="s">
        <v>20</v>
      </c>
      <c r="G328" s="161"/>
      <c r="H328" s="186" t="str">
        <f t="shared" si="176"/>
        <v>N/A</v>
      </c>
      <c r="I328" s="186" t="b">
        <f t="shared" si="177"/>
        <v>1</v>
      </c>
      <c r="J328" s="186" t="str">
        <f t="shared" si="178"/>
        <v>N/A</v>
      </c>
      <c r="K328" s="186" t="b">
        <f t="shared" si="179"/>
        <v>1</v>
      </c>
      <c r="L328" s="186" t="str">
        <f t="shared" si="180"/>
        <v>N/A</v>
      </c>
      <c r="M328" s="186" t="b">
        <f t="shared" si="181"/>
        <v>1</v>
      </c>
      <c r="N328" s="186" t="str">
        <f t="shared" si="182"/>
        <v>Used?</v>
      </c>
      <c r="O328" s="186" t="b">
        <f t="shared" si="183"/>
        <v>0</v>
      </c>
      <c r="P328" s="26" t="s">
        <v>696</v>
      </c>
      <c r="Q328" s="160" t="s">
        <v>20</v>
      </c>
      <c r="R328" s="160" t="s">
        <v>20</v>
      </c>
      <c r="S328" s="26" t="s">
        <v>697</v>
      </c>
      <c r="T328" s="165" t="str">
        <f t="shared" si="184"/>
        <v>Not Used</v>
      </c>
      <c r="U328" s="162"/>
      <c r="V328" s="55"/>
      <c r="W328" s="51" t="b">
        <f t="shared" si="185"/>
        <v>1</v>
      </c>
      <c r="X328" s="51" t="str">
        <f t="shared" si="186"/>
        <v>Not Used</v>
      </c>
      <c r="Y328" s="51" t="str">
        <f t="shared" si="187"/>
        <v>Not Used</v>
      </c>
      <c r="Z328" s="51" t="str">
        <f t="shared" si="188"/>
        <v>Not Used</v>
      </c>
      <c r="AA328" s="51" t="str">
        <f t="shared" si="188"/>
        <v>Not Used</v>
      </c>
      <c r="AB328" s="51" t="str">
        <f t="shared" si="189"/>
        <v>Not Used</v>
      </c>
      <c r="AC328" s="51" t="b">
        <f t="shared" si="190"/>
        <v>1</v>
      </c>
      <c r="AD328" s="51">
        <f>COUNTIF($X$5:$X$328, "Not Used")</f>
        <v>324</v>
      </c>
      <c r="AE328" s="51">
        <f>COUNTIF($X$5:$X$328, "TRUE")</f>
        <v>0</v>
      </c>
      <c r="AF328" s="51" t="b">
        <f t="shared" si="191"/>
        <v>1</v>
      </c>
      <c r="AI328" s="51" t="b">
        <f t="shared" si="192"/>
        <v>0</v>
      </c>
      <c r="AJ328" s="51" t="b">
        <f t="shared" si="193"/>
        <v>0</v>
      </c>
      <c r="AK328" s="51" t="b">
        <f t="shared" si="194"/>
        <v>0</v>
      </c>
      <c r="AL328" s="51" t="b">
        <f t="shared" si="195"/>
        <v>0</v>
      </c>
      <c r="AM328" s="51" t="b">
        <f t="shared" si="196"/>
        <v>0</v>
      </c>
      <c r="AN328" s="51"/>
      <c r="AO328" s="51" t="b">
        <f t="shared" si="197"/>
        <v>0</v>
      </c>
      <c r="AP328" s="51" t="str">
        <f t="shared" si="219"/>
        <v>Not in MMS</v>
      </c>
      <c r="AQ328" s="51" t="b">
        <f t="shared" si="198"/>
        <v>0</v>
      </c>
      <c r="AR328" s="51" t="b">
        <f t="shared" si="199"/>
        <v>0</v>
      </c>
      <c r="AS328" s="51" t="str">
        <f t="shared" si="200"/>
        <v/>
      </c>
      <c r="AT328" s="51" t="str">
        <f t="shared" si="201"/>
        <v/>
      </c>
      <c r="AU328" s="51" t="str">
        <f t="shared" si="202"/>
        <v/>
      </c>
      <c r="AV328" s="51" t="str">
        <f t="shared" si="203"/>
        <v/>
      </c>
      <c r="AW328" s="51" t="str">
        <f t="shared" si="204"/>
        <v/>
      </c>
      <c r="AX328" s="51" t="str">
        <f t="shared" si="205"/>
        <v/>
      </c>
      <c r="AY328" s="51" t="str">
        <f t="shared" si="206"/>
        <v/>
      </c>
      <c r="AZ328" s="51" t="str">
        <f t="shared" si="207"/>
        <v/>
      </c>
      <c r="BA328" s="51" t="str">
        <f t="shared" si="208"/>
        <v/>
      </c>
      <c r="BB328" s="51" t="str">
        <f t="shared" si="209"/>
        <v/>
      </c>
      <c r="BC328" s="51" t="str">
        <f t="shared" si="210"/>
        <v/>
      </c>
      <c r="BD328" s="51" t="str">
        <f t="shared" si="211"/>
        <v/>
      </c>
      <c r="BE328" s="51" t="str">
        <f t="shared" si="212"/>
        <v/>
      </c>
      <c r="BF328" s="51" t="str">
        <f t="shared" si="213"/>
        <v/>
      </c>
      <c r="BG328" s="51" t="str">
        <f t="shared" si="214"/>
        <v/>
      </c>
      <c r="BH328" s="51" t="b">
        <f t="shared" si="215"/>
        <v>0</v>
      </c>
      <c r="BI328" s="51" t="str">
        <f t="shared" si="216"/>
        <v/>
      </c>
      <c r="BJ328" s="51" t="str">
        <f t="shared" si="217"/>
        <v/>
      </c>
      <c r="BK328" s="51" t="b">
        <f t="shared" si="218"/>
        <v>0</v>
      </c>
      <c r="BL328" s="192"/>
    </row>
    <row r="329" spans="1:64" ht="13.5" thickBot="1" x14ac:dyDescent="0.25">
      <c r="A329" s="185" t="s">
        <v>1011</v>
      </c>
      <c r="B329" s="194" t="s">
        <v>695</v>
      </c>
      <c r="C329" s="194" t="s">
        <v>695</v>
      </c>
      <c r="D329" s="194" t="s">
        <v>695</v>
      </c>
      <c r="E329" s="193" t="s">
        <v>694</v>
      </c>
      <c r="F329" s="160" t="s">
        <v>20</v>
      </c>
      <c r="G329" s="161"/>
      <c r="H329" s="186" t="str">
        <f t="shared" si="176"/>
        <v>N/A</v>
      </c>
      <c r="I329" s="186" t="b">
        <f t="shared" si="177"/>
        <v>1</v>
      </c>
      <c r="J329" s="186" t="str">
        <f t="shared" si="178"/>
        <v>N/A</v>
      </c>
      <c r="K329" s="186" t="b">
        <f t="shared" si="179"/>
        <v>1</v>
      </c>
      <c r="L329" s="186" t="str">
        <f t="shared" si="180"/>
        <v>N/A</v>
      </c>
      <c r="M329" s="186" t="b">
        <f t="shared" si="181"/>
        <v>1</v>
      </c>
      <c r="N329" s="186" t="str">
        <f t="shared" si="182"/>
        <v>Used?</v>
      </c>
      <c r="O329" s="186" t="b">
        <f t="shared" si="183"/>
        <v>0</v>
      </c>
      <c r="P329" s="26" t="s">
        <v>696</v>
      </c>
      <c r="Q329" s="160" t="s">
        <v>20</v>
      </c>
      <c r="R329" s="160" t="s">
        <v>20</v>
      </c>
      <c r="S329" s="26" t="s">
        <v>697</v>
      </c>
      <c r="T329" s="165" t="str">
        <f t="shared" si="184"/>
        <v>Not Used</v>
      </c>
      <c r="U329" s="162"/>
      <c r="V329" s="55"/>
      <c r="W329" s="51" t="b">
        <f t="shared" si="185"/>
        <v>1</v>
      </c>
      <c r="X329" s="51" t="str">
        <f t="shared" si="186"/>
        <v>Not Used</v>
      </c>
      <c r="Y329" s="51" t="str">
        <f t="shared" si="187"/>
        <v>Not Used</v>
      </c>
      <c r="Z329" s="51" t="str">
        <f t="shared" si="188"/>
        <v>Not Used</v>
      </c>
      <c r="AA329" s="51" t="str">
        <f t="shared" si="188"/>
        <v>Not Used</v>
      </c>
      <c r="AB329" s="51" t="str">
        <f t="shared" si="189"/>
        <v>Not Used</v>
      </c>
      <c r="AC329" s="51" t="b">
        <f t="shared" si="190"/>
        <v>1</v>
      </c>
      <c r="AD329" s="51">
        <f>COUNTIF($X$5:$X$329, "Not Used")</f>
        <v>325</v>
      </c>
      <c r="AE329" s="51">
        <f>COUNTIF($X$5:$X$329, "TRUE")</f>
        <v>0</v>
      </c>
      <c r="AF329" s="51" t="b">
        <f t="shared" si="191"/>
        <v>1</v>
      </c>
      <c r="AI329" s="51" t="b">
        <f t="shared" si="192"/>
        <v>0</v>
      </c>
      <c r="AJ329" s="51" t="b">
        <f t="shared" si="193"/>
        <v>0</v>
      </c>
      <c r="AK329" s="51" t="b">
        <f t="shared" si="194"/>
        <v>0</v>
      </c>
      <c r="AL329" s="51" t="b">
        <f t="shared" si="195"/>
        <v>0</v>
      </c>
      <c r="AM329" s="51" t="b">
        <f t="shared" si="196"/>
        <v>0</v>
      </c>
      <c r="AN329" s="51"/>
      <c r="AO329" s="51" t="b">
        <f t="shared" si="197"/>
        <v>0</v>
      </c>
      <c r="AP329" s="51" t="str">
        <f t="shared" si="219"/>
        <v>Not in MMS</v>
      </c>
      <c r="AQ329" s="51" t="b">
        <f t="shared" si="198"/>
        <v>0</v>
      </c>
      <c r="AR329" s="51" t="b">
        <f t="shared" si="199"/>
        <v>0</v>
      </c>
      <c r="AS329" s="51" t="str">
        <f t="shared" si="200"/>
        <v/>
      </c>
      <c r="AT329" s="51" t="str">
        <f t="shared" si="201"/>
        <v/>
      </c>
      <c r="AU329" s="51" t="str">
        <f t="shared" si="202"/>
        <v/>
      </c>
      <c r="AV329" s="51" t="str">
        <f t="shared" si="203"/>
        <v/>
      </c>
      <c r="AW329" s="51" t="str">
        <f t="shared" si="204"/>
        <v/>
      </c>
      <c r="AX329" s="51" t="str">
        <f t="shared" si="205"/>
        <v/>
      </c>
      <c r="AY329" s="51" t="str">
        <f t="shared" si="206"/>
        <v/>
      </c>
      <c r="AZ329" s="51" t="str">
        <f t="shared" si="207"/>
        <v/>
      </c>
      <c r="BA329" s="51" t="str">
        <f t="shared" si="208"/>
        <v/>
      </c>
      <c r="BB329" s="51" t="str">
        <f t="shared" si="209"/>
        <v/>
      </c>
      <c r="BC329" s="51" t="str">
        <f t="shared" si="210"/>
        <v/>
      </c>
      <c r="BD329" s="51" t="str">
        <f t="shared" si="211"/>
        <v/>
      </c>
      <c r="BE329" s="51" t="str">
        <f t="shared" si="212"/>
        <v/>
      </c>
      <c r="BF329" s="51" t="str">
        <f t="shared" si="213"/>
        <v/>
      </c>
      <c r="BG329" s="51" t="str">
        <f t="shared" si="214"/>
        <v/>
      </c>
      <c r="BH329" s="51" t="b">
        <f t="shared" si="215"/>
        <v>0</v>
      </c>
      <c r="BI329" s="51" t="str">
        <f t="shared" si="216"/>
        <v/>
      </c>
      <c r="BJ329" s="51" t="str">
        <f t="shared" si="217"/>
        <v/>
      </c>
      <c r="BK329" s="51" t="b">
        <f t="shared" si="218"/>
        <v>0</v>
      </c>
      <c r="BL329" s="192"/>
    </row>
    <row r="330" spans="1:64" ht="13.5" thickBot="1" x14ac:dyDescent="0.25">
      <c r="A330" s="185" t="s">
        <v>1012</v>
      </c>
      <c r="B330" s="194" t="s">
        <v>695</v>
      </c>
      <c r="C330" s="194" t="s">
        <v>695</v>
      </c>
      <c r="D330" s="194" t="s">
        <v>695</v>
      </c>
      <c r="E330" s="193" t="s">
        <v>694</v>
      </c>
      <c r="F330" s="160" t="s">
        <v>20</v>
      </c>
      <c r="G330" s="161"/>
      <c r="H330" s="186" t="str">
        <f t="shared" si="176"/>
        <v>N/A</v>
      </c>
      <c r="I330" s="186" t="b">
        <f t="shared" si="177"/>
        <v>1</v>
      </c>
      <c r="J330" s="186" t="str">
        <f t="shared" si="178"/>
        <v>N/A</v>
      </c>
      <c r="K330" s="186" t="b">
        <f t="shared" si="179"/>
        <v>1</v>
      </c>
      <c r="L330" s="186" t="str">
        <f t="shared" si="180"/>
        <v>N/A</v>
      </c>
      <c r="M330" s="186" t="b">
        <f t="shared" si="181"/>
        <v>1</v>
      </c>
      <c r="N330" s="186" t="str">
        <f t="shared" si="182"/>
        <v>Used?</v>
      </c>
      <c r="O330" s="186" t="b">
        <f t="shared" si="183"/>
        <v>0</v>
      </c>
      <c r="P330" s="26" t="s">
        <v>696</v>
      </c>
      <c r="Q330" s="160" t="s">
        <v>20</v>
      </c>
      <c r="R330" s="160" t="s">
        <v>20</v>
      </c>
      <c r="S330" s="26" t="s">
        <v>697</v>
      </c>
      <c r="T330" s="165" t="str">
        <f t="shared" si="184"/>
        <v>Not Used</v>
      </c>
      <c r="U330" s="162"/>
      <c r="V330" s="55"/>
      <c r="W330" s="51" t="b">
        <f t="shared" si="185"/>
        <v>1</v>
      </c>
      <c r="X330" s="51" t="str">
        <f t="shared" si="186"/>
        <v>Not Used</v>
      </c>
      <c r="Y330" s="51" t="str">
        <f t="shared" si="187"/>
        <v>Not Used</v>
      </c>
      <c r="Z330" s="51" t="str">
        <f t="shared" si="188"/>
        <v>Not Used</v>
      </c>
      <c r="AA330" s="51" t="str">
        <f t="shared" si="188"/>
        <v>Not Used</v>
      </c>
      <c r="AB330" s="51" t="str">
        <f t="shared" si="189"/>
        <v>Not Used</v>
      </c>
      <c r="AC330" s="51" t="b">
        <f t="shared" si="190"/>
        <v>1</v>
      </c>
      <c r="AD330" s="51">
        <f>COUNTIF($X$5:$X$330, "Not Used")</f>
        <v>326</v>
      </c>
      <c r="AE330" s="51">
        <f>COUNTIF($X$5:$X$330, "TRUE")</f>
        <v>0</v>
      </c>
      <c r="AF330" s="51" t="b">
        <f t="shared" si="191"/>
        <v>1</v>
      </c>
      <c r="AI330" s="51" t="b">
        <f t="shared" si="192"/>
        <v>0</v>
      </c>
      <c r="AJ330" s="51" t="b">
        <f t="shared" si="193"/>
        <v>0</v>
      </c>
      <c r="AK330" s="51" t="b">
        <f t="shared" si="194"/>
        <v>0</v>
      </c>
      <c r="AL330" s="51" t="b">
        <f t="shared" si="195"/>
        <v>0</v>
      </c>
      <c r="AM330" s="51" t="b">
        <f t="shared" si="196"/>
        <v>0</v>
      </c>
      <c r="AN330" s="51"/>
      <c r="AO330" s="51" t="b">
        <f t="shared" si="197"/>
        <v>0</v>
      </c>
      <c r="AP330" s="51" t="str">
        <f t="shared" si="219"/>
        <v>Not in MMS</v>
      </c>
      <c r="AQ330" s="51" t="b">
        <f t="shared" si="198"/>
        <v>0</v>
      </c>
      <c r="AR330" s="51" t="b">
        <f t="shared" si="199"/>
        <v>0</v>
      </c>
      <c r="AS330" s="51" t="str">
        <f t="shared" si="200"/>
        <v/>
      </c>
      <c r="AT330" s="51" t="str">
        <f t="shared" si="201"/>
        <v/>
      </c>
      <c r="AU330" s="51" t="str">
        <f t="shared" si="202"/>
        <v/>
      </c>
      <c r="AV330" s="51" t="str">
        <f t="shared" si="203"/>
        <v/>
      </c>
      <c r="AW330" s="51" t="str">
        <f t="shared" si="204"/>
        <v/>
      </c>
      <c r="AX330" s="51" t="str">
        <f t="shared" si="205"/>
        <v/>
      </c>
      <c r="AY330" s="51" t="str">
        <f t="shared" si="206"/>
        <v/>
      </c>
      <c r="AZ330" s="51" t="str">
        <f t="shared" si="207"/>
        <v/>
      </c>
      <c r="BA330" s="51" t="str">
        <f t="shared" si="208"/>
        <v/>
      </c>
      <c r="BB330" s="51" t="str">
        <f t="shared" si="209"/>
        <v/>
      </c>
      <c r="BC330" s="51" t="str">
        <f t="shared" si="210"/>
        <v/>
      </c>
      <c r="BD330" s="51" t="str">
        <f t="shared" si="211"/>
        <v/>
      </c>
      <c r="BE330" s="51" t="str">
        <f t="shared" si="212"/>
        <v/>
      </c>
      <c r="BF330" s="51" t="str">
        <f t="shared" si="213"/>
        <v/>
      </c>
      <c r="BG330" s="51" t="str">
        <f t="shared" si="214"/>
        <v/>
      </c>
      <c r="BH330" s="51" t="b">
        <f t="shared" si="215"/>
        <v>0</v>
      </c>
      <c r="BI330" s="51" t="str">
        <f t="shared" si="216"/>
        <v/>
      </c>
      <c r="BJ330" s="51" t="str">
        <f t="shared" si="217"/>
        <v/>
      </c>
      <c r="BK330" s="51" t="b">
        <f t="shared" si="218"/>
        <v>0</v>
      </c>
      <c r="BL330" s="192"/>
    </row>
    <row r="331" spans="1:64" ht="13.5" thickBot="1" x14ac:dyDescent="0.25">
      <c r="A331" s="185" t="s">
        <v>1013</v>
      </c>
      <c r="B331" s="194" t="s">
        <v>695</v>
      </c>
      <c r="C331" s="194" t="s">
        <v>695</v>
      </c>
      <c r="D331" s="194" t="s">
        <v>695</v>
      </c>
      <c r="E331" s="193" t="s">
        <v>694</v>
      </c>
      <c r="F331" s="160" t="s">
        <v>20</v>
      </c>
      <c r="G331" s="161"/>
      <c r="H331" s="186" t="str">
        <f t="shared" si="176"/>
        <v>N/A</v>
      </c>
      <c r="I331" s="186" t="b">
        <f t="shared" si="177"/>
        <v>1</v>
      </c>
      <c r="J331" s="186" t="str">
        <f t="shared" si="178"/>
        <v>N/A</v>
      </c>
      <c r="K331" s="186" t="b">
        <f t="shared" si="179"/>
        <v>1</v>
      </c>
      <c r="L331" s="186" t="str">
        <f t="shared" si="180"/>
        <v>N/A</v>
      </c>
      <c r="M331" s="186" t="b">
        <f t="shared" si="181"/>
        <v>1</v>
      </c>
      <c r="N331" s="186" t="str">
        <f t="shared" si="182"/>
        <v>Used?</v>
      </c>
      <c r="O331" s="186" t="b">
        <f t="shared" si="183"/>
        <v>0</v>
      </c>
      <c r="P331" s="26" t="s">
        <v>696</v>
      </c>
      <c r="Q331" s="160" t="s">
        <v>20</v>
      </c>
      <c r="R331" s="160" t="s">
        <v>20</v>
      </c>
      <c r="S331" s="26" t="s">
        <v>697</v>
      </c>
      <c r="T331" s="165" t="str">
        <f t="shared" si="184"/>
        <v>Not Used</v>
      </c>
      <c r="U331" s="162"/>
      <c r="V331" s="55"/>
      <c r="W331" s="51" t="b">
        <f t="shared" si="185"/>
        <v>1</v>
      </c>
      <c r="X331" s="51" t="str">
        <f t="shared" si="186"/>
        <v>Not Used</v>
      </c>
      <c r="Y331" s="51" t="str">
        <f t="shared" si="187"/>
        <v>Not Used</v>
      </c>
      <c r="Z331" s="51" t="str">
        <f t="shared" si="188"/>
        <v>Not Used</v>
      </c>
      <c r="AA331" s="51" t="str">
        <f t="shared" si="188"/>
        <v>Not Used</v>
      </c>
      <c r="AB331" s="51" t="str">
        <f t="shared" si="189"/>
        <v>Not Used</v>
      </c>
      <c r="AC331" s="51" t="b">
        <f t="shared" si="190"/>
        <v>1</v>
      </c>
      <c r="AD331" s="51">
        <f>COUNTIF($X$5:$X$331, "Not Used")</f>
        <v>327</v>
      </c>
      <c r="AE331" s="51">
        <f>COUNTIF($X$5:$X$331, "TRUE")</f>
        <v>0</v>
      </c>
      <c r="AF331" s="51" t="b">
        <f t="shared" si="191"/>
        <v>1</v>
      </c>
      <c r="AI331" s="51" t="b">
        <f t="shared" si="192"/>
        <v>0</v>
      </c>
      <c r="AJ331" s="51" t="b">
        <f t="shared" si="193"/>
        <v>0</v>
      </c>
      <c r="AK331" s="51" t="b">
        <f t="shared" si="194"/>
        <v>0</v>
      </c>
      <c r="AL331" s="51" t="b">
        <f t="shared" si="195"/>
        <v>0</v>
      </c>
      <c r="AM331" s="51" t="b">
        <f t="shared" si="196"/>
        <v>0</v>
      </c>
      <c r="AN331" s="51"/>
      <c r="AO331" s="51" t="b">
        <f t="shared" si="197"/>
        <v>0</v>
      </c>
      <c r="AP331" s="51" t="str">
        <f t="shared" si="219"/>
        <v>Not in MMS</v>
      </c>
      <c r="AQ331" s="51" t="b">
        <f t="shared" si="198"/>
        <v>0</v>
      </c>
      <c r="AR331" s="51" t="b">
        <f t="shared" si="199"/>
        <v>0</v>
      </c>
      <c r="AS331" s="51" t="str">
        <f t="shared" si="200"/>
        <v/>
      </c>
      <c r="AT331" s="51" t="str">
        <f t="shared" si="201"/>
        <v/>
      </c>
      <c r="AU331" s="51" t="str">
        <f t="shared" si="202"/>
        <v/>
      </c>
      <c r="AV331" s="51" t="str">
        <f t="shared" si="203"/>
        <v/>
      </c>
      <c r="AW331" s="51" t="str">
        <f t="shared" si="204"/>
        <v/>
      </c>
      <c r="AX331" s="51" t="str">
        <f t="shared" si="205"/>
        <v/>
      </c>
      <c r="AY331" s="51" t="str">
        <f t="shared" si="206"/>
        <v/>
      </c>
      <c r="AZ331" s="51" t="str">
        <f t="shared" si="207"/>
        <v/>
      </c>
      <c r="BA331" s="51" t="str">
        <f t="shared" si="208"/>
        <v/>
      </c>
      <c r="BB331" s="51" t="str">
        <f t="shared" si="209"/>
        <v/>
      </c>
      <c r="BC331" s="51" t="str">
        <f t="shared" si="210"/>
        <v/>
      </c>
      <c r="BD331" s="51" t="str">
        <f t="shared" si="211"/>
        <v/>
      </c>
      <c r="BE331" s="51" t="str">
        <f t="shared" si="212"/>
        <v/>
      </c>
      <c r="BF331" s="51" t="str">
        <f t="shared" si="213"/>
        <v/>
      </c>
      <c r="BG331" s="51" t="str">
        <f t="shared" si="214"/>
        <v/>
      </c>
      <c r="BH331" s="51" t="b">
        <f t="shared" si="215"/>
        <v>0</v>
      </c>
      <c r="BI331" s="51" t="str">
        <f t="shared" si="216"/>
        <v/>
      </c>
      <c r="BJ331" s="51" t="str">
        <f t="shared" si="217"/>
        <v/>
      </c>
      <c r="BK331" s="51" t="b">
        <f t="shared" si="218"/>
        <v>0</v>
      </c>
      <c r="BL331" s="192"/>
    </row>
    <row r="332" spans="1:64" ht="13.5" thickBot="1" x14ac:dyDescent="0.25">
      <c r="A332" s="185" t="s">
        <v>1014</v>
      </c>
      <c r="B332" s="194" t="s">
        <v>695</v>
      </c>
      <c r="C332" s="194" t="s">
        <v>695</v>
      </c>
      <c r="D332" s="194" t="s">
        <v>695</v>
      </c>
      <c r="E332" s="193" t="s">
        <v>694</v>
      </c>
      <c r="F332" s="160" t="s">
        <v>20</v>
      </c>
      <c r="G332" s="161"/>
      <c r="H332" s="186" t="str">
        <f t="shared" si="176"/>
        <v>N/A</v>
      </c>
      <c r="I332" s="186" t="b">
        <f t="shared" si="177"/>
        <v>1</v>
      </c>
      <c r="J332" s="186" t="str">
        <f t="shared" si="178"/>
        <v>N/A</v>
      </c>
      <c r="K332" s="186" t="b">
        <f t="shared" si="179"/>
        <v>1</v>
      </c>
      <c r="L332" s="186" t="str">
        <f t="shared" si="180"/>
        <v>N/A</v>
      </c>
      <c r="M332" s="186" t="b">
        <f t="shared" si="181"/>
        <v>1</v>
      </c>
      <c r="N332" s="186" t="str">
        <f t="shared" si="182"/>
        <v>Used?</v>
      </c>
      <c r="O332" s="186" t="b">
        <f t="shared" si="183"/>
        <v>0</v>
      </c>
      <c r="P332" s="26" t="s">
        <v>696</v>
      </c>
      <c r="Q332" s="160" t="s">
        <v>20</v>
      </c>
      <c r="R332" s="160" t="s">
        <v>20</v>
      </c>
      <c r="S332" s="26" t="s">
        <v>697</v>
      </c>
      <c r="T332" s="165" t="str">
        <f t="shared" si="184"/>
        <v>Not Used</v>
      </c>
      <c r="U332" s="162"/>
      <c r="V332" s="55"/>
      <c r="W332" s="51" t="b">
        <f t="shared" si="185"/>
        <v>1</v>
      </c>
      <c r="X332" s="51" t="str">
        <f t="shared" si="186"/>
        <v>Not Used</v>
      </c>
      <c r="Y332" s="51" t="str">
        <f t="shared" si="187"/>
        <v>Not Used</v>
      </c>
      <c r="Z332" s="51" t="str">
        <f t="shared" si="188"/>
        <v>Not Used</v>
      </c>
      <c r="AA332" s="51" t="str">
        <f t="shared" si="188"/>
        <v>Not Used</v>
      </c>
      <c r="AB332" s="51" t="str">
        <f t="shared" si="189"/>
        <v>Not Used</v>
      </c>
      <c r="AC332" s="51" t="b">
        <f t="shared" si="190"/>
        <v>1</v>
      </c>
      <c r="AD332" s="51">
        <f>COUNTIF($X$5:$X$332, "Not Used")</f>
        <v>328</v>
      </c>
      <c r="AE332" s="51">
        <f>COUNTIF($X$5:$X$332, "TRUE")</f>
        <v>0</v>
      </c>
      <c r="AF332" s="51" t="b">
        <f t="shared" si="191"/>
        <v>1</v>
      </c>
      <c r="AI332" s="51" t="b">
        <f t="shared" si="192"/>
        <v>0</v>
      </c>
      <c r="AJ332" s="51" t="b">
        <f t="shared" si="193"/>
        <v>0</v>
      </c>
      <c r="AK332" s="51" t="b">
        <f t="shared" si="194"/>
        <v>0</v>
      </c>
      <c r="AL332" s="51" t="b">
        <f t="shared" si="195"/>
        <v>0</v>
      </c>
      <c r="AM332" s="51" t="b">
        <f t="shared" si="196"/>
        <v>0</v>
      </c>
      <c r="AN332" s="51"/>
      <c r="AO332" s="51" t="b">
        <f t="shared" si="197"/>
        <v>0</v>
      </c>
      <c r="AP332" s="51" t="str">
        <f t="shared" si="219"/>
        <v>Not in MMS</v>
      </c>
      <c r="AQ332" s="51" t="b">
        <f t="shared" si="198"/>
        <v>0</v>
      </c>
      <c r="AR332" s="51" t="b">
        <f t="shared" si="199"/>
        <v>0</v>
      </c>
      <c r="AS332" s="51" t="str">
        <f t="shared" si="200"/>
        <v/>
      </c>
      <c r="AT332" s="51" t="str">
        <f t="shared" si="201"/>
        <v/>
      </c>
      <c r="AU332" s="51" t="str">
        <f t="shared" si="202"/>
        <v/>
      </c>
      <c r="AV332" s="51" t="str">
        <f t="shared" si="203"/>
        <v/>
      </c>
      <c r="AW332" s="51" t="str">
        <f t="shared" si="204"/>
        <v/>
      </c>
      <c r="AX332" s="51" t="str">
        <f t="shared" si="205"/>
        <v/>
      </c>
      <c r="AY332" s="51" t="str">
        <f t="shared" si="206"/>
        <v/>
      </c>
      <c r="AZ332" s="51" t="str">
        <f t="shared" si="207"/>
        <v/>
      </c>
      <c r="BA332" s="51" t="str">
        <f t="shared" si="208"/>
        <v/>
      </c>
      <c r="BB332" s="51" t="str">
        <f t="shared" si="209"/>
        <v/>
      </c>
      <c r="BC332" s="51" t="str">
        <f t="shared" si="210"/>
        <v/>
      </c>
      <c r="BD332" s="51" t="str">
        <f t="shared" si="211"/>
        <v/>
      </c>
      <c r="BE332" s="51" t="str">
        <f t="shared" si="212"/>
        <v/>
      </c>
      <c r="BF332" s="51" t="str">
        <f t="shared" si="213"/>
        <v/>
      </c>
      <c r="BG332" s="51" t="str">
        <f t="shared" si="214"/>
        <v/>
      </c>
      <c r="BH332" s="51" t="b">
        <f t="shared" si="215"/>
        <v>0</v>
      </c>
      <c r="BI332" s="51" t="str">
        <f t="shared" si="216"/>
        <v/>
      </c>
      <c r="BJ332" s="51" t="str">
        <f t="shared" si="217"/>
        <v/>
      </c>
      <c r="BK332" s="51" t="b">
        <f t="shared" si="218"/>
        <v>0</v>
      </c>
      <c r="BL332" s="192"/>
    </row>
    <row r="333" spans="1:64" ht="13.5" thickBot="1" x14ac:dyDescent="0.25">
      <c r="A333" s="185" t="s">
        <v>1015</v>
      </c>
      <c r="B333" s="194" t="s">
        <v>695</v>
      </c>
      <c r="C333" s="194" t="s">
        <v>695</v>
      </c>
      <c r="D333" s="194" t="s">
        <v>695</v>
      </c>
      <c r="E333" s="193" t="s">
        <v>694</v>
      </c>
      <c r="F333" s="160" t="s">
        <v>20</v>
      </c>
      <c r="G333" s="161"/>
      <c r="H333" s="186" t="str">
        <f t="shared" si="176"/>
        <v>N/A</v>
      </c>
      <c r="I333" s="186" t="b">
        <f t="shared" si="177"/>
        <v>1</v>
      </c>
      <c r="J333" s="186" t="str">
        <f t="shared" si="178"/>
        <v>N/A</v>
      </c>
      <c r="K333" s="186" t="b">
        <f t="shared" si="179"/>
        <v>1</v>
      </c>
      <c r="L333" s="186" t="str">
        <f t="shared" si="180"/>
        <v>N/A</v>
      </c>
      <c r="M333" s="186" t="b">
        <f t="shared" si="181"/>
        <v>1</v>
      </c>
      <c r="N333" s="186" t="str">
        <f t="shared" si="182"/>
        <v>Used?</v>
      </c>
      <c r="O333" s="186" t="b">
        <f t="shared" si="183"/>
        <v>0</v>
      </c>
      <c r="P333" s="26" t="s">
        <v>696</v>
      </c>
      <c r="Q333" s="160" t="s">
        <v>20</v>
      </c>
      <c r="R333" s="160" t="s">
        <v>20</v>
      </c>
      <c r="S333" s="26" t="s">
        <v>697</v>
      </c>
      <c r="T333" s="165" t="str">
        <f t="shared" si="184"/>
        <v>Not Used</v>
      </c>
      <c r="U333" s="162"/>
      <c r="V333" s="55"/>
      <c r="W333" s="51" t="b">
        <f t="shared" si="185"/>
        <v>1</v>
      </c>
      <c r="X333" s="51" t="str">
        <f t="shared" si="186"/>
        <v>Not Used</v>
      </c>
      <c r="Y333" s="51" t="str">
        <f t="shared" si="187"/>
        <v>Not Used</v>
      </c>
      <c r="Z333" s="51" t="str">
        <f t="shared" si="188"/>
        <v>Not Used</v>
      </c>
      <c r="AA333" s="51" t="str">
        <f t="shared" si="188"/>
        <v>Not Used</v>
      </c>
      <c r="AB333" s="51" t="str">
        <f t="shared" si="189"/>
        <v>Not Used</v>
      </c>
      <c r="AC333" s="51" t="b">
        <f t="shared" si="190"/>
        <v>1</v>
      </c>
      <c r="AD333" s="51">
        <f>COUNTIF($X$5:$X$333, "Not Used")</f>
        <v>329</v>
      </c>
      <c r="AE333" s="51">
        <f>COUNTIF($X$5:$X$333, "TRUE")</f>
        <v>0</v>
      </c>
      <c r="AF333" s="51" t="b">
        <f t="shared" si="191"/>
        <v>1</v>
      </c>
      <c r="AI333" s="51" t="b">
        <f t="shared" si="192"/>
        <v>0</v>
      </c>
      <c r="AJ333" s="51" t="b">
        <f t="shared" si="193"/>
        <v>0</v>
      </c>
      <c r="AK333" s="51" t="b">
        <f t="shared" si="194"/>
        <v>0</v>
      </c>
      <c r="AL333" s="51" t="b">
        <f t="shared" si="195"/>
        <v>0</v>
      </c>
      <c r="AM333" s="51" t="b">
        <f t="shared" si="196"/>
        <v>0</v>
      </c>
      <c r="AN333" s="51"/>
      <c r="AO333" s="51" t="b">
        <f t="shared" si="197"/>
        <v>0</v>
      </c>
      <c r="AP333" s="51" t="str">
        <f t="shared" si="219"/>
        <v>Not in MMS</v>
      </c>
      <c r="AQ333" s="51" t="b">
        <f t="shared" si="198"/>
        <v>0</v>
      </c>
      <c r="AR333" s="51" t="b">
        <f t="shared" si="199"/>
        <v>0</v>
      </c>
      <c r="AS333" s="51" t="str">
        <f t="shared" si="200"/>
        <v/>
      </c>
      <c r="AT333" s="51" t="str">
        <f t="shared" si="201"/>
        <v/>
      </c>
      <c r="AU333" s="51" t="str">
        <f t="shared" si="202"/>
        <v/>
      </c>
      <c r="AV333" s="51" t="str">
        <f t="shared" si="203"/>
        <v/>
      </c>
      <c r="AW333" s="51" t="str">
        <f t="shared" si="204"/>
        <v/>
      </c>
      <c r="AX333" s="51" t="str">
        <f t="shared" si="205"/>
        <v/>
      </c>
      <c r="AY333" s="51" t="str">
        <f t="shared" si="206"/>
        <v/>
      </c>
      <c r="AZ333" s="51" t="str">
        <f t="shared" si="207"/>
        <v/>
      </c>
      <c r="BA333" s="51" t="str">
        <f t="shared" si="208"/>
        <v/>
      </c>
      <c r="BB333" s="51" t="str">
        <f t="shared" si="209"/>
        <v/>
      </c>
      <c r="BC333" s="51" t="str">
        <f t="shared" si="210"/>
        <v/>
      </c>
      <c r="BD333" s="51" t="str">
        <f t="shared" si="211"/>
        <v/>
      </c>
      <c r="BE333" s="51" t="str">
        <f t="shared" si="212"/>
        <v/>
      </c>
      <c r="BF333" s="51" t="str">
        <f t="shared" si="213"/>
        <v/>
      </c>
      <c r="BG333" s="51" t="str">
        <f t="shared" si="214"/>
        <v/>
      </c>
      <c r="BH333" s="51" t="b">
        <f t="shared" si="215"/>
        <v>0</v>
      </c>
      <c r="BI333" s="51" t="str">
        <f t="shared" si="216"/>
        <v/>
      </c>
      <c r="BJ333" s="51" t="str">
        <f t="shared" si="217"/>
        <v/>
      </c>
      <c r="BK333" s="51" t="b">
        <f t="shared" si="218"/>
        <v>0</v>
      </c>
      <c r="BL333" s="192"/>
    </row>
    <row r="334" spans="1:64" ht="13.5" thickBot="1" x14ac:dyDescent="0.25">
      <c r="A334" s="185" t="s">
        <v>1016</v>
      </c>
      <c r="B334" s="194" t="s">
        <v>695</v>
      </c>
      <c r="C334" s="194" t="s">
        <v>695</v>
      </c>
      <c r="D334" s="194" t="s">
        <v>695</v>
      </c>
      <c r="E334" s="193" t="s">
        <v>694</v>
      </c>
      <c r="F334" s="160" t="s">
        <v>20</v>
      </c>
      <c r="G334" s="161"/>
      <c r="H334" s="186" t="str">
        <f t="shared" si="176"/>
        <v>N/A</v>
      </c>
      <c r="I334" s="186" t="b">
        <f t="shared" si="177"/>
        <v>1</v>
      </c>
      <c r="J334" s="186" t="str">
        <f t="shared" si="178"/>
        <v>N/A</v>
      </c>
      <c r="K334" s="186" t="b">
        <f t="shared" si="179"/>
        <v>1</v>
      </c>
      <c r="L334" s="186" t="str">
        <f t="shared" si="180"/>
        <v>N/A</v>
      </c>
      <c r="M334" s="186" t="b">
        <f t="shared" si="181"/>
        <v>1</v>
      </c>
      <c r="N334" s="186" t="str">
        <f t="shared" si="182"/>
        <v>Used?</v>
      </c>
      <c r="O334" s="186" t="b">
        <f t="shared" si="183"/>
        <v>0</v>
      </c>
      <c r="P334" s="26" t="s">
        <v>696</v>
      </c>
      <c r="Q334" s="160" t="s">
        <v>20</v>
      </c>
      <c r="R334" s="160" t="s">
        <v>20</v>
      </c>
      <c r="S334" s="26" t="s">
        <v>697</v>
      </c>
      <c r="T334" s="165" t="str">
        <f t="shared" si="184"/>
        <v>Not Used</v>
      </c>
      <c r="U334" s="162"/>
      <c r="V334" s="55"/>
      <c r="W334" s="51" t="b">
        <f t="shared" si="185"/>
        <v>1</v>
      </c>
      <c r="X334" s="51" t="str">
        <f t="shared" si="186"/>
        <v>Not Used</v>
      </c>
      <c r="Y334" s="51" t="str">
        <f t="shared" si="187"/>
        <v>Not Used</v>
      </c>
      <c r="Z334" s="51" t="str">
        <f t="shared" si="188"/>
        <v>Not Used</v>
      </c>
      <c r="AA334" s="51" t="str">
        <f t="shared" si="188"/>
        <v>Not Used</v>
      </c>
      <c r="AB334" s="51" t="str">
        <f t="shared" si="189"/>
        <v>Not Used</v>
      </c>
      <c r="AC334" s="51" t="b">
        <f t="shared" si="190"/>
        <v>1</v>
      </c>
      <c r="AD334" s="51">
        <f>COUNTIF($X$5:$X$334, "Not Used")</f>
        <v>330</v>
      </c>
      <c r="AE334" s="51">
        <f>COUNTIF($X$5:$X$334, "TRUE")</f>
        <v>0</v>
      </c>
      <c r="AF334" s="51" t="b">
        <f t="shared" si="191"/>
        <v>1</v>
      </c>
      <c r="AI334" s="51" t="b">
        <f t="shared" si="192"/>
        <v>0</v>
      </c>
      <c r="AJ334" s="51" t="b">
        <f t="shared" si="193"/>
        <v>0</v>
      </c>
      <c r="AK334" s="51" t="b">
        <f t="shared" si="194"/>
        <v>0</v>
      </c>
      <c r="AL334" s="51" t="b">
        <f t="shared" si="195"/>
        <v>0</v>
      </c>
      <c r="AM334" s="51" t="b">
        <f t="shared" si="196"/>
        <v>0</v>
      </c>
      <c r="AN334" s="51"/>
      <c r="AO334" s="51" t="b">
        <f t="shared" si="197"/>
        <v>0</v>
      </c>
      <c r="AP334" s="51" t="str">
        <f t="shared" si="219"/>
        <v>Not in MMS</v>
      </c>
      <c r="AQ334" s="51" t="b">
        <f t="shared" si="198"/>
        <v>0</v>
      </c>
      <c r="AR334" s="51" t="b">
        <f t="shared" si="199"/>
        <v>0</v>
      </c>
      <c r="AS334" s="51" t="str">
        <f t="shared" si="200"/>
        <v/>
      </c>
      <c r="AT334" s="51" t="str">
        <f t="shared" si="201"/>
        <v/>
      </c>
      <c r="AU334" s="51" t="str">
        <f t="shared" si="202"/>
        <v/>
      </c>
      <c r="AV334" s="51" t="str">
        <f t="shared" si="203"/>
        <v/>
      </c>
      <c r="AW334" s="51" t="str">
        <f t="shared" si="204"/>
        <v/>
      </c>
      <c r="AX334" s="51" t="str">
        <f t="shared" si="205"/>
        <v/>
      </c>
      <c r="AY334" s="51" t="str">
        <f t="shared" si="206"/>
        <v/>
      </c>
      <c r="AZ334" s="51" t="str">
        <f t="shared" si="207"/>
        <v/>
      </c>
      <c r="BA334" s="51" t="str">
        <f t="shared" si="208"/>
        <v/>
      </c>
      <c r="BB334" s="51" t="str">
        <f t="shared" si="209"/>
        <v/>
      </c>
      <c r="BC334" s="51" t="str">
        <f t="shared" si="210"/>
        <v/>
      </c>
      <c r="BD334" s="51" t="str">
        <f t="shared" si="211"/>
        <v/>
      </c>
      <c r="BE334" s="51" t="str">
        <f t="shared" si="212"/>
        <v/>
      </c>
      <c r="BF334" s="51" t="str">
        <f t="shared" si="213"/>
        <v/>
      </c>
      <c r="BG334" s="51" t="str">
        <f t="shared" si="214"/>
        <v/>
      </c>
      <c r="BH334" s="51" t="b">
        <f t="shared" si="215"/>
        <v>0</v>
      </c>
      <c r="BI334" s="51" t="str">
        <f t="shared" si="216"/>
        <v/>
      </c>
      <c r="BJ334" s="51" t="str">
        <f t="shared" si="217"/>
        <v/>
      </c>
      <c r="BK334" s="51" t="b">
        <f t="shared" si="218"/>
        <v>0</v>
      </c>
      <c r="BL334" s="192"/>
    </row>
    <row r="335" spans="1:64" ht="13.5" thickBot="1" x14ac:dyDescent="0.25">
      <c r="A335" s="185" t="s">
        <v>1017</v>
      </c>
      <c r="B335" s="194" t="s">
        <v>695</v>
      </c>
      <c r="C335" s="194" t="s">
        <v>695</v>
      </c>
      <c r="D335" s="194" t="s">
        <v>695</v>
      </c>
      <c r="E335" s="193" t="s">
        <v>694</v>
      </c>
      <c r="F335" s="160" t="s">
        <v>20</v>
      </c>
      <c r="G335" s="161"/>
      <c r="H335" s="186" t="str">
        <f t="shared" ref="H335:H399" si="222">IF(B335="YES",(IF(F335="Yes",TRUE,(IF(F335="YES WITH MODIFICATION",(IF((NOT(ISBLANK(U335))),"Used with modification","Change Request?")),(IF(F335="N/A",(IF((NOT(ISBLANK(G335))),"Not Used","Rationale?")),(IF(F335="&lt;Select&gt;","Used?",FALSE)))))))),"N/A")</f>
        <v>N/A</v>
      </c>
      <c r="I335" s="186" t="b">
        <f t="shared" ref="I335:I399" si="223">IF(B335="YES",OR(IF(F335="YES",TRUE,FALSE),IF(AND(F335="YES WITH MODIFICATION",NOT(ISBLANK(U335))),TRUE,FALSE),(IF(F335="N/A",NOT(ISBLANK(G335))))),TRUE)</f>
        <v>1</v>
      </c>
      <c r="J335" s="186" t="str">
        <f t="shared" ref="J335:J399" si="224">IF(C335="YES",(IF(F335="YES",TRUE,(IF(F335="YES WITH MODIFICATION",(IF((NOT(ISBLANK(U335))),"Used with modification","Change Request?")),(IF(F335="N/A",(IF((NOT(ISBLANK(G335))),"Not Used","Rationale?")),(IF(F335="&lt;Select&gt;","Used?",FALSE)))))))),"N/A")</f>
        <v>N/A</v>
      </c>
      <c r="K335" s="186" t="b">
        <f t="shared" ref="K335:K399" si="225">IF(C335="YES",OR(IF(F335="YES",TRUE,FALSE),IF(AND(F335="YES WITH MODIFICATION",NOT(ISBLANK(U335))),TRUE,FALSE),(IF(F335="N/A",NOT(ISBLANK(G335))))),TRUE)</f>
        <v>1</v>
      </c>
      <c r="L335" s="186" t="str">
        <f t="shared" ref="L335:L399" si="226">IF(D335="YES",(IF(F335="YES",TRUE,(IF(F335="YES WITH MODIFICATION",(IF((NOT(ISBLANK(U335))),"Used with modification","Change Request?")),(IF(F335="N/A",(IF((NOT(ISBLANK(G335))),"Not Used","Rationale?")),(IF(F335="&lt;Select&gt;","Used?",FALSE)))))))),"N/A")</f>
        <v>N/A</v>
      </c>
      <c r="M335" s="186" t="b">
        <f t="shared" ref="M335:M399" si="227">IF(D335="YES",OR(IF(F335="YES",TRUE,FALSE),IF(AND(F335="YES WITH MODIFICATION",NOT(ISBLANK(U335))),TRUE,FALSE),(IF(F335="N/A",NOT(ISBLANK(G335))))),TRUE)</f>
        <v>1</v>
      </c>
      <c r="N335" s="186" t="str">
        <f t="shared" ref="N335:N399" si="228">IF(E335="YES",(IF(F335="YES",TRUE,(IF(F335="YES WITH MODIFICATION",(IF((NOT(ISBLANK(U335))),"Used with modification","Change Request?")),(IF(F335="N/A",(IF((NOT(ISBLANK(G335))),"Not Used","Rationale?")),(IF(F335="&lt;Select&gt;","Used?",FALSE)))))))),"N/A")</f>
        <v>Used?</v>
      </c>
      <c r="O335" s="186" t="b">
        <f t="shared" ref="O335:O399" si="229">IF(E335="YES",OR(IF(F335="YES",TRUE,FALSE),IF(AND(F335="YES WITH MODIFICATION",NOT(ISBLANK(U335))),TRUE,FALSE),(IF(F335="N/A",NOT(ISBLANK(G335))))),TRUE)</f>
        <v>0</v>
      </c>
      <c r="P335" s="26" t="s">
        <v>696</v>
      </c>
      <c r="Q335" s="160" t="s">
        <v>20</v>
      </c>
      <c r="R335" s="160" t="s">
        <v>20</v>
      </c>
      <c r="S335" s="26" t="s">
        <v>697</v>
      </c>
      <c r="T335" s="165" t="str">
        <f t="shared" ref="T335:T399" si="230">IF(NOT(OR(F335="Yes",F335="YES WITH MODIFICATION")),"Not Used",(AND(X335=Y335,X335=(OR(Z335=TRUE,AA335=TRUE)), X335=AB335, X335=AC335)))</f>
        <v>Not Used</v>
      </c>
      <c r="U335" s="162"/>
      <c r="V335" s="55"/>
      <c r="W335" s="51" t="b">
        <f t="shared" ref="W335:W399" si="231">IF(T335=TRUE,TRUE,(IF(T335="Not Used", TRUE,FALSE)))</f>
        <v>1</v>
      </c>
      <c r="X335" s="51" t="str">
        <f t="shared" ref="X335:X399" si="232">IF(OR(F335="YES",F335="YES WITH MODIFICATION"),TRUE,"Not Used")</f>
        <v>Not Used</v>
      </c>
      <c r="Y335" s="51" t="str">
        <f t="shared" ref="Y335:Y399" si="233">IF(OR(P335="SC §3.X.X.X", ISBLANK(P335)),"Not Used", TRUE)</f>
        <v>Not Used</v>
      </c>
      <c r="Z335" s="51" t="str">
        <f t="shared" ref="Z335:AA399" si="234">IF(OR(Q335="&lt;Select&gt;",(ISBLANK(Q335))),"Not Used",TRUE)</f>
        <v>Not Used</v>
      </c>
      <c r="AA335" s="51" t="str">
        <f t="shared" si="234"/>
        <v>Not Used</v>
      </c>
      <c r="AB335" s="51" t="str">
        <f t="shared" ref="AB335:AB399" si="235">IF(OR(S335="&lt;enter location here&gt;",(ISBLANK(S335))),"Not Used",TRUE)</f>
        <v>Not Used</v>
      </c>
      <c r="AC335" s="51" t="b">
        <f t="shared" ref="AC335:AC399" si="236">IF(F335="YES WITH MODIFICATION",IF(NOT(ISBLANK(U335)),TRUE,FALSE),TRUE)</f>
        <v>1</v>
      </c>
      <c r="AD335" s="51">
        <f>COUNTIF($X$5:$X$335, "Not Used")</f>
        <v>331</v>
      </c>
      <c r="AE335" s="51">
        <f>COUNTIF($X$5:$X$335, "TRUE")</f>
        <v>0</v>
      </c>
      <c r="AF335" s="51" t="b">
        <f t="shared" ref="AF335:AF399" si="237">IF(F335="&lt;Select&gt;", TRUE,FALSE)</f>
        <v>1</v>
      </c>
      <c r="AI335" s="51" t="b">
        <f t="shared" ref="AI335:AI399" si="238">IF(F335="N/A", TRUE, FALSE)</f>
        <v>0</v>
      </c>
      <c r="AJ335" s="51" t="b">
        <f t="shared" ref="AJ335:AJ399" si="239">IF(AI335=TRUE, IF(NOT(ISBLANK(G335)), TRUE, FALSE))</f>
        <v>0</v>
      </c>
      <c r="AK335" s="51" t="b">
        <f t="shared" ref="AK335:AK399" si="240">IF(F335="YES WITH MODIFICATION", TRUE, FALSE)</f>
        <v>0</v>
      </c>
      <c r="AL335" s="51" t="b">
        <f t="shared" ref="AL335:AL399" si="241">IF(ISBLANK(U335), FALSE, TRUE)</f>
        <v>0</v>
      </c>
      <c r="AM335" s="51" t="b">
        <f t="shared" ref="AM335:AM399" si="242">IF(AND(AK335=TRUE, AL335=TRUE), TRUE, FALSE)</f>
        <v>0</v>
      </c>
      <c r="AN335" s="51"/>
      <c r="AO335" s="51" t="b">
        <f t="shared" ref="AO335:AO399" si="243">IF(AND(F335="YES WITH MODIFICATION", NOT(ISBLANK(U335))), TRUE, FALSE)</f>
        <v>0</v>
      </c>
      <c r="AP335" s="51" t="str">
        <f t="shared" si="219"/>
        <v>Not in MMS</v>
      </c>
      <c r="AQ335" s="51" t="b">
        <f t="shared" ref="AQ335:AQ399" si="244">IF(S335="&lt;enter location here&gt;", FALSE, TRUE)</f>
        <v>0</v>
      </c>
      <c r="AR335" s="51" t="b">
        <f t="shared" ref="AR335:AR399" si="245">IF(F335="&lt;Select&gt;", FALSE, IF(T335=FALSE, FALSE, TRUE))</f>
        <v>0</v>
      </c>
      <c r="AS335" s="51" t="str">
        <f t="shared" ref="AS335:AS399" si="246">IF(ISNUMBER(SEARCH("Tier 1 Sub MMS",AP335)), IF(F335="&lt;Select&gt;", FALSE, IF(AND(F335="N/A", J335="Rationale?"), FALSE, TRUE)), "")</f>
        <v/>
      </c>
      <c r="AT335" s="51" t="str">
        <f t="shared" ref="AT335:AT399" si="247">IF(ISNUMBER(SEARCH("Tier 1 MMS",AP335)), IF(F335="&lt;Select&gt;", FALSE, IF(AND(F335="N/A", H335="Rationale?"), FALSE, TRUE)), "")</f>
        <v/>
      </c>
      <c r="AU335" s="51" t="str">
        <f t="shared" ref="AU335:AU399" si="248">IF(ISNUMBER(SEARCH("Tier 1 MMS",AP335)), IF(F335="&lt;Select&gt;", FALSE, IF(AND(F335="YES WITH MODIFICATION", H335="Change Request?"), FALSE, TRUE)), "")</f>
        <v/>
      </c>
      <c r="AV335" s="51" t="str">
        <f t="shared" ref="AV335:AV399" si="249">IF(ISNUMBER(SEARCH("Tier 1 MMS",AP335)), IF(AK335=TRUE, TRUE, ""),"")</f>
        <v/>
      </c>
      <c r="AW335" s="51" t="str">
        <f t="shared" ref="AW335:AW399" si="250">IF(ISNUMBER(SEARCH("Tier 1 MMS",AP335)), IF(AL335=TRUE, TRUE, ""),"")</f>
        <v/>
      </c>
      <c r="AX335" s="51" t="str">
        <f t="shared" ref="AX335:AX399" si="251">IF(ISNUMBER(SEARCH("Tier 1 MMS",AP335)), IF(AI335=TRUE, TRUE, ""),"")</f>
        <v/>
      </c>
      <c r="AY335" s="51" t="str">
        <f t="shared" ref="AY335:AY399" si="252">IF(ISNUMBER(SEARCH("Tier 1 MMS",AP335)), IF(AJ335=TRUE, TRUE, ""),"")</f>
        <v/>
      </c>
      <c r="AZ335" s="51" t="str">
        <f t="shared" ref="AZ335:AZ399" si="253">IF(ISNUMBER(SEARCH("Tier 1 Sub MMS",AP335)), IF(AK335=TRUE, TRUE, ""),"")</f>
        <v/>
      </c>
      <c r="BA335" s="51" t="str">
        <f t="shared" ref="BA335:BA399" si="254">IF(ISNUMBER(SEARCH("Tier 1 Sub MMS",AP335)), IF(AL335=TRUE, TRUE, ""),"")</f>
        <v/>
      </c>
      <c r="BB335" s="51" t="str">
        <f t="shared" ref="BB335:BB399" si="255">IF(ISNUMBER(SEARCH("Tier 1 Sub MMS",AP335)), IF(AI335=TRUE, TRUE, ""),"")</f>
        <v/>
      </c>
      <c r="BC335" s="51" t="str">
        <f t="shared" ref="BC335:BC399" si="256">IF(ISNUMBER(SEARCH("Tier 1 Sub MMS",AP335)), IF(AJ335=TRUE, TRUE, ""),"")</f>
        <v/>
      </c>
      <c r="BD335" s="51" t="str">
        <f t="shared" ref="BD335:BD399" si="257">IF(ISNUMBER(SEARCH("Tier 2 MMS",AP335)), IF(AK335=TRUE, TRUE, ""),"")</f>
        <v/>
      </c>
      <c r="BE335" s="51" t="str">
        <f t="shared" ref="BE335:BE399" si="258">IF(ISNUMBER(SEARCH("Tier 2 MMS",AP335)), IF(AL335=TRUE, TRUE, ""),"")</f>
        <v/>
      </c>
      <c r="BF335" s="51" t="str">
        <f t="shared" ref="BF335:BF399" si="259">IF(ISNUMBER(SEARCH("Tier 2 MMS",AP335)), IF(AI335=TRUE, TRUE, ""),"")</f>
        <v/>
      </c>
      <c r="BG335" s="51" t="str">
        <f t="shared" ref="BG335:BG399" si="260">IF(ISNUMBER(SEARCH("Tier 2 MMS",AP335)), IF(AJ335=TRUE, TRUE, ""),"")</f>
        <v/>
      </c>
      <c r="BH335" s="51" t="b">
        <f t="shared" ref="BH335:BH399" si="261" xml:space="preserve"> IF(OR(F335="&lt;Select&gt;", AQ335=FALSE), FALSE, TRUE)</f>
        <v>0</v>
      </c>
      <c r="BI335" s="51" t="str">
        <f t="shared" ref="BI335:BI399" si="262">IF(E335="YES", "", IF(E335="NO", IF(F335="N/A",TRUE,IF(F335="YES",FALSE))))</f>
        <v/>
      </c>
      <c r="BJ335" s="51" t="str">
        <f t="shared" ref="BJ335:BJ399" si="263">IF(E335="YES", "", IF(E335="NO", IF(AND(F335="N/A", NOT(ISBLANK(G335))), TRUE, IF(AND(F335="YES",AL335=TRUE),TRUE,FALSE))))</f>
        <v/>
      </c>
      <c r="BK335" s="51" t="b">
        <f t="shared" ref="BK335:BK399" si="264" xml:space="preserve"> IF(OR(F335="&lt;Select&gt;", T335=FALSE), FALSE, TRUE)</f>
        <v>0</v>
      </c>
      <c r="BL335" s="192"/>
    </row>
    <row r="336" spans="1:64" ht="13.5" thickBot="1" x14ac:dyDescent="0.25">
      <c r="A336" s="185" t="s">
        <v>1018</v>
      </c>
      <c r="B336" s="194" t="s">
        <v>695</v>
      </c>
      <c r="C336" s="194" t="s">
        <v>695</v>
      </c>
      <c r="D336" s="194" t="s">
        <v>695</v>
      </c>
      <c r="E336" s="193" t="s">
        <v>694</v>
      </c>
      <c r="F336" s="160" t="s">
        <v>20</v>
      </c>
      <c r="G336" s="161"/>
      <c r="H336" s="186" t="str">
        <f t="shared" si="222"/>
        <v>N/A</v>
      </c>
      <c r="I336" s="186" t="b">
        <f t="shared" si="223"/>
        <v>1</v>
      </c>
      <c r="J336" s="186" t="str">
        <f t="shared" si="224"/>
        <v>N/A</v>
      </c>
      <c r="K336" s="186" t="b">
        <f t="shared" si="225"/>
        <v>1</v>
      </c>
      <c r="L336" s="186" t="str">
        <f t="shared" si="226"/>
        <v>N/A</v>
      </c>
      <c r="M336" s="186" t="b">
        <f t="shared" si="227"/>
        <v>1</v>
      </c>
      <c r="N336" s="186" t="str">
        <f t="shared" si="228"/>
        <v>Used?</v>
      </c>
      <c r="O336" s="186" t="b">
        <f t="shared" si="229"/>
        <v>0</v>
      </c>
      <c r="P336" s="26" t="s">
        <v>696</v>
      </c>
      <c r="Q336" s="160" t="s">
        <v>20</v>
      </c>
      <c r="R336" s="160" t="s">
        <v>20</v>
      </c>
      <c r="S336" s="26" t="s">
        <v>697</v>
      </c>
      <c r="T336" s="165" t="str">
        <f t="shared" si="230"/>
        <v>Not Used</v>
      </c>
      <c r="U336" s="162"/>
      <c r="V336" s="55"/>
      <c r="W336" s="51" t="b">
        <f t="shared" si="231"/>
        <v>1</v>
      </c>
      <c r="X336" s="51" t="str">
        <f t="shared" si="232"/>
        <v>Not Used</v>
      </c>
      <c r="Y336" s="51" t="str">
        <f t="shared" si="233"/>
        <v>Not Used</v>
      </c>
      <c r="Z336" s="51" t="str">
        <f t="shared" si="234"/>
        <v>Not Used</v>
      </c>
      <c r="AA336" s="51" t="str">
        <f t="shared" si="234"/>
        <v>Not Used</v>
      </c>
      <c r="AB336" s="51" t="str">
        <f t="shared" si="235"/>
        <v>Not Used</v>
      </c>
      <c r="AC336" s="51" t="b">
        <f t="shared" si="236"/>
        <v>1</v>
      </c>
      <c r="AD336" s="51">
        <f>COUNTIF($X$5:$X$336, "Not Used")</f>
        <v>332</v>
      </c>
      <c r="AE336" s="51">
        <f>COUNTIF($X$5:$X$336, "TRUE")</f>
        <v>0</v>
      </c>
      <c r="AF336" s="51" t="b">
        <f t="shared" si="237"/>
        <v>1</v>
      </c>
      <c r="AI336" s="51" t="b">
        <f t="shared" si="238"/>
        <v>0</v>
      </c>
      <c r="AJ336" s="51" t="b">
        <f t="shared" si="239"/>
        <v>0</v>
      </c>
      <c r="AK336" s="51" t="b">
        <f t="shared" si="240"/>
        <v>0</v>
      </c>
      <c r="AL336" s="51" t="b">
        <f t="shared" si="241"/>
        <v>0</v>
      </c>
      <c r="AM336" s="51" t="b">
        <f t="shared" si="242"/>
        <v>0</v>
      </c>
      <c r="AN336" s="51"/>
      <c r="AO336" s="51" t="b">
        <f t="shared" si="243"/>
        <v>0</v>
      </c>
      <c r="AP336" s="51" t="str">
        <f t="shared" ref="AP336:AP400" si="265">IF(AND(B336="YES", C336="YES", D336="YES"), "Tier 1 MMS, Tier 1 Sub MMS, Tier 2 MMS", IF(AND(B336="YES", C336="YES"), "Tier 1 MMS, Tier 1 Sub MMS", IF(AND(B336="YES", D336="YES"), "Tier 1 MMS, Tier 2 MMS", IF(AND(C336="YES", D336="YES"), "Tier 1 Sub MMS, Tier 2 MMS", IF(B336="YES", "Tier 1 MMS", IF(C336="YES", "Tier 1 Sub MMS", IF(D336="YES", "Tier 2 MMS", "Not in MMS")))))))</f>
        <v>Not in MMS</v>
      </c>
      <c r="AQ336" s="51" t="b">
        <f t="shared" si="244"/>
        <v>0</v>
      </c>
      <c r="AR336" s="51" t="b">
        <f t="shared" si="245"/>
        <v>0</v>
      </c>
      <c r="AS336" s="51" t="str">
        <f t="shared" si="246"/>
        <v/>
      </c>
      <c r="AT336" s="51" t="str">
        <f t="shared" si="247"/>
        <v/>
      </c>
      <c r="AU336" s="51" t="str">
        <f t="shared" si="248"/>
        <v/>
      </c>
      <c r="AV336" s="51" t="str">
        <f t="shared" si="249"/>
        <v/>
      </c>
      <c r="AW336" s="51" t="str">
        <f t="shared" si="250"/>
        <v/>
      </c>
      <c r="AX336" s="51" t="str">
        <f t="shared" si="251"/>
        <v/>
      </c>
      <c r="AY336" s="51" t="str">
        <f t="shared" si="252"/>
        <v/>
      </c>
      <c r="AZ336" s="51" t="str">
        <f t="shared" si="253"/>
        <v/>
      </c>
      <c r="BA336" s="51" t="str">
        <f t="shared" si="254"/>
        <v/>
      </c>
      <c r="BB336" s="51" t="str">
        <f t="shared" si="255"/>
        <v/>
      </c>
      <c r="BC336" s="51" t="str">
        <f t="shared" si="256"/>
        <v/>
      </c>
      <c r="BD336" s="51" t="str">
        <f t="shared" si="257"/>
        <v/>
      </c>
      <c r="BE336" s="51" t="str">
        <f t="shared" si="258"/>
        <v/>
      </c>
      <c r="BF336" s="51" t="str">
        <f t="shared" si="259"/>
        <v/>
      </c>
      <c r="BG336" s="51" t="str">
        <f t="shared" si="260"/>
        <v/>
      </c>
      <c r="BH336" s="51" t="b">
        <f t="shared" si="261"/>
        <v>0</v>
      </c>
      <c r="BI336" s="51" t="str">
        <f t="shared" si="262"/>
        <v/>
      </c>
      <c r="BJ336" s="51" t="str">
        <f t="shared" si="263"/>
        <v/>
      </c>
      <c r="BK336" s="51" t="b">
        <f t="shared" si="264"/>
        <v>0</v>
      </c>
      <c r="BL336" s="192"/>
    </row>
    <row r="337" spans="1:64" ht="13.5" thickBot="1" x14ac:dyDescent="0.25">
      <c r="A337" s="185" t="s">
        <v>1019</v>
      </c>
      <c r="B337" s="194" t="s">
        <v>695</v>
      </c>
      <c r="C337" s="194" t="s">
        <v>695</v>
      </c>
      <c r="D337" s="194" t="s">
        <v>695</v>
      </c>
      <c r="E337" s="193" t="s">
        <v>694</v>
      </c>
      <c r="F337" s="160" t="s">
        <v>20</v>
      </c>
      <c r="G337" s="161"/>
      <c r="H337" s="186" t="str">
        <f t="shared" si="222"/>
        <v>N/A</v>
      </c>
      <c r="I337" s="186" t="b">
        <f t="shared" si="223"/>
        <v>1</v>
      </c>
      <c r="J337" s="186" t="str">
        <f t="shared" si="224"/>
        <v>N/A</v>
      </c>
      <c r="K337" s="186" t="b">
        <f t="shared" si="225"/>
        <v>1</v>
      </c>
      <c r="L337" s="186" t="str">
        <f t="shared" si="226"/>
        <v>N/A</v>
      </c>
      <c r="M337" s="186" t="b">
        <f t="shared" si="227"/>
        <v>1</v>
      </c>
      <c r="N337" s="186" t="str">
        <f t="shared" si="228"/>
        <v>Used?</v>
      </c>
      <c r="O337" s="186" t="b">
        <f t="shared" si="229"/>
        <v>0</v>
      </c>
      <c r="P337" s="26" t="s">
        <v>696</v>
      </c>
      <c r="Q337" s="160" t="s">
        <v>20</v>
      </c>
      <c r="R337" s="160" t="s">
        <v>20</v>
      </c>
      <c r="S337" s="26" t="s">
        <v>697</v>
      </c>
      <c r="T337" s="165" t="str">
        <f t="shared" si="230"/>
        <v>Not Used</v>
      </c>
      <c r="U337" s="162"/>
      <c r="V337" s="55"/>
      <c r="W337" s="51" t="b">
        <f t="shared" si="231"/>
        <v>1</v>
      </c>
      <c r="X337" s="51" t="str">
        <f t="shared" si="232"/>
        <v>Not Used</v>
      </c>
      <c r="Y337" s="51" t="str">
        <f t="shared" si="233"/>
        <v>Not Used</v>
      </c>
      <c r="Z337" s="51" t="str">
        <f t="shared" si="234"/>
        <v>Not Used</v>
      </c>
      <c r="AA337" s="51" t="str">
        <f t="shared" si="234"/>
        <v>Not Used</v>
      </c>
      <c r="AB337" s="51" t="str">
        <f t="shared" si="235"/>
        <v>Not Used</v>
      </c>
      <c r="AC337" s="51" t="b">
        <f t="shared" si="236"/>
        <v>1</v>
      </c>
      <c r="AD337" s="51">
        <f>COUNTIF($X$5:$X$337, "Not Used")</f>
        <v>333</v>
      </c>
      <c r="AE337" s="51">
        <f>COUNTIF($X$5:$X$337, "TRUE")</f>
        <v>0</v>
      </c>
      <c r="AF337" s="51" t="b">
        <f t="shared" si="237"/>
        <v>1</v>
      </c>
      <c r="AI337" s="51" t="b">
        <f t="shared" si="238"/>
        <v>0</v>
      </c>
      <c r="AJ337" s="51" t="b">
        <f t="shared" si="239"/>
        <v>0</v>
      </c>
      <c r="AK337" s="51" t="b">
        <f t="shared" si="240"/>
        <v>0</v>
      </c>
      <c r="AL337" s="51" t="b">
        <f t="shared" si="241"/>
        <v>0</v>
      </c>
      <c r="AM337" s="51" t="b">
        <f t="shared" si="242"/>
        <v>0</v>
      </c>
      <c r="AN337" s="51"/>
      <c r="AO337" s="51" t="b">
        <f t="shared" si="243"/>
        <v>0</v>
      </c>
      <c r="AP337" s="51" t="str">
        <f t="shared" si="265"/>
        <v>Not in MMS</v>
      </c>
      <c r="AQ337" s="51" t="b">
        <f t="shared" si="244"/>
        <v>0</v>
      </c>
      <c r="AR337" s="51" t="b">
        <f t="shared" si="245"/>
        <v>0</v>
      </c>
      <c r="AS337" s="51" t="str">
        <f t="shared" si="246"/>
        <v/>
      </c>
      <c r="AT337" s="51" t="str">
        <f t="shared" si="247"/>
        <v/>
      </c>
      <c r="AU337" s="51" t="str">
        <f t="shared" si="248"/>
        <v/>
      </c>
      <c r="AV337" s="51" t="str">
        <f t="shared" si="249"/>
        <v/>
      </c>
      <c r="AW337" s="51" t="str">
        <f t="shared" si="250"/>
        <v/>
      </c>
      <c r="AX337" s="51" t="str">
        <f t="shared" si="251"/>
        <v/>
      </c>
      <c r="AY337" s="51" t="str">
        <f t="shared" si="252"/>
        <v/>
      </c>
      <c r="AZ337" s="51" t="str">
        <f t="shared" si="253"/>
        <v/>
      </c>
      <c r="BA337" s="51" t="str">
        <f t="shared" si="254"/>
        <v/>
      </c>
      <c r="BB337" s="51" t="str">
        <f t="shared" si="255"/>
        <v/>
      </c>
      <c r="BC337" s="51" t="str">
        <f t="shared" si="256"/>
        <v/>
      </c>
      <c r="BD337" s="51" t="str">
        <f t="shared" si="257"/>
        <v/>
      </c>
      <c r="BE337" s="51" t="str">
        <f t="shared" si="258"/>
        <v/>
      </c>
      <c r="BF337" s="51" t="str">
        <f t="shared" si="259"/>
        <v/>
      </c>
      <c r="BG337" s="51" t="str">
        <f t="shared" si="260"/>
        <v/>
      </c>
      <c r="BH337" s="51" t="b">
        <f t="shared" si="261"/>
        <v>0</v>
      </c>
      <c r="BI337" s="51" t="str">
        <f t="shared" si="262"/>
        <v/>
      </c>
      <c r="BJ337" s="51" t="str">
        <f t="shared" si="263"/>
        <v/>
      </c>
      <c r="BK337" s="51" t="b">
        <f t="shared" si="264"/>
        <v>0</v>
      </c>
      <c r="BL337" s="192"/>
    </row>
    <row r="338" spans="1:64" ht="13.5" thickBot="1" x14ac:dyDescent="0.25">
      <c r="A338" s="185" t="s">
        <v>1020</v>
      </c>
      <c r="B338" s="194" t="s">
        <v>695</v>
      </c>
      <c r="C338" s="194" t="s">
        <v>695</v>
      </c>
      <c r="D338" s="194" t="s">
        <v>695</v>
      </c>
      <c r="E338" s="193" t="s">
        <v>694</v>
      </c>
      <c r="F338" s="160" t="s">
        <v>20</v>
      </c>
      <c r="G338" s="161"/>
      <c r="H338" s="186" t="str">
        <f t="shared" si="222"/>
        <v>N/A</v>
      </c>
      <c r="I338" s="186" t="b">
        <f t="shared" si="223"/>
        <v>1</v>
      </c>
      <c r="J338" s="186" t="str">
        <f t="shared" si="224"/>
        <v>N/A</v>
      </c>
      <c r="K338" s="186" t="b">
        <f t="shared" si="225"/>
        <v>1</v>
      </c>
      <c r="L338" s="186" t="str">
        <f t="shared" si="226"/>
        <v>N/A</v>
      </c>
      <c r="M338" s="186" t="b">
        <f t="shared" si="227"/>
        <v>1</v>
      </c>
      <c r="N338" s="186" t="str">
        <f t="shared" si="228"/>
        <v>Used?</v>
      </c>
      <c r="O338" s="186" t="b">
        <f t="shared" si="229"/>
        <v>0</v>
      </c>
      <c r="P338" s="26" t="s">
        <v>696</v>
      </c>
      <c r="Q338" s="160" t="s">
        <v>20</v>
      </c>
      <c r="R338" s="160" t="s">
        <v>20</v>
      </c>
      <c r="S338" s="26" t="s">
        <v>697</v>
      </c>
      <c r="T338" s="165" t="str">
        <f t="shared" si="230"/>
        <v>Not Used</v>
      </c>
      <c r="U338" s="162"/>
      <c r="V338" s="55"/>
      <c r="W338" s="51" t="b">
        <f t="shared" si="231"/>
        <v>1</v>
      </c>
      <c r="X338" s="51" t="str">
        <f t="shared" si="232"/>
        <v>Not Used</v>
      </c>
      <c r="Y338" s="51" t="str">
        <f t="shared" si="233"/>
        <v>Not Used</v>
      </c>
      <c r="Z338" s="51" t="str">
        <f t="shared" si="234"/>
        <v>Not Used</v>
      </c>
      <c r="AA338" s="51" t="str">
        <f t="shared" si="234"/>
        <v>Not Used</v>
      </c>
      <c r="AB338" s="51" t="str">
        <f t="shared" si="235"/>
        <v>Not Used</v>
      </c>
      <c r="AC338" s="51" t="b">
        <f t="shared" si="236"/>
        <v>1</v>
      </c>
      <c r="AD338" s="51">
        <f>COUNTIF($X$5:$X$338, "Not Used")</f>
        <v>334</v>
      </c>
      <c r="AE338" s="51">
        <f>COUNTIF($X$5:$X$338, "TRUE")</f>
        <v>0</v>
      </c>
      <c r="AF338" s="51" t="b">
        <f t="shared" si="237"/>
        <v>1</v>
      </c>
      <c r="AI338" s="51" t="b">
        <f t="shared" si="238"/>
        <v>0</v>
      </c>
      <c r="AJ338" s="51" t="b">
        <f t="shared" si="239"/>
        <v>0</v>
      </c>
      <c r="AK338" s="51" t="b">
        <f t="shared" si="240"/>
        <v>0</v>
      </c>
      <c r="AL338" s="51" t="b">
        <f t="shared" si="241"/>
        <v>0</v>
      </c>
      <c r="AM338" s="51" t="b">
        <f t="shared" si="242"/>
        <v>0</v>
      </c>
      <c r="AN338" s="51"/>
      <c r="AO338" s="51" t="b">
        <f t="shared" si="243"/>
        <v>0</v>
      </c>
      <c r="AP338" s="51" t="str">
        <f t="shared" si="265"/>
        <v>Not in MMS</v>
      </c>
      <c r="AQ338" s="51" t="b">
        <f t="shared" si="244"/>
        <v>0</v>
      </c>
      <c r="AR338" s="51" t="b">
        <f t="shared" si="245"/>
        <v>0</v>
      </c>
      <c r="AS338" s="51" t="str">
        <f t="shared" si="246"/>
        <v/>
      </c>
      <c r="AT338" s="51" t="str">
        <f t="shared" si="247"/>
        <v/>
      </c>
      <c r="AU338" s="51" t="str">
        <f t="shared" si="248"/>
        <v/>
      </c>
      <c r="AV338" s="51" t="str">
        <f t="shared" si="249"/>
        <v/>
      </c>
      <c r="AW338" s="51" t="str">
        <f t="shared" si="250"/>
        <v/>
      </c>
      <c r="AX338" s="51" t="str">
        <f t="shared" si="251"/>
        <v/>
      </c>
      <c r="AY338" s="51" t="str">
        <f t="shared" si="252"/>
        <v/>
      </c>
      <c r="AZ338" s="51" t="str">
        <f t="shared" si="253"/>
        <v/>
      </c>
      <c r="BA338" s="51" t="str">
        <f t="shared" si="254"/>
        <v/>
      </c>
      <c r="BB338" s="51" t="str">
        <f t="shared" si="255"/>
        <v/>
      </c>
      <c r="BC338" s="51" t="str">
        <f t="shared" si="256"/>
        <v/>
      </c>
      <c r="BD338" s="51" t="str">
        <f t="shared" si="257"/>
        <v/>
      </c>
      <c r="BE338" s="51" t="str">
        <f t="shared" si="258"/>
        <v/>
      </c>
      <c r="BF338" s="51" t="str">
        <f t="shared" si="259"/>
        <v/>
      </c>
      <c r="BG338" s="51" t="str">
        <f t="shared" si="260"/>
        <v/>
      </c>
      <c r="BH338" s="51" t="b">
        <f t="shared" si="261"/>
        <v>0</v>
      </c>
      <c r="BI338" s="51" t="str">
        <f t="shared" si="262"/>
        <v/>
      </c>
      <c r="BJ338" s="51" t="str">
        <f t="shared" si="263"/>
        <v/>
      </c>
      <c r="BK338" s="51" t="b">
        <f t="shared" si="264"/>
        <v>0</v>
      </c>
      <c r="BL338" s="192"/>
    </row>
    <row r="339" spans="1:64" ht="13.5" thickBot="1" x14ac:dyDescent="0.25">
      <c r="A339" s="185" t="s">
        <v>1021</v>
      </c>
      <c r="B339" s="194" t="s">
        <v>695</v>
      </c>
      <c r="C339" s="194" t="s">
        <v>695</v>
      </c>
      <c r="D339" s="194" t="s">
        <v>695</v>
      </c>
      <c r="E339" s="193" t="s">
        <v>694</v>
      </c>
      <c r="F339" s="160" t="s">
        <v>20</v>
      </c>
      <c r="G339" s="161"/>
      <c r="H339" s="186" t="str">
        <f t="shared" si="222"/>
        <v>N/A</v>
      </c>
      <c r="I339" s="186" t="b">
        <f t="shared" si="223"/>
        <v>1</v>
      </c>
      <c r="J339" s="186" t="str">
        <f t="shared" si="224"/>
        <v>N/A</v>
      </c>
      <c r="K339" s="186" t="b">
        <f t="shared" si="225"/>
        <v>1</v>
      </c>
      <c r="L339" s="186" t="str">
        <f t="shared" si="226"/>
        <v>N/A</v>
      </c>
      <c r="M339" s="186" t="b">
        <f t="shared" si="227"/>
        <v>1</v>
      </c>
      <c r="N339" s="186" t="str">
        <f t="shared" si="228"/>
        <v>Used?</v>
      </c>
      <c r="O339" s="186" t="b">
        <f t="shared" si="229"/>
        <v>0</v>
      </c>
      <c r="P339" s="26" t="s">
        <v>696</v>
      </c>
      <c r="Q339" s="160" t="s">
        <v>20</v>
      </c>
      <c r="R339" s="160" t="s">
        <v>20</v>
      </c>
      <c r="S339" s="26" t="s">
        <v>697</v>
      </c>
      <c r="T339" s="165" t="str">
        <f t="shared" si="230"/>
        <v>Not Used</v>
      </c>
      <c r="U339" s="162"/>
      <c r="V339" s="55"/>
      <c r="W339" s="51" t="b">
        <f t="shared" si="231"/>
        <v>1</v>
      </c>
      <c r="X339" s="51" t="str">
        <f t="shared" si="232"/>
        <v>Not Used</v>
      </c>
      <c r="Y339" s="51" t="str">
        <f t="shared" si="233"/>
        <v>Not Used</v>
      </c>
      <c r="Z339" s="51" t="str">
        <f t="shared" si="234"/>
        <v>Not Used</v>
      </c>
      <c r="AA339" s="51" t="str">
        <f t="shared" si="234"/>
        <v>Not Used</v>
      </c>
      <c r="AB339" s="51" t="str">
        <f t="shared" si="235"/>
        <v>Not Used</v>
      </c>
      <c r="AC339" s="51" t="b">
        <f t="shared" si="236"/>
        <v>1</v>
      </c>
      <c r="AD339" s="51">
        <f>COUNTIF($X$5:$X$339, "Not Used")</f>
        <v>335</v>
      </c>
      <c r="AE339" s="51">
        <f>COUNTIF($X$5:$X$339, "TRUE")</f>
        <v>0</v>
      </c>
      <c r="AF339" s="51" t="b">
        <f t="shared" si="237"/>
        <v>1</v>
      </c>
      <c r="AI339" s="51" t="b">
        <f t="shared" si="238"/>
        <v>0</v>
      </c>
      <c r="AJ339" s="51" t="b">
        <f t="shared" si="239"/>
        <v>0</v>
      </c>
      <c r="AK339" s="51" t="b">
        <f t="shared" si="240"/>
        <v>0</v>
      </c>
      <c r="AL339" s="51" t="b">
        <f t="shared" si="241"/>
        <v>0</v>
      </c>
      <c r="AM339" s="51" t="b">
        <f t="shared" si="242"/>
        <v>0</v>
      </c>
      <c r="AN339" s="51"/>
      <c r="AO339" s="51" t="b">
        <f t="shared" si="243"/>
        <v>0</v>
      </c>
      <c r="AP339" s="51" t="str">
        <f t="shared" si="265"/>
        <v>Not in MMS</v>
      </c>
      <c r="AQ339" s="51" t="b">
        <f t="shared" si="244"/>
        <v>0</v>
      </c>
      <c r="AR339" s="51" t="b">
        <f t="shared" si="245"/>
        <v>0</v>
      </c>
      <c r="AS339" s="51" t="str">
        <f t="shared" si="246"/>
        <v/>
      </c>
      <c r="AT339" s="51" t="str">
        <f t="shared" si="247"/>
        <v/>
      </c>
      <c r="AU339" s="51" t="str">
        <f t="shared" si="248"/>
        <v/>
      </c>
      <c r="AV339" s="51" t="str">
        <f t="shared" si="249"/>
        <v/>
      </c>
      <c r="AW339" s="51" t="str">
        <f t="shared" si="250"/>
        <v/>
      </c>
      <c r="AX339" s="51" t="str">
        <f t="shared" si="251"/>
        <v/>
      </c>
      <c r="AY339" s="51" t="str">
        <f t="shared" si="252"/>
        <v/>
      </c>
      <c r="AZ339" s="51" t="str">
        <f t="shared" si="253"/>
        <v/>
      </c>
      <c r="BA339" s="51" t="str">
        <f t="shared" si="254"/>
        <v/>
      </c>
      <c r="BB339" s="51" t="str">
        <f t="shared" si="255"/>
        <v/>
      </c>
      <c r="BC339" s="51" t="str">
        <f t="shared" si="256"/>
        <v/>
      </c>
      <c r="BD339" s="51" t="str">
        <f t="shared" si="257"/>
        <v/>
      </c>
      <c r="BE339" s="51" t="str">
        <f t="shared" si="258"/>
        <v/>
      </c>
      <c r="BF339" s="51" t="str">
        <f t="shared" si="259"/>
        <v/>
      </c>
      <c r="BG339" s="51" t="str">
        <f t="shared" si="260"/>
        <v/>
      </c>
      <c r="BH339" s="51" t="b">
        <f t="shared" si="261"/>
        <v>0</v>
      </c>
      <c r="BI339" s="51" t="str">
        <f t="shared" si="262"/>
        <v/>
      </c>
      <c r="BJ339" s="51" t="str">
        <f t="shared" si="263"/>
        <v/>
      </c>
      <c r="BK339" s="51" t="b">
        <f t="shared" si="264"/>
        <v>0</v>
      </c>
      <c r="BL339" s="192"/>
    </row>
    <row r="340" spans="1:64" ht="13.5" thickBot="1" x14ac:dyDescent="0.25">
      <c r="A340" s="185" t="s">
        <v>1022</v>
      </c>
      <c r="B340" s="194" t="s">
        <v>695</v>
      </c>
      <c r="C340" s="194" t="s">
        <v>695</v>
      </c>
      <c r="D340" s="194" t="s">
        <v>695</v>
      </c>
      <c r="E340" s="193" t="s">
        <v>694</v>
      </c>
      <c r="F340" s="160" t="s">
        <v>20</v>
      </c>
      <c r="G340" s="161"/>
      <c r="H340" s="186" t="str">
        <f t="shared" si="222"/>
        <v>N/A</v>
      </c>
      <c r="I340" s="186" t="b">
        <f t="shared" si="223"/>
        <v>1</v>
      </c>
      <c r="J340" s="186" t="str">
        <f t="shared" si="224"/>
        <v>N/A</v>
      </c>
      <c r="K340" s="186" t="b">
        <f t="shared" si="225"/>
        <v>1</v>
      </c>
      <c r="L340" s="186" t="str">
        <f t="shared" si="226"/>
        <v>N/A</v>
      </c>
      <c r="M340" s="186" t="b">
        <f t="shared" si="227"/>
        <v>1</v>
      </c>
      <c r="N340" s="186" t="str">
        <f t="shared" si="228"/>
        <v>Used?</v>
      </c>
      <c r="O340" s="186" t="b">
        <f t="shared" si="229"/>
        <v>0</v>
      </c>
      <c r="P340" s="26" t="s">
        <v>696</v>
      </c>
      <c r="Q340" s="160" t="s">
        <v>20</v>
      </c>
      <c r="R340" s="160" t="s">
        <v>20</v>
      </c>
      <c r="S340" s="26" t="s">
        <v>697</v>
      </c>
      <c r="T340" s="165" t="str">
        <f t="shared" si="230"/>
        <v>Not Used</v>
      </c>
      <c r="U340" s="162"/>
      <c r="V340" s="55"/>
      <c r="W340" s="51" t="b">
        <f t="shared" si="231"/>
        <v>1</v>
      </c>
      <c r="X340" s="51" t="str">
        <f t="shared" si="232"/>
        <v>Not Used</v>
      </c>
      <c r="Y340" s="51" t="str">
        <f t="shared" si="233"/>
        <v>Not Used</v>
      </c>
      <c r="Z340" s="51" t="str">
        <f t="shared" si="234"/>
        <v>Not Used</v>
      </c>
      <c r="AA340" s="51" t="str">
        <f t="shared" si="234"/>
        <v>Not Used</v>
      </c>
      <c r="AB340" s="51" t="str">
        <f t="shared" si="235"/>
        <v>Not Used</v>
      </c>
      <c r="AC340" s="51" t="b">
        <f t="shared" si="236"/>
        <v>1</v>
      </c>
      <c r="AD340" s="51">
        <f>COUNTIF($X$5:$X$340, "Not Used")</f>
        <v>336</v>
      </c>
      <c r="AE340" s="51">
        <f>COUNTIF($X$5:$X$340, "TRUE")</f>
        <v>0</v>
      </c>
      <c r="AF340" s="51" t="b">
        <f t="shared" si="237"/>
        <v>1</v>
      </c>
      <c r="AI340" s="51" t="b">
        <f t="shared" si="238"/>
        <v>0</v>
      </c>
      <c r="AJ340" s="51" t="b">
        <f t="shared" si="239"/>
        <v>0</v>
      </c>
      <c r="AK340" s="51" t="b">
        <f t="shared" si="240"/>
        <v>0</v>
      </c>
      <c r="AL340" s="51" t="b">
        <f t="shared" si="241"/>
        <v>0</v>
      </c>
      <c r="AM340" s="51" t="b">
        <f t="shared" si="242"/>
        <v>0</v>
      </c>
      <c r="AN340" s="51"/>
      <c r="AO340" s="51" t="b">
        <f t="shared" si="243"/>
        <v>0</v>
      </c>
      <c r="AP340" s="51" t="str">
        <f t="shared" si="265"/>
        <v>Not in MMS</v>
      </c>
      <c r="AQ340" s="51" t="b">
        <f t="shared" si="244"/>
        <v>0</v>
      </c>
      <c r="AR340" s="51" t="b">
        <f t="shared" si="245"/>
        <v>0</v>
      </c>
      <c r="AS340" s="51" t="str">
        <f t="shared" si="246"/>
        <v/>
      </c>
      <c r="AT340" s="51" t="str">
        <f t="shared" si="247"/>
        <v/>
      </c>
      <c r="AU340" s="51" t="str">
        <f t="shared" si="248"/>
        <v/>
      </c>
      <c r="AV340" s="51" t="str">
        <f t="shared" si="249"/>
        <v/>
      </c>
      <c r="AW340" s="51" t="str">
        <f t="shared" si="250"/>
        <v/>
      </c>
      <c r="AX340" s="51" t="str">
        <f t="shared" si="251"/>
        <v/>
      </c>
      <c r="AY340" s="51" t="str">
        <f t="shared" si="252"/>
        <v/>
      </c>
      <c r="AZ340" s="51" t="str">
        <f t="shared" si="253"/>
        <v/>
      </c>
      <c r="BA340" s="51" t="str">
        <f t="shared" si="254"/>
        <v/>
      </c>
      <c r="BB340" s="51" t="str">
        <f t="shared" si="255"/>
        <v/>
      </c>
      <c r="BC340" s="51" t="str">
        <f t="shared" si="256"/>
        <v/>
      </c>
      <c r="BD340" s="51" t="str">
        <f t="shared" si="257"/>
        <v/>
      </c>
      <c r="BE340" s="51" t="str">
        <f t="shared" si="258"/>
        <v/>
      </c>
      <c r="BF340" s="51" t="str">
        <f t="shared" si="259"/>
        <v/>
      </c>
      <c r="BG340" s="51" t="str">
        <f t="shared" si="260"/>
        <v/>
      </c>
      <c r="BH340" s="51" t="b">
        <f t="shared" si="261"/>
        <v>0</v>
      </c>
      <c r="BI340" s="51" t="str">
        <f t="shared" si="262"/>
        <v/>
      </c>
      <c r="BJ340" s="51" t="str">
        <f t="shared" si="263"/>
        <v/>
      </c>
      <c r="BK340" s="51" t="b">
        <f t="shared" si="264"/>
        <v>0</v>
      </c>
      <c r="BL340" s="192"/>
    </row>
    <row r="341" spans="1:64" ht="13.5" thickBot="1" x14ac:dyDescent="0.25">
      <c r="A341" s="185" t="s">
        <v>1023</v>
      </c>
      <c r="B341" s="194" t="s">
        <v>695</v>
      </c>
      <c r="C341" s="194" t="s">
        <v>695</v>
      </c>
      <c r="D341" s="194" t="s">
        <v>695</v>
      </c>
      <c r="E341" s="193" t="s">
        <v>694</v>
      </c>
      <c r="F341" s="160" t="s">
        <v>20</v>
      </c>
      <c r="G341" s="161"/>
      <c r="H341" s="186" t="str">
        <f t="shared" si="222"/>
        <v>N/A</v>
      </c>
      <c r="I341" s="186" t="b">
        <f t="shared" si="223"/>
        <v>1</v>
      </c>
      <c r="J341" s="186" t="str">
        <f t="shared" si="224"/>
        <v>N/A</v>
      </c>
      <c r="K341" s="186" t="b">
        <f t="shared" si="225"/>
        <v>1</v>
      </c>
      <c r="L341" s="186" t="str">
        <f t="shared" si="226"/>
        <v>N/A</v>
      </c>
      <c r="M341" s="186" t="b">
        <f t="shared" si="227"/>
        <v>1</v>
      </c>
      <c r="N341" s="186" t="str">
        <f t="shared" si="228"/>
        <v>Used?</v>
      </c>
      <c r="O341" s="186" t="b">
        <f t="shared" si="229"/>
        <v>0</v>
      </c>
      <c r="P341" s="26" t="s">
        <v>696</v>
      </c>
      <c r="Q341" s="160" t="s">
        <v>20</v>
      </c>
      <c r="R341" s="160" t="s">
        <v>20</v>
      </c>
      <c r="S341" s="26" t="s">
        <v>697</v>
      </c>
      <c r="T341" s="165" t="str">
        <f t="shared" si="230"/>
        <v>Not Used</v>
      </c>
      <c r="U341" s="162"/>
      <c r="V341" s="55"/>
      <c r="W341" s="51" t="b">
        <f t="shared" si="231"/>
        <v>1</v>
      </c>
      <c r="X341" s="51" t="str">
        <f t="shared" si="232"/>
        <v>Not Used</v>
      </c>
      <c r="Y341" s="51" t="str">
        <f t="shared" si="233"/>
        <v>Not Used</v>
      </c>
      <c r="Z341" s="51" t="str">
        <f t="shared" si="234"/>
        <v>Not Used</v>
      </c>
      <c r="AA341" s="51" t="str">
        <f t="shared" si="234"/>
        <v>Not Used</v>
      </c>
      <c r="AB341" s="51" t="str">
        <f t="shared" si="235"/>
        <v>Not Used</v>
      </c>
      <c r="AC341" s="51" t="b">
        <f t="shared" si="236"/>
        <v>1</v>
      </c>
      <c r="AD341" s="51">
        <f>COUNTIF($X$5:$X$341, "Not Used")</f>
        <v>337</v>
      </c>
      <c r="AE341" s="51">
        <f>COUNTIF($X$5:$X$341, "TRUE")</f>
        <v>0</v>
      </c>
      <c r="AF341" s="51" t="b">
        <f t="shared" si="237"/>
        <v>1</v>
      </c>
      <c r="AI341" s="51" t="b">
        <f t="shared" si="238"/>
        <v>0</v>
      </c>
      <c r="AJ341" s="51" t="b">
        <f t="shared" si="239"/>
        <v>0</v>
      </c>
      <c r="AK341" s="51" t="b">
        <f t="shared" si="240"/>
        <v>0</v>
      </c>
      <c r="AL341" s="51" t="b">
        <f t="shared" si="241"/>
        <v>0</v>
      </c>
      <c r="AM341" s="51" t="b">
        <f t="shared" si="242"/>
        <v>0</v>
      </c>
      <c r="AN341" s="51"/>
      <c r="AO341" s="51" t="b">
        <f t="shared" si="243"/>
        <v>0</v>
      </c>
      <c r="AP341" s="51" t="str">
        <f t="shared" si="265"/>
        <v>Not in MMS</v>
      </c>
      <c r="AQ341" s="51" t="b">
        <f t="shared" si="244"/>
        <v>0</v>
      </c>
      <c r="AR341" s="51" t="b">
        <f t="shared" si="245"/>
        <v>0</v>
      </c>
      <c r="AS341" s="51" t="str">
        <f t="shared" si="246"/>
        <v/>
      </c>
      <c r="AT341" s="51" t="str">
        <f t="shared" si="247"/>
        <v/>
      </c>
      <c r="AU341" s="51" t="str">
        <f t="shared" si="248"/>
        <v/>
      </c>
      <c r="AV341" s="51" t="str">
        <f t="shared" si="249"/>
        <v/>
      </c>
      <c r="AW341" s="51" t="str">
        <f t="shared" si="250"/>
        <v/>
      </c>
      <c r="AX341" s="51" t="str">
        <f t="shared" si="251"/>
        <v/>
      </c>
      <c r="AY341" s="51" t="str">
        <f t="shared" si="252"/>
        <v/>
      </c>
      <c r="AZ341" s="51" t="str">
        <f t="shared" si="253"/>
        <v/>
      </c>
      <c r="BA341" s="51" t="str">
        <f t="shared" si="254"/>
        <v/>
      </c>
      <c r="BB341" s="51" t="str">
        <f t="shared" si="255"/>
        <v/>
      </c>
      <c r="BC341" s="51" t="str">
        <f t="shared" si="256"/>
        <v/>
      </c>
      <c r="BD341" s="51" t="str">
        <f t="shared" si="257"/>
        <v/>
      </c>
      <c r="BE341" s="51" t="str">
        <f t="shared" si="258"/>
        <v/>
      </c>
      <c r="BF341" s="51" t="str">
        <f t="shared" si="259"/>
        <v/>
      </c>
      <c r="BG341" s="51" t="str">
        <f t="shared" si="260"/>
        <v/>
      </c>
      <c r="BH341" s="51" t="b">
        <f t="shared" si="261"/>
        <v>0</v>
      </c>
      <c r="BI341" s="51" t="str">
        <f t="shared" si="262"/>
        <v/>
      </c>
      <c r="BJ341" s="51" t="str">
        <f t="shared" si="263"/>
        <v/>
      </c>
      <c r="BK341" s="51" t="b">
        <f t="shared" si="264"/>
        <v>0</v>
      </c>
      <c r="BL341" s="192"/>
    </row>
    <row r="342" spans="1:64" ht="13.5" thickBot="1" x14ac:dyDescent="0.25">
      <c r="A342" s="185" t="s">
        <v>1024</v>
      </c>
      <c r="B342" s="194" t="s">
        <v>695</v>
      </c>
      <c r="C342" s="194" t="s">
        <v>695</v>
      </c>
      <c r="D342" s="194" t="s">
        <v>695</v>
      </c>
      <c r="E342" s="193" t="s">
        <v>694</v>
      </c>
      <c r="F342" s="160" t="s">
        <v>20</v>
      </c>
      <c r="G342" s="161"/>
      <c r="H342" s="186" t="str">
        <f t="shared" si="222"/>
        <v>N/A</v>
      </c>
      <c r="I342" s="186" t="b">
        <f t="shared" si="223"/>
        <v>1</v>
      </c>
      <c r="J342" s="186" t="str">
        <f t="shared" si="224"/>
        <v>N/A</v>
      </c>
      <c r="K342" s="186" t="b">
        <f t="shared" si="225"/>
        <v>1</v>
      </c>
      <c r="L342" s="186" t="str">
        <f t="shared" si="226"/>
        <v>N/A</v>
      </c>
      <c r="M342" s="186" t="b">
        <f t="shared" si="227"/>
        <v>1</v>
      </c>
      <c r="N342" s="186" t="str">
        <f t="shared" si="228"/>
        <v>Used?</v>
      </c>
      <c r="O342" s="186" t="b">
        <f t="shared" si="229"/>
        <v>0</v>
      </c>
      <c r="P342" s="26" t="s">
        <v>696</v>
      </c>
      <c r="Q342" s="160" t="s">
        <v>20</v>
      </c>
      <c r="R342" s="160" t="s">
        <v>20</v>
      </c>
      <c r="S342" s="26" t="s">
        <v>697</v>
      </c>
      <c r="T342" s="165" t="str">
        <f t="shared" si="230"/>
        <v>Not Used</v>
      </c>
      <c r="U342" s="162"/>
      <c r="V342" s="55"/>
      <c r="W342" s="51" t="b">
        <f t="shared" si="231"/>
        <v>1</v>
      </c>
      <c r="X342" s="51" t="str">
        <f t="shared" si="232"/>
        <v>Not Used</v>
      </c>
      <c r="Y342" s="51" t="str">
        <f t="shared" si="233"/>
        <v>Not Used</v>
      </c>
      <c r="Z342" s="51" t="str">
        <f t="shared" si="234"/>
        <v>Not Used</v>
      </c>
      <c r="AA342" s="51" t="str">
        <f t="shared" si="234"/>
        <v>Not Used</v>
      </c>
      <c r="AB342" s="51" t="str">
        <f t="shared" si="235"/>
        <v>Not Used</v>
      </c>
      <c r="AC342" s="51" t="b">
        <f t="shared" si="236"/>
        <v>1</v>
      </c>
      <c r="AD342" s="51">
        <f>COUNTIF($X$5:$X$342, "Not Used")</f>
        <v>338</v>
      </c>
      <c r="AE342" s="51">
        <f>COUNTIF($X$5:$X$342, "TRUE")</f>
        <v>0</v>
      </c>
      <c r="AF342" s="51" t="b">
        <f t="shared" si="237"/>
        <v>1</v>
      </c>
      <c r="AI342" s="51" t="b">
        <f t="shared" si="238"/>
        <v>0</v>
      </c>
      <c r="AJ342" s="51" t="b">
        <f t="shared" si="239"/>
        <v>0</v>
      </c>
      <c r="AK342" s="51" t="b">
        <f t="shared" si="240"/>
        <v>0</v>
      </c>
      <c r="AL342" s="51" t="b">
        <f t="shared" si="241"/>
        <v>0</v>
      </c>
      <c r="AM342" s="51" t="b">
        <f t="shared" si="242"/>
        <v>0</v>
      </c>
      <c r="AN342" s="51"/>
      <c r="AO342" s="51" t="b">
        <f t="shared" si="243"/>
        <v>0</v>
      </c>
      <c r="AP342" s="51" t="str">
        <f t="shared" si="265"/>
        <v>Not in MMS</v>
      </c>
      <c r="AQ342" s="51" t="b">
        <f t="shared" si="244"/>
        <v>0</v>
      </c>
      <c r="AR342" s="51" t="b">
        <f t="shared" si="245"/>
        <v>0</v>
      </c>
      <c r="AS342" s="51" t="str">
        <f t="shared" si="246"/>
        <v/>
      </c>
      <c r="AT342" s="51" t="str">
        <f t="shared" si="247"/>
        <v/>
      </c>
      <c r="AU342" s="51" t="str">
        <f t="shared" si="248"/>
        <v/>
      </c>
      <c r="AV342" s="51" t="str">
        <f t="shared" si="249"/>
        <v/>
      </c>
      <c r="AW342" s="51" t="str">
        <f t="shared" si="250"/>
        <v/>
      </c>
      <c r="AX342" s="51" t="str">
        <f t="shared" si="251"/>
        <v/>
      </c>
      <c r="AY342" s="51" t="str">
        <f t="shared" si="252"/>
        <v/>
      </c>
      <c r="AZ342" s="51" t="str">
        <f t="shared" si="253"/>
        <v/>
      </c>
      <c r="BA342" s="51" t="str">
        <f t="shared" si="254"/>
        <v/>
      </c>
      <c r="BB342" s="51" t="str">
        <f t="shared" si="255"/>
        <v/>
      </c>
      <c r="BC342" s="51" t="str">
        <f t="shared" si="256"/>
        <v/>
      </c>
      <c r="BD342" s="51" t="str">
        <f t="shared" si="257"/>
        <v/>
      </c>
      <c r="BE342" s="51" t="str">
        <f t="shared" si="258"/>
        <v/>
      </c>
      <c r="BF342" s="51" t="str">
        <f t="shared" si="259"/>
        <v/>
      </c>
      <c r="BG342" s="51" t="str">
        <f t="shared" si="260"/>
        <v/>
      </c>
      <c r="BH342" s="51" t="b">
        <f t="shared" si="261"/>
        <v>0</v>
      </c>
      <c r="BI342" s="51" t="str">
        <f t="shared" si="262"/>
        <v/>
      </c>
      <c r="BJ342" s="51" t="str">
        <f t="shared" si="263"/>
        <v/>
      </c>
      <c r="BK342" s="51" t="b">
        <f t="shared" si="264"/>
        <v>0</v>
      </c>
      <c r="BL342" s="192"/>
    </row>
    <row r="343" spans="1:64" ht="13.5" thickBot="1" x14ac:dyDescent="0.25">
      <c r="A343" s="185" t="s">
        <v>1025</v>
      </c>
      <c r="B343" s="194" t="s">
        <v>695</v>
      </c>
      <c r="C343" s="194" t="s">
        <v>695</v>
      </c>
      <c r="D343" s="194" t="s">
        <v>695</v>
      </c>
      <c r="E343" s="193" t="s">
        <v>694</v>
      </c>
      <c r="F343" s="160" t="s">
        <v>20</v>
      </c>
      <c r="G343" s="161"/>
      <c r="H343" s="186" t="str">
        <f t="shared" si="222"/>
        <v>N/A</v>
      </c>
      <c r="I343" s="186" t="b">
        <f t="shared" si="223"/>
        <v>1</v>
      </c>
      <c r="J343" s="186" t="str">
        <f t="shared" si="224"/>
        <v>N/A</v>
      </c>
      <c r="K343" s="186" t="b">
        <f t="shared" si="225"/>
        <v>1</v>
      </c>
      <c r="L343" s="186" t="str">
        <f t="shared" si="226"/>
        <v>N/A</v>
      </c>
      <c r="M343" s="186" t="b">
        <f t="shared" si="227"/>
        <v>1</v>
      </c>
      <c r="N343" s="186" t="str">
        <f t="shared" si="228"/>
        <v>Used?</v>
      </c>
      <c r="O343" s="186" t="b">
        <f t="shared" si="229"/>
        <v>0</v>
      </c>
      <c r="P343" s="26" t="s">
        <v>696</v>
      </c>
      <c r="Q343" s="160" t="s">
        <v>20</v>
      </c>
      <c r="R343" s="160" t="s">
        <v>20</v>
      </c>
      <c r="S343" s="26" t="s">
        <v>697</v>
      </c>
      <c r="T343" s="165" t="str">
        <f t="shared" si="230"/>
        <v>Not Used</v>
      </c>
      <c r="U343" s="162"/>
      <c r="V343" s="55"/>
      <c r="W343" s="51" t="b">
        <f t="shared" si="231"/>
        <v>1</v>
      </c>
      <c r="X343" s="51" t="str">
        <f t="shared" si="232"/>
        <v>Not Used</v>
      </c>
      <c r="Y343" s="51" t="str">
        <f t="shared" si="233"/>
        <v>Not Used</v>
      </c>
      <c r="Z343" s="51" t="str">
        <f t="shared" si="234"/>
        <v>Not Used</v>
      </c>
      <c r="AA343" s="51" t="str">
        <f t="shared" si="234"/>
        <v>Not Used</v>
      </c>
      <c r="AB343" s="51" t="str">
        <f t="shared" si="235"/>
        <v>Not Used</v>
      </c>
      <c r="AC343" s="51" t="b">
        <f t="shared" si="236"/>
        <v>1</v>
      </c>
      <c r="AD343" s="51">
        <f>COUNTIF($X$5:$X$343, "Not Used")</f>
        <v>339</v>
      </c>
      <c r="AE343" s="51">
        <f>COUNTIF($X$5:$X$343, "TRUE")</f>
        <v>0</v>
      </c>
      <c r="AF343" s="51" t="b">
        <f t="shared" si="237"/>
        <v>1</v>
      </c>
      <c r="AI343" s="51" t="b">
        <f t="shared" si="238"/>
        <v>0</v>
      </c>
      <c r="AJ343" s="51" t="b">
        <f t="shared" si="239"/>
        <v>0</v>
      </c>
      <c r="AK343" s="51" t="b">
        <f t="shared" si="240"/>
        <v>0</v>
      </c>
      <c r="AL343" s="51" t="b">
        <f t="shared" si="241"/>
        <v>0</v>
      </c>
      <c r="AM343" s="51" t="b">
        <f t="shared" si="242"/>
        <v>0</v>
      </c>
      <c r="AN343" s="51"/>
      <c r="AO343" s="51" t="b">
        <f t="shared" si="243"/>
        <v>0</v>
      </c>
      <c r="AP343" s="51" t="str">
        <f t="shared" si="265"/>
        <v>Not in MMS</v>
      </c>
      <c r="AQ343" s="51" t="b">
        <f t="shared" si="244"/>
        <v>0</v>
      </c>
      <c r="AR343" s="51" t="b">
        <f t="shared" si="245"/>
        <v>0</v>
      </c>
      <c r="AS343" s="51" t="str">
        <f t="shared" si="246"/>
        <v/>
      </c>
      <c r="AT343" s="51" t="str">
        <f t="shared" si="247"/>
        <v/>
      </c>
      <c r="AU343" s="51" t="str">
        <f t="shared" si="248"/>
        <v/>
      </c>
      <c r="AV343" s="51" t="str">
        <f t="shared" si="249"/>
        <v/>
      </c>
      <c r="AW343" s="51" t="str">
        <f t="shared" si="250"/>
        <v/>
      </c>
      <c r="AX343" s="51" t="str">
        <f t="shared" si="251"/>
        <v/>
      </c>
      <c r="AY343" s="51" t="str">
        <f t="shared" si="252"/>
        <v/>
      </c>
      <c r="AZ343" s="51" t="str">
        <f t="shared" si="253"/>
        <v/>
      </c>
      <c r="BA343" s="51" t="str">
        <f t="shared" si="254"/>
        <v/>
      </c>
      <c r="BB343" s="51" t="str">
        <f t="shared" si="255"/>
        <v/>
      </c>
      <c r="BC343" s="51" t="str">
        <f t="shared" si="256"/>
        <v/>
      </c>
      <c r="BD343" s="51" t="str">
        <f t="shared" si="257"/>
        <v/>
      </c>
      <c r="BE343" s="51" t="str">
        <f t="shared" si="258"/>
        <v/>
      </c>
      <c r="BF343" s="51" t="str">
        <f t="shared" si="259"/>
        <v/>
      </c>
      <c r="BG343" s="51" t="str">
        <f t="shared" si="260"/>
        <v/>
      </c>
      <c r="BH343" s="51" t="b">
        <f t="shared" si="261"/>
        <v>0</v>
      </c>
      <c r="BI343" s="51" t="str">
        <f t="shared" si="262"/>
        <v/>
      </c>
      <c r="BJ343" s="51" t="str">
        <f t="shared" si="263"/>
        <v/>
      </c>
      <c r="BK343" s="51" t="b">
        <f t="shared" si="264"/>
        <v>0</v>
      </c>
      <c r="BL343" s="192"/>
    </row>
    <row r="344" spans="1:64" ht="13.5" thickBot="1" x14ac:dyDescent="0.25">
      <c r="A344" s="185" t="s">
        <v>1026</v>
      </c>
      <c r="B344" s="194" t="s">
        <v>695</v>
      </c>
      <c r="C344" s="194" t="s">
        <v>695</v>
      </c>
      <c r="D344" s="194" t="s">
        <v>695</v>
      </c>
      <c r="E344" s="193" t="s">
        <v>694</v>
      </c>
      <c r="F344" s="160" t="s">
        <v>20</v>
      </c>
      <c r="G344" s="161"/>
      <c r="H344" s="186" t="str">
        <f t="shared" si="222"/>
        <v>N/A</v>
      </c>
      <c r="I344" s="186" t="b">
        <f t="shared" si="223"/>
        <v>1</v>
      </c>
      <c r="J344" s="186" t="str">
        <f t="shared" si="224"/>
        <v>N/A</v>
      </c>
      <c r="K344" s="186" t="b">
        <f t="shared" si="225"/>
        <v>1</v>
      </c>
      <c r="L344" s="186" t="str">
        <f t="shared" si="226"/>
        <v>N/A</v>
      </c>
      <c r="M344" s="186" t="b">
        <f t="shared" si="227"/>
        <v>1</v>
      </c>
      <c r="N344" s="186" t="str">
        <f t="shared" si="228"/>
        <v>Used?</v>
      </c>
      <c r="O344" s="186" t="b">
        <f t="shared" si="229"/>
        <v>0</v>
      </c>
      <c r="P344" s="26" t="s">
        <v>696</v>
      </c>
      <c r="Q344" s="160" t="s">
        <v>20</v>
      </c>
      <c r="R344" s="160" t="s">
        <v>20</v>
      </c>
      <c r="S344" s="26" t="s">
        <v>697</v>
      </c>
      <c r="T344" s="165" t="str">
        <f t="shared" si="230"/>
        <v>Not Used</v>
      </c>
      <c r="U344" s="162"/>
      <c r="V344" s="55"/>
      <c r="W344" s="51" t="b">
        <f t="shared" si="231"/>
        <v>1</v>
      </c>
      <c r="X344" s="51" t="str">
        <f t="shared" si="232"/>
        <v>Not Used</v>
      </c>
      <c r="Y344" s="51" t="str">
        <f t="shared" si="233"/>
        <v>Not Used</v>
      </c>
      <c r="Z344" s="51" t="str">
        <f t="shared" si="234"/>
        <v>Not Used</v>
      </c>
      <c r="AA344" s="51" t="str">
        <f t="shared" si="234"/>
        <v>Not Used</v>
      </c>
      <c r="AB344" s="51" t="str">
        <f t="shared" si="235"/>
        <v>Not Used</v>
      </c>
      <c r="AC344" s="51" t="b">
        <f t="shared" si="236"/>
        <v>1</v>
      </c>
      <c r="AD344" s="51">
        <f>COUNTIF($X$5:$X$344, "Not Used")</f>
        <v>340</v>
      </c>
      <c r="AE344" s="51">
        <f>COUNTIF($X$5:$X$344, "TRUE")</f>
        <v>0</v>
      </c>
      <c r="AF344" s="51" t="b">
        <f t="shared" si="237"/>
        <v>1</v>
      </c>
      <c r="AI344" s="51" t="b">
        <f t="shared" si="238"/>
        <v>0</v>
      </c>
      <c r="AJ344" s="51" t="b">
        <f t="shared" si="239"/>
        <v>0</v>
      </c>
      <c r="AK344" s="51" t="b">
        <f t="shared" si="240"/>
        <v>0</v>
      </c>
      <c r="AL344" s="51" t="b">
        <f t="shared" si="241"/>
        <v>0</v>
      </c>
      <c r="AM344" s="51" t="b">
        <f t="shared" si="242"/>
        <v>0</v>
      </c>
      <c r="AN344" s="51"/>
      <c r="AO344" s="51" t="b">
        <f t="shared" si="243"/>
        <v>0</v>
      </c>
      <c r="AP344" s="51" t="str">
        <f t="shared" si="265"/>
        <v>Not in MMS</v>
      </c>
      <c r="AQ344" s="51" t="b">
        <f t="shared" si="244"/>
        <v>0</v>
      </c>
      <c r="AR344" s="51" t="b">
        <f t="shared" si="245"/>
        <v>0</v>
      </c>
      <c r="AS344" s="51" t="str">
        <f t="shared" si="246"/>
        <v/>
      </c>
      <c r="AT344" s="51" t="str">
        <f t="shared" si="247"/>
        <v/>
      </c>
      <c r="AU344" s="51" t="str">
        <f t="shared" si="248"/>
        <v/>
      </c>
      <c r="AV344" s="51" t="str">
        <f t="shared" si="249"/>
        <v/>
      </c>
      <c r="AW344" s="51" t="str">
        <f t="shared" si="250"/>
        <v/>
      </c>
      <c r="AX344" s="51" t="str">
        <f t="shared" si="251"/>
        <v/>
      </c>
      <c r="AY344" s="51" t="str">
        <f t="shared" si="252"/>
        <v/>
      </c>
      <c r="AZ344" s="51" t="str">
        <f t="shared" si="253"/>
        <v/>
      </c>
      <c r="BA344" s="51" t="str">
        <f t="shared" si="254"/>
        <v/>
      </c>
      <c r="BB344" s="51" t="str">
        <f t="shared" si="255"/>
        <v/>
      </c>
      <c r="BC344" s="51" t="str">
        <f t="shared" si="256"/>
        <v/>
      </c>
      <c r="BD344" s="51" t="str">
        <f t="shared" si="257"/>
        <v/>
      </c>
      <c r="BE344" s="51" t="str">
        <f t="shared" si="258"/>
        <v/>
      </c>
      <c r="BF344" s="51" t="str">
        <f t="shared" si="259"/>
        <v/>
      </c>
      <c r="BG344" s="51" t="str">
        <f t="shared" si="260"/>
        <v/>
      </c>
      <c r="BH344" s="51" t="b">
        <f t="shared" si="261"/>
        <v>0</v>
      </c>
      <c r="BI344" s="51" t="str">
        <f t="shared" si="262"/>
        <v/>
      </c>
      <c r="BJ344" s="51" t="str">
        <f t="shared" si="263"/>
        <v/>
      </c>
      <c r="BK344" s="51" t="b">
        <f t="shared" si="264"/>
        <v>0</v>
      </c>
      <c r="BL344" s="192"/>
    </row>
    <row r="345" spans="1:64" ht="13.5" thickBot="1" x14ac:dyDescent="0.25">
      <c r="A345" s="185" t="s">
        <v>1027</v>
      </c>
      <c r="B345" s="194" t="s">
        <v>695</v>
      </c>
      <c r="C345" s="194" t="s">
        <v>695</v>
      </c>
      <c r="D345" s="194" t="s">
        <v>695</v>
      </c>
      <c r="E345" s="193" t="s">
        <v>694</v>
      </c>
      <c r="F345" s="160" t="s">
        <v>20</v>
      </c>
      <c r="G345" s="161"/>
      <c r="H345" s="186" t="str">
        <f t="shared" si="222"/>
        <v>N/A</v>
      </c>
      <c r="I345" s="186" t="b">
        <f t="shared" si="223"/>
        <v>1</v>
      </c>
      <c r="J345" s="186" t="str">
        <f t="shared" si="224"/>
        <v>N/A</v>
      </c>
      <c r="K345" s="186" t="b">
        <f t="shared" si="225"/>
        <v>1</v>
      </c>
      <c r="L345" s="186" t="str">
        <f t="shared" si="226"/>
        <v>N/A</v>
      </c>
      <c r="M345" s="186" t="b">
        <f t="shared" si="227"/>
        <v>1</v>
      </c>
      <c r="N345" s="186" t="str">
        <f t="shared" si="228"/>
        <v>Used?</v>
      </c>
      <c r="O345" s="186" t="b">
        <f t="shared" si="229"/>
        <v>0</v>
      </c>
      <c r="P345" s="26" t="s">
        <v>696</v>
      </c>
      <c r="Q345" s="160" t="s">
        <v>20</v>
      </c>
      <c r="R345" s="160" t="s">
        <v>20</v>
      </c>
      <c r="S345" s="26" t="s">
        <v>697</v>
      </c>
      <c r="T345" s="165" t="str">
        <f t="shared" si="230"/>
        <v>Not Used</v>
      </c>
      <c r="U345" s="162"/>
      <c r="V345" s="55"/>
      <c r="W345" s="51" t="b">
        <f t="shared" si="231"/>
        <v>1</v>
      </c>
      <c r="X345" s="51" t="str">
        <f t="shared" si="232"/>
        <v>Not Used</v>
      </c>
      <c r="Y345" s="51" t="str">
        <f t="shared" si="233"/>
        <v>Not Used</v>
      </c>
      <c r="Z345" s="51" t="str">
        <f t="shared" si="234"/>
        <v>Not Used</v>
      </c>
      <c r="AA345" s="51" t="str">
        <f t="shared" si="234"/>
        <v>Not Used</v>
      </c>
      <c r="AB345" s="51" t="str">
        <f t="shared" si="235"/>
        <v>Not Used</v>
      </c>
      <c r="AC345" s="51" t="b">
        <f t="shared" si="236"/>
        <v>1</v>
      </c>
      <c r="AD345" s="51">
        <f>COUNTIF($X$5:$X$345, "Not Used")</f>
        <v>341</v>
      </c>
      <c r="AE345" s="51">
        <f>COUNTIF($X$5:$X$345, "TRUE")</f>
        <v>0</v>
      </c>
      <c r="AF345" s="51" t="b">
        <f t="shared" si="237"/>
        <v>1</v>
      </c>
      <c r="AI345" s="51" t="b">
        <f t="shared" si="238"/>
        <v>0</v>
      </c>
      <c r="AJ345" s="51" t="b">
        <f t="shared" si="239"/>
        <v>0</v>
      </c>
      <c r="AK345" s="51" t="b">
        <f t="shared" si="240"/>
        <v>0</v>
      </c>
      <c r="AL345" s="51" t="b">
        <f t="shared" si="241"/>
        <v>0</v>
      </c>
      <c r="AM345" s="51" t="b">
        <f t="shared" si="242"/>
        <v>0</v>
      </c>
      <c r="AN345" s="51"/>
      <c r="AO345" s="51" t="b">
        <f t="shared" si="243"/>
        <v>0</v>
      </c>
      <c r="AP345" s="51" t="str">
        <f t="shared" si="265"/>
        <v>Not in MMS</v>
      </c>
      <c r="AQ345" s="51" t="b">
        <f t="shared" si="244"/>
        <v>0</v>
      </c>
      <c r="AR345" s="51" t="b">
        <f t="shared" si="245"/>
        <v>0</v>
      </c>
      <c r="AS345" s="51" t="str">
        <f t="shared" si="246"/>
        <v/>
      </c>
      <c r="AT345" s="51" t="str">
        <f t="shared" si="247"/>
        <v/>
      </c>
      <c r="AU345" s="51" t="str">
        <f t="shared" si="248"/>
        <v/>
      </c>
      <c r="AV345" s="51" t="str">
        <f t="shared" si="249"/>
        <v/>
      </c>
      <c r="AW345" s="51" t="str">
        <f t="shared" si="250"/>
        <v/>
      </c>
      <c r="AX345" s="51" t="str">
        <f t="shared" si="251"/>
        <v/>
      </c>
      <c r="AY345" s="51" t="str">
        <f t="shared" si="252"/>
        <v/>
      </c>
      <c r="AZ345" s="51" t="str">
        <f t="shared" si="253"/>
        <v/>
      </c>
      <c r="BA345" s="51" t="str">
        <f t="shared" si="254"/>
        <v/>
      </c>
      <c r="BB345" s="51" t="str">
        <f t="shared" si="255"/>
        <v/>
      </c>
      <c r="BC345" s="51" t="str">
        <f t="shared" si="256"/>
        <v/>
      </c>
      <c r="BD345" s="51" t="str">
        <f t="shared" si="257"/>
        <v/>
      </c>
      <c r="BE345" s="51" t="str">
        <f t="shared" si="258"/>
        <v/>
      </c>
      <c r="BF345" s="51" t="str">
        <f t="shared" si="259"/>
        <v/>
      </c>
      <c r="BG345" s="51" t="str">
        <f t="shared" si="260"/>
        <v/>
      </c>
      <c r="BH345" s="51" t="b">
        <f t="shared" si="261"/>
        <v>0</v>
      </c>
      <c r="BI345" s="51" t="str">
        <f t="shared" si="262"/>
        <v/>
      </c>
      <c r="BJ345" s="51" t="str">
        <f t="shared" si="263"/>
        <v/>
      </c>
      <c r="BK345" s="51" t="b">
        <f t="shared" si="264"/>
        <v>0</v>
      </c>
      <c r="BL345" s="192"/>
    </row>
    <row r="346" spans="1:64" ht="13.5" thickBot="1" x14ac:dyDescent="0.25">
      <c r="A346" s="185" t="s">
        <v>1028</v>
      </c>
      <c r="B346" s="194" t="s">
        <v>695</v>
      </c>
      <c r="C346" s="194" t="s">
        <v>695</v>
      </c>
      <c r="D346" s="194" t="s">
        <v>695</v>
      </c>
      <c r="E346" s="193" t="s">
        <v>694</v>
      </c>
      <c r="F346" s="160" t="s">
        <v>20</v>
      </c>
      <c r="G346" s="161"/>
      <c r="H346" s="186" t="str">
        <f t="shared" si="222"/>
        <v>N/A</v>
      </c>
      <c r="I346" s="186" t="b">
        <f t="shared" si="223"/>
        <v>1</v>
      </c>
      <c r="J346" s="186" t="str">
        <f t="shared" si="224"/>
        <v>N/A</v>
      </c>
      <c r="K346" s="186" t="b">
        <f t="shared" si="225"/>
        <v>1</v>
      </c>
      <c r="L346" s="186" t="str">
        <f t="shared" si="226"/>
        <v>N/A</v>
      </c>
      <c r="M346" s="186" t="b">
        <f t="shared" si="227"/>
        <v>1</v>
      </c>
      <c r="N346" s="186" t="str">
        <f t="shared" si="228"/>
        <v>Used?</v>
      </c>
      <c r="O346" s="186" t="b">
        <f t="shared" si="229"/>
        <v>0</v>
      </c>
      <c r="P346" s="26" t="s">
        <v>696</v>
      </c>
      <c r="Q346" s="160" t="s">
        <v>20</v>
      </c>
      <c r="R346" s="160" t="s">
        <v>20</v>
      </c>
      <c r="S346" s="26" t="s">
        <v>697</v>
      </c>
      <c r="T346" s="165" t="str">
        <f t="shared" si="230"/>
        <v>Not Used</v>
      </c>
      <c r="U346" s="162"/>
      <c r="V346" s="55"/>
      <c r="W346" s="51" t="b">
        <f t="shared" si="231"/>
        <v>1</v>
      </c>
      <c r="X346" s="51" t="str">
        <f t="shared" si="232"/>
        <v>Not Used</v>
      </c>
      <c r="Y346" s="51" t="str">
        <f t="shared" si="233"/>
        <v>Not Used</v>
      </c>
      <c r="Z346" s="51" t="str">
        <f t="shared" si="234"/>
        <v>Not Used</v>
      </c>
      <c r="AA346" s="51" t="str">
        <f t="shared" si="234"/>
        <v>Not Used</v>
      </c>
      <c r="AB346" s="51" t="str">
        <f t="shared" si="235"/>
        <v>Not Used</v>
      </c>
      <c r="AC346" s="51" t="b">
        <f t="shared" si="236"/>
        <v>1</v>
      </c>
      <c r="AD346" s="51">
        <f>COUNTIF($X$5:$X$346, "Not Used")</f>
        <v>342</v>
      </c>
      <c r="AE346" s="51">
        <f>COUNTIF($X$5:$X$346, "TRUE")</f>
        <v>0</v>
      </c>
      <c r="AF346" s="51" t="b">
        <f t="shared" si="237"/>
        <v>1</v>
      </c>
      <c r="AI346" s="51" t="b">
        <f t="shared" si="238"/>
        <v>0</v>
      </c>
      <c r="AJ346" s="51" t="b">
        <f t="shared" si="239"/>
        <v>0</v>
      </c>
      <c r="AK346" s="51" t="b">
        <f t="shared" si="240"/>
        <v>0</v>
      </c>
      <c r="AL346" s="51" t="b">
        <f t="shared" si="241"/>
        <v>0</v>
      </c>
      <c r="AM346" s="51" t="b">
        <f t="shared" si="242"/>
        <v>0</v>
      </c>
      <c r="AN346" s="51"/>
      <c r="AO346" s="51" t="b">
        <f t="shared" si="243"/>
        <v>0</v>
      </c>
      <c r="AP346" s="51" t="str">
        <f t="shared" si="265"/>
        <v>Not in MMS</v>
      </c>
      <c r="AQ346" s="51" t="b">
        <f t="shared" si="244"/>
        <v>0</v>
      </c>
      <c r="AR346" s="51" t="b">
        <f t="shared" si="245"/>
        <v>0</v>
      </c>
      <c r="AS346" s="51" t="str">
        <f t="shared" si="246"/>
        <v/>
      </c>
      <c r="AT346" s="51" t="str">
        <f t="shared" si="247"/>
        <v/>
      </c>
      <c r="AU346" s="51" t="str">
        <f t="shared" si="248"/>
        <v/>
      </c>
      <c r="AV346" s="51" t="str">
        <f t="shared" si="249"/>
        <v/>
      </c>
      <c r="AW346" s="51" t="str">
        <f t="shared" si="250"/>
        <v/>
      </c>
      <c r="AX346" s="51" t="str">
        <f t="shared" si="251"/>
        <v/>
      </c>
      <c r="AY346" s="51" t="str">
        <f t="shared" si="252"/>
        <v/>
      </c>
      <c r="AZ346" s="51" t="str">
        <f t="shared" si="253"/>
        <v/>
      </c>
      <c r="BA346" s="51" t="str">
        <f t="shared" si="254"/>
        <v/>
      </c>
      <c r="BB346" s="51" t="str">
        <f t="shared" si="255"/>
        <v/>
      </c>
      <c r="BC346" s="51" t="str">
        <f t="shared" si="256"/>
        <v/>
      </c>
      <c r="BD346" s="51" t="str">
        <f t="shared" si="257"/>
        <v/>
      </c>
      <c r="BE346" s="51" t="str">
        <f t="shared" si="258"/>
        <v/>
      </c>
      <c r="BF346" s="51" t="str">
        <f t="shared" si="259"/>
        <v/>
      </c>
      <c r="BG346" s="51" t="str">
        <f t="shared" si="260"/>
        <v/>
      </c>
      <c r="BH346" s="51" t="b">
        <f t="shared" si="261"/>
        <v>0</v>
      </c>
      <c r="BI346" s="51" t="str">
        <f t="shared" si="262"/>
        <v/>
      </c>
      <c r="BJ346" s="51" t="str">
        <f t="shared" si="263"/>
        <v/>
      </c>
      <c r="BK346" s="51" t="b">
        <f t="shared" si="264"/>
        <v>0</v>
      </c>
      <c r="BL346" s="192"/>
    </row>
    <row r="347" spans="1:64" ht="13.5" thickBot="1" x14ac:dyDescent="0.25">
      <c r="A347" s="185" t="s">
        <v>1029</v>
      </c>
      <c r="B347" s="194" t="s">
        <v>695</v>
      </c>
      <c r="C347" s="194" t="s">
        <v>695</v>
      </c>
      <c r="D347" s="194" t="s">
        <v>695</v>
      </c>
      <c r="E347" s="193" t="s">
        <v>694</v>
      </c>
      <c r="F347" s="160" t="s">
        <v>20</v>
      </c>
      <c r="G347" s="161"/>
      <c r="H347" s="186" t="str">
        <f t="shared" si="222"/>
        <v>N/A</v>
      </c>
      <c r="I347" s="186" t="b">
        <f t="shared" si="223"/>
        <v>1</v>
      </c>
      <c r="J347" s="186" t="str">
        <f t="shared" si="224"/>
        <v>N/A</v>
      </c>
      <c r="K347" s="186" t="b">
        <f t="shared" si="225"/>
        <v>1</v>
      </c>
      <c r="L347" s="186" t="str">
        <f t="shared" si="226"/>
        <v>N/A</v>
      </c>
      <c r="M347" s="186" t="b">
        <f t="shared" si="227"/>
        <v>1</v>
      </c>
      <c r="N347" s="186" t="str">
        <f t="shared" si="228"/>
        <v>Used?</v>
      </c>
      <c r="O347" s="186" t="b">
        <f t="shared" si="229"/>
        <v>0</v>
      </c>
      <c r="P347" s="26" t="s">
        <v>696</v>
      </c>
      <c r="Q347" s="160" t="s">
        <v>20</v>
      </c>
      <c r="R347" s="160" t="s">
        <v>20</v>
      </c>
      <c r="S347" s="26" t="s">
        <v>697</v>
      </c>
      <c r="T347" s="165" t="str">
        <f t="shared" si="230"/>
        <v>Not Used</v>
      </c>
      <c r="U347" s="162"/>
      <c r="V347" s="55"/>
      <c r="W347" s="51" t="b">
        <f t="shared" si="231"/>
        <v>1</v>
      </c>
      <c r="X347" s="51" t="str">
        <f t="shared" si="232"/>
        <v>Not Used</v>
      </c>
      <c r="Y347" s="51" t="str">
        <f t="shared" si="233"/>
        <v>Not Used</v>
      </c>
      <c r="Z347" s="51" t="str">
        <f t="shared" si="234"/>
        <v>Not Used</v>
      </c>
      <c r="AA347" s="51" t="str">
        <f t="shared" si="234"/>
        <v>Not Used</v>
      </c>
      <c r="AB347" s="51" t="str">
        <f t="shared" si="235"/>
        <v>Not Used</v>
      </c>
      <c r="AC347" s="51" t="b">
        <f t="shared" si="236"/>
        <v>1</v>
      </c>
      <c r="AD347" s="51">
        <f>COUNTIF($X$5:$X$347, "Not Used")</f>
        <v>343</v>
      </c>
      <c r="AE347" s="51">
        <f>COUNTIF($X$5:$X$347, "TRUE")</f>
        <v>0</v>
      </c>
      <c r="AF347" s="51" t="b">
        <f t="shared" si="237"/>
        <v>1</v>
      </c>
      <c r="AI347" s="51" t="b">
        <f t="shared" si="238"/>
        <v>0</v>
      </c>
      <c r="AJ347" s="51" t="b">
        <f t="shared" si="239"/>
        <v>0</v>
      </c>
      <c r="AK347" s="51" t="b">
        <f t="shared" si="240"/>
        <v>0</v>
      </c>
      <c r="AL347" s="51" t="b">
        <f t="shared" si="241"/>
        <v>0</v>
      </c>
      <c r="AM347" s="51" t="b">
        <f t="shared" si="242"/>
        <v>0</v>
      </c>
      <c r="AN347" s="51"/>
      <c r="AO347" s="51" t="b">
        <f t="shared" si="243"/>
        <v>0</v>
      </c>
      <c r="AP347" s="51" t="str">
        <f t="shared" si="265"/>
        <v>Not in MMS</v>
      </c>
      <c r="AQ347" s="51" t="b">
        <f t="shared" si="244"/>
        <v>0</v>
      </c>
      <c r="AR347" s="51" t="b">
        <f t="shared" si="245"/>
        <v>0</v>
      </c>
      <c r="AS347" s="51" t="str">
        <f t="shared" si="246"/>
        <v/>
      </c>
      <c r="AT347" s="51" t="str">
        <f t="shared" si="247"/>
        <v/>
      </c>
      <c r="AU347" s="51" t="str">
        <f t="shared" si="248"/>
        <v/>
      </c>
      <c r="AV347" s="51" t="str">
        <f t="shared" si="249"/>
        <v/>
      </c>
      <c r="AW347" s="51" t="str">
        <f t="shared" si="250"/>
        <v/>
      </c>
      <c r="AX347" s="51" t="str">
        <f t="shared" si="251"/>
        <v/>
      </c>
      <c r="AY347" s="51" t="str">
        <f t="shared" si="252"/>
        <v/>
      </c>
      <c r="AZ347" s="51" t="str">
        <f t="shared" si="253"/>
        <v/>
      </c>
      <c r="BA347" s="51" t="str">
        <f t="shared" si="254"/>
        <v/>
      </c>
      <c r="BB347" s="51" t="str">
        <f t="shared" si="255"/>
        <v/>
      </c>
      <c r="BC347" s="51" t="str">
        <f t="shared" si="256"/>
        <v/>
      </c>
      <c r="BD347" s="51" t="str">
        <f t="shared" si="257"/>
        <v/>
      </c>
      <c r="BE347" s="51" t="str">
        <f t="shared" si="258"/>
        <v/>
      </c>
      <c r="BF347" s="51" t="str">
        <f t="shared" si="259"/>
        <v/>
      </c>
      <c r="BG347" s="51" t="str">
        <f t="shared" si="260"/>
        <v/>
      </c>
      <c r="BH347" s="51" t="b">
        <f t="shared" si="261"/>
        <v>0</v>
      </c>
      <c r="BI347" s="51" t="str">
        <f t="shared" si="262"/>
        <v/>
      </c>
      <c r="BJ347" s="51" t="str">
        <f t="shared" si="263"/>
        <v/>
      </c>
      <c r="BK347" s="51" t="b">
        <f t="shared" si="264"/>
        <v>0</v>
      </c>
      <c r="BL347" s="192"/>
    </row>
    <row r="348" spans="1:64" ht="13.5" thickBot="1" x14ac:dyDescent="0.25">
      <c r="A348" s="185" t="s">
        <v>1030</v>
      </c>
      <c r="B348" s="194" t="s">
        <v>695</v>
      </c>
      <c r="C348" s="194" t="s">
        <v>695</v>
      </c>
      <c r="D348" s="194" t="s">
        <v>695</v>
      </c>
      <c r="E348" s="193" t="s">
        <v>694</v>
      </c>
      <c r="F348" s="160" t="s">
        <v>20</v>
      </c>
      <c r="G348" s="161"/>
      <c r="H348" s="186" t="str">
        <f t="shared" si="222"/>
        <v>N/A</v>
      </c>
      <c r="I348" s="186" t="b">
        <f t="shared" si="223"/>
        <v>1</v>
      </c>
      <c r="J348" s="186" t="str">
        <f t="shared" si="224"/>
        <v>N/A</v>
      </c>
      <c r="K348" s="186" t="b">
        <f t="shared" si="225"/>
        <v>1</v>
      </c>
      <c r="L348" s="186" t="str">
        <f t="shared" si="226"/>
        <v>N/A</v>
      </c>
      <c r="M348" s="186" t="b">
        <f t="shared" si="227"/>
        <v>1</v>
      </c>
      <c r="N348" s="186" t="str">
        <f t="shared" si="228"/>
        <v>Used?</v>
      </c>
      <c r="O348" s="186" t="b">
        <f t="shared" si="229"/>
        <v>0</v>
      </c>
      <c r="P348" s="26" t="s">
        <v>696</v>
      </c>
      <c r="Q348" s="160" t="s">
        <v>20</v>
      </c>
      <c r="R348" s="160" t="s">
        <v>20</v>
      </c>
      <c r="S348" s="26" t="s">
        <v>697</v>
      </c>
      <c r="T348" s="165" t="str">
        <f t="shared" si="230"/>
        <v>Not Used</v>
      </c>
      <c r="U348" s="162"/>
      <c r="V348" s="55"/>
      <c r="W348" s="51" t="b">
        <f t="shared" si="231"/>
        <v>1</v>
      </c>
      <c r="X348" s="51" t="str">
        <f t="shared" si="232"/>
        <v>Not Used</v>
      </c>
      <c r="Y348" s="51" t="str">
        <f t="shared" si="233"/>
        <v>Not Used</v>
      </c>
      <c r="Z348" s="51" t="str">
        <f t="shared" si="234"/>
        <v>Not Used</v>
      </c>
      <c r="AA348" s="51" t="str">
        <f t="shared" si="234"/>
        <v>Not Used</v>
      </c>
      <c r="AB348" s="51" t="str">
        <f t="shared" si="235"/>
        <v>Not Used</v>
      </c>
      <c r="AC348" s="51" t="b">
        <f t="shared" si="236"/>
        <v>1</v>
      </c>
      <c r="AD348" s="51">
        <f>COUNTIF($X$5:$X$348, "Not Used")</f>
        <v>344</v>
      </c>
      <c r="AE348" s="51">
        <f>COUNTIF($X$5:$X$348, "TRUE")</f>
        <v>0</v>
      </c>
      <c r="AF348" s="51" t="b">
        <f t="shared" si="237"/>
        <v>1</v>
      </c>
      <c r="AI348" s="51" t="b">
        <f t="shared" si="238"/>
        <v>0</v>
      </c>
      <c r="AJ348" s="51" t="b">
        <f t="shared" si="239"/>
        <v>0</v>
      </c>
      <c r="AK348" s="51" t="b">
        <f t="shared" si="240"/>
        <v>0</v>
      </c>
      <c r="AL348" s="51" t="b">
        <f t="shared" si="241"/>
        <v>0</v>
      </c>
      <c r="AM348" s="51" t="b">
        <f t="shared" si="242"/>
        <v>0</v>
      </c>
      <c r="AN348" s="51"/>
      <c r="AO348" s="51" t="b">
        <f t="shared" si="243"/>
        <v>0</v>
      </c>
      <c r="AP348" s="51" t="str">
        <f t="shared" si="265"/>
        <v>Not in MMS</v>
      </c>
      <c r="AQ348" s="51" t="b">
        <f t="shared" si="244"/>
        <v>0</v>
      </c>
      <c r="AR348" s="51" t="b">
        <f t="shared" si="245"/>
        <v>0</v>
      </c>
      <c r="AS348" s="51" t="str">
        <f t="shared" si="246"/>
        <v/>
      </c>
      <c r="AT348" s="51" t="str">
        <f t="shared" si="247"/>
        <v/>
      </c>
      <c r="AU348" s="51" t="str">
        <f t="shared" si="248"/>
        <v/>
      </c>
      <c r="AV348" s="51" t="str">
        <f t="shared" si="249"/>
        <v/>
      </c>
      <c r="AW348" s="51" t="str">
        <f t="shared" si="250"/>
        <v/>
      </c>
      <c r="AX348" s="51" t="str">
        <f t="shared" si="251"/>
        <v/>
      </c>
      <c r="AY348" s="51" t="str">
        <f t="shared" si="252"/>
        <v/>
      </c>
      <c r="AZ348" s="51" t="str">
        <f t="shared" si="253"/>
        <v/>
      </c>
      <c r="BA348" s="51" t="str">
        <f t="shared" si="254"/>
        <v/>
      </c>
      <c r="BB348" s="51" t="str">
        <f t="shared" si="255"/>
        <v/>
      </c>
      <c r="BC348" s="51" t="str">
        <f t="shared" si="256"/>
        <v/>
      </c>
      <c r="BD348" s="51" t="str">
        <f t="shared" si="257"/>
        <v/>
      </c>
      <c r="BE348" s="51" t="str">
        <f t="shared" si="258"/>
        <v/>
      </c>
      <c r="BF348" s="51" t="str">
        <f t="shared" si="259"/>
        <v/>
      </c>
      <c r="BG348" s="51" t="str">
        <f t="shared" si="260"/>
        <v/>
      </c>
      <c r="BH348" s="51" t="b">
        <f t="shared" si="261"/>
        <v>0</v>
      </c>
      <c r="BI348" s="51" t="str">
        <f t="shared" si="262"/>
        <v/>
      </c>
      <c r="BJ348" s="51" t="str">
        <f t="shared" si="263"/>
        <v/>
      </c>
      <c r="BK348" s="51" t="b">
        <f t="shared" si="264"/>
        <v>0</v>
      </c>
      <c r="BL348" s="192"/>
    </row>
    <row r="349" spans="1:64" ht="13.5" thickBot="1" x14ac:dyDescent="0.25">
      <c r="A349" s="185" t="s">
        <v>1031</v>
      </c>
      <c r="B349" s="194" t="s">
        <v>695</v>
      </c>
      <c r="C349" s="194" t="s">
        <v>695</v>
      </c>
      <c r="D349" s="194" t="s">
        <v>695</v>
      </c>
      <c r="E349" s="193" t="s">
        <v>694</v>
      </c>
      <c r="F349" s="160" t="s">
        <v>20</v>
      </c>
      <c r="G349" s="161"/>
      <c r="H349" s="186" t="str">
        <f t="shared" si="222"/>
        <v>N/A</v>
      </c>
      <c r="I349" s="186" t="b">
        <f t="shared" si="223"/>
        <v>1</v>
      </c>
      <c r="J349" s="186" t="str">
        <f t="shared" si="224"/>
        <v>N/A</v>
      </c>
      <c r="K349" s="186" t="b">
        <f t="shared" si="225"/>
        <v>1</v>
      </c>
      <c r="L349" s="186" t="str">
        <f t="shared" si="226"/>
        <v>N/A</v>
      </c>
      <c r="M349" s="186" t="b">
        <f t="shared" si="227"/>
        <v>1</v>
      </c>
      <c r="N349" s="186" t="str">
        <f t="shared" si="228"/>
        <v>Used?</v>
      </c>
      <c r="O349" s="186" t="b">
        <f t="shared" si="229"/>
        <v>0</v>
      </c>
      <c r="P349" s="26" t="s">
        <v>696</v>
      </c>
      <c r="Q349" s="160" t="s">
        <v>20</v>
      </c>
      <c r="R349" s="160" t="s">
        <v>20</v>
      </c>
      <c r="S349" s="26" t="s">
        <v>697</v>
      </c>
      <c r="T349" s="165" t="str">
        <f t="shared" si="230"/>
        <v>Not Used</v>
      </c>
      <c r="U349" s="162"/>
      <c r="V349" s="55"/>
      <c r="W349" s="51" t="b">
        <f t="shared" si="231"/>
        <v>1</v>
      </c>
      <c r="X349" s="51" t="str">
        <f t="shared" si="232"/>
        <v>Not Used</v>
      </c>
      <c r="Y349" s="51" t="str">
        <f t="shared" si="233"/>
        <v>Not Used</v>
      </c>
      <c r="Z349" s="51" t="str">
        <f t="shared" si="234"/>
        <v>Not Used</v>
      </c>
      <c r="AA349" s="51" t="str">
        <f t="shared" si="234"/>
        <v>Not Used</v>
      </c>
      <c r="AB349" s="51" t="str">
        <f t="shared" si="235"/>
        <v>Not Used</v>
      </c>
      <c r="AC349" s="51" t="b">
        <f t="shared" si="236"/>
        <v>1</v>
      </c>
      <c r="AD349" s="51">
        <f>COUNTIF($X$5:$X$349, "Not Used")</f>
        <v>345</v>
      </c>
      <c r="AE349" s="51">
        <f>COUNTIF($X$5:$X$349, "TRUE")</f>
        <v>0</v>
      </c>
      <c r="AF349" s="51" t="b">
        <f t="shared" si="237"/>
        <v>1</v>
      </c>
      <c r="AI349" s="51" t="b">
        <f t="shared" si="238"/>
        <v>0</v>
      </c>
      <c r="AJ349" s="51" t="b">
        <f t="shared" si="239"/>
        <v>0</v>
      </c>
      <c r="AK349" s="51" t="b">
        <f t="shared" si="240"/>
        <v>0</v>
      </c>
      <c r="AL349" s="51" t="b">
        <f t="shared" si="241"/>
        <v>0</v>
      </c>
      <c r="AM349" s="51" t="b">
        <f t="shared" si="242"/>
        <v>0</v>
      </c>
      <c r="AN349" s="51"/>
      <c r="AO349" s="51" t="b">
        <f t="shared" si="243"/>
        <v>0</v>
      </c>
      <c r="AP349" s="51" t="str">
        <f t="shared" si="265"/>
        <v>Not in MMS</v>
      </c>
      <c r="AQ349" s="51" t="b">
        <f t="shared" si="244"/>
        <v>0</v>
      </c>
      <c r="AR349" s="51" t="b">
        <f t="shared" si="245"/>
        <v>0</v>
      </c>
      <c r="AS349" s="51" t="str">
        <f t="shared" si="246"/>
        <v/>
      </c>
      <c r="AT349" s="51" t="str">
        <f t="shared" si="247"/>
        <v/>
      </c>
      <c r="AU349" s="51" t="str">
        <f t="shared" si="248"/>
        <v/>
      </c>
      <c r="AV349" s="51" t="str">
        <f t="shared" si="249"/>
        <v/>
      </c>
      <c r="AW349" s="51" t="str">
        <f t="shared" si="250"/>
        <v/>
      </c>
      <c r="AX349" s="51" t="str">
        <f t="shared" si="251"/>
        <v/>
      </c>
      <c r="AY349" s="51" t="str">
        <f t="shared" si="252"/>
        <v/>
      </c>
      <c r="AZ349" s="51" t="str">
        <f t="shared" si="253"/>
        <v/>
      </c>
      <c r="BA349" s="51" t="str">
        <f t="shared" si="254"/>
        <v/>
      </c>
      <c r="BB349" s="51" t="str">
        <f t="shared" si="255"/>
        <v/>
      </c>
      <c r="BC349" s="51" t="str">
        <f t="shared" si="256"/>
        <v/>
      </c>
      <c r="BD349" s="51" t="str">
        <f t="shared" si="257"/>
        <v/>
      </c>
      <c r="BE349" s="51" t="str">
        <f t="shared" si="258"/>
        <v/>
      </c>
      <c r="BF349" s="51" t="str">
        <f t="shared" si="259"/>
        <v/>
      </c>
      <c r="BG349" s="51" t="str">
        <f t="shared" si="260"/>
        <v/>
      </c>
      <c r="BH349" s="51" t="b">
        <f t="shared" si="261"/>
        <v>0</v>
      </c>
      <c r="BI349" s="51" t="str">
        <f t="shared" si="262"/>
        <v/>
      </c>
      <c r="BJ349" s="51" t="str">
        <f t="shared" si="263"/>
        <v/>
      </c>
      <c r="BK349" s="51" t="b">
        <f t="shared" si="264"/>
        <v>0</v>
      </c>
      <c r="BL349" s="192"/>
    </row>
    <row r="350" spans="1:64" ht="13.5" thickBot="1" x14ac:dyDescent="0.25">
      <c r="A350" s="185" t="s">
        <v>1032</v>
      </c>
      <c r="B350" s="194" t="s">
        <v>695</v>
      </c>
      <c r="C350" s="194" t="s">
        <v>695</v>
      </c>
      <c r="D350" s="194" t="s">
        <v>695</v>
      </c>
      <c r="E350" s="193" t="s">
        <v>694</v>
      </c>
      <c r="F350" s="160" t="s">
        <v>20</v>
      </c>
      <c r="G350" s="161"/>
      <c r="H350" s="186" t="str">
        <f t="shared" si="222"/>
        <v>N/A</v>
      </c>
      <c r="I350" s="186" t="b">
        <f t="shared" si="223"/>
        <v>1</v>
      </c>
      <c r="J350" s="186" t="str">
        <f t="shared" si="224"/>
        <v>N/A</v>
      </c>
      <c r="K350" s="186" t="b">
        <f t="shared" si="225"/>
        <v>1</v>
      </c>
      <c r="L350" s="186" t="str">
        <f t="shared" si="226"/>
        <v>N/A</v>
      </c>
      <c r="M350" s="186" t="b">
        <f t="shared" si="227"/>
        <v>1</v>
      </c>
      <c r="N350" s="186" t="str">
        <f t="shared" si="228"/>
        <v>Used?</v>
      </c>
      <c r="O350" s="186" t="b">
        <f t="shared" si="229"/>
        <v>0</v>
      </c>
      <c r="P350" s="26" t="s">
        <v>696</v>
      </c>
      <c r="Q350" s="160" t="s">
        <v>20</v>
      </c>
      <c r="R350" s="160" t="s">
        <v>20</v>
      </c>
      <c r="S350" s="26" t="s">
        <v>697</v>
      </c>
      <c r="T350" s="165" t="str">
        <f t="shared" si="230"/>
        <v>Not Used</v>
      </c>
      <c r="U350" s="162"/>
      <c r="V350" s="55"/>
      <c r="W350" s="51" t="b">
        <f t="shared" si="231"/>
        <v>1</v>
      </c>
      <c r="X350" s="51" t="str">
        <f t="shared" si="232"/>
        <v>Not Used</v>
      </c>
      <c r="Y350" s="51" t="str">
        <f t="shared" si="233"/>
        <v>Not Used</v>
      </c>
      <c r="Z350" s="51" t="str">
        <f t="shared" si="234"/>
        <v>Not Used</v>
      </c>
      <c r="AA350" s="51" t="str">
        <f t="shared" si="234"/>
        <v>Not Used</v>
      </c>
      <c r="AB350" s="51" t="str">
        <f t="shared" si="235"/>
        <v>Not Used</v>
      </c>
      <c r="AC350" s="51" t="b">
        <f t="shared" si="236"/>
        <v>1</v>
      </c>
      <c r="AD350" s="51">
        <f>COUNTIF($X$5:$X$350, "Not Used")</f>
        <v>346</v>
      </c>
      <c r="AE350" s="51">
        <f>COUNTIF($X$5:$X$350, "TRUE")</f>
        <v>0</v>
      </c>
      <c r="AF350" s="51" t="b">
        <f t="shared" si="237"/>
        <v>1</v>
      </c>
      <c r="AI350" s="51" t="b">
        <f t="shared" si="238"/>
        <v>0</v>
      </c>
      <c r="AJ350" s="51" t="b">
        <f t="shared" si="239"/>
        <v>0</v>
      </c>
      <c r="AK350" s="51" t="b">
        <f t="shared" si="240"/>
        <v>0</v>
      </c>
      <c r="AL350" s="51" t="b">
        <f t="shared" si="241"/>
        <v>0</v>
      </c>
      <c r="AM350" s="51" t="b">
        <f t="shared" si="242"/>
        <v>0</v>
      </c>
      <c r="AN350" s="51"/>
      <c r="AO350" s="51" t="b">
        <f t="shared" si="243"/>
        <v>0</v>
      </c>
      <c r="AP350" s="51" t="str">
        <f t="shared" si="265"/>
        <v>Not in MMS</v>
      </c>
      <c r="AQ350" s="51" t="b">
        <f t="shared" si="244"/>
        <v>0</v>
      </c>
      <c r="AR350" s="51" t="b">
        <f t="shared" si="245"/>
        <v>0</v>
      </c>
      <c r="AS350" s="51" t="str">
        <f t="shared" si="246"/>
        <v/>
      </c>
      <c r="AT350" s="51" t="str">
        <f t="shared" si="247"/>
        <v/>
      </c>
      <c r="AU350" s="51" t="str">
        <f t="shared" si="248"/>
        <v/>
      </c>
      <c r="AV350" s="51" t="str">
        <f t="shared" si="249"/>
        <v/>
      </c>
      <c r="AW350" s="51" t="str">
        <f t="shared" si="250"/>
        <v/>
      </c>
      <c r="AX350" s="51" t="str">
        <f t="shared" si="251"/>
        <v/>
      </c>
      <c r="AY350" s="51" t="str">
        <f t="shared" si="252"/>
        <v/>
      </c>
      <c r="AZ350" s="51" t="str">
        <f t="shared" si="253"/>
        <v/>
      </c>
      <c r="BA350" s="51" t="str">
        <f t="shared" si="254"/>
        <v/>
      </c>
      <c r="BB350" s="51" t="str">
        <f t="shared" si="255"/>
        <v/>
      </c>
      <c r="BC350" s="51" t="str">
        <f t="shared" si="256"/>
        <v/>
      </c>
      <c r="BD350" s="51" t="str">
        <f t="shared" si="257"/>
        <v/>
      </c>
      <c r="BE350" s="51" t="str">
        <f t="shared" si="258"/>
        <v/>
      </c>
      <c r="BF350" s="51" t="str">
        <f t="shared" si="259"/>
        <v/>
      </c>
      <c r="BG350" s="51" t="str">
        <f t="shared" si="260"/>
        <v/>
      </c>
      <c r="BH350" s="51" t="b">
        <f t="shared" si="261"/>
        <v>0</v>
      </c>
      <c r="BI350" s="51" t="str">
        <f t="shared" si="262"/>
        <v/>
      </c>
      <c r="BJ350" s="51" t="str">
        <f t="shared" si="263"/>
        <v/>
      </c>
      <c r="BK350" s="51" t="b">
        <f t="shared" si="264"/>
        <v>0</v>
      </c>
      <c r="BL350" s="192"/>
    </row>
    <row r="351" spans="1:64" ht="13.5" thickBot="1" x14ac:dyDescent="0.25">
      <c r="A351" s="185" t="s">
        <v>1033</v>
      </c>
      <c r="B351" s="194" t="s">
        <v>695</v>
      </c>
      <c r="C351" s="194" t="s">
        <v>695</v>
      </c>
      <c r="D351" s="194" t="s">
        <v>695</v>
      </c>
      <c r="E351" s="193" t="s">
        <v>694</v>
      </c>
      <c r="F351" s="160" t="s">
        <v>20</v>
      </c>
      <c r="G351" s="161"/>
      <c r="H351" s="186" t="str">
        <f t="shared" si="222"/>
        <v>N/A</v>
      </c>
      <c r="I351" s="186" t="b">
        <f t="shared" si="223"/>
        <v>1</v>
      </c>
      <c r="J351" s="186" t="str">
        <f t="shared" si="224"/>
        <v>N/A</v>
      </c>
      <c r="K351" s="186" t="b">
        <f t="shared" si="225"/>
        <v>1</v>
      </c>
      <c r="L351" s="186" t="str">
        <f t="shared" si="226"/>
        <v>N/A</v>
      </c>
      <c r="M351" s="186" t="b">
        <f t="shared" si="227"/>
        <v>1</v>
      </c>
      <c r="N351" s="186" t="str">
        <f t="shared" si="228"/>
        <v>Used?</v>
      </c>
      <c r="O351" s="186" t="b">
        <f t="shared" si="229"/>
        <v>0</v>
      </c>
      <c r="P351" s="26" t="s">
        <v>696</v>
      </c>
      <c r="Q351" s="160" t="s">
        <v>20</v>
      </c>
      <c r="R351" s="160" t="s">
        <v>20</v>
      </c>
      <c r="S351" s="26" t="s">
        <v>697</v>
      </c>
      <c r="T351" s="165" t="str">
        <f t="shared" si="230"/>
        <v>Not Used</v>
      </c>
      <c r="U351" s="162"/>
      <c r="V351" s="55"/>
      <c r="W351" s="51" t="b">
        <f t="shared" si="231"/>
        <v>1</v>
      </c>
      <c r="X351" s="51" t="str">
        <f t="shared" si="232"/>
        <v>Not Used</v>
      </c>
      <c r="Y351" s="51" t="str">
        <f t="shared" si="233"/>
        <v>Not Used</v>
      </c>
      <c r="Z351" s="51" t="str">
        <f t="shared" si="234"/>
        <v>Not Used</v>
      </c>
      <c r="AA351" s="51" t="str">
        <f t="shared" si="234"/>
        <v>Not Used</v>
      </c>
      <c r="AB351" s="51" t="str">
        <f t="shared" si="235"/>
        <v>Not Used</v>
      </c>
      <c r="AC351" s="51" t="b">
        <f t="shared" si="236"/>
        <v>1</v>
      </c>
      <c r="AD351" s="51">
        <f>COUNTIF($X$5:$X$351, "Not Used")</f>
        <v>347</v>
      </c>
      <c r="AE351" s="51">
        <f>COUNTIF($X$5:$X$351, "TRUE")</f>
        <v>0</v>
      </c>
      <c r="AF351" s="51" t="b">
        <f t="shared" si="237"/>
        <v>1</v>
      </c>
      <c r="AI351" s="51" t="b">
        <f t="shared" si="238"/>
        <v>0</v>
      </c>
      <c r="AJ351" s="51" t="b">
        <f t="shared" si="239"/>
        <v>0</v>
      </c>
      <c r="AK351" s="51" t="b">
        <f t="shared" si="240"/>
        <v>0</v>
      </c>
      <c r="AL351" s="51" t="b">
        <f t="shared" si="241"/>
        <v>0</v>
      </c>
      <c r="AM351" s="51" t="b">
        <f t="shared" si="242"/>
        <v>0</v>
      </c>
      <c r="AN351" s="51"/>
      <c r="AO351" s="51" t="b">
        <f t="shared" si="243"/>
        <v>0</v>
      </c>
      <c r="AP351" s="51" t="str">
        <f t="shared" si="265"/>
        <v>Not in MMS</v>
      </c>
      <c r="AQ351" s="51" t="b">
        <f t="shared" si="244"/>
        <v>0</v>
      </c>
      <c r="AR351" s="51" t="b">
        <f t="shared" si="245"/>
        <v>0</v>
      </c>
      <c r="AS351" s="51" t="str">
        <f t="shared" si="246"/>
        <v/>
      </c>
      <c r="AT351" s="51" t="str">
        <f t="shared" si="247"/>
        <v/>
      </c>
      <c r="AU351" s="51" t="str">
        <f t="shared" si="248"/>
        <v/>
      </c>
      <c r="AV351" s="51" t="str">
        <f t="shared" si="249"/>
        <v/>
      </c>
      <c r="AW351" s="51" t="str">
        <f t="shared" si="250"/>
        <v/>
      </c>
      <c r="AX351" s="51" t="str">
        <f t="shared" si="251"/>
        <v/>
      </c>
      <c r="AY351" s="51" t="str">
        <f t="shared" si="252"/>
        <v/>
      </c>
      <c r="AZ351" s="51" t="str">
        <f t="shared" si="253"/>
        <v/>
      </c>
      <c r="BA351" s="51" t="str">
        <f t="shared" si="254"/>
        <v/>
      </c>
      <c r="BB351" s="51" t="str">
        <f t="shared" si="255"/>
        <v/>
      </c>
      <c r="BC351" s="51" t="str">
        <f t="shared" si="256"/>
        <v/>
      </c>
      <c r="BD351" s="51" t="str">
        <f t="shared" si="257"/>
        <v/>
      </c>
      <c r="BE351" s="51" t="str">
        <f t="shared" si="258"/>
        <v/>
      </c>
      <c r="BF351" s="51" t="str">
        <f t="shared" si="259"/>
        <v/>
      </c>
      <c r="BG351" s="51" t="str">
        <f t="shared" si="260"/>
        <v/>
      </c>
      <c r="BH351" s="51" t="b">
        <f t="shared" si="261"/>
        <v>0</v>
      </c>
      <c r="BI351" s="51" t="str">
        <f t="shared" si="262"/>
        <v/>
      </c>
      <c r="BJ351" s="51" t="str">
        <f t="shared" si="263"/>
        <v/>
      </c>
      <c r="BK351" s="51" t="b">
        <f t="shared" si="264"/>
        <v>0</v>
      </c>
      <c r="BL351" s="192"/>
    </row>
    <row r="352" spans="1:64" ht="13.5" thickBot="1" x14ac:dyDescent="0.25">
      <c r="A352" s="185" t="s">
        <v>1034</v>
      </c>
      <c r="B352" s="194" t="s">
        <v>695</v>
      </c>
      <c r="C352" s="194" t="s">
        <v>695</v>
      </c>
      <c r="D352" s="194" t="s">
        <v>695</v>
      </c>
      <c r="E352" s="193" t="s">
        <v>694</v>
      </c>
      <c r="F352" s="160" t="s">
        <v>20</v>
      </c>
      <c r="G352" s="161"/>
      <c r="H352" s="186" t="str">
        <f t="shared" si="222"/>
        <v>N/A</v>
      </c>
      <c r="I352" s="186" t="b">
        <f t="shared" si="223"/>
        <v>1</v>
      </c>
      <c r="J352" s="186" t="str">
        <f t="shared" si="224"/>
        <v>N/A</v>
      </c>
      <c r="K352" s="186" t="b">
        <f t="shared" si="225"/>
        <v>1</v>
      </c>
      <c r="L352" s="186" t="str">
        <f t="shared" si="226"/>
        <v>N/A</v>
      </c>
      <c r="M352" s="186" t="b">
        <f t="shared" si="227"/>
        <v>1</v>
      </c>
      <c r="N352" s="186" t="str">
        <f t="shared" si="228"/>
        <v>Used?</v>
      </c>
      <c r="O352" s="186" t="b">
        <f t="shared" si="229"/>
        <v>0</v>
      </c>
      <c r="P352" s="26" t="s">
        <v>696</v>
      </c>
      <c r="Q352" s="160" t="s">
        <v>20</v>
      </c>
      <c r="R352" s="160" t="s">
        <v>20</v>
      </c>
      <c r="S352" s="26" t="s">
        <v>697</v>
      </c>
      <c r="T352" s="165" t="str">
        <f t="shared" si="230"/>
        <v>Not Used</v>
      </c>
      <c r="U352" s="162"/>
      <c r="V352" s="55"/>
      <c r="W352" s="51" t="b">
        <f t="shared" si="231"/>
        <v>1</v>
      </c>
      <c r="X352" s="51" t="str">
        <f t="shared" si="232"/>
        <v>Not Used</v>
      </c>
      <c r="Y352" s="51" t="str">
        <f t="shared" si="233"/>
        <v>Not Used</v>
      </c>
      <c r="Z352" s="51" t="str">
        <f t="shared" si="234"/>
        <v>Not Used</v>
      </c>
      <c r="AA352" s="51" t="str">
        <f t="shared" si="234"/>
        <v>Not Used</v>
      </c>
      <c r="AB352" s="51" t="str">
        <f t="shared" si="235"/>
        <v>Not Used</v>
      </c>
      <c r="AC352" s="51" t="b">
        <f t="shared" si="236"/>
        <v>1</v>
      </c>
      <c r="AD352" s="51">
        <f>COUNTIF($X$5:$X$352, "Not Used")</f>
        <v>348</v>
      </c>
      <c r="AE352" s="51">
        <f>COUNTIF($X$5:$X$352, "TRUE")</f>
        <v>0</v>
      </c>
      <c r="AF352" s="51" t="b">
        <f t="shared" si="237"/>
        <v>1</v>
      </c>
      <c r="AI352" s="51" t="b">
        <f t="shared" si="238"/>
        <v>0</v>
      </c>
      <c r="AJ352" s="51" t="b">
        <f t="shared" si="239"/>
        <v>0</v>
      </c>
      <c r="AK352" s="51" t="b">
        <f t="shared" si="240"/>
        <v>0</v>
      </c>
      <c r="AL352" s="51" t="b">
        <f t="shared" si="241"/>
        <v>0</v>
      </c>
      <c r="AM352" s="51" t="b">
        <f t="shared" si="242"/>
        <v>0</v>
      </c>
      <c r="AN352" s="51"/>
      <c r="AO352" s="51" t="b">
        <f t="shared" si="243"/>
        <v>0</v>
      </c>
      <c r="AP352" s="51" t="str">
        <f t="shared" si="265"/>
        <v>Not in MMS</v>
      </c>
      <c r="AQ352" s="51" t="b">
        <f t="shared" si="244"/>
        <v>0</v>
      </c>
      <c r="AR352" s="51" t="b">
        <f t="shared" si="245"/>
        <v>0</v>
      </c>
      <c r="AS352" s="51" t="str">
        <f t="shared" si="246"/>
        <v/>
      </c>
      <c r="AT352" s="51" t="str">
        <f t="shared" si="247"/>
        <v/>
      </c>
      <c r="AU352" s="51" t="str">
        <f t="shared" si="248"/>
        <v/>
      </c>
      <c r="AV352" s="51" t="str">
        <f t="shared" si="249"/>
        <v/>
      </c>
      <c r="AW352" s="51" t="str">
        <f t="shared" si="250"/>
        <v/>
      </c>
      <c r="AX352" s="51" t="str">
        <f t="shared" si="251"/>
        <v/>
      </c>
      <c r="AY352" s="51" t="str">
        <f t="shared" si="252"/>
        <v/>
      </c>
      <c r="AZ352" s="51" t="str">
        <f t="shared" si="253"/>
        <v/>
      </c>
      <c r="BA352" s="51" t="str">
        <f t="shared" si="254"/>
        <v/>
      </c>
      <c r="BB352" s="51" t="str">
        <f t="shared" si="255"/>
        <v/>
      </c>
      <c r="BC352" s="51" t="str">
        <f t="shared" si="256"/>
        <v/>
      </c>
      <c r="BD352" s="51" t="str">
        <f t="shared" si="257"/>
        <v/>
      </c>
      <c r="BE352" s="51" t="str">
        <f t="shared" si="258"/>
        <v/>
      </c>
      <c r="BF352" s="51" t="str">
        <f t="shared" si="259"/>
        <v/>
      </c>
      <c r="BG352" s="51" t="str">
        <f t="shared" si="260"/>
        <v/>
      </c>
      <c r="BH352" s="51" t="b">
        <f t="shared" si="261"/>
        <v>0</v>
      </c>
      <c r="BI352" s="51" t="str">
        <f t="shared" si="262"/>
        <v/>
      </c>
      <c r="BJ352" s="51" t="str">
        <f t="shared" si="263"/>
        <v/>
      </c>
      <c r="BK352" s="51" t="b">
        <f t="shared" si="264"/>
        <v>0</v>
      </c>
      <c r="BL352" s="192"/>
    </row>
    <row r="353" spans="1:64" ht="13.5" thickBot="1" x14ac:dyDescent="0.25">
      <c r="A353" s="185" t="s">
        <v>1035</v>
      </c>
      <c r="B353" s="194" t="s">
        <v>695</v>
      </c>
      <c r="C353" s="194" t="s">
        <v>695</v>
      </c>
      <c r="D353" s="194" t="s">
        <v>695</v>
      </c>
      <c r="E353" s="193" t="s">
        <v>694</v>
      </c>
      <c r="F353" s="160" t="s">
        <v>20</v>
      </c>
      <c r="G353" s="161"/>
      <c r="H353" s="186" t="str">
        <f t="shared" si="222"/>
        <v>N/A</v>
      </c>
      <c r="I353" s="186" t="b">
        <f t="shared" si="223"/>
        <v>1</v>
      </c>
      <c r="J353" s="186" t="str">
        <f t="shared" si="224"/>
        <v>N/A</v>
      </c>
      <c r="K353" s="186" t="b">
        <f t="shared" si="225"/>
        <v>1</v>
      </c>
      <c r="L353" s="186" t="str">
        <f t="shared" si="226"/>
        <v>N/A</v>
      </c>
      <c r="M353" s="186" t="b">
        <f t="shared" si="227"/>
        <v>1</v>
      </c>
      <c r="N353" s="186" t="str">
        <f t="shared" si="228"/>
        <v>Used?</v>
      </c>
      <c r="O353" s="186" t="b">
        <f t="shared" si="229"/>
        <v>0</v>
      </c>
      <c r="P353" s="26" t="s">
        <v>696</v>
      </c>
      <c r="Q353" s="160" t="s">
        <v>20</v>
      </c>
      <c r="R353" s="160" t="s">
        <v>20</v>
      </c>
      <c r="S353" s="26" t="s">
        <v>697</v>
      </c>
      <c r="T353" s="165" t="str">
        <f t="shared" si="230"/>
        <v>Not Used</v>
      </c>
      <c r="U353" s="162"/>
      <c r="V353" s="55"/>
      <c r="W353" s="51" t="b">
        <f t="shared" si="231"/>
        <v>1</v>
      </c>
      <c r="X353" s="51" t="str">
        <f t="shared" si="232"/>
        <v>Not Used</v>
      </c>
      <c r="Y353" s="51" t="str">
        <f t="shared" si="233"/>
        <v>Not Used</v>
      </c>
      <c r="Z353" s="51" t="str">
        <f t="shared" si="234"/>
        <v>Not Used</v>
      </c>
      <c r="AA353" s="51" t="str">
        <f t="shared" si="234"/>
        <v>Not Used</v>
      </c>
      <c r="AB353" s="51" t="str">
        <f t="shared" si="235"/>
        <v>Not Used</v>
      </c>
      <c r="AC353" s="51" t="b">
        <f t="shared" si="236"/>
        <v>1</v>
      </c>
      <c r="AD353" s="51">
        <f>COUNTIF($X$5:$X$353, "Not Used")</f>
        <v>349</v>
      </c>
      <c r="AE353" s="51">
        <f>COUNTIF($X$5:$X$353, "TRUE")</f>
        <v>0</v>
      </c>
      <c r="AF353" s="51" t="b">
        <f t="shared" si="237"/>
        <v>1</v>
      </c>
      <c r="AI353" s="51" t="b">
        <f t="shared" si="238"/>
        <v>0</v>
      </c>
      <c r="AJ353" s="51" t="b">
        <f t="shared" si="239"/>
        <v>0</v>
      </c>
      <c r="AK353" s="51" t="b">
        <f t="shared" si="240"/>
        <v>0</v>
      </c>
      <c r="AL353" s="51" t="b">
        <f t="shared" si="241"/>
        <v>0</v>
      </c>
      <c r="AM353" s="51" t="b">
        <f t="shared" si="242"/>
        <v>0</v>
      </c>
      <c r="AN353" s="51"/>
      <c r="AO353" s="51" t="b">
        <f t="shared" si="243"/>
        <v>0</v>
      </c>
      <c r="AP353" s="51" t="str">
        <f t="shared" si="265"/>
        <v>Not in MMS</v>
      </c>
      <c r="AQ353" s="51" t="b">
        <f t="shared" si="244"/>
        <v>0</v>
      </c>
      <c r="AR353" s="51" t="b">
        <f t="shared" si="245"/>
        <v>0</v>
      </c>
      <c r="AS353" s="51" t="str">
        <f t="shared" si="246"/>
        <v/>
      </c>
      <c r="AT353" s="51" t="str">
        <f t="shared" si="247"/>
        <v/>
      </c>
      <c r="AU353" s="51" t="str">
        <f t="shared" si="248"/>
        <v/>
      </c>
      <c r="AV353" s="51" t="str">
        <f t="shared" si="249"/>
        <v/>
      </c>
      <c r="AW353" s="51" t="str">
        <f t="shared" si="250"/>
        <v/>
      </c>
      <c r="AX353" s="51" t="str">
        <f t="shared" si="251"/>
        <v/>
      </c>
      <c r="AY353" s="51" t="str">
        <f t="shared" si="252"/>
        <v/>
      </c>
      <c r="AZ353" s="51" t="str">
        <f t="shared" si="253"/>
        <v/>
      </c>
      <c r="BA353" s="51" t="str">
        <f t="shared" si="254"/>
        <v/>
      </c>
      <c r="BB353" s="51" t="str">
        <f t="shared" si="255"/>
        <v/>
      </c>
      <c r="BC353" s="51" t="str">
        <f t="shared" si="256"/>
        <v/>
      </c>
      <c r="BD353" s="51" t="str">
        <f t="shared" si="257"/>
        <v/>
      </c>
      <c r="BE353" s="51" t="str">
        <f t="shared" si="258"/>
        <v/>
      </c>
      <c r="BF353" s="51" t="str">
        <f t="shared" si="259"/>
        <v/>
      </c>
      <c r="BG353" s="51" t="str">
        <f t="shared" si="260"/>
        <v/>
      </c>
      <c r="BH353" s="51" t="b">
        <f t="shared" si="261"/>
        <v>0</v>
      </c>
      <c r="BI353" s="51" t="str">
        <f t="shared" si="262"/>
        <v/>
      </c>
      <c r="BJ353" s="51" t="str">
        <f t="shared" si="263"/>
        <v/>
      </c>
      <c r="BK353" s="51" t="b">
        <f t="shared" si="264"/>
        <v>0</v>
      </c>
      <c r="BL353" s="192"/>
    </row>
    <row r="354" spans="1:64" ht="13.5" thickBot="1" x14ac:dyDescent="0.25">
      <c r="A354" s="185" t="s">
        <v>1036</v>
      </c>
      <c r="B354" s="194" t="s">
        <v>695</v>
      </c>
      <c r="C354" s="194" t="s">
        <v>695</v>
      </c>
      <c r="D354" s="194" t="s">
        <v>695</v>
      </c>
      <c r="E354" s="193" t="s">
        <v>694</v>
      </c>
      <c r="F354" s="160" t="s">
        <v>20</v>
      </c>
      <c r="G354" s="161"/>
      <c r="H354" s="186" t="str">
        <f t="shared" si="222"/>
        <v>N/A</v>
      </c>
      <c r="I354" s="186" t="b">
        <f t="shared" si="223"/>
        <v>1</v>
      </c>
      <c r="J354" s="186" t="str">
        <f t="shared" si="224"/>
        <v>N/A</v>
      </c>
      <c r="K354" s="186" t="b">
        <f t="shared" si="225"/>
        <v>1</v>
      </c>
      <c r="L354" s="186" t="str">
        <f t="shared" si="226"/>
        <v>N/A</v>
      </c>
      <c r="M354" s="186" t="b">
        <f t="shared" si="227"/>
        <v>1</v>
      </c>
      <c r="N354" s="186" t="str">
        <f t="shared" si="228"/>
        <v>Used?</v>
      </c>
      <c r="O354" s="186" t="b">
        <f t="shared" si="229"/>
        <v>0</v>
      </c>
      <c r="P354" s="26" t="s">
        <v>696</v>
      </c>
      <c r="Q354" s="160" t="s">
        <v>20</v>
      </c>
      <c r="R354" s="160" t="s">
        <v>20</v>
      </c>
      <c r="S354" s="26" t="s">
        <v>697</v>
      </c>
      <c r="T354" s="165" t="str">
        <f t="shared" si="230"/>
        <v>Not Used</v>
      </c>
      <c r="U354" s="162"/>
      <c r="V354" s="55"/>
      <c r="W354" s="51" t="b">
        <f t="shared" si="231"/>
        <v>1</v>
      </c>
      <c r="X354" s="51" t="str">
        <f t="shared" si="232"/>
        <v>Not Used</v>
      </c>
      <c r="Y354" s="51" t="str">
        <f t="shared" si="233"/>
        <v>Not Used</v>
      </c>
      <c r="Z354" s="51" t="str">
        <f t="shared" si="234"/>
        <v>Not Used</v>
      </c>
      <c r="AA354" s="51" t="str">
        <f t="shared" si="234"/>
        <v>Not Used</v>
      </c>
      <c r="AB354" s="51" t="str">
        <f t="shared" si="235"/>
        <v>Not Used</v>
      </c>
      <c r="AC354" s="51" t="b">
        <f t="shared" si="236"/>
        <v>1</v>
      </c>
      <c r="AD354" s="51">
        <f>COUNTIF($X$5:$X$354, "Not Used")</f>
        <v>350</v>
      </c>
      <c r="AE354" s="51">
        <f>COUNTIF($X$5:$X$354, "TRUE")</f>
        <v>0</v>
      </c>
      <c r="AF354" s="51" t="b">
        <f t="shared" si="237"/>
        <v>1</v>
      </c>
      <c r="AI354" s="51" t="b">
        <f t="shared" si="238"/>
        <v>0</v>
      </c>
      <c r="AJ354" s="51" t="b">
        <f t="shared" si="239"/>
        <v>0</v>
      </c>
      <c r="AK354" s="51" t="b">
        <f t="shared" si="240"/>
        <v>0</v>
      </c>
      <c r="AL354" s="51" t="b">
        <f t="shared" si="241"/>
        <v>0</v>
      </c>
      <c r="AM354" s="51" t="b">
        <f t="shared" si="242"/>
        <v>0</v>
      </c>
      <c r="AN354" s="51"/>
      <c r="AO354" s="51" t="b">
        <f t="shared" si="243"/>
        <v>0</v>
      </c>
      <c r="AP354" s="51" t="str">
        <f t="shared" si="265"/>
        <v>Not in MMS</v>
      </c>
      <c r="AQ354" s="51" t="b">
        <f t="shared" si="244"/>
        <v>0</v>
      </c>
      <c r="AR354" s="51" t="b">
        <f t="shared" si="245"/>
        <v>0</v>
      </c>
      <c r="AS354" s="51" t="str">
        <f t="shared" si="246"/>
        <v/>
      </c>
      <c r="AT354" s="51" t="str">
        <f t="shared" si="247"/>
        <v/>
      </c>
      <c r="AU354" s="51" t="str">
        <f t="shared" si="248"/>
        <v/>
      </c>
      <c r="AV354" s="51" t="str">
        <f t="shared" si="249"/>
        <v/>
      </c>
      <c r="AW354" s="51" t="str">
        <f t="shared" si="250"/>
        <v/>
      </c>
      <c r="AX354" s="51" t="str">
        <f t="shared" si="251"/>
        <v/>
      </c>
      <c r="AY354" s="51" t="str">
        <f t="shared" si="252"/>
        <v/>
      </c>
      <c r="AZ354" s="51" t="str">
        <f t="shared" si="253"/>
        <v/>
      </c>
      <c r="BA354" s="51" t="str">
        <f t="shared" si="254"/>
        <v/>
      </c>
      <c r="BB354" s="51" t="str">
        <f t="shared" si="255"/>
        <v/>
      </c>
      <c r="BC354" s="51" t="str">
        <f t="shared" si="256"/>
        <v/>
      </c>
      <c r="BD354" s="51" t="str">
        <f t="shared" si="257"/>
        <v/>
      </c>
      <c r="BE354" s="51" t="str">
        <f t="shared" si="258"/>
        <v/>
      </c>
      <c r="BF354" s="51" t="str">
        <f t="shared" si="259"/>
        <v/>
      </c>
      <c r="BG354" s="51" t="str">
        <f t="shared" si="260"/>
        <v/>
      </c>
      <c r="BH354" s="51" t="b">
        <f t="shared" si="261"/>
        <v>0</v>
      </c>
      <c r="BI354" s="51" t="str">
        <f t="shared" si="262"/>
        <v/>
      </c>
      <c r="BJ354" s="51" t="str">
        <f t="shared" si="263"/>
        <v/>
      </c>
      <c r="BK354" s="51" t="b">
        <f t="shared" si="264"/>
        <v>0</v>
      </c>
      <c r="BL354" s="192"/>
    </row>
    <row r="355" spans="1:64" ht="13.5" thickBot="1" x14ac:dyDescent="0.25">
      <c r="A355" s="185" t="s">
        <v>1037</v>
      </c>
      <c r="B355" s="194" t="s">
        <v>695</v>
      </c>
      <c r="C355" s="194" t="s">
        <v>695</v>
      </c>
      <c r="D355" s="194" t="s">
        <v>695</v>
      </c>
      <c r="E355" s="193" t="s">
        <v>694</v>
      </c>
      <c r="F355" s="160" t="s">
        <v>20</v>
      </c>
      <c r="G355" s="161"/>
      <c r="H355" s="186" t="str">
        <f t="shared" si="222"/>
        <v>N/A</v>
      </c>
      <c r="I355" s="186" t="b">
        <f t="shared" si="223"/>
        <v>1</v>
      </c>
      <c r="J355" s="186" t="str">
        <f t="shared" si="224"/>
        <v>N/A</v>
      </c>
      <c r="K355" s="186" t="b">
        <f t="shared" si="225"/>
        <v>1</v>
      </c>
      <c r="L355" s="186" t="str">
        <f t="shared" si="226"/>
        <v>N/A</v>
      </c>
      <c r="M355" s="186" t="b">
        <f t="shared" si="227"/>
        <v>1</v>
      </c>
      <c r="N355" s="186" t="str">
        <f t="shared" si="228"/>
        <v>Used?</v>
      </c>
      <c r="O355" s="186" t="b">
        <f t="shared" si="229"/>
        <v>0</v>
      </c>
      <c r="P355" s="26" t="s">
        <v>696</v>
      </c>
      <c r="Q355" s="160" t="s">
        <v>20</v>
      </c>
      <c r="R355" s="160" t="s">
        <v>20</v>
      </c>
      <c r="S355" s="26" t="s">
        <v>697</v>
      </c>
      <c r="T355" s="165" t="str">
        <f t="shared" si="230"/>
        <v>Not Used</v>
      </c>
      <c r="U355" s="162"/>
      <c r="V355" s="55"/>
      <c r="W355" s="51" t="b">
        <f t="shared" si="231"/>
        <v>1</v>
      </c>
      <c r="X355" s="51" t="str">
        <f t="shared" si="232"/>
        <v>Not Used</v>
      </c>
      <c r="Y355" s="51" t="str">
        <f t="shared" si="233"/>
        <v>Not Used</v>
      </c>
      <c r="Z355" s="51" t="str">
        <f t="shared" si="234"/>
        <v>Not Used</v>
      </c>
      <c r="AA355" s="51" t="str">
        <f t="shared" si="234"/>
        <v>Not Used</v>
      </c>
      <c r="AB355" s="51" t="str">
        <f t="shared" si="235"/>
        <v>Not Used</v>
      </c>
      <c r="AC355" s="51" t="b">
        <f t="shared" si="236"/>
        <v>1</v>
      </c>
      <c r="AD355" s="51">
        <f>COUNTIF($X$5:$X$355, "Not Used")</f>
        <v>351</v>
      </c>
      <c r="AE355" s="51">
        <f>COUNTIF($X$5:$X$355, "TRUE")</f>
        <v>0</v>
      </c>
      <c r="AF355" s="51" t="b">
        <f t="shared" si="237"/>
        <v>1</v>
      </c>
      <c r="AI355" s="51" t="b">
        <f t="shared" si="238"/>
        <v>0</v>
      </c>
      <c r="AJ355" s="51" t="b">
        <f t="shared" si="239"/>
        <v>0</v>
      </c>
      <c r="AK355" s="51" t="b">
        <f t="shared" si="240"/>
        <v>0</v>
      </c>
      <c r="AL355" s="51" t="b">
        <f t="shared" si="241"/>
        <v>0</v>
      </c>
      <c r="AM355" s="51" t="b">
        <f t="shared" si="242"/>
        <v>0</v>
      </c>
      <c r="AN355" s="51"/>
      <c r="AO355" s="51" t="b">
        <f t="shared" si="243"/>
        <v>0</v>
      </c>
      <c r="AP355" s="51" t="str">
        <f t="shared" si="265"/>
        <v>Not in MMS</v>
      </c>
      <c r="AQ355" s="51" t="b">
        <f t="shared" si="244"/>
        <v>0</v>
      </c>
      <c r="AR355" s="51" t="b">
        <f t="shared" si="245"/>
        <v>0</v>
      </c>
      <c r="AS355" s="51" t="str">
        <f t="shared" si="246"/>
        <v/>
      </c>
      <c r="AT355" s="51" t="str">
        <f t="shared" si="247"/>
        <v/>
      </c>
      <c r="AU355" s="51" t="str">
        <f t="shared" si="248"/>
        <v/>
      </c>
      <c r="AV355" s="51" t="str">
        <f t="shared" si="249"/>
        <v/>
      </c>
      <c r="AW355" s="51" t="str">
        <f t="shared" si="250"/>
        <v/>
      </c>
      <c r="AX355" s="51" t="str">
        <f t="shared" si="251"/>
        <v/>
      </c>
      <c r="AY355" s="51" t="str">
        <f t="shared" si="252"/>
        <v/>
      </c>
      <c r="AZ355" s="51" t="str">
        <f t="shared" si="253"/>
        <v/>
      </c>
      <c r="BA355" s="51" t="str">
        <f t="shared" si="254"/>
        <v/>
      </c>
      <c r="BB355" s="51" t="str">
        <f t="shared" si="255"/>
        <v/>
      </c>
      <c r="BC355" s="51" t="str">
        <f t="shared" si="256"/>
        <v/>
      </c>
      <c r="BD355" s="51" t="str">
        <f t="shared" si="257"/>
        <v/>
      </c>
      <c r="BE355" s="51" t="str">
        <f t="shared" si="258"/>
        <v/>
      </c>
      <c r="BF355" s="51" t="str">
        <f t="shared" si="259"/>
        <v/>
      </c>
      <c r="BG355" s="51" t="str">
        <f t="shared" si="260"/>
        <v/>
      </c>
      <c r="BH355" s="51" t="b">
        <f t="shared" si="261"/>
        <v>0</v>
      </c>
      <c r="BI355" s="51" t="str">
        <f t="shared" si="262"/>
        <v/>
      </c>
      <c r="BJ355" s="51" t="str">
        <f t="shared" si="263"/>
        <v/>
      </c>
      <c r="BK355" s="51" t="b">
        <f t="shared" si="264"/>
        <v>0</v>
      </c>
      <c r="BL355" s="192"/>
    </row>
    <row r="356" spans="1:64" ht="13.5" thickBot="1" x14ac:dyDescent="0.25">
      <c r="A356" s="185" t="s">
        <v>1038</v>
      </c>
      <c r="B356" s="194" t="s">
        <v>695</v>
      </c>
      <c r="C356" s="194" t="s">
        <v>695</v>
      </c>
      <c r="D356" s="194" t="s">
        <v>695</v>
      </c>
      <c r="E356" s="193" t="s">
        <v>694</v>
      </c>
      <c r="F356" s="160" t="s">
        <v>20</v>
      </c>
      <c r="G356" s="161"/>
      <c r="H356" s="186" t="str">
        <f t="shared" si="222"/>
        <v>N/A</v>
      </c>
      <c r="I356" s="186" t="b">
        <f t="shared" si="223"/>
        <v>1</v>
      </c>
      <c r="J356" s="186" t="str">
        <f t="shared" si="224"/>
        <v>N/A</v>
      </c>
      <c r="K356" s="186" t="b">
        <f t="shared" si="225"/>
        <v>1</v>
      </c>
      <c r="L356" s="186" t="str">
        <f t="shared" si="226"/>
        <v>N/A</v>
      </c>
      <c r="M356" s="186" t="b">
        <f t="shared" si="227"/>
        <v>1</v>
      </c>
      <c r="N356" s="186" t="str">
        <f t="shared" si="228"/>
        <v>Used?</v>
      </c>
      <c r="O356" s="186" t="b">
        <f t="shared" si="229"/>
        <v>0</v>
      </c>
      <c r="P356" s="26" t="s">
        <v>696</v>
      </c>
      <c r="Q356" s="160" t="s">
        <v>20</v>
      </c>
      <c r="R356" s="160" t="s">
        <v>20</v>
      </c>
      <c r="S356" s="26" t="s">
        <v>697</v>
      </c>
      <c r="T356" s="165" t="str">
        <f t="shared" si="230"/>
        <v>Not Used</v>
      </c>
      <c r="U356" s="162"/>
      <c r="V356" s="55"/>
      <c r="W356" s="51" t="b">
        <f t="shared" si="231"/>
        <v>1</v>
      </c>
      <c r="X356" s="51" t="str">
        <f t="shared" si="232"/>
        <v>Not Used</v>
      </c>
      <c r="Y356" s="51" t="str">
        <f t="shared" si="233"/>
        <v>Not Used</v>
      </c>
      <c r="Z356" s="51" t="str">
        <f t="shared" si="234"/>
        <v>Not Used</v>
      </c>
      <c r="AA356" s="51" t="str">
        <f t="shared" si="234"/>
        <v>Not Used</v>
      </c>
      <c r="AB356" s="51" t="str">
        <f t="shared" si="235"/>
        <v>Not Used</v>
      </c>
      <c r="AC356" s="51" t="b">
        <f t="shared" si="236"/>
        <v>1</v>
      </c>
      <c r="AD356" s="51">
        <f>COUNTIF($X$5:$X$356, "Not Used")</f>
        <v>352</v>
      </c>
      <c r="AE356" s="51">
        <f>COUNTIF($X$5:$X$356, "TRUE")</f>
        <v>0</v>
      </c>
      <c r="AF356" s="51" t="b">
        <f t="shared" si="237"/>
        <v>1</v>
      </c>
      <c r="AI356" s="51" t="b">
        <f t="shared" si="238"/>
        <v>0</v>
      </c>
      <c r="AJ356" s="51" t="b">
        <f t="shared" si="239"/>
        <v>0</v>
      </c>
      <c r="AK356" s="51" t="b">
        <f t="shared" si="240"/>
        <v>0</v>
      </c>
      <c r="AL356" s="51" t="b">
        <f t="shared" si="241"/>
        <v>0</v>
      </c>
      <c r="AM356" s="51" t="b">
        <f t="shared" si="242"/>
        <v>0</v>
      </c>
      <c r="AN356" s="51"/>
      <c r="AO356" s="51" t="b">
        <f t="shared" si="243"/>
        <v>0</v>
      </c>
      <c r="AP356" s="51" t="str">
        <f t="shared" si="265"/>
        <v>Not in MMS</v>
      </c>
      <c r="AQ356" s="51" t="b">
        <f t="shared" si="244"/>
        <v>0</v>
      </c>
      <c r="AR356" s="51" t="b">
        <f t="shared" si="245"/>
        <v>0</v>
      </c>
      <c r="AS356" s="51" t="str">
        <f t="shared" si="246"/>
        <v/>
      </c>
      <c r="AT356" s="51" t="str">
        <f t="shared" si="247"/>
        <v/>
      </c>
      <c r="AU356" s="51" t="str">
        <f t="shared" si="248"/>
        <v/>
      </c>
      <c r="AV356" s="51" t="str">
        <f t="shared" si="249"/>
        <v/>
      </c>
      <c r="AW356" s="51" t="str">
        <f t="shared" si="250"/>
        <v/>
      </c>
      <c r="AX356" s="51" t="str">
        <f t="shared" si="251"/>
        <v/>
      </c>
      <c r="AY356" s="51" t="str">
        <f t="shared" si="252"/>
        <v/>
      </c>
      <c r="AZ356" s="51" t="str">
        <f t="shared" si="253"/>
        <v/>
      </c>
      <c r="BA356" s="51" t="str">
        <f t="shared" si="254"/>
        <v/>
      </c>
      <c r="BB356" s="51" t="str">
        <f t="shared" si="255"/>
        <v/>
      </c>
      <c r="BC356" s="51" t="str">
        <f t="shared" si="256"/>
        <v/>
      </c>
      <c r="BD356" s="51" t="str">
        <f t="shared" si="257"/>
        <v/>
      </c>
      <c r="BE356" s="51" t="str">
        <f t="shared" si="258"/>
        <v/>
      </c>
      <c r="BF356" s="51" t="str">
        <f t="shared" si="259"/>
        <v/>
      </c>
      <c r="BG356" s="51" t="str">
        <f t="shared" si="260"/>
        <v/>
      </c>
      <c r="BH356" s="51" t="b">
        <f t="shared" si="261"/>
        <v>0</v>
      </c>
      <c r="BI356" s="51" t="str">
        <f t="shared" si="262"/>
        <v/>
      </c>
      <c r="BJ356" s="51" t="str">
        <f t="shared" si="263"/>
        <v/>
      </c>
      <c r="BK356" s="51" t="b">
        <f t="shared" si="264"/>
        <v>0</v>
      </c>
      <c r="BL356" s="192"/>
    </row>
    <row r="357" spans="1:64" ht="13.5" thickBot="1" x14ac:dyDescent="0.25">
      <c r="A357" s="185" t="s">
        <v>1039</v>
      </c>
      <c r="B357" s="194" t="s">
        <v>695</v>
      </c>
      <c r="C357" s="194" t="s">
        <v>695</v>
      </c>
      <c r="D357" s="194" t="s">
        <v>695</v>
      </c>
      <c r="E357" s="193" t="s">
        <v>694</v>
      </c>
      <c r="F357" s="160" t="s">
        <v>20</v>
      </c>
      <c r="G357" s="161"/>
      <c r="H357" s="186" t="str">
        <f t="shared" si="222"/>
        <v>N/A</v>
      </c>
      <c r="I357" s="186" t="b">
        <f t="shared" si="223"/>
        <v>1</v>
      </c>
      <c r="J357" s="186" t="str">
        <f t="shared" si="224"/>
        <v>N/A</v>
      </c>
      <c r="K357" s="186" t="b">
        <f t="shared" si="225"/>
        <v>1</v>
      </c>
      <c r="L357" s="186" t="str">
        <f t="shared" si="226"/>
        <v>N/A</v>
      </c>
      <c r="M357" s="186" t="b">
        <f t="shared" si="227"/>
        <v>1</v>
      </c>
      <c r="N357" s="186" t="str">
        <f t="shared" si="228"/>
        <v>Used?</v>
      </c>
      <c r="O357" s="186" t="b">
        <f t="shared" si="229"/>
        <v>0</v>
      </c>
      <c r="P357" s="26" t="s">
        <v>696</v>
      </c>
      <c r="Q357" s="160" t="s">
        <v>20</v>
      </c>
      <c r="R357" s="160" t="s">
        <v>20</v>
      </c>
      <c r="S357" s="26" t="s">
        <v>697</v>
      </c>
      <c r="T357" s="165" t="str">
        <f t="shared" si="230"/>
        <v>Not Used</v>
      </c>
      <c r="U357" s="162"/>
      <c r="V357" s="55"/>
      <c r="W357" s="51" t="b">
        <f t="shared" si="231"/>
        <v>1</v>
      </c>
      <c r="X357" s="51" t="str">
        <f t="shared" si="232"/>
        <v>Not Used</v>
      </c>
      <c r="Y357" s="51" t="str">
        <f t="shared" si="233"/>
        <v>Not Used</v>
      </c>
      <c r="Z357" s="51" t="str">
        <f t="shared" si="234"/>
        <v>Not Used</v>
      </c>
      <c r="AA357" s="51" t="str">
        <f t="shared" si="234"/>
        <v>Not Used</v>
      </c>
      <c r="AB357" s="51" t="str">
        <f t="shared" si="235"/>
        <v>Not Used</v>
      </c>
      <c r="AC357" s="51" t="b">
        <f t="shared" si="236"/>
        <v>1</v>
      </c>
      <c r="AD357" s="51">
        <f>COUNTIF($X$5:$X$357, "Not Used")</f>
        <v>353</v>
      </c>
      <c r="AE357" s="51">
        <f>COUNTIF($X$5:$X$357, "TRUE")</f>
        <v>0</v>
      </c>
      <c r="AF357" s="51" t="b">
        <f t="shared" si="237"/>
        <v>1</v>
      </c>
      <c r="AI357" s="51" t="b">
        <f t="shared" si="238"/>
        <v>0</v>
      </c>
      <c r="AJ357" s="51" t="b">
        <f t="shared" si="239"/>
        <v>0</v>
      </c>
      <c r="AK357" s="51" t="b">
        <f t="shared" si="240"/>
        <v>0</v>
      </c>
      <c r="AL357" s="51" t="b">
        <f t="shared" si="241"/>
        <v>0</v>
      </c>
      <c r="AM357" s="51" t="b">
        <f t="shared" si="242"/>
        <v>0</v>
      </c>
      <c r="AN357" s="51"/>
      <c r="AO357" s="51" t="b">
        <f t="shared" si="243"/>
        <v>0</v>
      </c>
      <c r="AP357" s="51" t="str">
        <f t="shared" si="265"/>
        <v>Not in MMS</v>
      </c>
      <c r="AQ357" s="51" t="b">
        <f t="shared" si="244"/>
        <v>0</v>
      </c>
      <c r="AR357" s="51" t="b">
        <f t="shared" si="245"/>
        <v>0</v>
      </c>
      <c r="AS357" s="51" t="str">
        <f t="shared" si="246"/>
        <v/>
      </c>
      <c r="AT357" s="51" t="str">
        <f t="shared" si="247"/>
        <v/>
      </c>
      <c r="AU357" s="51" t="str">
        <f t="shared" si="248"/>
        <v/>
      </c>
      <c r="AV357" s="51" t="str">
        <f t="shared" si="249"/>
        <v/>
      </c>
      <c r="AW357" s="51" t="str">
        <f t="shared" si="250"/>
        <v/>
      </c>
      <c r="AX357" s="51" t="str">
        <f t="shared" si="251"/>
        <v/>
      </c>
      <c r="AY357" s="51" t="str">
        <f t="shared" si="252"/>
        <v/>
      </c>
      <c r="AZ357" s="51" t="str">
        <f t="shared" si="253"/>
        <v/>
      </c>
      <c r="BA357" s="51" t="str">
        <f t="shared" si="254"/>
        <v/>
      </c>
      <c r="BB357" s="51" t="str">
        <f t="shared" si="255"/>
        <v/>
      </c>
      <c r="BC357" s="51" t="str">
        <f t="shared" si="256"/>
        <v/>
      </c>
      <c r="BD357" s="51" t="str">
        <f t="shared" si="257"/>
        <v/>
      </c>
      <c r="BE357" s="51" t="str">
        <f t="shared" si="258"/>
        <v/>
      </c>
      <c r="BF357" s="51" t="str">
        <f t="shared" si="259"/>
        <v/>
      </c>
      <c r="BG357" s="51" t="str">
        <f t="shared" si="260"/>
        <v/>
      </c>
      <c r="BH357" s="51" t="b">
        <f t="shared" si="261"/>
        <v>0</v>
      </c>
      <c r="BI357" s="51" t="str">
        <f t="shared" si="262"/>
        <v/>
      </c>
      <c r="BJ357" s="51" t="str">
        <f t="shared" si="263"/>
        <v/>
      </c>
      <c r="BK357" s="51" t="b">
        <f t="shared" si="264"/>
        <v>0</v>
      </c>
      <c r="BL357" s="192"/>
    </row>
    <row r="358" spans="1:64" ht="13.5" thickBot="1" x14ac:dyDescent="0.25">
      <c r="A358" s="185" t="s">
        <v>1040</v>
      </c>
      <c r="B358" s="194" t="s">
        <v>695</v>
      </c>
      <c r="C358" s="194" t="s">
        <v>695</v>
      </c>
      <c r="D358" s="194" t="s">
        <v>695</v>
      </c>
      <c r="E358" s="193" t="s">
        <v>694</v>
      </c>
      <c r="F358" s="160" t="s">
        <v>20</v>
      </c>
      <c r="G358" s="161"/>
      <c r="H358" s="186" t="str">
        <f t="shared" si="222"/>
        <v>N/A</v>
      </c>
      <c r="I358" s="186" t="b">
        <f t="shared" si="223"/>
        <v>1</v>
      </c>
      <c r="J358" s="186" t="str">
        <f t="shared" si="224"/>
        <v>N/A</v>
      </c>
      <c r="K358" s="186" t="b">
        <f t="shared" si="225"/>
        <v>1</v>
      </c>
      <c r="L358" s="186" t="str">
        <f t="shared" si="226"/>
        <v>N/A</v>
      </c>
      <c r="M358" s="186" t="b">
        <f t="shared" si="227"/>
        <v>1</v>
      </c>
      <c r="N358" s="186" t="str">
        <f t="shared" si="228"/>
        <v>Used?</v>
      </c>
      <c r="O358" s="186" t="b">
        <f t="shared" si="229"/>
        <v>0</v>
      </c>
      <c r="P358" s="26" t="s">
        <v>696</v>
      </c>
      <c r="Q358" s="160" t="s">
        <v>20</v>
      </c>
      <c r="R358" s="160" t="s">
        <v>20</v>
      </c>
      <c r="S358" s="26" t="s">
        <v>697</v>
      </c>
      <c r="T358" s="165" t="str">
        <f t="shared" si="230"/>
        <v>Not Used</v>
      </c>
      <c r="U358" s="162"/>
      <c r="V358" s="55"/>
      <c r="W358" s="51" t="b">
        <f t="shared" si="231"/>
        <v>1</v>
      </c>
      <c r="X358" s="51" t="str">
        <f t="shared" si="232"/>
        <v>Not Used</v>
      </c>
      <c r="Y358" s="51" t="str">
        <f t="shared" si="233"/>
        <v>Not Used</v>
      </c>
      <c r="Z358" s="51" t="str">
        <f t="shared" si="234"/>
        <v>Not Used</v>
      </c>
      <c r="AA358" s="51" t="str">
        <f t="shared" si="234"/>
        <v>Not Used</v>
      </c>
      <c r="AB358" s="51" t="str">
        <f t="shared" si="235"/>
        <v>Not Used</v>
      </c>
      <c r="AC358" s="51" t="b">
        <f t="shared" si="236"/>
        <v>1</v>
      </c>
      <c r="AD358" s="51">
        <f>COUNTIF($X$5:$X$358, "Not Used")</f>
        <v>354</v>
      </c>
      <c r="AE358" s="51">
        <f>COUNTIF($X$5:$X$358, "TRUE")</f>
        <v>0</v>
      </c>
      <c r="AF358" s="51" t="b">
        <f t="shared" si="237"/>
        <v>1</v>
      </c>
      <c r="AI358" s="51" t="b">
        <f t="shared" si="238"/>
        <v>0</v>
      </c>
      <c r="AJ358" s="51" t="b">
        <f t="shared" si="239"/>
        <v>0</v>
      </c>
      <c r="AK358" s="51" t="b">
        <f t="shared" si="240"/>
        <v>0</v>
      </c>
      <c r="AL358" s="51" t="b">
        <f t="shared" si="241"/>
        <v>0</v>
      </c>
      <c r="AM358" s="51" t="b">
        <f t="shared" si="242"/>
        <v>0</v>
      </c>
      <c r="AN358" s="51"/>
      <c r="AO358" s="51" t="b">
        <f t="shared" si="243"/>
        <v>0</v>
      </c>
      <c r="AP358" s="51" t="str">
        <f t="shared" si="265"/>
        <v>Not in MMS</v>
      </c>
      <c r="AQ358" s="51" t="b">
        <f t="shared" si="244"/>
        <v>0</v>
      </c>
      <c r="AR358" s="51" t="b">
        <f t="shared" si="245"/>
        <v>0</v>
      </c>
      <c r="AS358" s="51" t="str">
        <f t="shared" si="246"/>
        <v/>
      </c>
      <c r="AT358" s="51" t="str">
        <f t="shared" si="247"/>
        <v/>
      </c>
      <c r="AU358" s="51" t="str">
        <f t="shared" si="248"/>
        <v/>
      </c>
      <c r="AV358" s="51" t="str">
        <f t="shared" si="249"/>
        <v/>
      </c>
      <c r="AW358" s="51" t="str">
        <f t="shared" si="250"/>
        <v/>
      </c>
      <c r="AX358" s="51" t="str">
        <f t="shared" si="251"/>
        <v/>
      </c>
      <c r="AY358" s="51" t="str">
        <f t="shared" si="252"/>
        <v/>
      </c>
      <c r="AZ358" s="51" t="str">
        <f t="shared" si="253"/>
        <v/>
      </c>
      <c r="BA358" s="51" t="str">
        <f t="shared" si="254"/>
        <v/>
      </c>
      <c r="BB358" s="51" t="str">
        <f t="shared" si="255"/>
        <v/>
      </c>
      <c r="BC358" s="51" t="str">
        <f t="shared" si="256"/>
        <v/>
      </c>
      <c r="BD358" s="51" t="str">
        <f t="shared" si="257"/>
        <v/>
      </c>
      <c r="BE358" s="51" t="str">
        <f t="shared" si="258"/>
        <v/>
      </c>
      <c r="BF358" s="51" t="str">
        <f t="shared" si="259"/>
        <v/>
      </c>
      <c r="BG358" s="51" t="str">
        <f t="shared" si="260"/>
        <v/>
      </c>
      <c r="BH358" s="51" t="b">
        <f t="shared" si="261"/>
        <v>0</v>
      </c>
      <c r="BI358" s="51" t="str">
        <f t="shared" si="262"/>
        <v/>
      </c>
      <c r="BJ358" s="51" t="str">
        <f t="shared" si="263"/>
        <v/>
      </c>
      <c r="BK358" s="51" t="b">
        <f t="shared" si="264"/>
        <v>0</v>
      </c>
      <c r="BL358" s="192"/>
    </row>
    <row r="359" spans="1:64" ht="13.5" thickBot="1" x14ac:dyDescent="0.25">
      <c r="A359" s="185" t="s">
        <v>1041</v>
      </c>
      <c r="B359" s="194" t="s">
        <v>695</v>
      </c>
      <c r="C359" s="194" t="s">
        <v>695</v>
      </c>
      <c r="D359" s="194" t="s">
        <v>695</v>
      </c>
      <c r="E359" s="193" t="s">
        <v>694</v>
      </c>
      <c r="F359" s="160" t="s">
        <v>20</v>
      </c>
      <c r="G359" s="161"/>
      <c r="H359" s="186" t="str">
        <f t="shared" si="222"/>
        <v>N/A</v>
      </c>
      <c r="I359" s="186" t="b">
        <f t="shared" si="223"/>
        <v>1</v>
      </c>
      <c r="J359" s="186" t="str">
        <f t="shared" si="224"/>
        <v>N/A</v>
      </c>
      <c r="K359" s="186" t="b">
        <f t="shared" si="225"/>
        <v>1</v>
      </c>
      <c r="L359" s="186" t="str">
        <f t="shared" si="226"/>
        <v>N/A</v>
      </c>
      <c r="M359" s="186" t="b">
        <f t="shared" si="227"/>
        <v>1</v>
      </c>
      <c r="N359" s="186" t="str">
        <f t="shared" si="228"/>
        <v>Used?</v>
      </c>
      <c r="O359" s="186" t="b">
        <f t="shared" si="229"/>
        <v>0</v>
      </c>
      <c r="P359" s="26" t="s">
        <v>696</v>
      </c>
      <c r="Q359" s="160" t="s">
        <v>20</v>
      </c>
      <c r="R359" s="160" t="s">
        <v>20</v>
      </c>
      <c r="S359" s="26" t="s">
        <v>697</v>
      </c>
      <c r="T359" s="165" t="str">
        <f t="shared" si="230"/>
        <v>Not Used</v>
      </c>
      <c r="U359" s="162"/>
      <c r="V359" s="55"/>
      <c r="W359" s="51" t="b">
        <f t="shared" si="231"/>
        <v>1</v>
      </c>
      <c r="X359" s="51" t="str">
        <f t="shared" si="232"/>
        <v>Not Used</v>
      </c>
      <c r="Y359" s="51" t="str">
        <f t="shared" si="233"/>
        <v>Not Used</v>
      </c>
      <c r="Z359" s="51" t="str">
        <f t="shared" si="234"/>
        <v>Not Used</v>
      </c>
      <c r="AA359" s="51" t="str">
        <f t="shared" si="234"/>
        <v>Not Used</v>
      </c>
      <c r="AB359" s="51" t="str">
        <f t="shared" si="235"/>
        <v>Not Used</v>
      </c>
      <c r="AC359" s="51" t="b">
        <f t="shared" si="236"/>
        <v>1</v>
      </c>
      <c r="AD359" s="51">
        <f>COUNTIF($X$5:$X$359, "Not Used")</f>
        <v>355</v>
      </c>
      <c r="AE359" s="51">
        <f>COUNTIF($X$5:$X$359, "TRUE")</f>
        <v>0</v>
      </c>
      <c r="AF359" s="51" t="b">
        <f t="shared" si="237"/>
        <v>1</v>
      </c>
      <c r="AI359" s="51" t="b">
        <f t="shared" si="238"/>
        <v>0</v>
      </c>
      <c r="AJ359" s="51" t="b">
        <f t="shared" si="239"/>
        <v>0</v>
      </c>
      <c r="AK359" s="51" t="b">
        <f t="shared" si="240"/>
        <v>0</v>
      </c>
      <c r="AL359" s="51" t="b">
        <f t="shared" si="241"/>
        <v>0</v>
      </c>
      <c r="AM359" s="51" t="b">
        <f t="shared" si="242"/>
        <v>0</v>
      </c>
      <c r="AN359" s="51"/>
      <c r="AO359" s="51" t="b">
        <f t="shared" si="243"/>
        <v>0</v>
      </c>
      <c r="AP359" s="51" t="str">
        <f t="shared" si="265"/>
        <v>Not in MMS</v>
      </c>
      <c r="AQ359" s="51" t="b">
        <f t="shared" si="244"/>
        <v>0</v>
      </c>
      <c r="AR359" s="51" t="b">
        <f t="shared" si="245"/>
        <v>0</v>
      </c>
      <c r="AS359" s="51" t="str">
        <f t="shared" si="246"/>
        <v/>
      </c>
      <c r="AT359" s="51" t="str">
        <f t="shared" si="247"/>
        <v/>
      </c>
      <c r="AU359" s="51" t="str">
        <f t="shared" si="248"/>
        <v/>
      </c>
      <c r="AV359" s="51" t="str">
        <f t="shared" si="249"/>
        <v/>
      </c>
      <c r="AW359" s="51" t="str">
        <f t="shared" si="250"/>
        <v/>
      </c>
      <c r="AX359" s="51" t="str">
        <f t="shared" si="251"/>
        <v/>
      </c>
      <c r="AY359" s="51" t="str">
        <f t="shared" si="252"/>
        <v/>
      </c>
      <c r="AZ359" s="51" t="str">
        <f t="shared" si="253"/>
        <v/>
      </c>
      <c r="BA359" s="51" t="str">
        <f t="shared" si="254"/>
        <v/>
      </c>
      <c r="BB359" s="51" t="str">
        <f t="shared" si="255"/>
        <v/>
      </c>
      <c r="BC359" s="51" t="str">
        <f t="shared" si="256"/>
        <v/>
      </c>
      <c r="BD359" s="51" t="str">
        <f t="shared" si="257"/>
        <v/>
      </c>
      <c r="BE359" s="51" t="str">
        <f t="shared" si="258"/>
        <v/>
      </c>
      <c r="BF359" s="51" t="str">
        <f t="shared" si="259"/>
        <v/>
      </c>
      <c r="BG359" s="51" t="str">
        <f t="shared" si="260"/>
        <v/>
      </c>
      <c r="BH359" s="51" t="b">
        <f t="shared" si="261"/>
        <v>0</v>
      </c>
      <c r="BI359" s="51" t="str">
        <f t="shared" si="262"/>
        <v/>
      </c>
      <c r="BJ359" s="51" t="str">
        <f t="shared" si="263"/>
        <v/>
      </c>
      <c r="BK359" s="51" t="b">
        <f t="shared" si="264"/>
        <v>0</v>
      </c>
      <c r="BL359" s="192"/>
    </row>
    <row r="360" spans="1:64" ht="13.5" thickBot="1" x14ac:dyDescent="0.25">
      <c r="A360" s="185" t="s">
        <v>1042</v>
      </c>
      <c r="B360" s="194" t="s">
        <v>695</v>
      </c>
      <c r="C360" s="194" t="s">
        <v>695</v>
      </c>
      <c r="D360" s="194" t="s">
        <v>695</v>
      </c>
      <c r="E360" s="193" t="s">
        <v>694</v>
      </c>
      <c r="F360" s="160" t="s">
        <v>20</v>
      </c>
      <c r="G360" s="161"/>
      <c r="H360" s="186" t="str">
        <f t="shared" si="222"/>
        <v>N/A</v>
      </c>
      <c r="I360" s="186" t="b">
        <f t="shared" si="223"/>
        <v>1</v>
      </c>
      <c r="J360" s="186" t="str">
        <f t="shared" si="224"/>
        <v>N/A</v>
      </c>
      <c r="K360" s="186" t="b">
        <f t="shared" si="225"/>
        <v>1</v>
      </c>
      <c r="L360" s="186" t="str">
        <f t="shared" si="226"/>
        <v>N/A</v>
      </c>
      <c r="M360" s="186" t="b">
        <f t="shared" si="227"/>
        <v>1</v>
      </c>
      <c r="N360" s="186" t="str">
        <f t="shared" si="228"/>
        <v>Used?</v>
      </c>
      <c r="O360" s="186" t="b">
        <f t="shared" si="229"/>
        <v>0</v>
      </c>
      <c r="P360" s="26" t="s">
        <v>696</v>
      </c>
      <c r="Q360" s="160" t="s">
        <v>20</v>
      </c>
      <c r="R360" s="160" t="s">
        <v>20</v>
      </c>
      <c r="S360" s="26" t="s">
        <v>697</v>
      </c>
      <c r="T360" s="165" t="str">
        <f t="shared" si="230"/>
        <v>Not Used</v>
      </c>
      <c r="U360" s="162"/>
      <c r="V360" s="55"/>
      <c r="W360" s="51" t="b">
        <f t="shared" si="231"/>
        <v>1</v>
      </c>
      <c r="X360" s="51" t="str">
        <f t="shared" si="232"/>
        <v>Not Used</v>
      </c>
      <c r="Y360" s="51" t="str">
        <f t="shared" si="233"/>
        <v>Not Used</v>
      </c>
      <c r="Z360" s="51" t="str">
        <f t="shared" si="234"/>
        <v>Not Used</v>
      </c>
      <c r="AA360" s="51" t="str">
        <f t="shared" si="234"/>
        <v>Not Used</v>
      </c>
      <c r="AB360" s="51" t="str">
        <f t="shared" si="235"/>
        <v>Not Used</v>
      </c>
      <c r="AC360" s="51" t="b">
        <f t="shared" si="236"/>
        <v>1</v>
      </c>
      <c r="AD360" s="51">
        <f>COUNTIF($X$5:$X$360, "Not Used")</f>
        <v>356</v>
      </c>
      <c r="AE360" s="51">
        <f>COUNTIF($X$5:$X$360, "TRUE")</f>
        <v>0</v>
      </c>
      <c r="AF360" s="51" t="b">
        <f t="shared" si="237"/>
        <v>1</v>
      </c>
      <c r="AI360" s="51" t="b">
        <f t="shared" si="238"/>
        <v>0</v>
      </c>
      <c r="AJ360" s="51" t="b">
        <f t="shared" si="239"/>
        <v>0</v>
      </c>
      <c r="AK360" s="51" t="b">
        <f t="shared" si="240"/>
        <v>0</v>
      </c>
      <c r="AL360" s="51" t="b">
        <f t="shared" si="241"/>
        <v>0</v>
      </c>
      <c r="AM360" s="51" t="b">
        <f t="shared" si="242"/>
        <v>0</v>
      </c>
      <c r="AN360" s="51"/>
      <c r="AO360" s="51" t="b">
        <f t="shared" si="243"/>
        <v>0</v>
      </c>
      <c r="AP360" s="51" t="str">
        <f t="shared" si="265"/>
        <v>Not in MMS</v>
      </c>
      <c r="AQ360" s="51" t="b">
        <f t="shared" si="244"/>
        <v>0</v>
      </c>
      <c r="AR360" s="51" t="b">
        <f t="shared" si="245"/>
        <v>0</v>
      </c>
      <c r="AS360" s="51" t="str">
        <f t="shared" si="246"/>
        <v/>
      </c>
      <c r="AT360" s="51" t="str">
        <f t="shared" si="247"/>
        <v/>
      </c>
      <c r="AU360" s="51" t="str">
        <f t="shared" si="248"/>
        <v/>
      </c>
      <c r="AV360" s="51" t="str">
        <f t="shared" si="249"/>
        <v/>
      </c>
      <c r="AW360" s="51" t="str">
        <f t="shared" si="250"/>
        <v/>
      </c>
      <c r="AX360" s="51" t="str">
        <f t="shared" si="251"/>
        <v/>
      </c>
      <c r="AY360" s="51" t="str">
        <f t="shared" si="252"/>
        <v/>
      </c>
      <c r="AZ360" s="51" t="str">
        <f t="shared" si="253"/>
        <v/>
      </c>
      <c r="BA360" s="51" t="str">
        <f t="shared" si="254"/>
        <v/>
      </c>
      <c r="BB360" s="51" t="str">
        <f t="shared" si="255"/>
        <v/>
      </c>
      <c r="BC360" s="51" t="str">
        <f t="shared" si="256"/>
        <v/>
      </c>
      <c r="BD360" s="51" t="str">
        <f t="shared" si="257"/>
        <v/>
      </c>
      <c r="BE360" s="51" t="str">
        <f t="shared" si="258"/>
        <v/>
      </c>
      <c r="BF360" s="51" t="str">
        <f t="shared" si="259"/>
        <v/>
      </c>
      <c r="BG360" s="51" t="str">
        <f t="shared" si="260"/>
        <v/>
      </c>
      <c r="BH360" s="51" t="b">
        <f t="shared" si="261"/>
        <v>0</v>
      </c>
      <c r="BI360" s="51" t="str">
        <f t="shared" si="262"/>
        <v/>
      </c>
      <c r="BJ360" s="51" t="str">
        <f t="shared" si="263"/>
        <v/>
      </c>
      <c r="BK360" s="51" t="b">
        <f t="shared" si="264"/>
        <v>0</v>
      </c>
      <c r="BL360" s="192"/>
    </row>
    <row r="361" spans="1:64" ht="13.5" thickBot="1" x14ac:dyDescent="0.25">
      <c r="A361" s="185" t="s">
        <v>1043</v>
      </c>
      <c r="B361" s="194" t="s">
        <v>695</v>
      </c>
      <c r="C361" s="194" t="s">
        <v>695</v>
      </c>
      <c r="D361" s="194" t="s">
        <v>695</v>
      </c>
      <c r="E361" s="193" t="s">
        <v>694</v>
      </c>
      <c r="F361" s="160" t="s">
        <v>20</v>
      </c>
      <c r="G361" s="161"/>
      <c r="H361" s="186" t="str">
        <f t="shared" si="222"/>
        <v>N/A</v>
      </c>
      <c r="I361" s="186" t="b">
        <f t="shared" si="223"/>
        <v>1</v>
      </c>
      <c r="J361" s="186" t="str">
        <f t="shared" si="224"/>
        <v>N/A</v>
      </c>
      <c r="K361" s="186" t="b">
        <f t="shared" si="225"/>
        <v>1</v>
      </c>
      <c r="L361" s="186" t="str">
        <f t="shared" si="226"/>
        <v>N/A</v>
      </c>
      <c r="M361" s="186" t="b">
        <f t="shared" si="227"/>
        <v>1</v>
      </c>
      <c r="N361" s="186" t="str">
        <f t="shared" si="228"/>
        <v>Used?</v>
      </c>
      <c r="O361" s="186" t="b">
        <f t="shared" si="229"/>
        <v>0</v>
      </c>
      <c r="P361" s="26" t="s">
        <v>696</v>
      </c>
      <c r="Q361" s="160" t="s">
        <v>20</v>
      </c>
      <c r="R361" s="160" t="s">
        <v>20</v>
      </c>
      <c r="S361" s="26" t="s">
        <v>697</v>
      </c>
      <c r="T361" s="165" t="str">
        <f t="shared" si="230"/>
        <v>Not Used</v>
      </c>
      <c r="U361" s="162"/>
      <c r="V361" s="55"/>
      <c r="W361" s="51" t="b">
        <f t="shared" si="231"/>
        <v>1</v>
      </c>
      <c r="X361" s="51" t="str">
        <f t="shared" si="232"/>
        <v>Not Used</v>
      </c>
      <c r="Y361" s="51" t="str">
        <f t="shared" si="233"/>
        <v>Not Used</v>
      </c>
      <c r="Z361" s="51" t="str">
        <f t="shared" si="234"/>
        <v>Not Used</v>
      </c>
      <c r="AA361" s="51" t="str">
        <f t="shared" si="234"/>
        <v>Not Used</v>
      </c>
      <c r="AB361" s="51" t="str">
        <f t="shared" si="235"/>
        <v>Not Used</v>
      </c>
      <c r="AC361" s="51" t="b">
        <f t="shared" si="236"/>
        <v>1</v>
      </c>
      <c r="AD361" s="51">
        <f>COUNTIF($X$5:$X$361, "Not Used")</f>
        <v>357</v>
      </c>
      <c r="AE361" s="51">
        <f>COUNTIF($X$5:$X$361, "TRUE")</f>
        <v>0</v>
      </c>
      <c r="AF361" s="51" t="b">
        <f t="shared" si="237"/>
        <v>1</v>
      </c>
      <c r="AI361" s="51" t="b">
        <f t="shared" si="238"/>
        <v>0</v>
      </c>
      <c r="AJ361" s="51" t="b">
        <f t="shared" si="239"/>
        <v>0</v>
      </c>
      <c r="AK361" s="51" t="b">
        <f t="shared" si="240"/>
        <v>0</v>
      </c>
      <c r="AL361" s="51" t="b">
        <f t="shared" si="241"/>
        <v>0</v>
      </c>
      <c r="AM361" s="51" t="b">
        <f t="shared" si="242"/>
        <v>0</v>
      </c>
      <c r="AN361" s="51"/>
      <c r="AO361" s="51" t="b">
        <f t="shared" si="243"/>
        <v>0</v>
      </c>
      <c r="AP361" s="51" t="str">
        <f t="shared" si="265"/>
        <v>Not in MMS</v>
      </c>
      <c r="AQ361" s="51" t="b">
        <f t="shared" si="244"/>
        <v>0</v>
      </c>
      <c r="AR361" s="51" t="b">
        <f t="shared" si="245"/>
        <v>0</v>
      </c>
      <c r="AS361" s="51" t="str">
        <f t="shared" si="246"/>
        <v/>
      </c>
      <c r="AT361" s="51" t="str">
        <f t="shared" si="247"/>
        <v/>
      </c>
      <c r="AU361" s="51" t="str">
        <f t="shared" si="248"/>
        <v/>
      </c>
      <c r="AV361" s="51" t="str">
        <f t="shared" si="249"/>
        <v/>
      </c>
      <c r="AW361" s="51" t="str">
        <f t="shared" si="250"/>
        <v/>
      </c>
      <c r="AX361" s="51" t="str">
        <f t="shared" si="251"/>
        <v/>
      </c>
      <c r="AY361" s="51" t="str">
        <f t="shared" si="252"/>
        <v/>
      </c>
      <c r="AZ361" s="51" t="str">
        <f t="shared" si="253"/>
        <v/>
      </c>
      <c r="BA361" s="51" t="str">
        <f t="shared" si="254"/>
        <v/>
      </c>
      <c r="BB361" s="51" t="str">
        <f t="shared" si="255"/>
        <v/>
      </c>
      <c r="BC361" s="51" t="str">
        <f t="shared" si="256"/>
        <v/>
      </c>
      <c r="BD361" s="51" t="str">
        <f t="shared" si="257"/>
        <v/>
      </c>
      <c r="BE361" s="51" t="str">
        <f t="shared" si="258"/>
        <v/>
      </c>
      <c r="BF361" s="51" t="str">
        <f t="shared" si="259"/>
        <v/>
      </c>
      <c r="BG361" s="51" t="str">
        <f t="shared" si="260"/>
        <v/>
      </c>
      <c r="BH361" s="51" t="b">
        <f t="shared" si="261"/>
        <v>0</v>
      </c>
      <c r="BI361" s="51" t="str">
        <f t="shared" si="262"/>
        <v/>
      </c>
      <c r="BJ361" s="51" t="str">
        <f t="shared" si="263"/>
        <v/>
      </c>
      <c r="BK361" s="51" t="b">
        <f t="shared" si="264"/>
        <v>0</v>
      </c>
      <c r="BL361" s="192"/>
    </row>
    <row r="362" spans="1:64" ht="13.5" thickBot="1" x14ac:dyDescent="0.25">
      <c r="A362" s="185" t="s">
        <v>1044</v>
      </c>
      <c r="B362" s="194" t="s">
        <v>695</v>
      </c>
      <c r="C362" s="194" t="s">
        <v>695</v>
      </c>
      <c r="D362" s="194" t="s">
        <v>695</v>
      </c>
      <c r="E362" s="193" t="s">
        <v>694</v>
      </c>
      <c r="F362" s="160" t="s">
        <v>20</v>
      </c>
      <c r="G362" s="161"/>
      <c r="H362" s="186" t="str">
        <f t="shared" si="222"/>
        <v>N/A</v>
      </c>
      <c r="I362" s="186" t="b">
        <f t="shared" si="223"/>
        <v>1</v>
      </c>
      <c r="J362" s="186" t="str">
        <f t="shared" si="224"/>
        <v>N/A</v>
      </c>
      <c r="K362" s="186" t="b">
        <f t="shared" si="225"/>
        <v>1</v>
      </c>
      <c r="L362" s="186" t="str">
        <f t="shared" si="226"/>
        <v>N/A</v>
      </c>
      <c r="M362" s="186" t="b">
        <f t="shared" si="227"/>
        <v>1</v>
      </c>
      <c r="N362" s="186" t="str">
        <f t="shared" si="228"/>
        <v>Used?</v>
      </c>
      <c r="O362" s="186" t="b">
        <f t="shared" si="229"/>
        <v>0</v>
      </c>
      <c r="P362" s="26" t="s">
        <v>696</v>
      </c>
      <c r="Q362" s="160" t="s">
        <v>20</v>
      </c>
      <c r="R362" s="160" t="s">
        <v>20</v>
      </c>
      <c r="S362" s="26" t="s">
        <v>697</v>
      </c>
      <c r="T362" s="165" t="str">
        <f t="shared" si="230"/>
        <v>Not Used</v>
      </c>
      <c r="U362" s="162"/>
      <c r="V362" s="55"/>
      <c r="W362" s="51" t="b">
        <f t="shared" si="231"/>
        <v>1</v>
      </c>
      <c r="X362" s="51" t="str">
        <f t="shared" si="232"/>
        <v>Not Used</v>
      </c>
      <c r="Y362" s="51" t="str">
        <f t="shared" si="233"/>
        <v>Not Used</v>
      </c>
      <c r="Z362" s="51" t="str">
        <f t="shared" si="234"/>
        <v>Not Used</v>
      </c>
      <c r="AA362" s="51" t="str">
        <f t="shared" si="234"/>
        <v>Not Used</v>
      </c>
      <c r="AB362" s="51" t="str">
        <f t="shared" si="235"/>
        <v>Not Used</v>
      </c>
      <c r="AC362" s="51" t="b">
        <f t="shared" si="236"/>
        <v>1</v>
      </c>
      <c r="AD362" s="51">
        <f>COUNTIF($X$5:$X$362, "Not Used")</f>
        <v>358</v>
      </c>
      <c r="AE362" s="51">
        <f>COUNTIF($X$5:$X$362, "TRUE")</f>
        <v>0</v>
      </c>
      <c r="AF362" s="51" t="b">
        <f t="shared" si="237"/>
        <v>1</v>
      </c>
      <c r="AI362" s="51" t="b">
        <f t="shared" si="238"/>
        <v>0</v>
      </c>
      <c r="AJ362" s="51" t="b">
        <f t="shared" si="239"/>
        <v>0</v>
      </c>
      <c r="AK362" s="51" t="b">
        <f t="shared" si="240"/>
        <v>0</v>
      </c>
      <c r="AL362" s="51" t="b">
        <f t="shared" si="241"/>
        <v>0</v>
      </c>
      <c r="AM362" s="51" t="b">
        <f t="shared" si="242"/>
        <v>0</v>
      </c>
      <c r="AN362" s="51"/>
      <c r="AO362" s="51" t="b">
        <f t="shared" si="243"/>
        <v>0</v>
      </c>
      <c r="AP362" s="51" t="str">
        <f t="shared" si="265"/>
        <v>Not in MMS</v>
      </c>
      <c r="AQ362" s="51" t="b">
        <f t="shared" si="244"/>
        <v>0</v>
      </c>
      <c r="AR362" s="51" t="b">
        <f t="shared" si="245"/>
        <v>0</v>
      </c>
      <c r="AS362" s="51" t="str">
        <f t="shared" si="246"/>
        <v/>
      </c>
      <c r="AT362" s="51" t="str">
        <f t="shared" si="247"/>
        <v/>
      </c>
      <c r="AU362" s="51" t="str">
        <f t="shared" si="248"/>
        <v/>
      </c>
      <c r="AV362" s="51" t="str">
        <f t="shared" si="249"/>
        <v/>
      </c>
      <c r="AW362" s="51" t="str">
        <f t="shared" si="250"/>
        <v/>
      </c>
      <c r="AX362" s="51" t="str">
        <f t="shared" si="251"/>
        <v/>
      </c>
      <c r="AY362" s="51" t="str">
        <f t="shared" si="252"/>
        <v/>
      </c>
      <c r="AZ362" s="51" t="str">
        <f t="shared" si="253"/>
        <v/>
      </c>
      <c r="BA362" s="51" t="str">
        <f t="shared" si="254"/>
        <v/>
      </c>
      <c r="BB362" s="51" t="str">
        <f t="shared" si="255"/>
        <v/>
      </c>
      <c r="BC362" s="51" t="str">
        <f t="shared" si="256"/>
        <v/>
      </c>
      <c r="BD362" s="51" t="str">
        <f t="shared" si="257"/>
        <v/>
      </c>
      <c r="BE362" s="51" t="str">
        <f t="shared" si="258"/>
        <v/>
      </c>
      <c r="BF362" s="51" t="str">
        <f t="shared" si="259"/>
        <v/>
      </c>
      <c r="BG362" s="51" t="str">
        <f t="shared" si="260"/>
        <v/>
      </c>
      <c r="BH362" s="51" t="b">
        <f t="shared" si="261"/>
        <v>0</v>
      </c>
      <c r="BI362" s="51" t="str">
        <f t="shared" si="262"/>
        <v/>
      </c>
      <c r="BJ362" s="51" t="str">
        <f t="shared" si="263"/>
        <v/>
      </c>
      <c r="BK362" s="51" t="b">
        <f t="shared" si="264"/>
        <v>0</v>
      </c>
      <c r="BL362" s="192"/>
    </row>
    <row r="363" spans="1:64" ht="13.5" thickBot="1" x14ac:dyDescent="0.25">
      <c r="A363" s="185" t="s">
        <v>1901</v>
      </c>
      <c r="B363" s="194" t="s">
        <v>695</v>
      </c>
      <c r="C363" s="194" t="s">
        <v>695</v>
      </c>
      <c r="D363" s="194" t="s">
        <v>695</v>
      </c>
      <c r="E363" s="193" t="s">
        <v>694</v>
      </c>
      <c r="F363" s="160" t="s">
        <v>20</v>
      </c>
      <c r="G363" s="161"/>
      <c r="H363" s="186" t="str">
        <f t="shared" si="222"/>
        <v>N/A</v>
      </c>
      <c r="I363" s="186" t="b">
        <f t="shared" si="223"/>
        <v>1</v>
      </c>
      <c r="J363" s="186" t="str">
        <f t="shared" si="224"/>
        <v>N/A</v>
      </c>
      <c r="K363" s="186" t="b">
        <f t="shared" si="225"/>
        <v>1</v>
      </c>
      <c r="L363" s="186" t="str">
        <f t="shared" si="226"/>
        <v>N/A</v>
      </c>
      <c r="M363" s="186" t="b">
        <f t="shared" si="227"/>
        <v>1</v>
      </c>
      <c r="N363" s="186" t="str">
        <f t="shared" si="228"/>
        <v>Used?</v>
      </c>
      <c r="O363" s="186" t="b">
        <f t="shared" si="229"/>
        <v>0</v>
      </c>
      <c r="P363" s="26" t="s">
        <v>696</v>
      </c>
      <c r="Q363" s="160" t="s">
        <v>20</v>
      </c>
      <c r="R363" s="160" t="s">
        <v>20</v>
      </c>
      <c r="S363" s="26" t="s">
        <v>697</v>
      </c>
      <c r="T363" s="165" t="str">
        <f t="shared" si="230"/>
        <v>Not Used</v>
      </c>
      <c r="U363" s="162"/>
      <c r="V363" s="55"/>
      <c r="W363" s="51" t="b">
        <f t="shared" si="231"/>
        <v>1</v>
      </c>
      <c r="X363" s="51" t="str">
        <f t="shared" si="232"/>
        <v>Not Used</v>
      </c>
      <c r="Y363" s="51" t="str">
        <f t="shared" si="233"/>
        <v>Not Used</v>
      </c>
      <c r="Z363" s="51" t="str">
        <f t="shared" si="234"/>
        <v>Not Used</v>
      </c>
      <c r="AA363" s="51" t="str">
        <f t="shared" si="234"/>
        <v>Not Used</v>
      </c>
      <c r="AB363" s="51" t="str">
        <f t="shared" si="235"/>
        <v>Not Used</v>
      </c>
      <c r="AC363" s="51" t="b">
        <f t="shared" si="236"/>
        <v>1</v>
      </c>
      <c r="AD363" s="51">
        <f>COUNTIF($X$5:$X$364, "Not Used")</f>
        <v>360</v>
      </c>
      <c r="AE363" s="51">
        <f>COUNTIF($X$5:$X$364, "TRUE")</f>
        <v>0</v>
      </c>
      <c r="AF363" s="51" t="b">
        <f t="shared" si="237"/>
        <v>1</v>
      </c>
      <c r="AI363" s="51" t="b">
        <f t="shared" si="238"/>
        <v>0</v>
      </c>
      <c r="AJ363" s="51" t="b">
        <f t="shared" si="239"/>
        <v>0</v>
      </c>
      <c r="AK363" s="51" t="b">
        <f t="shared" si="240"/>
        <v>0</v>
      </c>
      <c r="AL363" s="51" t="b">
        <f t="shared" si="241"/>
        <v>0</v>
      </c>
      <c r="AM363" s="51" t="b">
        <f t="shared" si="242"/>
        <v>0</v>
      </c>
      <c r="AN363" s="51"/>
      <c r="AO363" s="51" t="b">
        <f t="shared" si="243"/>
        <v>0</v>
      </c>
      <c r="AP363" s="51" t="str">
        <f t="shared" si="265"/>
        <v>Not in MMS</v>
      </c>
      <c r="AQ363" s="51" t="b">
        <f t="shared" si="244"/>
        <v>0</v>
      </c>
      <c r="AR363" s="51" t="b">
        <f t="shared" si="245"/>
        <v>0</v>
      </c>
      <c r="AS363" s="51" t="str">
        <f t="shared" si="246"/>
        <v/>
      </c>
      <c r="AT363" s="51" t="str">
        <f t="shared" si="247"/>
        <v/>
      </c>
      <c r="AU363" s="51" t="str">
        <f t="shared" si="248"/>
        <v/>
      </c>
      <c r="AV363" s="51" t="str">
        <f t="shared" si="249"/>
        <v/>
      </c>
      <c r="AW363" s="51" t="str">
        <f t="shared" si="250"/>
        <v/>
      </c>
      <c r="AX363" s="51" t="str">
        <f t="shared" si="251"/>
        <v/>
      </c>
      <c r="AY363" s="51" t="str">
        <f t="shared" si="252"/>
        <v/>
      </c>
      <c r="AZ363" s="51" t="str">
        <f t="shared" si="253"/>
        <v/>
      </c>
      <c r="BA363" s="51" t="str">
        <f t="shared" si="254"/>
        <v/>
      </c>
      <c r="BB363" s="51" t="str">
        <f t="shared" si="255"/>
        <v/>
      </c>
      <c r="BC363" s="51" t="str">
        <f t="shared" si="256"/>
        <v/>
      </c>
      <c r="BD363" s="51" t="str">
        <f t="shared" si="257"/>
        <v/>
      </c>
      <c r="BE363" s="51" t="str">
        <f t="shared" si="258"/>
        <v/>
      </c>
      <c r="BF363" s="51" t="str">
        <f t="shared" si="259"/>
        <v/>
      </c>
      <c r="BG363" s="51" t="str">
        <f t="shared" si="260"/>
        <v/>
      </c>
      <c r="BH363" s="51" t="b">
        <f t="shared" si="261"/>
        <v>0</v>
      </c>
      <c r="BI363" s="51" t="str">
        <f t="shared" si="262"/>
        <v/>
      </c>
      <c r="BJ363" s="51" t="str">
        <f t="shared" si="263"/>
        <v/>
      </c>
      <c r="BK363" s="51" t="b">
        <f t="shared" si="264"/>
        <v>0</v>
      </c>
      <c r="BL363" s="192"/>
    </row>
    <row r="364" spans="1:64" ht="13.5" thickBot="1" x14ac:dyDescent="0.25">
      <c r="A364" s="185" t="s">
        <v>1045</v>
      </c>
      <c r="B364" s="194" t="s">
        <v>695</v>
      </c>
      <c r="C364" s="194" t="s">
        <v>695</v>
      </c>
      <c r="D364" s="194" t="s">
        <v>695</v>
      </c>
      <c r="E364" s="193" t="s">
        <v>694</v>
      </c>
      <c r="F364" s="160" t="s">
        <v>20</v>
      </c>
      <c r="G364" s="161"/>
      <c r="H364" s="186" t="str">
        <f t="shared" si="222"/>
        <v>N/A</v>
      </c>
      <c r="I364" s="186" t="b">
        <f t="shared" si="223"/>
        <v>1</v>
      </c>
      <c r="J364" s="186" t="str">
        <f t="shared" si="224"/>
        <v>N/A</v>
      </c>
      <c r="K364" s="186" t="b">
        <f t="shared" si="225"/>
        <v>1</v>
      </c>
      <c r="L364" s="186" t="str">
        <f t="shared" si="226"/>
        <v>N/A</v>
      </c>
      <c r="M364" s="186" t="b">
        <f t="shared" si="227"/>
        <v>1</v>
      </c>
      <c r="N364" s="186" t="str">
        <f t="shared" si="228"/>
        <v>Used?</v>
      </c>
      <c r="O364" s="186" t="b">
        <f t="shared" si="229"/>
        <v>0</v>
      </c>
      <c r="P364" s="26" t="s">
        <v>696</v>
      </c>
      <c r="Q364" s="160" t="s">
        <v>20</v>
      </c>
      <c r="R364" s="160" t="s">
        <v>20</v>
      </c>
      <c r="S364" s="26" t="s">
        <v>697</v>
      </c>
      <c r="T364" s="165" t="str">
        <f t="shared" si="230"/>
        <v>Not Used</v>
      </c>
      <c r="U364" s="162"/>
      <c r="V364" s="55"/>
      <c r="W364" s="51" t="b">
        <f t="shared" si="231"/>
        <v>1</v>
      </c>
      <c r="X364" s="51" t="str">
        <f t="shared" si="232"/>
        <v>Not Used</v>
      </c>
      <c r="Y364" s="51" t="str">
        <f t="shared" si="233"/>
        <v>Not Used</v>
      </c>
      <c r="Z364" s="51" t="str">
        <f t="shared" si="234"/>
        <v>Not Used</v>
      </c>
      <c r="AA364" s="51" t="str">
        <f t="shared" si="234"/>
        <v>Not Used</v>
      </c>
      <c r="AB364" s="51" t="str">
        <f t="shared" si="235"/>
        <v>Not Used</v>
      </c>
      <c r="AC364" s="51" t="b">
        <f t="shared" si="236"/>
        <v>1</v>
      </c>
      <c r="AD364" s="51">
        <f>COUNTIF($X$5:$X$364, "Not Used")</f>
        <v>360</v>
      </c>
      <c r="AE364" s="51">
        <f>COUNTIF($X$5:$X$364, "TRUE")</f>
        <v>0</v>
      </c>
      <c r="AF364" s="51" t="b">
        <f t="shared" si="237"/>
        <v>1</v>
      </c>
      <c r="AI364" s="51" t="b">
        <f t="shared" si="238"/>
        <v>0</v>
      </c>
      <c r="AJ364" s="51" t="b">
        <f t="shared" si="239"/>
        <v>0</v>
      </c>
      <c r="AK364" s="51" t="b">
        <f t="shared" si="240"/>
        <v>0</v>
      </c>
      <c r="AL364" s="51" t="b">
        <f t="shared" si="241"/>
        <v>0</v>
      </c>
      <c r="AM364" s="51" t="b">
        <f t="shared" si="242"/>
        <v>0</v>
      </c>
      <c r="AN364" s="51"/>
      <c r="AO364" s="51" t="b">
        <f t="shared" si="243"/>
        <v>0</v>
      </c>
      <c r="AP364" s="51" t="str">
        <f t="shared" si="265"/>
        <v>Not in MMS</v>
      </c>
      <c r="AQ364" s="51" t="b">
        <f t="shared" si="244"/>
        <v>0</v>
      </c>
      <c r="AR364" s="51" t="b">
        <f t="shared" si="245"/>
        <v>0</v>
      </c>
      <c r="AS364" s="51" t="str">
        <f t="shared" si="246"/>
        <v/>
      </c>
      <c r="AT364" s="51" t="str">
        <f t="shared" si="247"/>
        <v/>
      </c>
      <c r="AU364" s="51" t="str">
        <f t="shared" si="248"/>
        <v/>
      </c>
      <c r="AV364" s="51" t="str">
        <f t="shared" si="249"/>
        <v/>
      </c>
      <c r="AW364" s="51" t="str">
        <f t="shared" si="250"/>
        <v/>
      </c>
      <c r="AX364" s="51" t="str">
        <f t="shared" si="251"/>
        <v/>
      </c>
      <c r="AY364" s="51" t="str">
        <f t="shared" si="252"/>
        <v/>
      </c>
      <c r="AZ364" s="51" t="str">
        <f t="shared" si="253"/>
        <v/>
      </c>
      <c r="BA364" s="51" t="str">
        <f t="shared" si="254"/>
        <v/>
      </c>
      <c r="BB364" s="51" t="str">
        <f t="shared" si="255"/>
        <v/>
      </c>
      <c r="BC364" s="51" t="str">
        <f t="shared" si="256"/>
        <v/>
      </c>
      <c r="BD364" s="51" t="str">
        <f t="shared" si="257"/>
        <v/>
      </c>
      <c r="BE364" s="51" t="str">
        <f t="shared" si="258"/>
        <v/>
      </c>
      <c r="BF364" s="51" t="str">
        <f t="shared" si="259"/>
        <v/>
      </c>
      <c r="BG364" s="51" t="str">
        <f t="shared" si="260"/>
        <v/>
      </c>
      <c r="BH364" s="51" t="b">
        <f t="shared" si="261"/>
        <v>0</v>
      </c>
      <c r="BI364" s="51" t="str">
        <f t="shared" si="262"/>
        <v/>
      </c>
      <c r="BJ364" s="51" t="str">
        <f t="shared" si="263"/>
        <v/>
      </c>
      <c r="BK364" s="51" t="b">
        <f t="shared" si="264"/>
        <v>0</v>
      </c>
      <c r="BL364" s="192"/>
    </row>
    <row r="365" spans="1:64" ht="13.5" thickBot="1" x14ac:dyDescent="0.25">
      <c r="A365" s="185" t="s">
        <v>1046</v>
      </c>
      <c r="B365" s="194" t="s">
        <v>695</v>
      </c>
      <c r="C365" s="194" t="s">
        <v>695</v>
      </c>
      <c r="D365" s="194" t="s">
        <v>695</v>
      </c>
      <c r="E365" s="193" t="s">
        <v>694</v>
      </c>
      <c r="F365" s="160" t="s">
        <v>20</v>
      </c>
      <c r="G365" s="161"/>
      <c r="H365" s="186" t="str">
        <f t="shared" si="222"/>
        <v>N/A</v>
      </c>
      <c r="I365" s="186" t="b">
        <f t="shared" si="223"/>
        <v>1</v>
      </c>
      <c r="J365" s="186" t="str">
        <f t="shared" si="224"/>
        <v>N/A</v>
      </c>
      <c r="K365" s="186" t="b">
        <f t="shared" si="225"/>
        <v>1</v>
      </c>
      <c r="L365" s="186" t="str">
        <f t="shared" si="226"/>
        <v>N/A</v>
      </c>
      <c r="M365" s="186" t="b">
        <f t="shared" si="227"/>
        <v>1</v>
      </c>
      <c r="N365" s="186" t="str">
        <f t="shared" si="228"/>
        <v>Used?</v>
      </c>
      <c r="O365" s="186" t="b">
        <f t="shared" si="229"/>
        <v>0</v>
      </c>
      <c r="P365" s="26" t="s">
        <v>696</v>
      </c>
      <c r="Q365" s="160" t="s">
        <v>20</v>
      </c>
      <c r="R365" s="160" t="s">
        <v>20</v>
      </c>
      <c r="S365" s="26" t="s">
        <v>697</v>
      </c>
      <c r="T365" s="165" t="str">
        <f t="shared" si="230"/>
        <v>Not Used</v>
      </c>
      <c r="U365" s="162"/>
      <c r="V365" s="55"/>
      <c r="W365" s="51" t="b">
        <f t="shared" si="231"/>
        <v>1</v>
      </c>
      <c r="X365" s="51" t="str">
        <f t="shared" si="232"/>
        <v>Not Used</v>
      </c>
      <c r="Y365" s="51" t="str">
        <f t="shared" si="233"/>
        <v>Not Used</v>
      </c>
      <c r="Z365" s="51" t="str">
        <f t="shared" si="234"/>
        <v>Not Used</v>
      </c>
      <c r="AA365" s="51" t="str">
        <f t="shared" si="234"/>
        <v>Not Used</v>
      </c>
      <c r="AB365" s="51" t="str">
        <f t="shared" si="235"/>
        <v>Not Used</v>
      </c>
      <c r="AC365" s="51" t="b">
        <f t="shared" si="236"/>
        <v>1</v>
      </c>
      <c r="AD365" s="51">
        <f>COUNTIF($X$5:$X$365, "Not Used")</f>
        <v>361</v>
      </c>
      <c r="AE365" s="51">
        <f>COUNTIF($X$5:$X$365, "TRUE")</f>
        <v>0</v>
      </c>
      <c r="AF365" s="51" t="b">
        <f t="shared" si="237"/>
        <v>1</v>
      </c>
      <c r="AI365" s="51" t="b">
        <f t="shared" si="238"/>
        <v>0</v>
      </c>
      <c r="AJ365" s="51" t="b">
        <f t="shared" si="239"/>
        <v>0</v>
      </c>
      <c r="AK365" s="51" t="b">
        <f t="shared" si="240"/>
        <v>0</v>
      </c>
      <c r="AL365" s="51" t="b">
        <f t="shared" si="241"/>
        <v>0</v>
      </c>
      <c r="AM365" s="51" t="b">
        <f t="shared" si="242"/>
        <v>0</v>
      </c>
      <c r="AN365" s="51"/>
      <c r="AO365" s="51" t="b">
        <f t="shared" si="243"/>
        <v>0</v>
      </c>
      <c r="AP365" s="51" t="str">
        <f t="shared" si="265"/>
        <v>Not in MMS</v>
      </c>
      <c r="AQ365" s="51" t="b">
        <f t="shared" si="244"/>
        <v>0</v>
      </c>
      <c r="AR365" s="51" t="b">
        <f t="shared" si="245"/>
        <v>0</v>
      </c>
      <c r="AS365" s="51" t="str">
        <f t="shared" si="246"/>
        <v/>
      </c>
      <c r="AT365" s="51" t="str">
        <f t="shared" si="247"/>
        <v/>
      </c>
      <c r="AU365" s="51" t="str">
        <f t="shared" si="248"/>
        <v/>
      </c>
      <c r="AV365" s="51" t="str">
        <f t="shared" si="249"/>
        <v/>
      </c>
      <c r="AW365" s="51" t="str">
        <f t="shared" si="250"/>
        <v/>
      </c>
      <c r="AX365" s="51" t="str">
        <f t="shared" si="251"/>
        <v/>
      </c>
      <c r="AY365" s="51" t="str">
        <f t="shared" si="252"/>
        <v/>
      </c>
      <c r="AZ365" s="51" t="str">
        <f t="shared" si="253"/>
        <v/>
      </c>
      <c r="BA365" s="51" t="str">
        <f t="shared" si="254"/>
        <v/>
      </c>
      <c r="BB365" s="51" t="str">
        <f t="shared" si="255"/>
        <v/>
      </c>
      <c r="BC365" s="51" t="str">
        <f t="shared" si="256"/>
        <v/>
      </c>
      <c r="BD365" s="51" t="str">
        <f t="shared" si="257"/>
        <v/>
      </c>
      <c r="BE365" s="51" t="str">
        <f t="shared" si="258"/>
        <v/>
      </c>
      <c r="BF365" s="51" t="str">
        <f t="shared" si="259"/>
        <v/>
      </c>
      <c r="BG365" s="51" t="str">
        <f t="shared" si="260"/>
        <v/>
      </c>
      <c r="BH365" s="51" t="b">
        <f t="shared" si="261"/>
        <v>0</v>
      </c>
      <c r="BI365" s="51" t="str">
        <f t="shared" si="262"/>
        <v/>
      </c>
      <c r="BJ365" s="51" t="str">
        <f t="shared" si="263"/>
        <v/>
      </c>
      <c r="BK365" s="51" t="b">
        <f t="shared" si="264"/>
        <v>0</v>
      </c>
      <c r="BL365" s="192"/>
    </row>
    <row r="366" spans="1:64" ht="13.5" thickBot="1" x14ac:dyDescent="0.25">
      <c r="A366" s="185" t="s">
        <v>1047</v>
      </c>
      <c r="B366" s="194" t="s">
        <v>695</v>
      </c>
      <c r="C366" s="194" t="s">
        <v>695</v>
      </c>
      <c r="D366" s="194" t="s">
        <v>695</v>
      </c>
      <c r="E366" s="193" t="s">
        <v>694</v>
      </c>
      <c r="F366" s="160" t="s">
        <v>20</v>
      </c>
      <c r="G366" s="161"/>
      <c r="H366" s="186" t="str">
        <f t="shared" si="222"/>
        <v>N/A</v>
      </c>
      <c r="I366" s="186" t="b">
        <f t="shared" si="223"/>
        <v>1</v>
      </c>
      <c r="J366" s="186" t="str">
        <f t="shared" si="224"/>
        <v>N/A</v>
      </c>
      <c r="K366" s="186" t="b">
        <f t="shared" si="225"/>
        <v>1</v>
      </c>
      <c r="L366" s="186" t="str">
        <f t="shared" si="226"/>
        <v>N/A</v>
      </c>
      <c r="M366" s="186" t="b">
        <f t="shared" si="227"/>
        <v>1</v>
      </c>
      <c r="N366" s="186" t="str">
        <f t="shared" si="228"/>
        <v>Used?</v>
      </c>
      <c r="O366" s="186" t="b">
        <f t="shared" si="229"/>
        <v>0</v>
      </c>
      <c r="P366" s="26" t="s">
        <v>696</v>
      </c>
      <c r="Q366" s="160" t="s">
        <v>20</v>
      </c>
      <c r="R366" s="160" t="s">
        <v>20</v>
      </c>
      <c r="S366" s="26" t="s">
        <v>697</v>
      </c>
      <c r="T366" s="165" t="str">
        <f t="shared" si="230"/>
        <v>Not Used</v>
      </c>
      <c r="U366" s="162"/>
      <c r="V366" s="55"/>
      <c r="W366" s="51" t="b">
        <f t="shared" si="231"/>
        <v>1</v>
      </c>
      <c r="X366" s="51" t="str">
        <f t="shared" si="232"/>
        <v>Not Used</v>
      </c>
      <c r="Y366" s="51" t="str">
        <f t="shared" si="233"/>
        <v>Not Used</v>
      </c>
      <c r="Z366" s="51" t="str">
        <f t="shared" si="234"/>
        <v>Not Used</v>
      </c>
      <c r="AA366" s="51" t="str">
        <f t="shared" si="234"/>
        <v>Not Used</v>
      </c>
      <c r="AB366" s="51" t="str">
        <f t="shared" si="235"/>
        <v>Not Used</v>
      </c>
      <c r="AC366" s="51" t="b">
        <f t="shared" si="236"/>
        <v>1</v>
      </c>
      <c r="AD366" s="51">
        <f>COUNTIF($X$5:$X$366, "Not Used")</f>
        <v>362</v>
      </c>
      <c r="AE366" s="51">
        <f>COUNTIF($X$5:$X$366, "TRUE")</f>
        <v>0</v>
      </c>
      <c r="AF366" s="51" t="b">
        <f t="shared" si="237"/>
        <v>1</v>
      </c>
      <c r="AI366" s="51" t="b">
        <f t="shared" si="238"/>
        <v>0</v>
      </c>
      <c r="AJ366" s="51" t="b">
        <f t="shared" si="239"/>
        <v>0</v>
      </c>
      <c r="AK366" s="51" t="b">
        <f t="shared" si="240"/>
        <v>0</v>
      </c>
      <c r="AL366" s="51" t="b">
        <f t="shared" si="241"/>
        <v>0</v>
      </c>
      <c r="AM366" s="51" t="b">
        <f t="shared" si="242"/>
        <v>0</v>
      </c>
      <c r="AN366" s="51"/>
      <c r="AO366" s="51" t="b">
        <f t="shared" si="243"/>
        <v>0</v>
      </c>
      <c r="AP366" s="51" t="str">
        <f t="shared" si="265"/>
        <v>Not in MMS</v>
      </c>
      <c r="AQ366" s="51" t="b">
        <f t="shared" si="244"/>
        <v>0</v>
      </c>
      <c r="AR366" s="51" t="b">
        <f t="shared" si="245"/>
        <v>0</v>
      </c>
      <c r="AS366" s="51" t="str">
        <f t="shared" si="246"/>
        <v/>
      </c>
      <c r="AT366" s="51" t="str">
        <f t="shared" si="247"/>
        <v/>
      </c>
      <c r="AU366" s="51" t="str">
        <f t="shared" si="248"/>
        <v/>
      </c>
      <c r="AV366" s="51" t="str">
        <f t="shared" si="249"/>
        <v/>
      </c>
      <c r="AW366" s="51" t="str">
        <f t="shared" si="250"/>
        <v/>
      </c>
      <c r="AX366" s="51" t="str">
        <f t="shared" si="251"/>
        <v/>
      </c>
      <c r="AY366" s="51" t="str">
        <f t="shared" si="252"/>
        <v/>
      </c>
      <c r="AZ366" s="51" t="str">
        <f t="shared" si="253"/>
        <v/>
      </c>
      <c r="BA366" s="51" t="str">
        <f t="shared" si="254"/>
        <v/>
      </c>
      <c r="BB366" s="51" t="str">
        <f t="shared" si="255"/>
        <v/>
      </c>
      <c r="BC366" s="51" t="str">
        <f t="shared" si="256"/>
        <v/>
      </c>
      <c r="BD366" s="51" t="str">
        <f t="shared" si="257"/>
        <v/>
      </c>
      <c r="BE366" s="51" t="str">
        <f t="shared" si="258"/>
        <v/>
      </c>
      <c r="BF366" s="51" t="str">
        <f t="shared" si="259"/>
        <v/>
      </c>
      <c r="BG366" s="51" t="str">
        <f t="shared" si="260"/>
        <v/>
      </c>
      <c r="BH366" s="51" t="b">
        <f t="shared" si="261"/>
        <v>0</v>
      </c>
      <c r="BI366" s="51" t="str">
        <f t="shared" si="262"/>
        <v/>
      </c>
      <c r="BJ366" s="51" t="str">
        <f t="shared" si="263"/>
        <v/>
      </c>
      <c r="BK366" s="51" t="b">
        <f t="shared" si="264"/>
        <v>0</v>
      </c>
      <c r="BL366" s="192"/>
    </row>
    <row r="367" spans="1:64" ht="13.5" thickBot="1" x14ac:dyDescent="0.25">
      <c r="A367" s="185" t="s">
        <v>1048</v>
      </c>
      <c r="B367" s="194" t="s">
        <v>695</v>
      </c>
      <c r="C367" s="194" t="s">
        <v>695</v>
      </c>
      <c r="D367" s="194" t="s">
        <v>695</v>
      </c>
      <c r="E367" s="193" t="s">
        <v>694</v>
      </c>
      <c r="F367" s="160" t="s">
        <v>20</v>
      </c>
      <c r="G367" s="161"/>
      <c r="H367" s="186" t="str">
        <f t="shared" si="222"/>
        <v>N/A</v>
      </c>
      <c r="I367" s="186" t="b">
        <f t="shared" si="223"/>
        <v>1</v>
      </c>
      <c r="J367" s="186" t="str">
        <f t="shared" si="224"/>
        <v>N/A</v>
      </c>
      <c r="K367" s="186" t="b">
        <f t="shared" si="225"/>
        <v>1</v>
      </c>
      <c r="L367" s="186" t="str">
        <f t="shared" si="226"/>
        <v>N/A</v>
      </c>
      <c r="M367" s="186" t="b">
        <f t="shared" si="227"/>
        <v>1</v>
      </c>
      <c r="N367" s="186" t="str">
        <f t="shared" si="228"/>
        <v>Used?</v>
      </c>
      <c r="O367" s="186" t="b">
        <f t="shared" si="229"/>
        <v>0</v>
      </c>
      <c r="P367" s="26" t="s">
        <v>696</v>
      </c>
      <c r="Q367" s="160" t="s">
        <v>20</v>
      </c>
      <c r="R367" s="160" t="s">
        <v>20</v>
      </c>
      <c r="S367" s="26" t="s">
        <v>697</v>
      </c>
      <c r="T367" s="165" t="str">
        <f t="shared" si="230"/>
        <v>Not Used</v>
      </c>
      <c r="U367" s="162"/>
      <c r="V367" s="55"/>
      <c r="W367" s="51" t="b">
        <f t="shared" si="231"/>
        <v>1</v>
      </c>
      <c r="X367" s="51" t="str">
        <f t="shared" si="232"/>
        <v>Not Used</v>
      </c>
      <c r="Y367" s="51" t="str">
        <f t="shared" si="233"/>
        <v>Not Used</v>
      </c>
      <c r="Z367" s="51" t="str">
        <f t="shared" si="234"/>
        <v>Not Used</v>
      </c>
      <c r="AA367" s="51" t="str">
        <f t="shared" si="234"/>
        <v>Not Used</v>
      </c>
      <c r="AB367" s="51" t="str">
        <f t="shared" si="235"/>
        <v>Not Used</v>
      </c>
      <c r="AC367" s="51" t="b">
        <f t="shared" si="236"/>
        <v>1</v>
      </c>
      <c r="AD367" s="51">
        <f>COUNTIF($X$5:$X$367, "Not Used")</f>
        <v>363</v>
      </c>
      <c r="AE367" s="51">
        <f>COUNTIF($X$5:$X$367, "TRUE")</f>
        <v>0</v>
      </c>
      <c r="AF367" s="51" t="b">
        <f t="shared" si="237"/>
        <v>1</v>
      </c>
      <c r="AI367" s="51" t="b">
        <f t="shared" si="238"/>
        <v>0</v>
      </c>
      <c r="AJ367" s="51" t="b">
        <f t="shared" si="239"/>
        <v>0</v>
      </c>
      <c r="AK367" s="51" t="b">
        <f t="shared" si="240"/>
        <v>0</v>
      </c>
      <c r="AL367" s="51" t="b">
        <f t="shared" si="241"/>
        <v>0</v>
      </c>
      <c r="AM367" s="51" t="b">
        <f t="shared" si="242"/>
        <v>0</v>
      </c>
      <c r="AN367" s="51"/>
      <c r="AO367" s="51" t="b">
        <f t="shared" si="243"/>
        <v>0</v>
      </c>
      <c r="AP367" s="51" t="str">
        <f t="shared" si="265"/>
        <v>Not in MMS</v>
      </c>
      <c r="AQ367" s="51" t="b">
        <f t="shared" si="244"/>
        <v>0</v>
      </c>
      <c r="AR367" s="51" t="b">
        <f t="shared" si="245"/>
        <v>0</v>
      </c>
      <c r="AS367" s="51" t="str">
        <f t="shared" si="246"/>
        <v/>
      </c>
      <c r="AT367" s="51" t="str">
        <f t="shared" si="247"/>
        <v/>
      </c>
      <c r="AU367" s="51" t="str">
        <f t="shared" si="248"/>
        <v/>
      </c>
      <c r="AV367" s="51" t="str">
        <f t="shared" si="249"/>
        <v/>
      </c>
      <c r="AW367" s="51" t="str">
        <f t="shared" si="250"/>
        <v/>
      </c>
      <c r="AX367" s="51" t="str">
        <f t="shared" si="251"/>
        <v/>
      </c>
      <c r="AY367" s="51" t="str">
        <f t="shared" si="252"/>
        <v/>
      </c>
      <c r="AZ367" s="51" t="str">
        <f t="shared" si="253"/>
        <v/>
      </c>
      <c r="BA367" s="51" t="str">
        <f t="shared" si="254"/>
        <v/>
      </c>
      <c r="BB367" s="51" t="str">
        <f t="shared" si="255"/>
        <v/>
      </c>
      <c r="BC367" s="51" t="str">
        <f t="shared" si="256"/>
        <v/>
      </c>
      <c r="BD367" s="51" t="str">
        <f t="shared" si="257"/>
        <v/>
      </c>
      <c r="BE367" s="51" t="str">
        <f t="shared" si="258"/>
        <v/>
      </c>
      <c r="BF367" s="51" t="str">
        <f t="shared" si="259"/>
        <v/>
      </c>
      <c r="BG367" s="51" t="str">
        <f t="shared" si="260"/>
        <v/>
      </c>
      <c r="BH367" s="51" t="b">
        <f t="shared" si="261"/>
        <v>0</v>
      </c>
      <c r="BI367" s="51" t="str">
        <f t="shared" si="262"/>
        <v/>
      </c>
      <c r="BJ367" s="51" t="str">
        <f t="shared" si="263"/>
        <v/>
      </c>
      <c r="BK367" s="51" t="b">
        <f t="shared" si="264"/>
        <v>0</v>
      </c>
      <c r="BL367" s="192"/>
    </row>
    <row r="368" spans="1:64" ht="13.5" thickBot="1" x14ac:dyDescent="0.25">
      <c r="A368" s="185" t="s">
        <v>1049</v>
      </c>
      <c r="B368" s="194" t="s">
        <v>695</v>
      </c>
      <c r="C368" s="194" t="s">
        <v>695</v>
      </c>
      <c r="D368" s="194" t="s">
        <v>695</v>
      </c>
      <c r="E368" s="193" t="s">
        <v>694</v>
      </c>
      <c r="F368" s="160" t="s">
        <v>20</v>
      </c>
      <c r="G368" s="161"/>
      <c r="H368" s="186" t="str">
        <f t="shared" si="222"/>
        <v>N/A</v>
      </c>
      <c r="I368" s="186" t="b">
        <f t="shared" si="223"/>
        <v>1</v>
      </c>
      <c r="J368" s="186" t="str">
        <f t="shared" si="224"/>
        <v>N/A</v>
      </c>
      <c r="K368" s="186" t="b">
        <f t="shared" si="225"/>
        <v>1</v>
      </c>
      <c r="L368" s="186" t="str">
        <f t="shared" si="226"/>
        <v>N/A</v>
      </c>
      <c r="M368" s="186" t="b">
        <f t="shared" si="227"/>
        <v>1</v>
      </c>
      <c r="N368" s="186" t="str">
        <f t="shared" si="228"/>
        <v>Used?</v>
      </c>
      <c r="O368" s="186" t="b">
        <f t="shared" si="229"/>
        <v>0</v>
      </c>
      <c r="P368" s="26" t="s">
        <v>696</v>
      </c>
      <c r="Q368" s="160" t="s">
        <v>20</v>
      </c>
      <c r="R368" s="160" t="s">
        <v>20</v>
      </c>
      <c r="S368" s="26" t="s">
        <v>697</v>
      </c>
      <c r="T368" s="165" t="str">
        <f t="shared" si="230"/>
        <v>Not Used</v>
      </c>
      <c r="U368" s="162"/>
      <c r="V368" s="55"/>
      <c r="W368" s="51" t="b">
        <f t="shared" si="231"/>
        <v>1</v>
      </c>
      <c r="X368" s="51" t="str">
        <f t="shared" si="232"/>
        <v>Not Used</v>
      </c>
      <c r="Y368" s="51" t="str">
        <f t="shared" si="233"/>
        <v>Not Used</v>
      </c>
      <c r="Z368" s="51" t="str">
        <f t="shared" si="234"/>
        <v>Not Used</v>
      </c>
      <c r="AA368" s="51" t="str">
        <f t="shared" si="234"/>
        <v>Not Used</v>
      </c>
      <c r="AB368" s="51" t="str">
        <f t="shared" si="235"/>
        <v>Not Used</v>
      </c>
      <c r="AC368" s="51" t="b">
        <f t="shared" si="236"/>
        <v>1</v>
      </c>
      <c r="AD368" s="51">
        <f>COUNTIF($X$5:$X$368, "Not Used")</f>
        <v>364</v>
      </c>
      <c r="AE368" s="51">
        <f>COUNTIF($X$5:$X$368, "TRUE")</f>
        <v>0</v>
      </c>
      <c r="AF368" s="51" t="b">
        <f t="shared" si="237"/>
        <v>1</v>
      </c>
      <c r="AI368" s="51" t="b">
        <f t="shared" si="238"/>
        <v>0</v>
      </c>
      <c r="AJ368" s="51" t="b">
        <f t="shared" si="239"/>
        <v>0</v>
      </c>
      <c r="AK368" s="51" t="b">
        <f t="shared" si="240"/>
        <v>0</v>
      </c>
      <c r="AL368" s="51" t="b">
        <f t="shared" si="241"/>
        <v>0</v>
      </c>
      <c r="AM368" s="51" t="b">
        <f t="shared" si="242"/>
        <v>0</v>
      </c>
      <c r="AN368" s="51"/>
      <c r="AO368" s="51" t="b">
        <f t="shared" si="243"/>
        <v>0</v>
      </c>
      <c r="AP368" s="51" t="str">
        <f t="shared" si="265"/>
        <v>Not in MMS</v>
      </c>
      <c r="AQ368" s="51" t="b">
        <f t="shared" si="244"/>
        <v>0</v>
      </c>
      <c r="AR368" s="51" t="b">
        <f t="shared" si="245"/>
        <v>0</v>
      </c>
      <c r="AS368" s="51" t="str">
        <f t="shared" si="246"/>
        <v/>
      </c>
      <c r="AT368" s="51" t="str">
        <f t="shared" si="247"/>
        <v/>
      </c>
      <c r="AU368" s="51" t="str">
        <f t="shared" si="248"/>
        <v/>
      </c>
      <c r="AV368" s="51" t="str">
        <f t="shared" si="249"/>
        <v/>
      </c>
      <c r="AW368" s="51" t="str">
        <f t="shared" si="250"/>
        <v/>
      </c>
      <c r="AX368" s="51" t="str">
        <f t="shared" si="251"/>
        <v/>
      </c>
      <c r="AY368" s="51" t="str">
        <f t="shared" si="252"/>
        <v/>
      </c>
      <c r="AZ368" s="51" t="str">
        <f t="shared" si="253"/>
        <v/>
      </c>
      <c r="BA368" s="51" t="str">
        <f t="shared" si="254"/>
        <v/>
      </c>
      <c r="BB368" s="51" t="str">
        <f t="shared" si="255"/>
        <v/>
      </c>
      <c r="BC368" s="51" t="str">
        <f t="shared" si="256"/>
        <v/>
      </c>
      <c r="BD368" s="51" t="str">
        <f t="shared" si="257"/>
        <v/>
      </c>
      <c r="BE368" s="51" t="str">
        <f t="shared" si="258"/>
        <v/>
      </c>
      <c r="BF368" s="51" t="str">
        <f t="shared" si="259"/>
        <v/>
      </c>
      <c r="BG368" s="51" t="str">
        <f t="shared" si="260"/>
        <v/>
      </c>
      <c r="BH368" s="51" t="b">
        <f t="shared" si="261"/>
        <v>0</v>
      </c>
      <c r="BI368" s="51" t="str">
        <f t="shared" si="262"/>
        <v/>
      </c>
      <c r="BJ368" s="51" t="str">
        <f t="shared" si="263"/>
        <v/>
      </c>
      <c r="BK368" s="51" t="b">
        <f t="shared" si="264"/>
        <v>0</v>
      </c>
      <c r="BL368" s="192"/>
    </row>
    <row r="369" spans="1:64" ht="13.5" thickBot="1" x14ac:dyDescent="0.25">
      <c r="A369" s="185" t="s">
        <v>1050</v>
      </c>
      <c r="B369" s="194" t="s">
        <v>695</v>
      </c>
      <c r="C369" s="194" t="s">
        <v>695</v>
      </c>
      <c r="D369" s="194" t="s">
        <v>695</v>
      </c>
      <c r="E369" s="193" t="s">
        <v>694</v>
      </c>
      <c r="F369" s="160" t="s">
        <v>20</v>
      </c>
      <c r="G369" s="161"/>
      <c r="H369" s="186" t="str">
        <f t="shared" si="222"/>
        <v>N/A</v>
      </c>
      <c r="I369" s="186" t="b">
        <f t="shared" si="223"/>
        <v>1</v>
      </c>
      <c r="J369" s="186" t="str">
        <f t="shared" si="224"/>
        <v>N/A</v>
      </c>
      <c r="K369" s="186" t="b">
        <f t="shared" si="225"/>
        <v>1</v>
      </c>
      <c r="L369" s="186" t="str">
        <f t="shared" si="226"/>
        <v>N/A</v>
      </c>
      <c r="M369" s="186" t="b">
        <f t="shared" si="227"/>
        <v>1</v>
      </c>
      <c r="N369" s="186" t="str">
        <f t="shared" si="228"/>
        <v>Used?</v>
      </c>
      <c r="O369" s="186" t="b">
        <f t="shared" si="229"/>
        <v>0</v>
      </c>
      <c r="P369" s="26" t="s">
        <v>696</v>
      </c>
      <c r="Q369" s="160" t="s">
        <v>20</v>
      </c>
      <c r="R369" s="160" t="s">
        <v>20</v>
      </c>
      <c r="S369" s="26" t="s">
        <v>697</v>
      </c>
      <c r="T369" s="165" t="str">
        <f t="shared" si="230"/>
        <v>Not Used</v>
      </c>
      <c r="U369" s="162"/>
      <c r="V369" s="55"/>
      <c r="W369" s="51" t="b">
        <f t="shared" si="231"/>
        <v>1</v>
      </c>
      <c r="X369" s="51" t="str">
        <f t="shared" si="232"/>
        <v>Not Used</v>
      </c>
      <c r="Y369" s="51" t="str">
        <f t="shared" si="233"/>
        <v>Not Used</v>
      </c>
      <c r="Z369" s="51" t="str">
        <f t="shared" si="234"/>
        <v>Not Used</v>
      </c>
      <c r="AA369" s="51" t="str">
        <f t="shared" si="234"/>
        <v>Not Used</v>
      </c>
      <c r="AB369" s="51" t="str">
        <f t="shared" si="235"/>
        <v>Not Used</v>
      </c>
      <c r="AC369" s="51" t="b">
        <f t="shared" si="236"/>
        <v>1</v>
      </c>
      <c r="AD369" s="51">
        <f>COUNTIF($X$5:$X$369, "Not Used")</f>
        <v>365</v>
      </c>
      <c r="AE369" s="51">
        <f>COUNTIF($X$5:$X$369, "TRUE")</f>
        <v>0</v>
      </c>
      <c r="AF369" s="51" t="b">
        <f t="shared" si="237"/>
        <v>1</v>
      </c>
      <c r="AI369" s="51" t="b">
        <f t="shared" si="238"/>
        <v>0</v>
      </c>
      <c r="AJ369" s="51" t="b">
        <f t="shared" si="239"/>
        <v>0</v>
      </c>
      <c r="AK369" s="51" t="b">
        <f t="shared" si="240"/>
        <v>0</v>
      </c>
      <c r="AL369" s="51" t="b">
        <f t="shared" si="241"/>
        <v>0</v>
      </c>
      <c r="AM369" s="51" t="b">
        <f t="shared" si="242"/>
        <v>0</v>
      </c>
      <c r="AN369" s="51"/>
      <c r="AO369" s="51" t="b">
        <f t="shared" si="243"/>
        <v>0</v>
      </c>
      <c r="AP369" s="51" t="str">
        <f t="shared" si="265"/>
        <v>Not in MMS</v>
      </c>
      <c r="AQ369" s="51" t="b">
        <f t="shared" si="244"/>
        <v>0</v>
      </c>
      <c r="AR369" s="51" t="b">
        <f t="shared" si="245"/>
        <v>0</v>
      </c>
      <c r="AS369" s="51" t="str">
        <f t="shared" si="246"/>
        <v/>
      </c>
      <c r="AT369" s="51" t="str">
        <f t="shared" si="247"/>
        <v/>
      </c>
      <c r="AU369" s="51" t="str">
        <f t="shared" si="248"/>
        <v/>
      </c>
      <c r="AV369" s="51" t="str">
        <f t="shared" si="249"/>
        <v/>
      </c>
      <c r="AW369" s="51" t="str">
        <f t="shared" si="250"/>
        <v/>
      </c>
      <c r="AX369" s="51" t="str">
        <f t="shared" si="251"/>
        <v/>
      </c>
      <c r="AY369" s="51" t="str">
        <f t="shared" si="252"/>
        <v/>
      </c>
      <c r="AZ369" s="51" t="str">
        <f t="shared" si="253"/>
        <v/>
      </c>
      <c r="BA369" s="51" t="str">
        <f t="shared" si="254"/>
        <v/>
      </c>
      <c r="BB369" s="51" t="str">
        <f t="shared" si="255"/>
        <v/>
      </c>
      <c r="BC369" s="51" t="str">
        <f t="shared" si="256"/>
        <v/>
      </c>
      <c r="BD369" s="51" t="str">
        <f t="shared" si="257"/>
        <v/>
      </c>
      <c r="BE369" s="51" t="str">
        <f t="shared" si="258"/>
        <v/>
      </c>
      <c r="BF369" s="51" t="str">
        <f t="shared" si="259"/>
        <v/>
      </c>
      <c r="BG369" s="51" t="str">
        <f t="shared" si="260"/>
        <v/>
      </c>
      <c r="BH369" s="51" t="b">
        <f t="shared" si="261"/>
        <v>0</v>
      </c>
      <c r="BI369" s="51" t="str">
        <f t="shared" si="262"/>
        <v/>
      </c>
      <c r="BJ369" s="51" t="str">
        <f t="shared" si="263"/>
        <v/>
      </c>
      <c r="BK369" s="51" t="b">
        <f t="shared" si="264"/>
        <v>0</v>
      </c>
      <c r="BL369" s="192"/>
    </row>
    <row r="370" spans="1:64" ht="13.5" thickBot="1" x14ac:dyDescent="0.25">
      <c r="A370" s="185" t="s">
        <v>1051</v>
      </c>
      <c r="B370" s="194" t="s">
        <v>695</v>
      </c>
      <c r="C370" s="194" t="s">
        <v>695</v>
      </c>
      <c r="D370" s="194" t="s">
        <v>695</v>
      </c>
      <c r="E370" s="193" t="s">
        <v>694</v>
      </c>
      <c r="F370" s="160" t="s">
        <v>20</v>
      </c>
      <c r="G370" s="161"/>
      <c r="H370" s="186" t="str">
        <f t="shared" si="222"/>
        <v>N/A</v>
      </c>
      <c r="I370" s="186" t="b">
        <f t="shared" si="223"/>
        <v>1</v>
      </c>
      <c r="J370" s="186" t="str">
        <f t="shared" si="224"/>
        <v>N/A</v>
      </c>
      <c r="K370" s="186" t="b">
        <f t="shared" si="225"/>
        <v>1</v>
      </c>
      <c r="L370" s="186" t="str">
        <f t="shared" si="226"/>
        <v>N/A</v>
      </c>
      <c r="M370" s="186" t="b">
        <f t="shared" si="227"/>
        <v>1</v>
      </c>
      <c r="N370" s="186" t="str">
        <f t="shared" si="228"/>
        <v>Used?</v>
      </c>
      <c r="O370" s="186" t="b">
        <f t="shared" si="229"/>
        <v>0</v>
      </c>
      <c r="P370" s="26" t="s">
        <v>696</v>
      </c>
      <c r="Q370" s="160" t="s">
        <v>20</v>
      </c>
      <c r="R370" s="160" t="s">
        <v>20</v>
      </c>
      <c r="S370" s="26" t="s">
        <v>697</v>
      </c>
      <c r="T370" s="165" t="str">
        <f t="shared" si="230"/>
        <v>Not Used</v>
      </c>
      <c r="U370" s="162"/>
      <c r="V370" s="55"/>
      <c r="W370" s="51" t="b">
        <f t="shared" si="231"/>
        <v>1</v>
      </c>
      <c r="X370" s="51" t="str">
        <f t="shared" si="232"/>
        <v>Not Used</v>
      </c>
      <c r="Y370" s="51" t="str">
        <f t="shared" si="233"/>
        <v>Not Used</v>
      </c>
      <c r="Z370" s="51" t="str">
        <f t="shared" si="234"/>
        <v>Not Used</v>
      </c>
      <c r="AA370" s="51" t="str">
        <f t="shared" si="234"/>
        <v>Not Used</v>
      </c>
      <c r="AB370" s="51" t="str">
        <f t="shared" si="235"/>
        <v>Not Used</v>
      </c>
      <c r="AC370" s="51" t="b">
        <f t="shared" si="236"/>
        <v>1</v>
      </c>
      <c r="AD370" s="51">
        <f>COUNTIF($X$5:$X$370, "Not Used")</f>
        <v>366</v>
      </c>
      <c r="AE370" s="51">
        <f>COUNTIF($X$5:$X$370, "TRUE")</f>
        <v>0</v>
      </c>
      <c r="AF370" s="51" t="b">
        <f t="shared" si="237"/>
        <v>1</v>
      </c>
      <c r="AI370" s="51" t="b">
        <f t="shared" si="238"/>
        <v>0</v>
      </c>
      <c r="AJ370" s="51" t="b">
        <f t="shared" si="239"/>
        <v>0</v>
      </c>
      <c r="AK370" s="51" t="b">
        <f t="shared" si="240"/>
        <v>0</v>
      </c>
      <c r="AL370" s="51" t="b">
        <f t="shared" si="241"/>
        <v>0</v>
      </c>
      <c r="AM370" s="51" t="b">
        <f t="shared" si="242"/>
        <v>0</v>
      </c>
      <c r="AN370" s="51"/>
      <c r="AO370" s="51" t="b">
        <f t="shared" si="243"/>
        <v>0</v>
      </c>
      <c r="AP370" s="51" t="str">
        <f t="shared" si="265"/>
        <v>Not in MMS</v>
      </c>
      <c r="AQ370" s="51" t="b">
        <f t="shared" si="244"/>
        <v>0</v>
      </c>
      <c r="AR370" s="51" t="b">
        <f t="shared" si="245"/>
        <v>0</v>
      </c>
      <c r="AS370" s="51" t="str">
        <f t="shared" si="246"/>
        <v/>
      </c>
      <c r="AT370" s="51" t="str">
        <f t="shared" si="247"/>
        <v/>
      </c>
      <c r="AU370" s="51" t="str">
        <f t="shared" si="248"/>
        <v/>
      </c>
      <c r="AV370" s="51" t="str">
        <f t="shared" si="249"/>
        <v/>
      </c>
      <c r="AW370" s="51" t="str">
        <f t="shared" si="250"/>
        <v/>
      </c>
      <c r="AX370" s="51" t="str">
        <f t="shared" si="251"/>
        <v/>
      </c>
      <c r="AY370" s="51" t="str">
        <f t="shared" si="252"/>
        <v/>
      </c>
      <c r="AZ370" s="51" t="str">
        <f t="shared" si="253"/>
        <v/>
      </c>
      <c r="BA370" s="51" t="str">
        <f t="shared" si="254"/>
        <v/>
      </c>
      <c r="BB370" s="51" t="str">
        <f t="shared" si="255"/>
        <v/>
      </c>
      <c r="BC370" s="51" t="str">
        <f t="shared" si="256"/>
        <v/>
      </c>
      <c r="BD370" s="51" t="str">
        <f t="shared" si="257"/>
        <v/>
      </c>
      <c r="BE370" s="51" t="str">
        <f t="shared" si="258"/>
        <v/>
      </c>
      <c r="BF370" s="51" t="str">
        <f t="shared" si="259"/>
        <v/>
      </c>
      <c r="BG370" s="51" t="str">
        <f t="shared" si="260"/>
        <v/>
      </c>
      <c r="BH370" s="51" t="b">
        <f t="shared" si="261"/>
        <v>0</v>
      </c>
      <c r="BI370" s="51" t="str">
        <f t="shared" si="262"/>
        <v/>
      </c>
      <c r="BJ370" s="51" t="str">
        <f t="shared" si="263"/>
        <v/>
      </c>
      <c r="BK370" s="51" t="b">
        <f t="shared" si="264"/>
        <v>0</v>
      </c>
      <c r="BL370" s="192"/>
    </row>
    <row r="371" spans="1:64" ht="13.5" thickBot="1" x14ac:dyDescent="0.25">
      <c r="A371" s="185" t="s">
        <v>1052</v>
      </c>
      <c r="B371" s="194" t="s">
        <v>695</v>
      </c>
      <c r="C371" s="194" t="s">
        <v>695</v>
      </c>
      <c r="D371" s="194" t="s">
        <v>695</v>
      </c>
      <c r="E371" s="193" t="s">
        <v>694</v>
      </c>
      <c r="F371" s="160" t="s">
        <v>20</v>
      </c>
      <c r="G371" s="161"/>
      <c r="H371" s="186" t="str">
        <f t="shared" si="222"/>
        <v>N/A</v>
      </c>
      <c r="I371" s="186" t="b">
        <f t="shared" si="223"/>
        <v>1</v>
      </c>
      <c r="J371" s="186" t="str">
        <f t="shared" si="224"/>
        <v>N/A</v>
      </c>
      <c r="K371" s="186" t="b">
        <f t="shared" si="225"/>
        <v>1</v>
      </c>
      <c r="L371" s="186" t="str">
        <f t="shared" si="226"/>
        <v>N/A</v>
      </c>
      <c r="M371" s="186" t="b">
        <f t="shared" si="227"/>
        <v>1</v>
      </c>
      <c r="N371" s="186" t="str">
        <f t="shared" si="228"/>
        <v>Used?</v>
      </c>
      <c r="O371" s="186" t="b">
        <f t="shared" si="229"/>
        <v>0</v>
      </c>
      <c r="P371" s="26" t="s">
        <v>696</v>
      </c>
      <c r="Q371" s="160" t="s">
        <v>20</v>
      </c>
      <c r="R371" s="160" t="s">
        <v>20</v>
      </c>
      <c r="S371" s="26" t="s">
        <v>697</v>
      </c>
      <c r="T371" s="165" t="str">
        <f t="shared" si="230"/>
        <v>Not Used</v>
      </c>
      <c r="U371" s="162"/>
      <c r="V371" s="55"/>
      <c r="W371" s="51" t="b">
        <f t="shared" si="231"/>
        <v>1</v>
      </c>
      <c r="X371" s="51" t="str">
        <f t="shared" si="232"/>
        <v>Not Used</v>
      </c>
      <c r="Y371" s="51" t="str">
        <f t="shared" si="233"/>
        <v>Not Used</v>
      </c>
      <c r="Z371" s="51" t="str">
        <f t="shared" si="234"/>
        <v>Not Used</v>
      </c>
      <c r="AA371" s="51" t="str">
        <f t="shared" si="234"/>
        <v>Not Used</v>
      </c>
      <c r="AB371" s="51" t="str">
        <f t="shared" si="235"/>
        <v>Not Used</v>
      </c>
      <c r="AC371" s="51" t="b">
        <f t="shared" si="236"/>
        <v>1</v>
      </c>
      <c r="AD371" s="51">
        <f>COUNTIF($X$5:$X$371, "Not Used")</f>
        <v>367</v>
      </c>
      <c r="AE371" s="51">
        <f>COUNTIF($X$5:$X$371, "TRUE")</f>
        <v>0</v>
      </c>
      <c r="AF371" s="51" t="b">
        <f t="shared" si="237"/>
        <v>1</v>
      </c>
      <c r="AI371" s="51" t="b">
        <f t="shared" si="238"/>
        <v>0</v>
      </c>
      <c r="AJ371" s="51" t="b">
        <f t="shared" si="239"/>
        <v>0</v>
      </c>
      <c r="AK371" s="51" t="b">
        <f t="shared" si="240"/>
        <v>0</v>
      </c>
      <c r="AL371" s="51" t="b">
        <f t="shared" si="241"/>
        <v>0</v>
      </c>
      <c r="AM371" s="51" t="b">
        <f t="shared" si="242"/>
        <v>0</v>
      </c>
      <c r="AN371" s="51"/>
      <c r="AO371" s="51" t="b">
        <f t="shared" si="243"/>
        <v>0</v>
      </c>
      <c r="AP371" s="51" t="str">
        <f t="shared" si="265"/>
        <v>Not in MMS</v>
      </c>
      <c r="AQ371" s="51" t="b">
        <f t="shared" si="244"/>
        <v>0</v>
      </c>
      <c r="AR371" s="51" t="b">
        <f t="shared" si="245"/>
        <v>0</v>
      </c>
      <c r="AS371" s="51" t="str">
        <f t="shared" si="246"/>
        <v/>
      </c>
      <c r="AT371" s="51" t="str">
        <f t="shared" si="247"/>
        <v/>
      </c>
      <c r="AU371" s="51" t="str">
        <f t="shared" si="248"/>
        <v/>
      </c>
      <c r="AV371" s="51" t="str">
        <f t="shared" si="249"/>
        <v/>
      </c>
      <c r="AW371" s="51" t="str">
        <f t="shared" si="250"/>
        <v/>
      </c>
      <c r="AX371" s="51" t="str">
        <f t="shared" si="251"/>
        <v/>
      </c>
      <c r="AY371" s="51" t="str">
        <f t="shared" si="252"/>
        <v/>
      </c>
      <c r="AZ371" s="51" t="str">
        <f t="shared" si="253"/>
        <v/>
      </c>
      <c r="BA371" s="51" t="str">
        <f t="shared" si="254"/>
        <v/>
      </c>
      <c r="BB371" s="51" t="str">
        <f t="shared" si="255"/>
        <v/>
      </c>
      <c r="BC371" s="51" t="str">
        <f t="shared" si="256"/>
        <v/>
      </c>
      <c r="BD371" s="51" t="str">
        <f t="shared" si="257"/>
        <v/>
      </c>
      <c r="BE371" s="51" t="str">
        <f t="shared" si="258"/>
        <v/>
      </c>
      <c r="BF371" s="51" t="str">
        <f t="shared" si="259"/>
        <v/>
      </c>
      <c r="BG371" s="51" t="str">
        <f t="shared" si="260"/>
        <v/>
      </c>
      <c r="BH371" s="51" t="b">
        <f t="shared" si="261"/>
        <v>0</v>
      </c>
      <c r="BI371" s="51" t="str">
        <f t="shared" si="262"/>
        <v/>
      </c>
      <c r="BJ371" s="51" t="str">
        <f t="shared" si="263"/>
        <v/>
      </c>
      <c r="BK371" s="51" t="b">
        <f t="shared" si="264"/>
        <v>0</v>
      </c>
      <c r="BL371" s="192"/>
    </row>
    <row r="372" spans="1:64" ht="13.5" thickBot="1" x14ac:dyDescent="0.25">
      <c r="A372" s="185" t="s">
        <v>1053</v>
      </c>
      <c r="B372" s="194" t="s">
        <v>695</v>
      </c>
      <c r="C372" s="194" t="s">
        <v>695</v>
      </c>
      <c r="D372" s="194" t="s">
        <v>695</v>
      </c>
      <c r="E372" s="193" t="s">
        <v>694</v>
      </c>
      <c r="F372" s="160" t="s">
        <v>20</v>
      </c>
      <c r="G372" s="161"/>
      <c r="H372" s="186" t="str">
        <f t="shared" si="222"/>
        <v>N/A</v>
      </c>
      <c r="I372" s="186" t="b">
        <f t="shared" si="223"/>
        <v>1</v>
      </c>
      <c r="J372" s="186" t="str">
        <f t="shared" si="224"/>
        <v>N/A</v>
      </c>
      <c r="K372" s="186" t="b">
        <f t="shared" si="225"/>
        <v>1</v>
      </c>
      <c r="L372" s="186" t="str">
        <f t="shared" si="226"/>
        <v>N/A</v>
      </c>
      <c r="M372" s="186" t="b">
        <f t="shared" si="227"/>
        <v>1</v>
      </c>
      <c r="N372" s="186" t="str">
        <f t="shared" si="228"/>
        <v>Used?</v>
      </c>
      <c r="O372" s="186" t="b">
        <f t="shared" si="229"/>
        <v>0</v>
      </c>
      <c r="P372" s="26" t="s">
        <v>696</v>
      </c>
      <c r="Q372" s="160" t="s">
        <v>20</v>
      </c>
      <c r="R372" s="160" t="s">
        <v>20</v>
      </c>
      <c r="S372" s="26" t="s">
        <v>697</v>
      </c>
      <c r="T372" s="165" t="str">
        <f t="shared" si="230"/>
        <v>Not Used</v>
      </c>
      <c r="U372" s="162"/>
      <c r="V372" s="55"/>
      <c r="W372" s="51" t="b">
        <f t="shared" si="231"/>
        <v>1</v>
      </c>
      <c r="X372" s="51" t="str">
        <f t="shared" si="232"/>
        <v>Not Used</v>
      </c>
      <c r="Y372" s="51" t="str">
        <f t="shared" si="233"/>
        <v>Not Used</v>
      </c>
      <c r="Z372" s="51" t="str">
        <f t="shared" si="234"/>
        <v>Not Used</v>
      </c>
      <c r="AA372" s="51" t="str">
        <f t="shared" si="234"/>
        <v>Not Used</v>
      </c>
      <c r="AB372" s="51" t="str">
        <f t="shared" si="235"/>
        <v>Not Used</v>
      </c>
      <c r="AC372" s="51" t="b">
        <f t="shared" si="236"/>
        <v>1</v>
      </c>
      <c r="AD372" s="51">
        <f>COUNTIF($X$5:$X$372, "Not Used")</f>
        <v>368</v>
      </c>
      <c r="AE372" s="51">
        <f>COUNTIF($X$5:$X$372, "TRUE")</f>
        <v>0</v>
      </c>
      <c r="AF372" s="51" t="b">
        <f t="shared" si="237"/>
        <v>1</v>
      </c>
      <c r="AI372" s="51" t="b">
        <f t="shared" si="238"/>
        <v>0</v>
      </c>
      <c r="AJ372" s="51" t="b">
        <f t="shared" si="239"/>
        <v>0</v>
      </c>
      <c r="AK372" s="51" t="b">
        <f t="shared" si="240"/>
        <v>0</v>
      </c>
      <c r="AL372" s="51" t="b">
        <f t="shared" si="241"/>
        <v>0</v>
      </c>
      <c r="AM372" s="51" t="b">
        <f t="shared" si="242"/>
        <v>0</v>
      </c>
      <c r="AN372" s="51"/>
      <c r="AO372" s="51" t="b">
        <f t="shared" si="243"/>
        <v>0</v>
      </c>
      <c r="AP372" s="51" t="str">
        <f t="shared" si="265"/>
        <v>Not in MMS</v>
      </c>
      <c r="AQ372" s="51" t="b">
        <f t="shared" si="244"/>
        <v>0</v>
      </c>
      <c r="AR372" s="51" t="b">
        <f t="shared" si="245"/>
        <v>0</v>
      </c>
      <c r="AS372" s="51" t="str">
        <f t="shared" si="246"/>
        <v/>
      </c>
      <c r="AT372" s="51" t="str">
        <f t="shared" si="247"/>
        <v/>
      </c>
      <c r="AU372" s="51" t="str">
        <f t="shared" si="248"/>
        <v/>
      </c>
      <c r="AV372" s="51" t="str">
        <f t="shared" si="249"/>
        <v/>
      </c>
      <c r="AW372" s="51" t="str">
        <f t="shared" si="250"/>
        <v/>
      </c>
      <c r="AX372" s="51" t="str">
        <f t="shared" si="251"/>
        <v/>
      </c>
      <c r="AY372" s="51" t="str">
        <f t="shared" si="252"/>
        <v/>
      </c>
      <c r="AZ372" s="51" t="str">
        <f t="shared" si="253"/>
        <v/>
      </c>
      <c r="BA372" s="51" t="str">
        <f t="shared" si="254"/>
        <v/>
      </c>
      <c r="BB372" s="51" t="str">
        <f t="shared" si="255"/>
        <v/>
      </c>
      <c r="BC372" s="51" t="str">
        <f t="shared" si="256"/>
        <v/>
      </c>
      <c r="BD372" s="51" t="str">
        <f t="shared" si="257"/>
        <v/>
      </c>
      <c r="BE372" s="51" t="str">
        <f t="shared" si="258"/>
        <v/>
      </c>
      <c r="BF372" s="51" t="str">
        <f t="shared" si="259"/>
        <v/>
      </c>
      <c r="BG372" s="51" t="str">
        <f t="shared" si="260"/>
        <v/>
      </c>
      <c r="BH372" s="51" t="b">
        <f t="shared" si="261"/>
        <v>0</v>
      </c>
      <c r="BI372" s="51" t="str">
        <f t="shared" si="262"/>
        <v/>
      </c>
      <c r="BJ372" s="51" t="str">
        <f t="shared" si="263"/>
        <v/>
      </c>
      <c r="BK372" s="51" t="b">
        <f t="shared" si="264"/>
        <v>0</v>
      </c>
      <c r="BL372" s="192"/>
    </row>
    <row r="373" spans="1:64" ht="13.5" thickBot="1" x14ac:dyDescent="0.25">
      <c r="A373" s="185" t="s">
        <v>1054</v>
      </c>
      <c r="B373" s="194" t="s">
        <v>695</v>
      </c>
      <c r="C373" s="194" t="s">
        <v>695</v>
      </c>
      <c r="D373" s="194" t="s">
        <v>695</v>
      </c>
      <c r="E373" s="193" t="s">
        <v>694</v>
      </c>
      <c r="F373" s="160" t="s">
        <v>20</v>
      </c>
      <c r="G373" s="161"/>
      <c r="H373" s="186" t="str">
        <f t="shared" si="222"/>
        <v>N/A</v>
      </c>
      <c r="I373" s="186" t="b">
        <f t="shared" si="223"/>
        <v>1</v>
      </c>
      <c r="J373" s="186" t="str">
        <f t="shared" si="224"/>
        <v>N/A</v>
      </c>
      <c r="K373" s="186" t="b">
        <f t="shared" si="225"/>
        <v>1</v>
      </c>
      <c r="L373" s="186" t="str">
        <f t="shared" si="226"/>
        <v>N/A</v>
      </c>
      <c r="M373" s="186" t="b">
        <f t="shared" si="227"/>
        <v>1</v>
      </c>
      <c r="N373" s="186" t="str">
        <f t="shared" si="228"/>
        <v>Used?</v>
      </c>
      <c r="O373" s="186" t="b">
        <f t="shared" si="229"/>
        <v>0</v>
      </c>
      <c r="P373" s="26" t="s">
        <v>696</v>
      </c>
      <c r="Q373" s="160" t="s">
        <v>20</v>
      </c>
      <c r="R373" s="160" t="s">
        <v>20</v>
      </c>
      <c r="S373" s="26" t="s">
        <v>697</v>
      </c>
      <c r="T373" s="165" t="str">
        <f t="shared" si="230"/>
        <v>Not Used</v>
      </c>
      <c r="U373" s="162"/>
      <c r="V373" s="55"/>
      <c r="W373" s="51" t="b">
        <f t="shared" si="231"/>
        <v>1</v>
      </c>
      <c r="X373" s="51" t="str">
        <f t="shared" si="232"/>
        <v>Not Used</v>
      </c>
      <c r="Y373" s="51" t="str">
        <f t="shared" si="233"/>
        <v>Not Used</v>
      </c>
      <c r="Z373" s="51" t="str">
        <f t="shared" si="234"/>
        <v>Not Used</v>
      </c>
      <c r="AA373" s="51" t="str">
        <f t="shared" si="234"/>
        <v>Not Used</v>
      </c>
      <c r="AB373" s="51" t="str">
        <f t="shared" si="235"/>
        <v>Not Used</v>
      </c>
      <c r="AC373" s="51" t="b">
        <f t="shared" si="236"/>
        <v>1</v>
      </c>
      <c r="AD373" s="51">
        <f>COUNTIF($X$5:$X$373, "Not Used")</f>
        <v>369</v>
      </c>
      <c r="AE373" s="51">
        <f>COUNTIF($X$5:$X$373, "TRUE")</f>
        <v>0</v>
      </c>
      <c r="AF373" s="51" t="b">
        <f t="shared" si="237"/>
        <v>1</v>
      </c>
      <c r="AI373" s="51" t="b">
        <f t="shared" si="238"/>
        <v>0</v>
      </c>
      <c r="AJ373" s="51" t="b">
        <f t="shared" si="239"/>
        <v>0</v>
      </c>
      <c r="AK373" s="51" t="b">
        <f t="shared" si="240"/>
        <v>0</v>
      </c>
      <c r="AL373" s="51" t="b">
        <f t="shared" si="241"/>
        <v>0</v>
      </c>
      <c r="AM373" s="51" t="b">
        <f t="shared" si="242"/>
        <v>0</v>
      </c>
      <c r="AN373" s="51"/>
      <c r="AO373" s="51" t="b">
        <f t="shared" si="243"/>
        <v>0</v>
      </c>
      <c r="AP373" s="51" t="str">
        <f t="shared" si="265"/>
        <v>Not in MMS</v>
      </c>
      <c r="AQ373" s="51" t="b">
        <f t="shared" si="244"/>
        <v>0</v>
      </c>
      <c r="AR373" s="51" t="b">
        <f t="shared" si="245"/>
        <v>0</v>
      </c>
      <c r="AS373" s="51" t="str">
        <f t="shared" si="246"/>
        <v/>
      </c>
      <c r="AT373" s="51" t="str">
        <f t="shared" si="247"/>
        <v/>
      </c>
      <c r="AU373" s="51" t="str">
        <f t="shared" si="248"/>
        <v/>
      </c>
      <c r="AV373" s="51" t="str">
        <f t="shared" si="249"/>
        <v/>
      </c>
      <c r="AW373" s="51" t="str">
        <f t="shared" si="250"/>
        <v/>
      </c>
      <c r="AX373" s="51" t="str">
        <f t="shared" si="251"/>
        <v/>
      </c>
      <c r="AY373" s="51" t="str">
        <f t="shared" si="252"/>
        <v/>
      </c>
      <c r="AZ373" s="51" t="str">
        <f t="shared" si="253"/>
        <v/>
      </c>
      <c r="BA373" s="51" t="str">
        <f t="shared" si="254"/>
        <v/>
      </c>
      <c r="BB373" s="51" t="str">
        <f t="shared" si="255"/>
        <v/>
      </c>
      <c r="BC373" s="51" t="str">
        <f t="shared" si="256"/>
        <v/>
      </c>
      <c r="BD373" s="51" t="str">
        <f t="shared" si="257"/>
        <v/>
      </c>
      <c r="BE373" s="51" t="str">
        <f t="shared" si="258"/>
        <v/>
      </c>
      <c r="BF373" s="51" t="str">
        <f t="shared" si="259"/>
        <v/>
      </c>
      <c r="BG373" s="51" t="str">
        <f t="shared" si="260"/>
        <v/>
      </c>
      <c r="BH373" s="51" t="b">
        <f t="shared" si="261"/>
        <v>0</v>
      </c>
      <c r="BI373" s="51" t="str">
        <f t="shared" si="262"/>
        <v/>
      </c>
      <c r="BJ373" s="51" t="str">
        <f t="shared" si="263"/>
        <v/>
      </c>
      <c r="BK373" s="51" t="b">
        <f t="shared" si="264"/>
        <v>0</v>
      </c>
      <c r="BL373" s="192"/>
    </row>
    <row r="374" spans="1:64" ht="13.5" thickBot="1" x14ac:dyDescent="0.25">
      <c r="A374" s="185" t="s">
        <v>1055</v>
      </c>
      <c r="B374" s="194" t="s">
        <v>695</v>
      </c>
      <c r="C374" s="194" t="s">
        <v>695</v>
      </c>
      <c r="D374" s="194" t="s">
        <v>695</v>
      </c>
      <c r="E374" s="193" t="s">
        <v>694</v>
      </c>
      <c r="F374" s="160" t="s">
        <v>20</v>
      </c>
      <c r="G374" s="161"/>
      <c r="H374" s="186" t="str">
        <f t="shared" si="222"/>
        <v>N/A</v>
      </c>
      <c r="I374" s="186" t="b">
        <f t="shared" si="223"/>
        <v>1</v>
      </c>
      <c r="J374" s="186" t="str">
        <f t="shared" si="224"/>
        <v>N/A</v>
      </c>
      <c r="K374" s="186" t="b">
        <f t="shared" si="225"/>
        <v>1</v>
      </c>
      <c r="L374" s="186" t="str">
        <f t="shared" si="226"/>
        <v>N/A</v>
      </c>
      <c r="M374" s="186" t="b">
        <f t="shared" si="227"/>
        <v>1</v>
      </c>
      <c r="N374" s="186" t="str">
        <f t="shared" si="228"/>
        <v>Used?</v>
      </c>
      <c r="O374" s="186" t="b">
        <f t="shared" si="229"/>
        <v>0</v>
      </c>
      <c r="P374" s="26" t="s">
        <v>696</v>
      </c>
      <c r="Q374" s="160" t="s">
        <v>20</v>
      </c>
      <c r="R374" s="160" t="s">
        <v>20</v>
      </c>
      <c r="S374" s="26" t="s">
        <v>697</v>
      </c>
      <c r="T374" s="165" t="str">
        <f t="shared" si="230"/>
        <v>Not Used</v>
      </c>
      <c r="U374" s="162"/>
      <c r="V374" s="55"/>
      <c r="W374" s="51" t="b">
        <f t="shared" si="231"/>
        <v>1</v>
      </c>
      <c r="X374" s="51" t="str">
        <f t="shared" si="232"/>
        <v>Not Used</v>
      </c>
      <c r="Y374" s="51" t="str">
        <f t="shared" si="233"/>
        <v>Not Used</v>
      </c>
      <c r="Z374" s="51" t="str">
        <f t="shared" si="234"/>
        <v>Not Used</v>
      </c>
      <c r="AA374" s="51" t="str">
        <f t="shared" si="234"/>
        <v>Not Used</v>
      </c>
      <c r="AB374" s="51" t="str">
        <f t="shared" si="235"/>
        <v>Not Used</v>
      </c>
      <c r="AC374" s="51" t="b">
        <f t="shared" si="236"/>
        <v>1</v>
      </c>
      <c r="AD374" s="51">
        <f>COUNTIF($X$5:$X$374, "Not Used")</f>
        <v>370</v>
      </c>
      <c r="AE374" s="51">
        <f>COUNTIF($X$5:$X$374, "TRUE")</f>
        <v>0</v>
      </c>
      <c r="AF374" s="51" t="b">
        <f t="shared" si="237"/>
        <v>1</v>
      </c>
      <c r="AI374" s="51" t="b">
        <f t="shared" si="238"/>
        <v>0</v>
      </c>
      <c r="AJ374" s="51" t="b">
        <f t="shared" si="239"/>
        <v>0</v>
      </c>
      <c r="AK374" s="51" t="b">
        <f t="shared" si="240"/>
        <v>0</v>
      </c>
      <c r="AL374" s="51" t="b">
        <f t="shared" si="241"/>
        <v>0</v>
      </c>
      <c r="AM374" s="51" t="b">
        <f t="shared" si="242"/>
        <v>0</v>
      </c>
      <c r="AN374" s="51"/>
      <c r="AO374" s="51" t="b">
        <f t="shared" si="243"/>
        <v>0</v>
      </c>
      <c r="AP374" s="51" t="str">
        <f t="shared" si="265"/>
        <v>Not in MMS</v>
      </c>
      <c r="AQ374" s="51" t="b">
        <f t="shared" si="244"/>
        <v>0</v>
      </c>
      <c r="AR374" s="51" t="b">
        <f t="shared" si="245"/>
        <v>0</v>
      </c>
      <c r="AS374" s="51" t="str">
        <f t="shared" si="246"/>
        <v/>
      </c>
      <c r="AT374" s="51" t="str">
        <f t="shared" si="247"/>
        <v/>
      </c>
      <c r="AU374" s="51" t="str">
        <f t="shared" si="248"/>
        <v/>
      </c>
      <c r="AV374" s="51" t="str">
        <f t="shared" si="249"/>
        <v/>
      </c>
      <c r="AW374" s="51" t="str">
        <f t="shared" si="250"/>
        <v/>
      </c>
      <c r="AX374" s="51" t="str">
        <f t="shared" si="251"/>
        <v/>
      </c>
      <c r="AY374" s="51" t="str">
        <f t="shared" si="252"/>
        <v/>
      </c>
      <c r="AZ374" s="51" t="str">
        <f t="shared" si="253"/>
        <v/>
      </c>
      <c r="BA374" s="51" t="str">
        <f t="shared" si="254"/>
        <v/>
      </c>
      <c r="BB374" s="51" t="str">
        <f t="shared" si="255"/>
        <v/>
      </c>
      <c r="BC374" s="51" t="str">
        <f t="shared" si="256"/>
        <v/>
      </c>
      <c r="BD374" s="51" t="str">
        <f t="shared" si="257"/>
        <v/>
      </c>
      <c r="BE374" s="51" t="str">
        <f t="shared" si="258"/>
        <v/>
      </c>
      <c r="BF374" s="51" t="str">
        <f t="shared" si="259"/>
        <v/>
      </c>
      <c r="BG374" s="51" t="str">
        <f t="shared" si="260"/>
        <v/>
      </c>
      <c r="BH374" s="51" t="b">
        <f t="shared" si="261"/>
        <v>0</v>
      </c>
      <c r="BI374" s="51" t="str">
        <f t="shared" si="262"/>
        <v/>
      </c>
      <c r="BJ374" s="51" t="str">
        <f t="shared" si="263"/>
        <v/>
      </c>
      <c r="BK374" s="51" t="b">
        <f t="shared" si="264"/>
        <v>0</v>
      </c>
      <c r="BL374" s="192"/>
    </row>
    <row r="375" spans="1:64" ht="13.5" thickBot="1" x14ac:dyDescent="0.25">
      <c r="A375" s="185" t="s">
        <v>1056</v>
      </c>
      <c r="B375" s="194" t="s">
        <v>695</v>
      </c>
      <c r="C375" s="194" t="s">
        <v>695</v>
      </c>
      <c r="D375" s="194" t="s">
        <v>695</v>
      </c>
      <c r="E375" s="193" t="s">
        <v>694</v>
      </c>
      <c r="F375" s="160" t="s">
        <v>20</v>
      </c>
      <c r="G375" s="161"/>
      <c r="H375" s="186" t="str">
        <f t="shared" si="222"/>
        <v>N/A</v>
      </c>
      <c r="I375" s="186" t="b">
        <f t="shared" si="223"/>
        <v>1</v>
      </c>
      <c r="J375" s="186" t="str">
        <f t="shared" si="224"/>
        <v>N/A</v>
      </c>
      <c r="K375" s="186" t="b">
        <f t="shared" si="225"/>
        <v>1</v>
      </c>
      <c r="L375" s="186" t="str">
        <f t="shared" si="226"/>
        <v>N/A</v>
      </c>
      <c r="M375" s="186" t="b">
        <f t="shared" si="227"/>
        <v>1</v>
      </c>
      <c r="N375" s="186" t="str">
        <f t="shared" si="228"/>
        <v>Used?</v>
      </c>
      <c r="O375" s="186" t="b">
        <f t="shared" si="229"/>
        <v>0</v>
      </c>
      <c r="P375" s="26" t="s">
        <v>696</v>
      </c>
      <c r="Q375" s="160" t="s">
        <v>20</v>
      </c>
      <c r="R375" s="160" t="s">
        <v>20</v>
      </c>
      <c r="S375" s="26" t="s">
        <v>697</v>
      </c>
      <c r="T375" s="165" t="str">
        <f t="shared" si="230"/>
        <v>Not Used</v>
      </c>
      <c r="U375" s="162"/>
      <c r="V375" s="55"/>
      <c r="W375" s="51" t="b">
        <f t="shared" si="231"/>
        <v>1</v>
      </c>
      <c r="X375" s="51" t="str">
        <f t="shared" si="232"/>
        <v>Not Used</v>
      </c>
      <c r="Y375" s="51" t="str">
        <f t="shared" si="233"/>
        <v>Not Used</v>
      </c>
      <c r="Z375" s="51" t="str">
        <f t="shared" si="234"/>
        <v>Not Used</v>
      </c>
      <c r="AA375" s="51" t="str">
        <f t="shared" si="234"/>
        <v>Not Used</v>
      </c>
      <c r="AB375" s="51" t="str">
        <f t="shared" si="235"/>
        <v>Not Used</v>
      </c>
      <c r="AC375" s="51" t="b">
        <f t="shared" si="236"/>
        <v>1</v>
      </c>
      <c r="AD375" s="51">
        <f>COUNTIF($X$5:$X$375, "Not Used")</f>
        <v>371</v>
      </c>
      <c r="AE375" s="51">
        <f>COUNTIF($X$5:$X$375, "TRUE")</f>
        <v>0</v>
      </c>
      <c r="AF375" s="51" t="b">
        <f t="shared" si="237"/>
        <v>1</v>
      </c>
      <c r="AI375" s="51" t="b">
        <f t="shared" si="238"/>
        <v>0</v>
      </c>
      <c r="AJ375" s="51" t="b">
        <f t="shared" si="239"/>
        <v>0</v>
      </c>
      <c r="AK375" s="51" t="b">
        <f t="shared" si="240"/>
        <v>0</v>
      </c>
      <c r="AL375" s="51" t="b">
        <f t="shared" si="241"/>
        <v>0</v>
      </c>
      <c r="AM375" s="51" t="b">
        <f t="shared" si="242"/>
        <v>0</v>
      </c>
      <c r="AN375" s="51"/>
      <c r="AO375" s="51" t="b">
        <f t="shared" si="243"/>
        <v>0</v>
      </c>
      <c r="AP375" s="51" t="str">
        <f t="shared" si="265"/>
        <v>Not in MMS</v>
      </c>
      <c r="AQ375" s="51" t="b">
        <f t="shared" si="244"/>
        <v>0</v>
      </c>
      <c r="AR375" s="51" t="b">
        <f t="shared" si="245"/>
        <v>0</v>
      </c>
      <c r="AS375" s="51" t="str">
        <f t="shared" si="246"/>
        <v/>
      </c>
      <c r="AT375" s="51" t="str">
        <f t="shared" si="247"/>
        <v/>
      </c>
      <c r="AU375" s="51" t="str">
        <f t="shared" si="248"/>
        <v/>
      </c>
      <c r="AV375" s="51" t="str">
        <f t="shared" si="249"/>
        <v/>
      </c>
      <c r="AW375" s="51" t="str">
        <f t="shared" si="250"/>
        <v/>
      </c>
      <c r="AX375" s="51" t="str">
        <f t="shared" si="251"/>
        <v/>
      </c>
      <c r="AY375" s="51" t="str">
        <f t="shared" si="252"/>
        <v/>
      </c>
      <c r="AZ375" s="51" t="str">
        <f t="shared" si="253"/>
        <v/>
      </c>
      <c r="BA375" s="51" t="str">
        <f t="shared" si="254"/>
        <v/>
      </c>
      <c r="BB375" s="51" t="str">
        <f t="shared" si="255"/>
        <v/>
      </c>
      <c r="BC375" s="51" t="str">
        <f t="shared" si="256"/>
        <v/>
      </c>
      <c r="BD375" s="51" t="str">
        <f t="shared" si="257"/>
        <v/>
      </c>
      <c r="BE375" s="51" t="str">
        <f t="shared" si="258"/>
        <v/>
      </c>
      <c r="BF375" s="51" t="str">
        <f t="shared" si="259"/>
        <v/>
      </c>
      <c r="BG375" s="51" t="str">
        <f t="shared" si="260"/>
        <v/>
      </c>
      <c r="BH375" s="51" t="b">
        <f t="shared" si="261"/>
        <v>0</v>
      </c>
      <c r="BI375" s="51" t="str">
        <f t="shared" si="262"/>
        <v/>
      </c>
      <c r="BJ375" s="51" t="str">
        <f t="shared" si="263"/>
        <v/>
      </c>
      <c r="BK375" s="51" t="b">
        <f t="shared" si="264"/>
        <v>0</v>
      </c>
      <c r="BL375" s="192"/>
    </row>
    <row r="376" spans="1:64" ht="13.5" thickBot="1" x14ac:dyDescent="0.25">
      <c r="A376" s="185" t="s">
        <v>1057</v>
      </c>
      <c r="B376" s="194" t="s">
        <v>695</v>
      </c>
      <c r="C376" s="194" t="s">
        <v>695</v>
      </c>
      <c r="D376" s="194" t="s">
        <v>695</v>
      </c>
      <c r="E376" s="193" t="s">
        <v>694</v>
      </c>
      <c r="F376" s="160" t="s">
        <v>20</v>
      </c>
      <c r="G376" s="161"/>
      <c r="H376" s="186" t="str">
        <f t="shared" si="222"/>
        <v>N/A</v>
      </c>
      <c r="I376" s="186" t="b">
        <f t="shared" si="223"/>
        <v>1</v>
      </c>
      <c r="J376" s="186" t="str">
        <f t="shared" si="224"/>
        <v>N/A</v>
      </c>
      <c r="K376" s="186" t="b">
        <f t="shared" si="225"/>
        <v>1</v>
      </c>
      <c r="L376" s="186" t="str">
        <f t="shared" si="226"/>
        <v>N/A</v>
      </c>
      <c r="M376" s="186" t="b">
        <f t="shared" si="227"/>
        <v>1</v>
      </c>
      <c r="N376" s="186" t="str">
        <f t="shared" si="228"/>
        <v>Used?</v>
      </c>
      <c r="O376" s="186" t="b">
        <f t="shared" si="229"/>
        <v>0</v>
      </c>
      <c r="P376" s="26" t="s">
        <v>696</v>
      </c>
      <c r="Q376" s="160" t="s">
        <v>20</v>
      </c>
      <c r="R376" s="160" t="s">
        <v>20</v>
      </c>
      <c r="S376" s="26" t="s">
        <v>697</v>
      </c>
      <c r="T376" s="165" t="str">
        <f t="shared" si="230"/>
        <v>Not Used</v>
      </c>
      <c r="U376" s="162"/>
      <c r="V376" s="55"/>
      <c r="W376" s="51" t="b">
        <f t="shared" si="231"/>
        <v>1</v>
      </c>
      <c r="X376" s="51" t="str">
        <f t="shared" si="232"/>
        <v>Not Used</v>
      </c>
      <c r="Y376" s="51" t="str">
        <f t="shared" si="233"/>
        <v>Not Used</v>
      </c>
      <c r="Z376" s="51" t="str">
        <f t="shared" si="234"/>
        <v>Not Used</v>
      </c>
      <c r="AA376" s="51" t="str">
        <f t="shared" si="234"/>
        <v>Not Used</v>
      </c>
      <c r="AB376" s="51" t="str">
        <f t="shared" si="235"/>
        <v>Not Used</v>
      </c>
      <c r="AC376" s="51" t="b">
        <f t="shared" si="236"/>
        <v>1</v>
      </c>
      <c r="AD376" s="51">
        <f>COUNTIF($X$5:$X$376, "Not Used")</f>
        <v>372</v>
      </c>
      <c r="AE376" s="51">
        <f>COUNTIF($X$5:$X$376, "TRUE")</f>
        <v>0</v>
      </c>
      <c r="AF376" s="51" t="b">
        <f t="shared" si="237"/>
        <v>1</v>
      </c>
      <c r="AI376" s="51" t="b">
        <f t="shared" si="238"/>
        <v>0</v>
      </c>
      <c r="AJ376" s="51" t="b">
        <f t="shared" si="239"/>
        <v>0</v>
      </c>
      <c r="AK376" s="51" t="b">
        <f t="shared" si="240"/>
        <v>0</v>
      </c>
      <c r="AL376" s="51" t="b">
        <f t="shared" si="241"/>
        <v>0</v>
      </c>
      <c r="AM376" s="51" t="b">
        <f t="shared" si="242"/>
        <v>0</v>
      </c>
      <c r="AN376" s="51"/>
      <c r="AO376" s="51" t="b">
        <f t="shared" si="243"/>
        <v>0</v>
      </c>
      <c r="AP376" s="51" t="str">
        <f t="shared" si="265"/>
        <v>Not in MMS</v>
      </c>
      <c r="AQ376" s="51" t="b">
        <f t="shared" si="244"/>
        <v>0</v>
      </c>
      <c r="AR376" s="51" t="b">
        <f t="shared" si="245"/>
        <v>0</v>
      </c>
      <c r="AS376" s="51" t="str">
        <f t="shared" si="246"/>
        <v/>
      </c>
      <c r="AT376" s="51" t="str">
        <f t="shared" si="247"/>
        <v/>
      </c>
      <c r="AU376" s="51" t="str">
        <f t="shared" si="248"/>
        <v/>
      </c>
      <c r="AV376" s="51" t="str">
        <f t="shared" si="249"/>
        <v/>
      </c>
      <c r="AW376" s="51" t="str">
        <f t="shared" si="250"/>
        <v/>
      </c>
      <c r="AX376" s="51" t="str">
        <f t="shared" si="251"/>
        <v/>
      </c>
      <c r="AY376" s="51" t="str">
        <f t="shared" si="252"/>
        <v/>
      </c>
      <c r="AZ376" s="51" t="str">
        <f t="shared" si="253"/>
        <v/>
      </c>
      <c r="BA376" s="51" t="str">
        <f t="shared" si="254"/>
        <v/>
      </c>
      <c r="BB376" s="51" t="str">
        <f t="shared" si="255"/>
        <v/>
      </c>
      <c r="BC376" s="51" t="str">
        <f t="shared" si="256"/>
        <v/>
      </c>
      <c r="BD376" s="51" t="str">
        <f t="shared" si="257"/>
        <v/>
      </c>
      <c r="BE376" s="51" t="str">
        <f t="shared" si="258"/>
        <v/>
      </c>
      <c r="BF376" s="51" t="str">
        <f t="shared" si="259"/>
        <v/>
      </c>
      <c r="BG376" s="51" t="str">
        <f t="shared" si="260"/>
        <v/>
      </c>
      <c r="BH376" s="51" t="b">
        <f t="shared" si="261"/>
        <v>0</v>
      </c>
      <c r="BI376" s="51" t="str">
        <f t="shared" si="262"/>
        <v/>
      </c>
      <c r="BJ376" s="51" t="str">
        <f t="shared" si="263"/>
        <v/>
      </c>
      <c r="BK376" s="51" t="b">
        <f t="shared" si="264"/>
        <v>0</v>
      </c>
      <c r="BL376" s="192"/>
    </row>
    <row r="377" spans="1:64" ht="13.5" thickBot="1" x14ac:dyDescent="0.25">
      <c r="A377" s="185" t="s">
        <v>1058</v>
      </c>
      <c r="B377" s="194" t="s">
        <v>695</v>
      </c>
      <c r="C377" s="194" t="s">
        <v>695</v>
      </c>
      <c r="D377" s="194" t="s">
        <v>695</v>
      </c>
      <c r="E377" s="193" t="s">
        <v>694</v>
      </c>
      <c r="F377" s="160" t="s">
        <v>20</v>
      </c>
      <c r="G377" s="161"/>
      <c r="H377" s="186" t="str">
        <f t="shared" si="222"/>
        <v>N/A</v>
      </c>
      <c r="I377" s="186" t="b">
        <f t="shared" si="223"/>
        <v>1</v>
      </c>
      <c r="J377" s="186" t="str">
        <f t="shared" si="224"/>
        <v>N/A</v>
      </c>
      <c r="K377" s="186" t="b">
        <f t="shared" si="225"/>
        <v>1</v>
      </c>
      <c r="L377" s="186" t="str">
        <f t="shared" si="226"/>
        <v>N/A</v>
      </c>
      <c r="M377" s="186" t="b">
        <f t="shared" si="227"/>
        <v>1</v>
      </c>
      <c r="N377" s="186" t="str">
        <f t="shared" si="228"/>
        <v>Used?</v>
      </c>
      <c r="O377" s="186" t="b">
        <f t="shared" si="229"/>
        <v>0</v>
      </c>
      <c r="P377" s="26" t="s">
        <v>696</v>
      </c>
      <c r="Q377" s="160" t="s">
        <v>20</v>
      </c>
      <c r="R377" s="160" t="s">
        <v>20</v>
      </c>
      <c r="S377" s="26" t="s">
        <v>697</v>
      </c>
      <c r="T377" s="165" t="str">
        <f t="shared" si="230"/>
        <v>Not Used</v>
      </c>
      <c r="U377" s="162"/>
      <c r="V377" s="55"/>
      <c r="W377" s="51" t="b">
        <f t="shared" si="231"/>
        <v>1</v>
      </c>
      <c r="X377" s="51" t="str">
        <f t="shared" si="232"/>
        <v>Not Used</v>
      </c>
      <c r="Y377" s="51" t="str">
        <f t="shared" si="233"/>
        <v>Not Used</v>
      </c>
      <c r="Z377" s="51" t="str">
        <f t="shared" si="234"/>
        <v>Not Used</v>
      </c>
      <c r="AA377" s="51" t="str">
        <f t="shared" si="234"/>
        <v>Not Used</v>
      </c>
      <c r="AB377" s="51" t="str">
        <f t="shared" si="235"/>
        <v>Not Used</v>
      </c>
      <c r="AC377" s="51" t="b">
        <f t="shared" si="236"/>
        <v>1</v>
      </c>
      <c r="AD377" s="51">
        <f>COUNTIF($X$5:$X$377, "Not Used")</f>
        <v>373</v>
      </c>
      <c r="AE377" s="51">
        <f>COUNTIF($X$5:$X$377, "TRUE")</f>
        <v>0</v>
      </c>
      <c r="AF377" s="51" t="b">
        <f t="shared" si="237"/>
        <v>1</v>
      </c>
      <c r="AI377" s="51" t="b">
        <f t="shared" si="238"/>
        <v>0</v>
      </c>
      <c r="AJ377" s="51" t="b">
        <f t="shared" si="239"/>
        <v>0</v>
      </c>
      <c r="AK377" s="51" t="b">
        <f t="shared" si="240"/>
        <v>0</v>
      </c>
      <c r="AL377" s="51" t="b">
        <f t="shared" si="241"/>
        <v>0</v>
      </c>
      <c r="AM377" s="51" t="b">
        <f t="shared" si="242"/>
        <v>0</v>
      </c>
      <c r="AN377" s="51"/>
      <c r="AO377" s="51" t="b">
        <f t="shared" si="243"/>
        <v>0</v>
      </c>
      <c r="AP377" s="51" t="str">
        <f t="shared" si="265"/>
        <v>Not in MMS</v>
      </c>
      <c r="AQ377" s="51" t="b">
        <f t="shared" si="244"/>
        <v>0</v>
      </c>
      <c r="AR377" s="51" t="b">
        <f t="shared" si="245"/>
        <v>0</v>
      </c>
      <c r="AS377" s="51" t="str">
        <f t="shared" si="246"/>
        <v/>
      </c>
      <c r="AT377" s="51" t="str">
        <f t="shared" si="247"/>
        <v/>
      </c>
      <c r="AU377" s="51" t="str">
        <f t="shared" si="248"/>
        <v/>
      </c>
      <c r="AV377" s="51" t="str">
        <f t="shared" si="249"/>
        <v/>
      </c>
      <c r="AW377" s="51" t="str">
        <f t="shared" si="250"/>
        <v/>
      </c>
      <c r="AX377" s="51" t="str">
        <f t="shared" si="251"/>
        <v/>
      </c>
      <c r="AY377" s="51" t="str">
        <f t="shared" si="252"/>
        <v/>
      </c>
      <c r="AZ377" s="51" t="str">
        <f t="shared" si="253"/>
        <v/>
      </c>
      <c r="BA377" s="51" t="str">
        <f t="shared" si="254"/>
        <v/>
      </c>
      <c r="BB377" s="51" t="str">
        <f t="shared" si="255"/>
        <v/>
      </c>
      <c r="BC377" s="51" t="str">
        <f t="shared" si="256"/>
        <v/>
      </c>
      <c r="BD377" s="51" t="str">
        <f t="shared" si="257"/>
        <v/>
      </c>
      <c r="BE377" s="51" t="str">
        <f t="shared" si="258"/>
        <v/>
      </c>
      <c r="BF377" s="51" t="str">
        <f t="shared" si="259"/>
        <v/>
      </c>
      <c r="BG377" s="51" t="str">
        <f t="shared" si="260"/>
        <v/>
      </c>
      <c r="BH377" s="51" t="b">
        <f t="shared" si="261"/>
        <v>0</v>
      </c>
      <c r="BI377" s="51" t="str">
        <f t="shared" si="262"/>
        <v/>
      </c>
      <c r="BJ377" s="51" t="str">
        <f t="shared" si="263"/>
        <v/>
      </c>
      <c r="BK377" s="51" t="b">
        <f t="shared" si="264"/>
        <v>0</v>
      </c>
      <c r="BL377" s="192"/>
    </row>
    <row r="378" spans="1:64" ht="13.5" thickBot="1" x14ac:dyDescent="0.25">
      <c r="A378" s="185" t="s">
        <v>1059</v>
      </c>
      <c r="B378" s="194" t="s">
        <v>695</v>
      </c>
      <c r="C378" s="194" t="s">
        <v>695</v>
      </c>
      <c r="D378" s="194" t="s">
        <v>695</v>
      </c>
      <c r="E378" s="193" t="s">
        <v>694</v>
      </c>
      <c r="F378" s="160" t="s">
        <v>20</v>
      </c>
      <c r="G378" s="161"/>
      <c r="H378" s="186" t="str">
        <f t="shared" si="222"/>
        <v>N/A</v>
      </c>
      <c r="I378" s="186" t="b">
        <f t="shared" si="223"/>
        <v>1</v>
      </c>
      <c r="J378" s="186" t="str">
        <f t="shared" si="224"/>
        <v>N/A</v>
      </c>
      <c r="K378" s="186" t="b">
        <f t="shared" si="225"/>
        <v>1</v>
      </c>
      <c r="L378" s="186" t="str">
        <f t="shared" si="226"/>
        <v>N/A</v>
      </c>
      <c r="M378" s="186" t="b">
        <f t="shared" si="227"/>
        <v>1</v>
      </c>
      <c r="N378" s="186" t="str">
        <f t="shared" si="228"/>
        <v>Used?</v>
      </c>
      <c r="O378" s="186" t="b">
        <f t="shared" si="229"/>
        <v>0</v>
      </c>
      <c r="P378" s="26" t="s">
        <v>696</v>
      </c>
      <c r="Q378" s="160" t="s">
        <v>20</v>
      </c>
      <c r="R378" s="160" t="s">
        <v>20</v>
      </c>
      <c r="S378" s="26" t="s">
        <v>697</v>
      </c>
      <c r="T378" s="165" t="str">
        <f t="shared" si="230"/>
        <v>Not Used</v>
      </c>
      <c r="U378" s="162"/>
      <c r="V378" s="55"/>
      <c r="W378" s="51" t="b">
        <f t="shared" si="231"/>
        <v>1</v>
      </c>
      <c r="X378" s="51" t="str">
        <f t="shared" si="232"/>
        <v>Not Used</v>
      </c>
      <c r="Y378" s="51" t="str">
        <f t="shared" si="233"/>
        <v>Not Used</v>
      </c>
      <c r="Z378" s="51" t="str">
        <f t="shared" si="234"/>
        <v>Not Used</v>
      </c>
      <c r="AA378" s="51" t="str">
        <f t="shared" si="234"/>
        <v>Not Used</v>
      </c>
      <c r="AB378" s="51" t="str">
        <f t="shared" si="235"/>
        <v>Not Used</v>
      </c>
      <c r="AC378" s="51" t="b">
        <f t="shared" si="236"/>
        <v>1</v>
      </c>
      <c r="AD378" s="51">
        <f>COUNTIF($X$5:$X$378, "Not Used")</f>
        <v>374</v>
      </c>
      <c r="AE378" s="51">
        <f>COUNTIF($X$5:$X$378, "TRUE")</f>
        <v>0</v>
      </c>
      <c r="AF378" s="51" t="b">
        <f t="shared" si="237"/>
        <v>1</v>
      </c>
      <c r="AI378" s="51" t="b">
        <f t="shared" si="238"/>
        <v>0</v>
      </c>
      <c r="AJ378" s="51" t="b">
        <f t="shared" si="239"/>
        <v>0</v>
      </c>
      <c r="AK378" s="51" t="b">
        <f t="shared" si="240"/>
        <v>0</v>
      </c>
      <c r="AL378" s="51" t="b">
        <f t="shared" si="241"/>
        <v>0</v>
      </c>
      <c r="AM378" s="51" t="b">
        <f t="shared" si="242"/>
        <v>0</v>
      </c>
      <c r="AN378" s="51"/>
      <c r="AO378" s="51" t="b">
        <f t="shared" si="243"/>
        <v>0</v>
      </c>
      <c r="AP378" s="51" t="str">
        <f t="shared" si="265"/>
        <v>Not in MMS</v>
      </c>
      <c r="AQ378" s="51" t="b">
        <f t="shared" si="244"/>
        <v>0</v>
      </c>
      <c r="AR378" s="51" t="b">
        <f t="shared" si="245"/>
        <v>0</v>
      </c>
      <c r="AS378" s="51" t="str">
        <f t="shared" si="246"/>
        <v/>
      </c>
      <c r="AT378" s="51" t="str">
        <f t="shared" si="247"/>
        <v/>
      </c>
      <c r="AU378" s="51" t="str">
        <f t="shared" si="248"/>
        <v/>
      </c>
      <c r="AV378" s="51" t="str">
        <f t="shared" si="249"/>
        <v/>
      </c>
      <c r="AW378" s="51" t="str">
        <f t="shared" si="250"/>
        <v/>
      </c>
      <c r="AX378" s="51" t="str">
        <f t="shared" si="251"/>
        <v/>
      </c>
      <c r="AY378" s="51" t="str">
        <f t="shared" si="252"/>
        <v/>
      </c>
      <c r="AZ378" s="51" t="str">
        <f t="shared" si="253"/>
        <v/>
      </c>
      <c r="BA378" s="51" t="str">
        <f t="shared" si="254"/>
        <v/>
      </c>
      <c r="BB378" s="51" t="str">
        <f t="shared" si="255"/>
        <v/>
      </c>
      <c r="BC378" s="51" t="str">
        <f t="shared" si="256"/>
        <v/>
      </c>
      <c r="BD378" s="51" t="str">
        <f t="shared" si="257"/>
        <v/>
      </c>
      <c r="BE378" s="51" t="str">
        <f t="shared" si="258"/>
        <v/>
      </c>
      <c r="BF378" s="51" t="str">
        <f t="shared" si="259"/>
        <v/>
      </c>
      <c r="BG378" s="51" t="str">
        <f t="shared" si="260"/>
        <v/>
      </c>
      <c r="BH378" s="51" t="b">
        <f t="shared" si="261"/>
        <v>0</v>
      </c>
      <c r="BI378" s="51" t="str">
        <f t="shared" si="262"/>
        <v/>
      </c>
      <c r="BJ378" s="51" t="str">
        <f t="shared" si="263"/>
        <v/>
      </c>
      <c r="BK378" s="51" t="b">
        <f t="shared" si="264"/>
        <v>0</v>
      </c>
      <c r="BL378" s="192"/>
    </row>
    <row r="379" spans="1:64" ht="13.5" thickBot="1" x14ac:dyDescent="0.25">
      <c r="A379" s="185" t="s">
        <v>1060</v>
      </c>
      <c r="B379" s="194" t="s">
        <v>695</v>
      </c>
      <c r="C379" s="194" t="s">
        <v>695</v>
      </c>
      <c r="D379" s="194" t="s">
        <v>695</v>
      </c>
      <c r="E379" s="193" t="s">
        <v>694</v>
      </c>
      <c r="F379" s="160" t="s">
        <v>20</v>
      </c>
      <c r="G379" s="161"/>
      <c r="H379" s="186" t="str">
        <f t="shared" si="222"/>
        <v>N/A</v>
      </c>
      <c r="I379" s="186" t="b">
        <f t="shared" si="223"/>
        <v>1</v>
      </c>
      <c r="J379" s="186" t="str">
        <f t="shared" si="224"/>
        <v>N/A</v>
      </c>
      <c r="K379" s="186" t="b">
        <f t="shared" si="225"/>
        <v>1</v>
      </c>
      <c r="L379" s="186" t="str">
        <f t="shared" si="226"/>
        <v>N/A</v>
      </c>
      <c r="M379" s="186" t="b">
        <f t="shared" si="227"/>
        <v>1</v>
      </c>
      <c r="N379" s="186" t="str">
        <f t="shared" si="228"/>
        <v>Used?</v>
      </c>
      <c r="O379" s="186" t="b">
        <f t="shared" si="229"/>
        <v>0</v>
      </c>
      <c r="P379" s="26" t="s">
        <v>696</v>
      </c>
      <c r="Q379" s="160" t="s">
        <v>20</v>
      </c>
      <c r="R379" s="160" t="s">
        <v>20</v>
      </c>
      <c r="S379" s="26" t="s">
        <v>697</v>
      </c>
      <c r="T379" s="165" t="str">
        <f t="shared" si="230"/>
        <v>Not Used</v>
      </c>
      <c r="U379" s="162"/>
      <c r="V379" s="55"/>
      <c r="W379" s="51" t="b">
        <f t="shared" si="231"/>
        <v>1</v>
      </c>
      <c r="X379" s="51" t="str">
        <f t="shared" si="232"/>
        <v>Not Used</v>
      </c>
      <c r="Y379" s="51" t="str">
        <f t="shared" si="233"/>
        <v>Not Used</v>
      </c>
      <c r="Z379" s="51" t="str">
        <f t="shared" si="234"/>
        <v>Not Used</v>
      </c>
      <c r="AA379" s="51" t="str">
        <f t="shared" si="234"/>
        <v>Not Used</v>
      </c>
      <c r="AB379" s="51" t="str">
        <f t="shared" si="235"/>
        <v>Not Used</v>
      </c>
      <c r="AC379" s="51" t="b">
        <f t="shared" si="236"/>
        <v>1</v>
      </c>
      <c r="AD379" s="51">
        <f>COUNTIF($X$5:$X$379, "Not Used")</f>
        <v>375</v>
      </c>
      <c r="AE379" s="51">
        <f>COUNTIF($X$5:$X$379, "TRUE")</f>
        <v>0</v>
      </c>
      <c r="AF379" s="51" t="b">
        <f t="shared" si="237"/>
        <v>1</v>
      </c>
      <c r="AI379" s="51" t="b">
        <f t="shared" si="238"/>
        <v>0</v>
      </c>
      <c r="AJ379" s="51" t="b">
        <f t="shared" si="239"/>
        <v>0</v>
      </c>
      <c r="AK379" s="51" t="b">
        <f t="shared" si="240"/>
        <v>0</v>
      </c>
      <c r="AL379" s="51" t="b">
        <f t="shared" si="241"/>
        <v>0</v>
      </c>
      <c r="AM379" s="51" t="b">
        <f t="shared" si="242"/>
        <v>0</v>
      </c>
      <c r="AN379" s="51"/>
      <c r="AO379" s="51" t="b">
        <f t="shared" si="243"/>
        <v>0</v>
      </c>
      <c r="AP379" s="51" t="str">
        <f t="shared" si="265"/>
        <v>Not in MMS</v>
      </c>
      <c r="AQ379" s="51" t="b">
        <f t="shared" si="244"/>
        <v>0</v>
      </c>
      <c r="AR379" s="51" t="b">
        <f t="shared" si="245"/>
        <v>0</v>
      </c>
      <c r="AS379" s="51" t="str">
        <f t="shared" si="246"/>
        <v/>
      </c>
      <c r="AT379" s="51" t="str">
        <f t="shared" si="247"/>
        <v/>
      </c>
      <c r="AU379" s="51" t="str">
        <f t="shared" si="248"/>
        <v/>
      </c>
      <c r="AV379" s="51" t="str">
        <f t="shared" si="249"/>
        <v/>
      </c>
      <c r="AW379" s="51" t="str">
        <f t="shared" si="250"/>
        <v/>
      </c>
      <c r="AX379" s="51" t="str">
        <f t="shared" si="251"/>
        <v/>
      </c>
      <c r="AY379" s="51" t="str">
        <f t="shared" si="252"/>
        <v/>
      </c>
      <c r="AZ379" s="51" t="str">
        <f t="shared" si="253"/>
        <v/>
      </c>
      <c r="BA379" s="51" t="str">
        <f t="shared" si="254"/>
        <v/>
      </c>
      <c r="BB379" s="51" t="str">
        <f t="shared" si="255"/>
        <v/>
      </c>
      <c r="BC379" s="51" t="str">
        <f t="shared" si="256"/>
        <v/>
      </c>
      <c r="BD379" s="51" t="str">
        <f t="shared" si="257"/>
        <v/>
      </c>
      <c r="BE379" s="51" t="str">
        <f t="shared" si="258"/>
        <v/>
      </c>
      <c r="BF379" s="51" t="str">
        <f t="shared" si="259"/>
        <v/>
      </c>
      <c r="BG379" s="51" t="str">
        <f t="shared" si="260"/>
        <v/>
      </c>
      <c r="BH379" s="51" t="b">
        <f t="shared" si="261"/>
        <v>0</v>
      </c>
      <c r="BI379" s="51" t="str">
        <f t="shared" si="262"/>
        <v/>
      </c>
      <c r="BJ379" s="51" t="str">
        <f t="shared" si="263"/>
        <v/>
      </c>
      <c r="BK379" s="51" t="b">
        <f t="shared" si="264"/>
        <v>0</v>
      </c>
      <c r="BL379" s="192"/>
    </row>
    <row r="380" spans="1:64" ht="13.5" thickBot="1" x14ac:dyDescent="0.25">
      <c r="A380" s="185" t="s">
        <v>1061</v>
      </c>
      <c r="B380" s="194" t="s">
        <v>695</v>
      </c>
      <c r="C380" s="194" t="s">
        <v>695</v>
      </c>
      <c r="D380" s="194" t="s">
        <v>695</v>
      </c>
      <c r="E380" s="193" t="s">
        <v>694</v>
      </c>
      <c r="F380" s="160" t="s">
        <v>20</v>
      </c>
      <c r="G380" s="161"/>
      <c r="H380" s="186" t="str">
        <f t="shared" si="222"/>
        <v>N/A</v>
      </c>
      <c r="I380" s="186" t="b">
        <f t="shared" si="223"/>
        <v>1</v>
      </c>
      <c r="J380" s="186" t="str">
        <f t="shared" si="224"/>
        <v>N/A</v>
      </c>
      <c r="K380" s="186" t="b">
        <f t="shared" si="225"/>
        <v>1</v>
      </c>
      <c r="L380" s="186" t="str">
        <f t="shared" si="226"/>
        <v>N/A</v>
      </c>
      <c r="M380" s="186" t="b">
        <f t="shared" si="227"/>
        <v>1</v>
      </c>
      <c r="N380" s="186" t="str">
        <f t="shared" si="228"/>
        <v>Used?</v>
      </c>
      <c r="O380" s="186" t="b">
        <f t="shared" si="229"/>
        <v>0</v>
      </c>
      <c r="P380" s="26" t="s">
        <v>696</v>
      </c>
      <c r="Q380" s="160" t="s">
        <v>20</v>
      </c>
      <c r="R380" s="160" t="s">
        <v>20</v>
      </c>
      <c r="S380" s="26" t="s">
        <v>697</v>
      </c>
      <c r="T380" s="165" t="str">
        <f t="shared" si="230"/>
        <v>Not Used</v>
      </c>
      <c r="U380" s="162"/>
      <c r="V380" s="55"/>
      <c r="W380" s="51" t="b">
        <f t="shared" si="231"/>
        <v>1</v>
      </c>
      <c r="X380" s="51" t="str">
        <f t="shared" si="232"/>
        <v>Not Used</v>
      </c>
      <c r="Y380" s="51" t="str">
        <f t="shared" si="233"/>
        <v>Not Used</v>
      </c>
      <c r="Z380" s="51" t="str">
        <f t="shared" si="234"/>
        <v>Not Used</v>
      </c>
      <c r="AA380" s="51" t="str">
        <f t="shared" si="234"/>
        <v>Not Used</v>
      </c>
      <c r="AB380" s="51" t="str">
        <f t="shared" si="235"/>
        <v>Not Used</v>
      </c>
      <c r="AC380" s="51" t="b">
        <f t="shared" si="236"/>
        <v>1</v>
      </c>
      <c r="AD380" s="51">
        <f>COUNTIF($X$5:$X$380, "Not Used")</f>
        <v>376</v>
      </c>
      <c r="AE380" s="51">
        <f>COUNTIF($X$5:$X$380, "TRUE")</f>
        <v>0</v>
      </c>
      <c r="AF380" s="51" t="b">
        <f t="shared" si="237"/>
        <v>1</v>
      </c>
      <c r="AI380" s="51" t="b">
        <f t="shared" si="238"/>
        <v>0</v>
      </c>
      <c r="AJ380" s="51" t="b">
        <f t="shared" si="239"/>
        <v>0</v>
      </c>
      <c r="AK380" s="51" t="b">
        <f t="shared" si="240"/>
        <v>0</v>
      </c>
      <c r="AL380" s="51" t="b">
        <f t="shared" si="241"/>
        <v>0</v>
      </c>
      <c r="AM380" s="51" t="b">
        <f t="shared" si="242"/>
        <v>0</v>
      </c>
      <c r="AN380" s="51"/>
      <c r="AO380" s="51" t="b">
        <f t="shared" si="243"/>
        <v>0</v>
      </c>
      <c r="AP380" s="51" t="str">
        <f t="shared" si="265"/>
        <v>Not in MMS</v>
      </c>
      <c r="AQ380" s="51" t="b">
        <f t="shared" si="244"/>
        <v>0</v>
      </c>
      <c r="AR380" s="51" t="b">
        <f t="shared" si="245"/>
        <v>0</v>
      </c>
      <c r="AS380" s="51" t="str">
        <f t="shared" si="246"/>
        <v/>
      </c>
      <c r="AT380" s="51" t="str">
        <f t="shared" si="247"/>
        <v/>
      </c>
      <c r="AU380" s="51" t="str">
        <f t="shared" si="248"/>
        <v/>
      </c>
      <c r="AV380" s="51" t="str">
        <f t="shared" si="249"/>
        <v/>
      </c>
      <c r="AW380" s="51" t="str">
        <f t="shared" si="250"/>
        <v/>
      </c>
      <c r="AX380" s="51" t="str">
        <f t="shared" si="251"/>
        <v/>
      </c>
      <c r="AY380" s="51" t="str">
        <f t="shared" si="252"/>
        <v/>
      </c>
      <c r="AZ380" s="51" t="str">
        <f t="shared" si="253"/>
        <v/>
      </c>
      <c r="BA380" s="51" t="str">
        <f t="shared" si="254"/>
        <v/>
      </c>
      <c r="BB380" s="51" t="str">
        <f t="shared" si="255"/>
        <v/>
      </c>
      <c r="BC380" s="51" t="str">
        <f t="shared" si="256"/>
        <v/>
      </c>
      <c r="BD380" s="51" t="str">
        <f t="shared" si="257"/>
        <v/>
      </c>
      <c r="BE380" s="51" t="str">
        <f t="shared" si="258"/>
        <v/>
      </c>
      <c r="BF380" s="51" t="str">
        <f t="shared" si="259"/>
        <v/>
      </c>
      <c r="BG380" s="51" t="str">
        <f t="shared" si="260"/>
        <v/>
      </c>
      <c r="BH380" s="51" t="b">
        <f t="shared" si="261"/>
        <v>0</v>
      </c>
      <c r="BI380" s="51" t="str">
        <f t="shared" si="262"/>
        <v/>
      </c>
      <c r="BJ380" s="51" t="str">
        <f t="shared" si="263"/>
        <v/>
      </c>
      <c r="BK380" s="51" t="b">
        <f t="shared" si="264"/>
        <v>0</v>
      </c>
      <c r="BL380" s="192"/>
    </row>
    <row r="381" spans="1:64" ht="13.5" thickBot="1" x14ac:dyDescent="0.25">
      <c r="A381" s="185" t="s">
        <v>1062</v>
      </c>
      <c r="B381" s="194" t="s">
        <v>695</v>
      </c>
      <c r="C381" s="194" t="s">
        <v>695</v>
      </c>
      <c r="D381" s="194" t="s">
        <v>695</v>
      </c>
      <c r="E381" s="193" t="s">
        <v>694</v>
      </c>
      <c r="F381" s="160" t="s">
        <v>20</v>
      </c>
      <c r="G381" s="161"/>
      <c r="H381" s="186" t="str">
        <f t="shared" si="222"/>
        <v>N/A</v>
      </c>
      <c r="I381" s="186" t="b">
        <f t="shared" si="223"/>
        <v>1</v>
      </c>
      <c r="J381" s="186" t="str">
        <f t="shared" si="224"/>
        <v>N/A</v>
      </c>
      <c r="K381" s="186" t="b">
        <f t="shared" si="225"/>
        <v>1</v>
      </c>
      <c r="L381" s="186" t="str">
        <f t="shared" si="226"/>
        <v>N/A</v>
      </c>
      <c r="M381" s="186" t="b">
        <f t="shared" si="227"/>
        <v>1</v>
      </c>
      <c r="N381" s="186" t="str">
        <f t="shared" si="228"/>
        <v>Used?</v>
      </c>
      <c r="O381" s="186" t="b">
        <f t="shared" si="229"/>
        <v>0</v>
      </c>
      <c r="P381" s="26" t="s">
        <v>696</v>
      </c>
      <c r="Q381" s="160" t="s">
        <v>20</v>
      </c>
      <c r="R381" s="160" t="s">
        <v>20</v>
      </c>
      <c r="S381" s="26" t="s">
        <v>697</v>
      </c>
      <c r="T381" s="165" t="str">
        <f t="shared" si="230"/>
        <v>Not Used</v>
      </c>
      <c r="U381" s="162"/>
      <c r="V381" s="55"/>
      <c r="W381" s="51" t="b">
        <f t="shared" si="231"/>
        <v>1</v>
      </c>
      <c r="X381" s="51" t="str">
        <f t="shared" si="232"/>
        <v>Not Used</v>
      </c>
      <c r="Y381" s="51" t="str">
        <f t="shared" si="233"/>
        <v>Not Used</v>
      </c>
      <c r="Z381" s="51" t="str">
        <f t="shared" si="234"/>
        <v>Not Used</v>
      </c>
      <c r="AA381" s="51" t="str">
        <f t="shared" si="234"/>
        <v>Not Used</v>
      </c>
      <c r="AB381" s="51" t="str">
        <f t="shared" si="235"/>
        <v>Not Used</v>
      </c>
      <c r="AC381" s="51" t="b">
        <f t="shared" si="236"/>
        <v>1</v>
      </c>
      <c r="AD381" s="51">
        <f>COUNTIF($X$5:$X$381, "Not Used")</f>
        <v>377</v>
      </c>
      <c r="AE381" s="51">
        <f>COUNTIF($X$5:$X$381, "TRUE")</f>
        <v>0</v>
      </c>
      <c r="AF381" s="51" t="b">
        <f t="shared" si="237"/>
        <v>1</v>
      </c>
      <c r="AI381" s="51" t="b">
        <f t="shared" si="238"/>
        <v>0</v>
      </c>
      <c r="AJ381" s="51" t="b">
        <f t="shared" si="239"/>
        <v>0</v>
      </c>
      <c r="AK381" s="51" t="b">
        <f t="shared" si="240"/>
        <v>0</v>
      </c>
      <c r="AL381" s="51" t="b">
        <f t="shared" si="241"/>
        <v>0</v>
      </c>
      <c r="AM381" s="51" t="b">
        <f t="shared" si="242"/>
        <v>0</v>
      </c>
      <c r="AN381" s="51"/>
      <c r="AO381" s="51" t="b">
        <f t="shared" si="243"/>
        <v>0</v>
      </c>
      <c r="AP381" s="51" t="str">
        <f t="shared" si="265"/>
        <v>Not in MMS</v>
      </c>
      <c r="AQ381" s="51" t="b">
        <f t="shared" si="244"/>
        <v>0</v>
      </c>
      <c r="AR381" s="51" t="b">
        <f t="shared" si="245"/>
        <v>0</v>
      </c>
      <c r="AS381" s="51" t="str">
        <f t="shared" si="246"/>
        <v/>
      </c>
      <c r="AT381" s="51" t="str">
        <f t="shared" si="247"/>
        <v/>
      </c>
      <c r="AU381" s="51" t="str">
        <f t="shared" si="248"/>
        <v/>
      </c>
      <c r="AV381" s="51" t="str">
        <f t="shared" si="249"/>
        <v/>
      </c>
      <c r="AW381" s="51" t="str">
        <f t="shared" si="250"/>
        <v/>
      </c>
      <c r="AX381" s="51" t="str">
        <f t="shared" si="251"/>
        <v/>
      </c>
      <c r="AY381" s="51" t="str">
        <f t="shared" si="252"/>
        <v/>
      </c>
      <c r="AZ381" s="51" t="str">
        <f t="shared" si="253"/>
        <v/>
      </c>
      <c r="BA381" s="51" t="str">
        <f t="shared" si="254"/>
        <v/>
      </c>
      <c r="BB381" s="51" t="str">
        <f t="shared" si="255"/>
        <v/>
      </c>
      <c r="BC381" s="51" t="str">
        <f t="shared" si="256"/>
        <v/>
      </c>
      <c r="BD381" s="51" t="str">
        <f t="shared" si="257"/>
        <v/>
      </c>
      <c r="BE381" s="51" t="str">
        <f t="shared" si="258"/>
        <v/>
      </c>
      <c r="BF381" s="51" t="str">
        <f t="shared" si="259"/>
        <v/>
      </c>
      <c r="BG381" s="51" t="str">
        <f t="shared" si="260"/>
        <v/>
      </c>
      <c r="BH381" s="51" t="b">
        <f t="shared" si="261"/>
        <v>0</v>
      </c>
      <c r="BI381" s="51" t="str">
        <f t="shared" si="262"/>
        <v/>
      </c>
      <c r="BJ381" s="51" t="str">
        <f t="shared" si="263"/>
        <v/>
      </c>
      <c r="BK381" s="51" t="b">
        <f t="shared" si="264"/>
        <v>0</v>
      </c>
      <c r="BL381" s="192"/>
    </row>
    <row r="382" spans="1:64" ht="13.5" thickBot="1" x14ac:dyDescent="0.25">
      <c r="A382" s="185" t="s">
        <v>1063</v>
      </c>
      <c r="B382" s="194" t="s">
        <v>695</v>
      </c>
      <c r="C382" s="194" t="s">
        <v>695</v>
      </c>
      <c r="D382" s="194" t="s">
        <v>695</v>
      </c>
      <c r="E382" s="193" t="s">
        <v>694</v>
      </c>
      <c r="F382" s="160" t="s">
        <v>20</v>
      </c>
      <c r="G382" s="161"/>
      <c r="H382" s="186" t="str">
        <f t="shared" si="222"/>
        <v>N/A</v>
      </c>
      <c r="I382" s="186" t="b">
        <f t="shared" si="223"/>
        <v>1</v>
      </c>
      <c r="J382" s="186" t="str">
        <f t="shared" si="224"/>
        <v>N/A</v>
      </c>
      <c r="K382" s="186" t="b">
        <f t="shared" si="225"/>
        <v>1</v>
      </c>
      <c r="L382" s="186" t="str">
        <f t="shared" si="226"/>
        <v>N/A</v>
      </c>
      <c r="M382" s="186" t="b">
        <f t="shared" si="227"/>
        <v>1</v>
      </c>
      <c r="N382" s="186" t="str">
        <f t="shared" si="228"/>
        <v>Used?</v>
      </c>
      <c r="O382" s="186" t="b">
        <f t="shared" si="229"/>
        <v>0</v>
      </c>
      <c r="P382" s="26" t="s">
        <v>696</v>
      </c>
      <c r="Q382" s="160" t="s">
        <v>20</v>
      </c>
      <c r="R382" s="160" t="s">
        <v>20</v>
      </c>
      <c r="S382" s="26" t="s">
        <v>697</v>
      </c>
      <c r="T382" s="165" t="str">
        <f t="shared" si="230"/>
        <v>Not Used</v>
      </c>
      <c r="U382" s="162"/>
      <c r="V382" s="55"/>
      <c r="W382" s="51" t="b">
        <f t="shared" si="231"/>
        <v>1</v>
      </c>
      <c r="X382" s="51" t="str">
        <f t="shared" si="232"/>
        <v>Not Used</v>
      </c>
      <c r="Y382" s="51" t="str">
        <f t="shared" si="233"/>
        <v>Not Used</v>
      </c>
      <c r="Z382" s="51" t="str">
        <f t="shared" si="234"/>
        <v>Not Used</v>
      </c>
      <c r="AA382" s="51" t="str">
        <f t="shared" si="234"/>
        <v>Not Used</v>
      </c>
      <c r="AB382" s="51" t="str">
        <f t="shared" si="235"/>
        <v>Not Used</v>
      </c>
      <c r="AC382" s="51" t="b">
        <f t="shared" si="236"/>
        <v>1</v>
      </c>
      <c r="AD382" s="51">
        <f>COUNTIF($X$5:$X$382, "Not Used")</f>
        <v>378</v>
      </c>
      <c r="AE382" s="51">
        <f>COUNTIF($X$5:$X$382, "TRUE")</f>
        <v>0</v>
      </c>
      <c r="AF382" s="51" t="b">
        <f t="shared" si="237"/>
        <v>1</v>
      </c>
      <c r="AI382" s="51" t="b">
        <f t="shared" si="238"/>
        <v>0</v>
      </c>
      <c r="AJ382" s="51" t="b">
        <f t="shared" si="239"/>
        <v>0</v>
      </c>
      <c r="AK382" s="51" t="b">
        <f t="shared" si="240"/>
        <v>0</v>
      </c>
      <c r="AL382" s="51" t="b">
        <f t="shared" si="241"/>
        <v>0</v>
      </c>
      <c r="AM382" s="51" t="b">
        <f t="shared" si="242"/>
        <v>0</v>
      </c>
      <c r="AN382" s="51"/>
      <c r="AO382" s="51" t="b">
        <f t="shared" si="243"/>
        <v>0</v>
      </c>
      <c r="AP382" s="51" t="str">
        <f t="shared" si="265"/>
        <v>Not in MMS</v>
      </c>
      <c r="AQ382" s="51" t="b">
        <f t="shared" si="244"/>
        <v>0</v>
      </c>
      <c r="AR382" s="51" t="b">
        <f t="shared" si="245"/>
        <v>0</v>
      </c>
      <c r="AS382" s="51" t="str">
        <f t="shared" si="246"/>
        <v/>
      </c>
      <c r="AT382" s="51" t="str">
        <f t="shared" si="247"/>
        <v/>
      </c>
      <c r="AU382" s="51" t="str">
        <f t="shared" si="248"/>
        <v/>
      </c>
      <c r="AV382" s="51" t="str">
        <f t="shared" si="249"/>
        <v/>
      </c>
      <c r="AW382" s="51" t="str">
        <f t="shared" si="250"/>
        <v/>
      </c>
      <c r="AX382" s="51" t="str">
        <f t="shared" si="251"/>
        <v/>
      </c>
      <c r="AY382" s="51" t="str">
        <f t="shared" si="252"/>
        <v/>
      </c>
      <c r="AZ382" s="51" t="str">
        <f t="shared" si="253"/>
        <v/>
      </c>
      <c r="BA382" s="51" t="str">
        <f t="shared" si="254"/>
        <v/>
      </c>
      <c r="BB382" s="51" t="str">
        <f t="shared" si="255"/>
        <v/>
      </c>
      <c r="BC382" s="51" t="str">
        <f t="shared" si="256"/>
        <v/>
      </c>
      <c r="BD382" s="51" t="str">
        <f t="shared" si="257"/>
        <v/>
      </c>
      <c r="BE382" s="51" t="str">
        <f t="shared" si="258"/>
        <v/>
      </c>
      <c r="BF382" s="51" t="str">
        <f t="shared" si="259"/>
        <v/>
      </c>
      <c r="BG382" s="51" t="str">
        <f t="shared" si="260"/>
        <v/>
      </c>
      <c r="BH382" s="51" t="b">
        <f t="shared" si="261"/>
        <v>0</v>
      </c>
      <c r="BI382" s="51" t="str">
        <f t="shared" si="262"/>
        <v/>
      </c>
      <c r="BJ382" s="51" t="str">
        <f t="shared" si="263"/>
        <v/>
      </c>
      <c r="BK382" s="51" t="b">
        <f t="shared" si="264"/>
        <v>0</v>
      </c>
      <c r="BL382" s="192"/>
    </row>
    <row r="383" spans="1:64" ht="13.5" thickBot="1" x14ac:dyDescent="0.25">
      <c r="A383" s="185" t="s">
        <v>1064</v>
      </c>
      <c r="B383" s="194" t="s">
        <v>695</v>
      </c>
      <c r="C383" s="194" t="s">
        <v>695</v>
      </c>
      <c r="D383" s="194" t="s">
        <v>695</v>
      </c>
      <c r="E383" s="193" t="s">
        <v>694</v>
      </c>
      <c r="F383" s="160" t="s">
        <v>20</v>
      </c>
      <c r="G383" s="161"/>
      <c r="H383" s="186" t="str">
        <f t="shared" si="222"/>
        <v>N/A</v>
      </c>
      <c r="I383" s="186" t="b">
        <f t="shared" si="223"/>
        <v>1</v>
      </c>
      <c r="J383" s="186" t="str">
        <f t="shared" si="224"/>
        <v>N/A</v>
      </c>
      <c r="K383" s="186" t="b">
        <f t="shared" si="225"/>
        <v>1</v>
      </c>
      <c r="L383" s="186" t="str">
        <f t="shared" si="226"/>
        <v>N/A</v>
      </c>
      <c r="M383" s="186" t="b">
        <f t="shared" si="227"/>
        <v>1</v>
      </c>
      <c r="N383" s="186" t="str">
        <f t="shared" si="228"/>
        <v>Used?</v>
      </c>
      <c r="O383" s="186" t="b">
        <f t="shared" si="229"/>
        <v>0</v>
      </c>
      <c r="P383" s="26" t="s">
        <v>696</v>
      </c>
      <c r="Q383" s="160" t="s">
        <v>20</v>
      </c>
      <c r="R383" s="160" t="s">
        <v>20</v>
      </c>
      <c r="S383" s="26" t="s">
        <v>697</v>
      </c>
      <c r="T383" s="165" t="str">
        <f t="shared" si="230"/>
        <v>Not Used</v>
      </c>
      <c r="U383" s="162"/>
      <c r="V383" s="55"/>
      <c r="W383" s="51" t="b">
        <f t="shared" si="231"/>
        <v>1</v>
      </c>
      <c r="X383" s="51" t="str">
        <f t="shared" si="232"/>
        <v>Not Used</v>
      </c>
      <c r="Y383" s="51" t="str">
        <f t="shared" si="233"/>
        <v>Not Used</v>
      </c>
      <c r="Z383" s="51" t="str">
        <f t="shared" si="234"/>
        <v>Not Used</v>
      </c>
      <c r="AA383" s="51" t="str">
        <f t="shared" si="234"/>
        <v>Not Used</v>
      </c>
      <c r="AB383" s="51" t="str">
        <f t="shared" si="235"/>
        <v>Not Used</v>
      </c>
      <c r="AC383" s="51" t="b">
        <f t="shared" si="236"/>
        <v>1</v>
      </c>
      <c r="AD383" s="51">
        <f>COUNTIF($X$5:$X$383, "Not Used")</f>
        <v>379</v>
      </c>
      <c r="AE383" s="51">
        <f>COUNTIF($X$5:$X$383, "TRUE")</f>
        <v>0</v>
      </c>
      <c r="AF383" s="51" t="b">
        <f t="shared" si="237"/>
        <v>1</v>
      </c>
      <c r="AI383" s="51" t="b">
        <f t="shared" si="238"/>
        <v>0</v>
      </c>
      <c r="AJ383" s="51" t="b">
        <f t="shared" si="239"/>
        <v>0</v>
      </c>
      <c r="AK383" s="51" t="b">
        <f t="shared" si="240"/>
        <v>0</v>
      </c>
      <c r="AL383" s="51" t="b">
        <f t="shared" si="241"/>
        <v>0</v>
      </c>
      <c r="AM383" s="51" t="b">
        <f t="shared" si="242"/>
        <v>0</v>
      </c>
      <c r="AN383" s="51"/>
      <c r="AO383" s="51" t="b">
        <f t="shared" si="243"/>
        <v>0</v>
      </c>
      <c r="AP383" s="51" t="str">
        <f t="shared" si="265"/>
        <v>Not in MMS</v>
      </c>
      <c r="AQ383" s="51" t="b">
        <f t="shared" si="244"/>
        <v>0</v>
      </c>
      <c r="AR383" s="51" t="b">
        <f t="shared" si="245"/>
        <v>0</v>
      </c>
      <c r="AS383" s="51" t="str">
        <f t="shared" si="246"/>
        <v/>
      </c>
      <c r="AT383" s="51" t="str">
        <f t="shared" si="247"/>
        <v/>
      </c>
      <c r="AU383" s="51" t="str">
        <f t="shared" si="248"/>
        <v/>
      </c>
      <c r="AV383" s="51" t="str">
        <f t="shared" si="249"/>
        <v/>
      </c>
      <c r="AW383" s="51" t="str">
        <f t="shared" si="250"/>
        <v/>
      </c>
      <c r="AX383" s="51" t="str">
        <f t="shared" si="251"/>
        <v/>
      </c>
      <c r="AY383" s="51" t="str">
        <f t="shared" si="252"/>
        <v/>
      </c>
      <c r="AZ383" s="51" t="str">
        <f t="shared" si="253"/>
        <v/>
      </c>
      <c r="BA383" s="51" t="str">
        <f t="shared" si="254"/>
        <v/>
      </c>
      <c r="BB383" s="51" t="str">
        <f t="shared" si="255"/>
        <v/>
      </c>
      <c r="BC383" s="51" t="str">
        <f t="shared" si="256"/>
        <v/>
      </c>
      <c r="BD383" s="51" t="str">
        <f t="shared" si="257"/>
        <v/>
      </c>
      <c r="BE383" s="51" t="str">
        <f t="shared" si="258"/>
        <v/>
      </c>
      <c r="BF383" s="51" t="str">
        <f t="shared" si="259"/>
        <v/>
      </c>
      <c r="BG383" s="51" t="str">
        <f t="shared" si="260"/>
        <v/>
      </c>
      <c r="BH383" s="51" t="b">
        <f t="shared" si="261"/>
        <v>0</v>
      </c>
      <c r="BI383" s="51" t="str">
        <f t="shared" si="262"/>
        <v/>
      </c>
      <c r="BJ383" s="51" t="str">
        <f t="shared" si="263"/>
        <v/>
      </c>
      <c r="BK383" s="51" t="b">
        <f t="shared" si="264"/>
        <v>0</v>
      </c>
      <c r="BL383" s="192"/>
    </row>
    <row r="384" spans="1:64" ht="13.5" thickBot="1" x14ac:dyDescent="0.25">
      <c r="A384" s="185" t="s">
        <v>1065</v>
      </c>
      <c r="B384" s="194" t="s">
        <v>695</v>
      </c>
      <c r="C384" s="194" t="s">
        <v>695</v>
      </c>
      <c r="D384" s="194" t="s">
        <v>695</v>
      </c>
      <c r="E384" s="193" t="s">
        <v>694</v>
      </c>
      <c r="F384" s="160" t="s">
        <v>20</v>
      </c>
      <c r="G384" s="161"/>
      <c r="H384" s="186" t="str">
        <f t="shared" si="222"/>
        <v>N/A</v>
      </c>
      <c r="I384" s="186" t="b">
        <f t="shared" si="223"/>
        <v>1</v>
      </c>
      <c r="J384" s="186" t="str">
        <f t="shared" si="224"/>
        <v>N/A</v>
      </c>
      <c r="K384" s="186" t="b">
        <f t="shared" si="225"/>
        <v>1</v>
      </c>
      <c r="L384" s="186" t="str">
        <f t="shared" si="226"/>
        <v>N/A</v>
      </c>
      <c r="M384" s="186" t="b">
        <f t="shared" si="227"/>
        <v>1</v>
      </c>
      <c r="N384" s="186" t="str">
        <f t="shared" si="228"/>
        <v>Used?</v>
      </c>
      <c r="O384" s="186" t="b">
        <f t="shared" si="229"/>
        <v>0</v>
      </c>
      <c r="P384" s="26" t="s">
        <v>696</v>
      </c>
      <c r="Q384" s="160" t="s">
        <v>20</v>
      </c>
      <c r="R384" s="160" t="s">
        <v>20</v>
      </c>
      <c r="S384" s="26" t="s">
        <v>697</v>
      </c>
      <c r="T384" s="165" t="str">
        <f t="shared" si="230"/>
        <v>Not Used</v>
      </c>
      <c r="U384" s="162"/>
      <c r="V384" s="55"/>
      <c r="W384" s="51" t="b">
        <f t="shared" si="231"/>
        <v>1</v>
      </c>
      <c r="X384" s="51" t="str">
        <f t="shared" si="232"/>
        <v>Not Used</v>
      </c>
      <c r="Y384" s="51" t="str">
        <f t="shared" si="233"/>
        <v>Not Used</v>
      </c>
      <c r="Z384" s="51" t="str">
        <f t="shared" si="234"/>
        <v>Not Used</v>
      </c>
      <c r="AA384" s="51" t="str">
        <f t="shared" si="234"/>
        <v>Not Used</v>
      </c>
      <c r="AB384" s="51" t="str">
        <f t="shared" si="235"/>
        <v>Not Used</v>
      </c>
      <c r="AC384" s="51" t="b">
        <f t="shared" si="236"/>
        <v>1</v>
      </c>
      <c r="AD384" s="51">
        <f>COUNTIF($X$5:$X$384, "Not Used")</f>
        <v>380</v>
      </c>
      <c r="AE384" s="51">
        <f>COUNTIF($X$5:$X$384, "TRUE")</f>
        <v>0</v>
      </c>
      <c r="AF384" s="51" t="b">
        <f t="shared" si="237"/>
        <v>1</v>
      </c>
      <c r="AI384" s="51" t="b">
        <f t="shared" si="238"/>
        <v>0</v>
      </c>
      <c r="AJ384" s="51" t="b">
        <f t="shared" si="239"/>
        <v>0</v>
      </c>
      <c r="AK384" s="51" t="b">
        <f t="shared" si="240"/>
        <v>0</v>
      </c>
      <c r="AL384" s="51" t="b">
        <f t="shared" si="241"/>
        <v>0</v>
      </c>
      <c r="AM384" s="51" t="b">
        <f t="shared" si="242"/>
        <v>0</v>
      </c>
      <c r="AN384" s="51"/>
      <c r="AO384" s="51" t="b">
        <f t="shared" si="243"/>
        <v>0</v>
      </c>
      <c r="AP384" s="51" t="str">
        <f t="shared" si="265"/>
        <v>Not in MMS</v>
      </c>
      <c r="AQ384" s="51" t="b">
        <f t="shared" si="244"/>
        <v>0</v>
      </c>
      <c r="AR384" s="51" t="b">
        <f t="shared" si="245"/>
        <v>0</v>
      </c>
      <c r="AS384" s="51" t="str">
        <f t="shared" si="246"/>
        <v/>
      </c>
      <c r="AT384" s="51" t="str">
        <f t="shared" si="247"/>
        <v/>
      </c>
      <c r="AU384" s="51" t="str">
        <f t="shared" si="248"/>
        <v/>
      </c>
      <c r="AV384" s="51" t="str">
        <f t="shared" si="249"/>
        <v/>
      </c>
      <c r="AW384" s="51" t="str">
        <f t="shared" si="250"/>
        <v/>
      </c>
      <c r="AX384" s="51" t="str">
        <f t="shared" si="251"/>
        <v/>
      </c>
      <c r="AY384" s="51" t="str">
        <f t="shared" si="252"/>
        <v/>
      </c>
      <c r="AZ384" s="51" t="str">
        <f t="shared" si="253"/>
        <v/>
      </c>
      <c r="BA384" s="51" t="str">
        <f t="shared" si="254"/>
        <v/>
      </c>
      <c r="BB384" s="51" t="str">
        <f t="shared" si="255"/>
        <v/>
      </c>
      <c r="BC384" s="51" t="str">
        <f t="shared" si="256"/>
        <v/>
      </c>
      <c r="BD384" s="51" t="str">
        <f t="shared" si="257"/>
        <v/>
      </c>
      <c r="BE384" s="51" t="str">
        <f t="shared" si="258"/>
        <v/>
      </c>
      <c r="BF384" s="51" t="str">
        <f t="shared" si="259"/>
        <v/>
      </c>
      <c r="BG384" s="51" t="str">
        <f t="shared" si="260"/>
        <v/>
      </c>
      <c r="BH384" s="51" t="b">
        <f t="shared" si="261"/>
        <v>0</v>
      </c>
      <c r="BI384" s="51" t="str">
        <f t="shared" si="262"/>
        <v/>
      </c>
      <c r="BJ384" s="51" t="str">
        <f t="shared" si="263"/>
        <v/>
      </c>
      <c r="BK384" s="51" t="b">
        <f t="shared" si="264"/>
        <v>0</v>
      </c>
      <c r="BL384" s="192"/>
    </row>
    <row r="385" spans="1:64" ht="13.5" thickBot="1" x14ac:dyDescent="0.25">
      <c r="A385" s="185" t="s">
        <v>1066</v>
      </c>
      <c r="B385" s="194" t="s">
        <v>695</v>
      </c>
      <c r="C385" s="194" t="s">
        <v>695</v>
      </c>
      <c r="D385" s="194" t="s">
        <v>695</v>
      </c>
      <c r="E385" s="193" t="s">
        <v>694</v>
      </c>
      <c r="F385" s="160" t="s">
        <v>20</v>
      </c>
      <c r="G385" s="161"/>
      <c r="H385" s="186" t="str">
        <f t="shared" si="222"/>
        <v>N/A</v>
      </c>
      <c r="I385" s="186" t="b">
        <f t="shared" si="223"/>
        <v>1</v>
      </c>
      <c r="J385" s="186" t="str">
        <f t="shared" si="224"/>
        <v>N/A</v>
      </c>
      <c r="K385" s="186" t="b">
        <f t="shared" si="225"/>
        <v>1</v>
      </c>
      <c r="L385" s="186" t="str">
        <f t="shared" si="226"/>
        <v>N/A</v>
      </c>
      <c r="M385" s="186" t="b">
        <f t="shared" si="227"/>
        <v>1</v>
      </c>
      <c r="N385" s="186" t="str">
        <f t="shared" si="228"/>
        <v>Used?</v>
      </c>
      <c r="O385" s="186" t="b">
        <f t="shared" si="229"/>
        <v>0</v>
      </c>
      <c r="P385" s="26" t="s">
        <v>696</v>
      </c>
      <c r="Q385" s="160" t="s">
        <v>20</v>
      </c>
      <c r="R385" s="160" t="s">
        <v>20</v>
      </c>
      <c r="S385" s="26" t="s">
        <v>697</v>
      </c>
      <c r="T385" s="165" t="str">
        <f t="shared" si="230"/>
        <v>Not Used</v>
      </c>
      <c r="U385" s="162"/>
      <c r="V385" s="55"/>
      <c r="W385" s="51" t="b">
        <f t="shared" si="231"/>
        <v>1</v>
      </c>
      <c r="X385" s="51" t="str">
        <f t="shared" si="232"/>
        <v>Not Used</v>
      </c>
      <c r="Y385" s="51" t="str">
        <f t="shared" si="233"/>
        <v>Not Used</v>
      </c>
      <c r="Z385" s="51" t="str">
        <f t="shared" si="234"/>
        <v>Not Used</v>
      </c>
      <c r="AA385" s="51" t="str">
        <f t="shared" si="234"/>
        <v>Not Used</v>
      </c>
      <c r="AB385" s="51" t="str">
        <f t="shared" si="235"/>
        <v>Not Used</v>
      </c>
      <c r="AC385" s="51" t="b">
        <f t="shared" si="236"/>
        <v>1</v>
      </c>
      <c r="AD385" s="51">
        <f>COUNTIF($X$5:$X$385, "Not Used")</f>
        <v>381</v>
      </c>
      <c r="AE385" s="51">
        <f>COUNTIF($X$5:$X$385, "TRUE")</f>
        <v>0</v>
      </c>
      <c r="AF385" s="51" t="b">
        <f t="shared" si="237"/>
        <v>1</v>
      </c>
      <c r="AI385" s="51" t="b">
        <f t="shared" si="238"/>
        <v>0</v>
      </c>
      <c r="AJ385" s="51" t="b">
        <f t="shared" si="239"/>
        <v>0</v>
      </c>
      <c r="AK385" s="51" t="b">
        <f t="shared" si="240"/>
        <v>0</v>
      </c>
      <c r="AL385" s="51" t="b">
        <f t="shared" si="241"/>
        <v>0</v>
      </c>
      <c r="AM385" s="51" t="b">
        <f t="shared" si="242"/>
        <v>0</v>
      </c>
      <c r="AN385" s="51"/>
      <c r="AO385" s="51" t="b">
        <f t="shared" si="243"/>
        <v>0</v>
      </c>
      <c r="AP385" s="51" t="str">
        <f t="shared" si="265"/>
        <v>Not in MMS</v>
      </c>
      <c r="AQ385" s="51" t="b">
        <f t="shared" si="244"/>
        <v>0</v>
      </c>
      <c r="AR385" s="51" t="b">
        <f t="shared" si="245"/>
        <v>0</v>
      </c>
      <c r="AS385" s="51" t="str">
        <f t="shared" si="246"/>
        <v/>
      </c>
      <c r="AT385" s="51" t="str">
        <f t="shared" si="247"/>
        <v/>
      </c>
      <c r="AU385" s="51" t="str">
        <f t="shared" si="248"/>
        <v/>
      </c>
      <c r="AV385" s="51" t="str">
        <f t="shared" si="249"/>
        <v/>
      </c>
      <c r="AW385" s="51" t="str">
        <f t="shared" si="250"/>
        <v/>
      </c>
      <c r="AX385" s="51" t="str">
        <f t="shared" si="251"/>
        <v/>
      </c>
      <c r="AY385" s="51" t="str">
        <f t="shared" si="252"/>
        <v/>
      </c>
      <c r="AZ385" s="51" t="str">
        <f t="shared" si="253"/>
        <v/>
      </c>
      <c r="BA385" s="51" t="str">
        <f t="shared" si="254"/>
        <v/>
      </c>
      <c r="BB385" s="51" t="str">
        <f t="shared" si="255"/>
        <v/>
      </c>
      <c r="BC385" s="51" t="str">
        <f t="shared" si="256"/>
        <v/>
      </c>
      <c r="BD385" s="51" t="str">
        <f t="shared" si="257"/>
        <v/>
      </c>
      <c r="BE385" s="51" t="str">
        <f t="shared" si="258"/>
        <v/>
      </c>
      <c r="BF385" s="51" t="str">
        <f t="shared" si="259"/>
        <v/>
      </c>
      <c r="BG385" s="51" t="str">
        <f t="shared" si="260"/>
        <v/>
      </c>
      <c r="BH385" s="51" t="b">
        <f t="shared" si="261"/>
        <v>0</v>
      </c>
      <c r="BI385" s="51" t="str">
        <f t="shared" si="262"/>
        <v/>
      </c>
      <c r="BJ385" s="51" t="str">
        <f t="shared" si="263"/>
        <v/>
      </c>
      <c r="BK385" s="51" t="b">
        <f t="shared" si="264"/>
        <v>0</v>
      </c>
      <c r="BL385" s="192"/>
    </row>
    <row r="386" spans="1:64" ht="13.5" thickBot="1" x14ac:dyDescent="0.25">
      <c r="A386" s="185" t="s">
        <v>1067</v>
      </c>
      <c r="B386" s="194" t="s">
        <v>695</v>
      </c>
      <c r="C386" s="194" t="s">
        <v>695</v>
      </c>
      <c r="D386" s="194" t="s">
        <v>695</v>
      </c>
      <c r="E386" s="193" t="s">
        <v>694</v>
      </c>
      <c r="F386" s="160" t="s">
        <v>20</v>
      </c>
      <c r="G386" s="161"/>
      <c r="H386" s="186" t="str">
        <f t="shared" si="222"/>
        <v>N/A</v>
      </c>
      <c r="I386" s="186" t="b">
        <f t="shared" si="223"/>
        <v>1</v>
      </c>
      <c r="J386" s="186" t="str">
        <f t="shared" si="224"/>
        <v>N/A</v>
      </c>
      <c r="K386" s="186" t="b">
        <f t="shared" si="225"/>
        <v>1</v>
      </c>
      <c r="L386" s="186" t="str">
        <f t="shared" si="226"/>
        <v>N/A</v>
      </c>
      <c r="M386" s="186" t="b">
        <f t="shared" si="227"/>
        <v>1</v>
      </c>
      <c r="N386" s="186" t="str">
        <f t="shared" si="228"/>
        <v>Used?</v>
      </c>
      <c r="O386" s="186" t="b">
        <f t="shared" si="229"/>
        <v>0</v>
      </c>
      <c r="P386" s="26" t="s">
        <v>696</v>
      </c>
      <c r="Q386" s="160" t="s">
        <v>20</v>
      </c>
      <c r="R386" s="160" t="s">
        <v>20</v>
      </c>
      <c r="S386" s="26" t="s">
        <v>697</v>
      </c>
      <c r="T386" s="165" t="str">
        <f t="shared" si="230"/>
        <v>Not Used</v>
      </c>
      <c r="U386" s="162"/>
      <c r="V386" s="55"/>
      <c r="W386" s="51" t="b">
        <f t="shared" si="231"/>
        <v>1</v>
      </c>
      <c r="X386" s="51" t="str">
        <f t="shared" si="232"/>
        <v>Not Used</v>
      </c>
      <c r="Y386" s="51" t="str">
        <f t="shared" si="233"/>
        <v>Not Used</v>
      </c>
      <c r="Z386" s="51" t="str">
        <f t="shared" si="234"/>
        <v>Not Used</v>
      </c>
      <c r="AA386" s="51" t="str">
        <f t="shared" si="234"/>
        <v>Not Used</v>
      </c>
      <c r="AB386" s="51" t="str">
        <f t="shared" si="235"/>
        <v>Not Used</v>
      </c>
      <c r="AC386" s="51" t="b">
        <f t="shared" si="236"/>
        <v>1</v>
      </c>
      <c r="AD386" s="51">
        <f>COUNTIF($X$5:$X$386, "Not Used")</f>
        <v>382</v>
      </c>
      <c r="AE386" s="51">
        <f>COUNTIF($X$5:$X$386, "TRUE")</f>
        <v>0</v>
      </c>
      <c r="AF386" s="51" t="b">
        <f t="shared" si="237"/>
        <v>1</v>
      </c>
      <c r="AI386" s="51" t="b">
        <f t="shared" si="238"/>
        <v>0</v>
      </c>
      <c r="AJ386" s="51" t="b">
        <f t="shared" si="239"/>
        <v>0</v>
      </c>
      <c r="AK386" s="51" t="b">
        <f t="shared" si="240"/>
        <v>0</v>
      </c>
      <c r="AL386" s="51" t="b">
        <f t="shared" si="241"/>
        <v>0</v>
      </c>
      <c r="AM386" s="51" t="b">
        <f t="shared" si="242"/>
        <v>0</v>
      </c>
      <c r="AN386" s="51"/>
      <c r="AO386" s="51" t="b">
        <f t="shared" si="243"/>
        <v>0</v>
      </c>
      <c r="AP386" s="51" t="str">
        <f t="shared" si="265"/>
        <v>Not in MMS</v>
      </c>
      <c r="AQ386" s="51" t="b">
        <f t="shared" si="244"/>
        <v>0</v>
      </c>
      <c r="AR386" s="51" t="b">
        <f t="shared" si="245"/>
        <v>0</v>
      </c>
      <c r="AS386" s="51" t="str">
        <f t="shared" si="246"/>
        <v/>
      </c>
      <c r="AT386" s="51" t="str">
        <f t="shared" si="247"/>
        <v/>
      </c>
      <c r="AU386" s="51" t="str">
        <f t="shared" si="248"/>
        <v/>
      </c>
      <c r="AV386" s="51" t="str">
        <f t="shared" si="249"/>
        <v/>
      </c>
      <c r="AW386" s="51" t="str">
        <f t="shared" si="250"/>
        <v/>
      </c>
      <c r="AX386" s="51" t="str">
        <f t="shared" si="251"/>
        <v/>
      </c>
      <c r="AY386" s="51" t="str">
        <f t="shared" si="252"/>
        <v/>
      </c>
      <c r="AZ386" s="51" t="str">
        <f t="shared" si="253"/>
        <v/>
      </c>
      <c r="BA386" s="51" t="str">
        <f t="shared" si="254"/>
        <v/>
      </c>
      <c r="BB386" s="51" t="str">
        <f t="shared" si="255"/>
        <v/>
      </c>
      <c r="BC386" s="51" t="str">
        <f t="shared" si="256"/>
        <v/>
      </c>
      <c r="BD386" s="51" t="str">
        <f t="shared" si="257"/>
        <v/>
      </c>
      <c r="BE386" s="51" t="str">
        <f t="shared" si="258"/>
        <v/>
      </c>
      <c r="BF386" s="51" t="str">
        <f t="shared" si="259"/>
        <v/>
      </c>
      <c r="BG386" s="51" t="str">
        <f t="shared" si="260"/>
        <v/>
      </c>
      <c r="BH386" s="51" t="b">
        <f t="shared" si="261"/>
        <v>0</v>
      </c>
      <c r="BI386" s="51" t="str">
        <f t="shared" si="262"/>
        <v/>
      </c>
      <c r="BJ386" s="51" t="str">
        <f t="shared" si="263"/>
        <v/>
      </c>
      <c r="BK386" s="51" t="b">
        <f t="shared" si="264"/>
        <v>0</v>
      </c>
      <c r="BL386" s="192"/>
    </row>
    <row r="387" spans="1:64" ht="13.5" thickBot="1" x14ac:dyDescent="0.25">
      <c r="A387" s="185" t="s">
        <v>1902</v>
      </c>
      <c r="B387" s="194" t="s">
        <v>695</v>
      </c>
      <c r="C387" s="194" t="s">
        <v>695</v>
      </c>
      <c r="D387" s="194" t="s">
        <v>695</v>
      </c>
      <c r="E387" s="193" t="s">
        <v>694</v>
      </c>
      <c r="F387" s="160" t="s">
        <v>20</v>
      </c>
      <c r="G387" s="161"/>
      <c r="H387" s="186" t="str">
        <f t="shared" si="222"/>
        <v>N/A</v>
      </c>
      <c r="I387" s="186" t="b">
        <f t="shared" si="223"/>
        <v>1</v>
      </c>
      <c r="J387" s="186" t="str">
        <f t="shared" si="224"/>
        <v>N/A</v>
      </c>
      <c r="K387" s="186" t="b">
        <f t="shared" si="225"/>
        <v>1</v>
      </c>
      <c r="L387" s="186" t="str">
        <f t="shared" si="226"/>
        <v>N/A</v>
      </c>
      <c r="M387" s="186" t="b">
        <f t="shared" si="227"/>
        <v>1</v>
      </c>
      <c r="N387" s="186" t="str">
        <f t="shared" si="228"/>
        <v>Used?</v>
      </c>
      <c r="O387" s="186" t="b">
        <f t="shared" si="229"/>
        <v>0</v>
      </c>
      <c r="P387" s="26" t="s">
        <v>696</v>
      </c>
      <c r="Q387" s="160" t="s">
        <v>20</v>
      </c>
      <c r="R387" s="160" t="s">
        <v>20</v>
      </c>
      <c r="S387" s="26" t="s">
        <v>697</v>
      </c>
      <c r="T387" s="165" t="str">
        <f t="shared" si="230"/>
        <v>Not Used</v>
      </c>
      <c r="U387" s="162"/>
      <c r="V387" s="55"/>
      <c r="W387" s="51" t="b">
        <f t="shared" si="231"/>
        <v>1</v>
      </c>
      <c r="X387" s="51" t="str">
        <f t="shared" si="232"/>
        <v>Not Used</v>
      </c>
      <c r="Y387" s="51" t="str">
        <f t="shared" si="233"/>
        <v>Not Used</v>
      </c>
      <c r="Z387" s="51" t="str">
        <f t="shared" si="234"/>
        <v>Not Used</v>
      </c>
      <c r="AA387" s="51" t="str">
        <f t="shared" si="234"/>
        <v>Not Used</v>
      </c>
      <c r="AB387" s="51" t="str">
        <f t="shared" si="235"/>
        <v>Not Used</v>
      </c>
      <c r="AC387" s="51" t="b">
        <f t="shared" si="236"/>
        <v>1</v>
      </c>
      <c r="AD387" s="51">
        <f>COUNTIF($X$5:$X$388, "Not Used")</f>
        <v>384</v>
      </c>
      <c r="AE387" s="51">
        <f>COUNTIF($X$5:$X$388, "TRUE")</f>
        <v>0</v>
      </c>
      <c r="AF387" s="51" t="b">
        <f t="shared" si="237"/>
        <v>1</v>
      </c>
      <c r="AI387" s="51" t="b">
        <f t="shared" si="238"/>
        <v>0</v>
      </c>
      <c r="AJ387" s="51" t="b">
        <f t="shared" si="239"/>
        <v>0</v>
      </c>
      <c r="AK387" s="51" t="b">
        <f t="shared" si="240"/>
        <v>0</v>
      </c>
      <c r="AL387" s="51" t="b">
        <f t="shared" si="241"/>
        <v>0</v>
      </c>
      <c r="AM387" s="51" t="b">
        <f t="shared" si="242"/>
        <v>0</v>
      </c>
      <c r="AN387" s="51"/>
      <c r="AO387" s="51" t="b">
        <f t="shared" si="243"/>
        <v>0</v>
      </c>
      <c r="AP387" s="51" t="str">
        <f t="shared" si="265"/>
        <v>Not in MMS</v>
      </c>
      <c r="AQ387" s="51" t="b">
        <f t="shared" si="244"/>
        <v>0</v>
      </c>
      <c r="AR387" s="51" t="b">
        <f t="shared" si="245"/>
        <v>0</v>
      </c>
      <c r="AS387" s="51" t="str">
        <f t="shared" si="246"/>
        <v/>
      </c>
      <c r="AT387" s="51" t="str">
        <f t="shared" si="247"/>
        <v/>
      </c>
      <c r="AU387" s="51" t="str">
        <f t="shared" si="248"/>
        <v/>
      </c>
      <c r="AV387" s="51" t="str">
        <f t="shared" si="249"/>
        <v/>
      </c>
      <c r="AW387" s="51" t="str">
        <f t="shared" si="250"/>
        <v/>
      </c>
      <c r="AX387" s="51" t="str">
        <f t="shared" si="251"/>
        <v/>
      </c>
      <c r="AY387" s="51" t="str">
        <f t="shared" si="252"/>
        <v/>
      </c>
      <c r="AZ387" s="51" t="str">
        <f t="shared" si="253"/>
        <v/>
      </c>
      <c r="BA387" s="51" t="str">
        <f t="shared" si="254"/>
        <v/>
      </c>
      <c r="BB387" s="51" t="str">
        <f t="shared" si="255"/>
        <v/>
      </c>
      <c r="BC387" s="51" t="str">
        <f t="shared" si="256"/>
        <v/>
      </c>
      <c r="BD387" s="51" t="str">
        <f t="shared" si="257"/>
        <v/>
      </c>
      <c r="BE387" s="51" t="str">
        <f t="shared" si="258"/>
        <v/>
      </c>
      <c r="BF387" s="51" t="str">
        <f t="shared" si="259"/>
        <v/>
      </c>
      <c r="BG387" s="51" t="str">
        <f t="shared" si="260"/>
        <v/>
      </c>
      <c r="BH387" s="51" t="b">
        <f t="shared" si="261"/>
        <v>0</v>
      </c>
      <c r="BI387" s="51" t="str">
        <f t="shared" si="262"/>
        <v/>
      </c>
      <c r="BJ387" s="51" t="str">
        <f t="shared" si="263"/>
        <v/>
      </c>
      <c r="BK387" s="51" t="b">
        <f t="shared" si="264"/>
        <v>0</v>
      </c>
      <c r="BL387" s="192"/>
    </row>
    <row r="388" spans="1:64" ht="13.5" thickBot="1" x14ac:dyDescent="0.25">
      <c r="A388" s="185" t="s">
        <v>1068</v>
      </c>
      <c r="B388" s="194" t="s">
        <v>695</v>
      </c>
      <c r="C388" s="194" t="s">
        <v>695</v>
      </c>
      <c r="D388" s="194" t="s">
        <v>695</v>
      </c>
      <c r="E388" s="193" t="s">
        <v>694</v>
      </c>
      <c r="F388" s="160" t="s">
        <v>20</v>
      </c>
      <c r="G388" s="161"/>
      <c r="H388" s="186" t="str">
        <f t="shared" si="222"/>
        <v>N/A</v>
      </c>
      <c r="I388" s="186" t="b">
        <f t="shared" si="223"/>
        <v>1</v>
      </c>
      <c r="J388" s="186" t="str">
        <f t="shared" si="224"/>
        <v>N/A</v>
      </c>
      <c r="K388" s="186" t="b">
        <f t="shared" si="225"/>
        <v>1</v>
      </c>
      <c r="L388" s="186" t="str">
        <f t="shared" si="226"/>
        <v>N/A</v>
      </c>
      <c r="M388" s="186" t="b">
        <f t="shared" si="227"/>
        <v>1</v>
      </c>
      <c r="N388" s="186" t="str">
        <f t="shared" si="228"/>
        <v>Used?</v>
      </c>
      <c r="O388" s="186" t="b">
        <f t="shared" si="229"/>
        <v>0</v>
      </c>
      <c r="P388" s="26" t="s">
        <v>696</v>
      </c>
      <c r="Q388" s="160" t="s">
        <v>20</v>
      </c>
      <c r="R388" s="160" t="s">
        <v>20</v>
      </c>
      <c r="S388" s="26" t="s">
        <v>697</v>
      </c>
      <c r="T388" s="165" t="str">
        <f t="shared" si="230"/>
        <v>Not Used</v>
      </c>
      <c r="U388" s="162"/>
      <c r="V388" s="55"/>
      <c r="W388" s="51" t="b">
        <f t="shared" si="231"/>
        <v>1</v>
      </c>
      <c r="X388" s="51" t="str">
        <f t="shared" si="232"/>
        <v>Not Used</v>
      </c>
      <c r="Y388" s="51" t="str">
        <f t="shared" si="233"/>
        <v>Not Used</v>
      </c>
      <c r="Z388" s="51" t="str">
        <f t="shared" si="234"/>
        <v>Not Used</v>
      </c>
      <c r="AA388" s="51" t="str">
        <f t="shared" si="234"/>
        <v>Not Used</v>
      </c>
      <c r="AB388" s="51" t="str">
        <f t="shared" si="235"/>
        <v>Not Used</v>
      </c>
      <c r="AC388" s="51" t="b">
        <f t="shared" si="236"/>
        <v>1</v>
      </c>
      <c r="AD388" s="51">
        <f>COUNTIF($X$5:$X$388, "Not Used")</f>
        <v>384</v>
      </c>
      <c r="AE388" s="51">
        <f>COUNTIF($X$5:$X$388, "TRUE")</f>
        <v>0</v>
      </c>
      <c r="AF388" s="51" t="b">
        <f t="shared" si="237"/>
        <v>1</v>
      </c>
      <c r="AI388" s="51" t="b">
        <f t="shared" si="238"/>
        <v>0</v>
      </c>
      <c r="AJ388" s="51" t="b">
        <f t="shared" si="239"/>
        <v>0</v>
      </c>
      <c r="AK388" s="51" t="b">
        <f t="shared" si="240"/>
        <v>0</v>
      </c>
      <c r="AL388" s="51" t="b">
        <f t="shared" si="241"/>
        <v>0</v>
      </c>
      <c r="AM388" s="51" t="b">
        <f t="shared" si="242"/>
        <v>0</v>
      </c>
      <c r="AN388" s="51"/>
      <c r="AO388" s="51" t="b">
        <f t="shared" si="243"/>
        <v>0</v>
      </c>
      <c r="AP388" s="51" t="str">
        <f t="shared" si="265"/>
        <v>Not in MMS</v>
      </c>
      <c r="AQ388" s="51" t="b">
        <f t="shared" si="244"/>
        <v>0</v>
      </c>
      <c r="AR388" s="51" t="b">
        <f t="shared" si="245"/>
        <v>0</v>
      </c>
      <c r="AS388" s="51" t="str">
        <f t="shared" si="246"/>
        <v/>
      </c>
      <c r="AT388" s="51" t="str">
        <f t="shared" si="247"/>
        <v/>
      </c>
      <c r="AU388" s="51" t="str">
        <f t="shared" si="248"/>
        <v/>
      </c>
      <c r="AV388" s="51" t="str">
        <f t="shared" si="249"/>
        <v/>
      </c>
      <c r="AW388" s="51" t="str">
        <f t="shared" si="250"/>
        <v/>
      </c>
      <c r="AX388" s="51" t="str">
        <f t="shared" si="251"/>
        <v/>
      </c>
      <c r="AY388" s="51" t="str">
        <f t="shared" si="252"/>
        <v/>
      </c>
      <c r="AZ388" s="51" t="str">
        <f t="shared" si="253"/>
        <v/>
      </c>
      <c r="BA388" s="51" t="str">
        <f t="shared" si="254"/>
        <v/>
      </c>
      <c r="BB388" s="51" t="str">
        <f t="shared" si="255"/>
        <v/>
      </c>
      <c r="BC388" s="51" t="str">
        <f t="shared" si="256"/>
        <v/>
      </c>
      <c r="BD388" s="51" t="str">
        <f t="shared" si="257"/>
        <v/>
      </c>
      <c r="BE388" s="51" t="str">
        <f t="shared" si="258"/>
        <v/>
      </c>
      <c r="BF388" s="51" t="str">
        <f t="shared" si="259"/>
        <v/>
      </c>
      <c r="BG388" s="51" t="str">
        <f t="shared" si="260"/>
        <v/>
      </c>
      <c r="BH388" s="51" t="b">
        <f t="shared" si="261"/>
        <v>0</v>
      </c>
      <c r="BI388" s="51" t="str">
        <f t="shared" si="262"/>
        <v/>
      </c>
      <c r="BJ388" s="51" t="str">
        <f t="shared" si="263"/>
        <v/>
      </c>
      <c r="BK388" s="51" t="b">
        <f t="shared" si="264"/>
        <v>0</v>
      </c>
      <c r="BL388" s="192"/>
    </row>
    <row r="389" spans="1:64" ht="13.5" thickBot="1" x14ac:dyDescent="0.25">
      <c r="A389" s="185" t="s">
        <v>1069</v>
      </c>
      <c r="B389" s="194" t="s">
        <v>695</v>
      </c>
      <c r="C389" s="194" t="s">
        <v>695</v>
      </c>
      <c r="D389" s="194" t="s">
        <v>695</v>
      </c>
      <c r="E389" s="193" t="s">
        <v>694</v>
      </c>
      <c r="F389" s="160" t="s">
        <v>20</v>
      </c>
      <c r="G389" s="161"/>
      <c r="H389" s="186" t="str">
        <f t="shared" si="222"/>
        <v>N/A</v>
      </c>
      <c r="I389" s="186" t="b">
        <f t="shared" si="223"/>
        <v>1</v>
      </c>
      <c r="J389" s="186" t="str">
        <f t="shared" si="224"/>
        <v>N/A</v>
      </c>
      <c r="K389" s="186" t="b">
        <f t="shared" si="225"/>
        <v>1</v>
      </c>
      <c r="L389" s="186" t="str">
        <f t="shared" si="226"/>
        <v>N/A</v>
      </c>
      <c r="M389" s="186" t="b">
        <f t="shared" si="227"/>
        <v>1</v>
      </c>
      <c r="N389" s="186" t="str">
        <f t="shared" si="228"/>
        <v>Used?</v>
      </c>
      <c r="O389" s="186" t="b">
        <f t="shared" si="229"/>
        <v>0</v>
      </c>
      <c r="P389" s="26" t="s">
        <v>696</v>
      </c>
      <c r="Q389" s="160" t="s">
        <v>20</v>
      </c>
      <c r="R389" s="160" t="s">
        <v>20</v>
      </c>
      <c r="S389" s="26" t="s">
        <v>697</v>
      </c>
      <c r="T389" s="165" t="str">
        <f t="shared" si="230"/>
        <v>Not Used</v>
      </c>
      <c r="U389" s="162"/>
      <c r="V389" s="55"/>
      <c r="W389" s="51" t="b">
        <f t="shared" si="231"/>
        <v>1</v>
      </c>
      <c r="X389" s="51" t="str">
        <f t="shared" si="232"/>
        <v>Not Used</v>
      </c>
      <c r="Y389" s="51" t="str">
        <f t="shared" si="233"/>
        <v>Not Used</v>
      </c>
      <c r="Z389" s="51" t="str">
        <f t="shared" si="234"/>
        <v>Not Used</v>
      </c>
      <c r="AA389" s="51" t="str">
        <f t="shared" si="234"/>
        <v>Not Used</v>
      </c>
      <c r="AB389" s="51" t="str">
        <f t="shared" si="235"/>
        <v>Not Used</v>
      </c>
      <c r="AC389" s="51" t="b">
        <f t="shared" si="236"/>
        <v>1</v>
      </c>
      <c r="AD389" s="51">
        <f>COUNTIF($X$5:$X$389, "Not Used")</f>
        <v>385</v>
      </c>
      <c r="AE389" s="51">
        <f>COUNTIF($X$5:$X$389, "TRUE")</f>
        <v>0</v>
      </c>
      <c r="AF389" s="51" t="b">
        <f t="shared" si="237"/>
        <v>1</v>
      </c>
      <c r="AI389" s="51" t="b">
        <f t="shared" si="238"/>
        <v>0</v>
      </c>
      <c r="AJ389" s="51" t="b">
        <f t="shared" si="239"/>
        <v>0</v>
      </c>
      <c r="AK389" s="51" t="b">
        <f t="shared" si="240"/>
        <v>0</v>
      </c>
      <c r="AL389" s="51" t="b">
        <f t="shared" si="241"/>
        <v>0</v>
      </c>
      <c r="AM389" s="51" t="b">
        <f t="shared" si="242"/>
        <v>0</v>
      </c>
      <c r="AN389" s="51"/>
      <c r="AO389" s="51" t="b">
        <f t="shared" si="243"/>
        <v>0</v>
      </c>
      <c r="AP389" s="51" t="str">
        <f t="shared" si="265"/>
        <v>Not in MMS</v>
      </c>
      <c r="AQ389" s="51" t="b">
        <f t="shared" si="244"/>
        <v>0</v>
      </c>
      <c r="AR389" s="51" t="b">
        <f t="shared" si="245"/>
        <v>0</v>
      </c>
      <c r="AS389" s="51" t="str">
        <f t="shared" si="246"/>
        <v/>
      </c>
      <c r="AT389" s="51" t="str">
        <f t="shared" si="247"/>
        <v/>
      </c>
      <c r="AU389" s="51" t="str">
        <f t="shared" si="248"/>
        <v/>
      </c>
      <c r="AV389" s="51" t="str">
        <f t="shared" si="249"/>
        <v/>
      </c>
      <c r="AW389" s="51" t="str">
        <f t="shared" si="250"/>
        <v/>
      </c>
      <c r="AX389" s="51" t="str">
        <f t="shared" si="251"/>
        <v/>
      </c>
      <c r="AY389" s="51" t="str">
        <f t="shared" si="252"/>
        <v/>
      </c>
      <c r="AZ389" s="51" t="str">
        <f t="shared" si="253"/>
        <v/>
      </c>
      <c r="BA389" s="51" t="str">
        <f t="shared" si="254"/>
        <v/>
      </c>
      <c r="BB389" s="51" t="str">
        <f t="shared" si="255"/>
        <v/>
      </c>
      <c r="BC389" s="51" t="str">
        <f t="shared" si="256"/>
        <v/>
      </c>
      <c r="BD389" s="51" t="str">
        <f t="shared" si="257"/>
        <v/>
      </c>
      <c r="BE389" s="51" t="str">
        <f t="shared" si="258"/>
        <v/>
      </c>
      <c r="BF389" s="51" t="str">
        <f t="shared" si="259"/>
        <v/>
      </c>
      <c r="BG389" s="51" t="str">
        <f t="shared" si="260"/>
        <v/>
      </c>
      <c r="BH389" s="51" t="b">
        <f t="shared" si="261"/>
        <v>0</v>
      </c>
      <c r="BI389" s="51" t="str">
        <f t="shared" si="262"/>
        <v/>
      </c>
      <c r="BJ389" s="51" t="str">
        <f t="shared" si="263"/>
        <v/>
      </c>
      <c r="BK389" s="51" t="b">
        <f t="shared" si="264"/>
        <v>0</v>
      </c>
      <c r="BL389" s="192"/>
    </row>
    <row r="390" spans="1:64" ht="13.5" thickBot="1" x14ac:dyDescent="0.25">
      <c r="A390" s="185" t="s">
        <v>1070</v>
      </c>
      <c r="B390" s="194" t="s">
        <v>695</v>
      </c>
      <c r="C390" s="194" t="s">
        <v>695</v>
      </c>
      <c r="D390" s="194" t="s">
        <v>695</v>
      </c>
      <c r="E390" s="193" t="s">
        <v>694</v>
      </c>
      <c r="F390" s="160" t="s">
        <v>20</v>
      </c>
      <c r="G390" s="161"/>
      <c r="H390" s="186" t="str">
        <f t="shared" si="222"/>
        <v>N/A</v>
      </c>
      <c r="I390" s="186" t="b">
        <f t="shared" si="223"/>
        <v>1</v>
      </c>
      <c r="J390" s="186" t="str">
        <f t="shared" si="224"/>
        <v>N/A</v>
      </c>
      <c r="K390" s="186" t="b">
        <f t="shared" si="225"/>
        <v>1</v>
      </c>
      <c r="L390" s="186" t="str">
        <f t="shared" si="226"/>
        <v>N/A</v>
      </c>
      <c r="M390" s="186" t="b">
        <f t="shared" si="227"/>
        <v>1</v>
      </c>
      <c r="N390" s="186" t="str">
        <f t="shared" si="228"/>
        <v>Used?</v>
      </c>
      <c r="O390" s="186" t="b">
        <f t="shared" si="229"/>
        <v>0</v>
      </c>
      <c r="P390" s="26" t="s">
        <v>696</v>
      </c>
      <c r="Q390" s="160" t="s">
        <v>20</v>
      </c>
      <c r="R390" s="160" t="s">
        <v>20</v>
      </c>
      <c r="S390" s="26" t="s">
        <v>697</v>
      </c>
      <c r="T390" s="165" t="str">
        <f t="shared" si="230"/>
        <v>Not Used</v>
      </c>
      <c r="U390" s="162"/>
      <c r="V390" s="55"/>
      <c r="W390" s="51" t="b">
        <f t="shared" si="231"/>
        <v>1</v>
      </c>
      <c r="X390" s="51" t="str">
        <f t="shared" si="232"/>
        <v>Not Used</v>
      </c>
      <c r="Y390" s="51" t="str">
        <f t="shared" si="233"/>
        <v>Not Used</v>
      </c>
      <c r="Z390" s="51" t="str">
        <f t="shared" si="234"/>
        <v>Not Used</v>
      </c>
      <c r="AA390" s="51" t="str">
        <f t="shared" si="234"/>
        <v>Not Used</v>
      </c>
      <c r="AB390" s="51" t="str">
        <f t="shared" si="235"/>
        <v>Not Used</v>
      </c>
      <c r="AC390" s="51" t="b">
        <f t="shared" si="236"/>
        <v>1</v>
      </c>
      <c r="AD390" s="51">
        <f>COUNTIF($X$5:$X$390, "Not Used")</f>
        <v>386</v>
      </c>
      <c r="AE390" s="51">
        <f>COUNTIF($X$5:$X$390, "TRUE")</f>
        <v>0</v>
      </c>
      <c r="AF390" s="51" t="b">
        <f t="shared" si="237"/>
        <v>1</v>
      </c>
      <c r="AI390" s="51" t="b">
        <f t="shared" si="238"/>
        <v>0</v>
      </c>
      <c r="AJ390" s="51" t="b">
        <f t="shared" si="239"/>
        <v>0</v>
      </c>
      <c r="AK390" s="51" t="b">
        <f t="shared" si="240"/>
        <v>0</v>
      </c>
      <c r="AL390" s="51" t="b">
        <f t="shared" si="241"/>
        <v>0</v>
      </c>
      <c r="AM390" s="51" t="b">
        <f t="shared" si="242"/>
        <v>0</v>
      </c>
      <c r="AN390" s="51"/>
      <c r="AO390" s="51" t="b">
        <f t="shared" si="243"/>
        <v>0</v>
      </c>
      <c r="AP390" s="51" t="str">
        <f t="shared" si="265"/>
        <v>Not in MMS</v>
      </c>
      <c r="AQ390" s="51" t="b">
        <f t="shared" si="244"/>
        <v>0</v>
      </c>
      <c r="AR390" s="51" t="b">
        <f t="shared" si="245"/>
        <v>0</v>
      </c>
      <c r="AS390" s="51" t="str">
        <f t="shared" si="246"/>
        <v/>
      </c>
      <c r="AT390" s="51" t="str">
        <f t="shared" si="247"/>
        <v/>
      </c>
      <c r="AU390" s="51" t="str">
        <f t="shared" si="248"/>
        <v/>
      </c>
      <c r="AV390" s="51" t="str">
        <f t="shared" si="249"/>
        <v/>
      </c>
      <c r="AW390" s="51" t="str">
        <f t="shared" si="250"/>
        <v/>
      </c>
      <c r="AX390" s="51" t="str">
        <f t="shared" si="251"/>
        <v/>
      </c>
      <c r="AY390" s="51" t="str">
        <f t="shared" si="252"/>
        <v/>
      </c>
      <c r="AZ390" s="51" t="str">
        <f t="shared" si="253"/>
        <v/>
      </c>
      <c r="BA390" s="51" t="str">
        <f t="shared" si="254"/>
        <v/>
      </c>
      <c r="BB390" s="51" t="str">
        <f t="shared" si="255"/>
        <v/>
      </c>
      <c r="BC390" s="51" t="str">
        <f t="shared" si="256"/>
        <v/>
      </c>
      <c r="BD390" s="51" t="str">
        <f t="shared" si="257"/>
        <v/>
      </c>
      <c r="BE390" s="51" t="str">
        <f t="shared" si="258"/>
        <v/>
      </c>
      <c r="BF390" s="51" t="str">
        <f t="shared" si="259"/>
        <v/>
      </c>
      <c r="BG390" s="51" t="str">
        <f t="shared" si="260"/>
        <v/>
      </c>
      <c r="BH390" s="51" t="b">
        <f t="shared" si="261"/>
        <v>0</v>
      </c>
      <c r="BI390" s="51" t="str">
        <f t="shared" si="262"/>
        <v/>
      </c>
      <c r="BJ390" s="51" t="str">
        <f t="shared" si="263"/>
        <v/>
      </c>
      <c r="BK390" s="51" t="b">
        <f t="shared" si="264"/>
        <v>0</v>
      </c>
      <c r="BL390" s="192"/>
    </row>
    <row r="391" spans="1:64" ht="13.5" thickBot="1" x14ac:dyDescent="0.25">
      <c r="A391" s="185" t="s">
        <v>1071</v>
      </c>
      <c r="B391" s="194" t="s">
        <v>695</v>
      </c>
      <c r="C391" s="194" t="s">
        <v>695</v>
      </c>
      <c r="D391" s="194" t="s">
        <v>695</v>
      </c>
      <c r="E391" s="193" t="s">
        <v>694</v>
      </c>
      <c r="F391" s="160" t="s">
        <v>20</v>
      </c>
      <c r="G391" s="161"/>
      <c r="H391" s="186" t="str">
        <f t="shared" si="222"/>
        <v>N/A</v>
      </c>
      <c r="I391" s="186" t="b">
        <f t="shared" si="223"/>
        <v>1</v>
      </c>
      <c r="J391" s="186" t="str">
        <f t="shared" si="224"/>
        <v>N/A</v>
      </c>
      <c r="K391" s="186" t="b">
        <f t="shared" si="225"/>
        <v>1</v>
      </c>
      <c r="L391" s="186" t="str">
        <f t="shared" si="226"/>
        <v>N/A</v>
      </c>
      <c r="M391" s="186" t="b">
        <f t="shared" si="227"/>
        <v>1</v>
      </c>
      <c r="N391" s="186" t="str">
        <f t="shared" si="228"/>
        <v>Used?</v>
      </c>
      <c r="O391" s="186" t="b">
        <f t="shared" si="229"/>
        <v>0</v>
      </c>
      <c r="P391" s="26" t="s">
        <v>696</v>
      </c>
      <c r="Q391" s="160" t="s">
        <v>20</v>
      </c>
      <c r="R391" s="160" t="s">
        <v>20</v>
      </c>
      <c r="S391" s="26" t="s">
        <v>697</v>
      </c>
      <c r="T391" s="165" t="str">
        <f t="shared" si="230"/>
        <v>Not Used</v>
      </c>
      <c r="U391" s="162"/>
      <c r="V391" s="55"/>
      <c r="W391" s="51" t="b">
        <f t="shared" si="231"/>
        <v>1</v>
      </c>
      <c r="X391" s="51" t="str">
        <f t="shared" si="232"/>
        <v>Not Used</v>
      </c>
      <c r="Y391" s="51" t="str">
        <f t="shared" si="233"/>
        <v>Not Used</v>
      </c>
      <c r="Z391" s="51" t="str">
        <f t="shared" si="234"/>
        <v>Not Used</v>
      </c>
      <c r="AA391" s="51" t="str">
        <f t="shared" si="234"/>
        <v>Not Used</v>
      </c>
      <c r="AB391" s="51" t="str">
        <f t="shared" si="235"/>
        <v>Not Used</v>
      </c>
      <c r="AC391" s="51" t="b">
        <f t="shared" si="236"/>
        <v>1</v>
      </c>
      <c r="AD391" s="51">
        <f>COUNTIF($X$5:$X$391, "Not Used")</f>
        <v>387</v>
      </c>
      <c r="AE391" s="51">
        <f>COUNTIF($X$5:$X$391, "TRUE")</f>
        <v>0</v>
      </c>
      <c r="AF391" s="51" t="b">
        <f t="shared" si="237"/>
        <v>1</v>
      </c>
      <c r="AI391" s="51" t="b">
        <f t="shared" si="238"/>
        <v>0</v>
      </c>
      <c r="AJ391" s="51" t="b">
        <f t="shared" si="239"/>
        <v>0</v>
      </c>
      <c r="AK391" s="51" t="b">
        <f t="shared" si="240"/>
        <v>0</v>
      </c>
      <c r="AL391" s="51" t="b">
        <f t="shared" si="241"/>
        <v>0</v>
      </c>
      <c r="AM391" s="51" t="b">
        <f t="shared" si="242"/>
        <v>0</v>
      </c>
      <c r="AN391" s="51"/>
      <c r="AO391" s="51" t="b">
        <f t="shared" si="243"/>
        <v>0</v>
      </c>
      <c r="AP391" s="51" t="str">
        <f t="shared" si="265"/>
        <v>Not in MMS</v>
      </c>
      <c r="AQ391" s="51" t="b">
        <f t="shared" si="244"/>
        <v>0</v>
      </c>
      <c r="AR391" s="51" t="b">
        <f t="shared" si="245"/>
        <v>0</v>
      </c>
      <c r="AS391" s="51" t="str">
        <f t="shared" si="246"/>
        <v/>
      </c>
      <c r="AT391" s="51" t="str">
        <f t="shared" si="247"/>
        <v/>
      </c>
      <c r="AU391" s="51" t="str">
        <f t="shared" si="248"/>
        <v/>
      </c>
      <c r="AV391" s="51" t="str">
        <f t="shared" si="249"/>
        <v/>
      </c>
      <c r="AW391" s="51" t="str">
        <f t="shared" si="250"/>
        <v/>
      </c>
      <c r="AX391" s="51" t="str">
        <f t="shared" si="251"/>
        <v/>
      </c>
      <c r="AY391" s="51" t="str">
        <f t="shared" si="252"/>
        <v/>
      </c>
      <c r="AZ391" s="51" t="str">
        <f t="shared" si="253"/>
        <v/>
      </c>
      <c r="BA391" s="51" t="str">
        <f t="shared" si="254"/>
        <v/>
      </c>
      <c r="BB391" s="51" t="str">
        <f t="shared" si="255"/>
        <v/>
      </c>
      <c r="BC391" s="51" t="str">
        <f t="shared" si="256"/>
        <v/>
      </c>
      <c r="BD391" s="51" t="str">
        <f t="shared" si="257"/>
        <v/>
      </c>
      <c r="BE391" s="51" t="str">
        <f t="shared" si="258"/>
        <v/>
      </c>
      <c r="BF391" s="51" t="str">
        <f t="shared" si="259"/>
        <v/>
      </c>
      <c r="BG391" s="51" t="str">
        <f t="shared" si="260"/>
        <v/>
      </c>
      <c r="BH391" s="51" t="b">
        <f t="shared" si="261"/>
        <v>0</v>
      </c>
      <c r="BI391" s="51" t="str">
        <f t="shared" si="262"/>
        <v/>
      </c>
      <c r="BJ391" s="51" t="str">
        <f t="shared" si="263"/>
        <v/>
      </c>
      <c r="BK391" s="51" t="b">
        <f t="shared" si="264"/>
        <v>0</v>
      </c>
      <c r="BL391" s="192"/>
    </row>
    <row r="392" spans="1:64" ht="13.5" thickBot="1" x14ac:dyDescent="0.25">
      <c r="A392" s="185" t="s">
        <v>1072</v>
      </c>
      <c r="B392" s="194" t="s">
        <v>695</v>
      </c>
      <c r="C392" s="194" t="s">
        <v>695</v>
      </c>
      <c r="D392" s="194" t="s">
        <v>695</v>
      </c>
      <c r="E392" s="193" t="s">
        <v>694</v>
      </c>
      <c r="F392" s="160" t="s">
        <v>20</v>
      </c>
      <c r="G392" s="161"/>
      <c r="H392" s="186" t="str">
        <f t="shared" si="222"/>
        <v>N/A</v>
      </c>
      <c r="I392" s="186" t="b">
        <f t="shared" si="223"/>
        <v>1</v>
      </c>
      <c r="J392" s="186" t="str">
        <f t="shared" si="224"/>
        <v>N/A</v>
      </c>
      <c r="K392" s="186" t="b">
        <f t="shared" si="225"/>
        <v>1</v>
      </c>
      <c r="L392" s="186" t="str">
        <f t="shared" si="226"/>
        <v>N/A</v>
      </c>
      <c r="M392" s="186" t="b">
        <f t="shared" si="227"/>
        <v>1</v>
      </c>
      <c r="N392" s="186" t="str">
        <f t="shared" si="228"/>
        <v>Used?</v>
      </c>
      <c r="O392" s="186" t="b">
        <f t="shared" si="229"/>
        <v>0</v>
      </c>
      <c r="P392" s="26" t="s">
        <v>696</v>
      </c>
      <c r="Q392" s="160" t="s">
        <v>20</v>
      </c>
      <c r="R392" s="160" t="s">
        <v>20</v>
      </c>
      <c r="S392" s="26" t="s">
        <v>697</v>
      </c>
      <c r="T392" s="165" t="str">
        <f t="shared" si="230"/>
        <v>Not Used</v>
      </c>
      <c r="U392" s="162"/>
      <c r="V392" s="55"/>
      <c r="W392" s="51" t="b">
        <f t="shared" si="231"/>
        <v>1</v>
      </c>
      <c r="X392" s="51" t="str">
        <f t="shared" si="232"/>
        <v>Not Used</v>
      </c>
      <c r="Y392" s="51" t="str">
        <f t="shared" si="233"/>
        <v>Not Used</v>
      </c>
      <c r="Z392" s="51" t="str">
        <f t="shared" si="234"/>
        <v>Not Used</v>
      </c>
      <c r="AA392" s="51" t="str">
        <f t="shared" si="234"/>
        <v>Not Used</v>
      </c>
      <c r="AB392" s="51" t="str">
        <f t="shared" si="235"/>
        <v>Not Used</v>
      </c>
      <c r="AC392" s="51" t="b">
        <f t="shared" si="236"/>
        <v>1</v>
      </c>
      <c r="AD392" s="51">
        <f>COUNTIF($X$5:$X$392, "Not Used")</f>
        <v>388</v>
      </c>
      <c r="AE392" s="51">
        <f>COUNTIF($X$5:$X$392, "TRUE")</f>
        <v>0</v>
      </c>
      <c r="AF392" s="51" t="b">
        <f t="shared" si="237"/>
        <v>1</v>
      </c>
      <c r="AI392" s="51" t="b">
        <f t="shared" si="238"/>
        <v>0</v>
      </c>
      <c r="AJ392" s="51" t="b">
        <f t="shared" si="239"/>
        <v>0</v>
      </c>
      <c r="AK392" s="51" t="b">
        <f t="shared" si="240"/>
        <v>0</v>
      </c>
      <c r="AL392" s="51" t="b">
        <f t="shared" si="241"/>
        <v>0</v>
      </c>
      <c r="AM392" s="51" t="b">
        <f t="shared" si="242"/>
        <v>0</v>
      </c>
      <c r="AN392" s="51"/>
      <c r="AO392" s="51" t="b">
        <f t="shared" si="243"/>
        <v>0</v>
      </c>
      <c r="AP392" s="51" t="str">
        <f t="shared" si="265"/>
        <v>Not in MMS</v>
      </c>
      <c r="AQ392" s="51" t="b">
        <f t="shared" si="244"/>
        <v>0</v>
      </c>
      <c r="AR392" s="51" t="b">
        <f t="shared" si="245"/>
        <v>0</v>
      </c>
      <c r="AS392" s="51" t="str">
        <f t="shared" si="246"/>
        <v/>
      </c>
      <c r="AT392" s="51" t="str">
        <f t="shared" si="247"/>
        <v/>
      </c>
      <c r="AU392" s="51" t="str">
        <f t="shared" si="248"/>
        <v/>
      </c>
      <c r="AV392" s="51" t="str">
        <f t="shared" si="249"/>
        <v/>
      </c>
      <c r="AW392" s="51" t="str">
        <f t="shared" si="250"/>
        <v/>
      </c>
      <c r="AX392" s="51" t="str">
        <f t="shared" si="251"/>
        <v/>
      </c>
      <c r="AY392" s="51" t="str">
        <f t="shared" si="252"/>
        <v/>
      </c>
      <c r="AZ392" s="51" t="str">
        <f t="shared" si="253"/>
        <v/>
      </c>
      <c r="BA392" s="51" t="str">
        <f t="shared" si="254"/>
        <v/>
      </c>
      <c r="BB392" s="51" t="str">
        <f t="shared" si="255"/>
        <v/>
      </c>
      <c r="BC392" s="51" t="str">
        <f t="shared" si="256"/>
        <v/>
      </c>
      <c r="BD392" s="51" t="str">
        <f t="shared" si="257"/>
        <v/>
      </c>
      <c r="BE392" s="51" t="str">
        <f t="shared" si="258"/>
        <v/>
      </c>
      <c r="BF392" s="51" t="str">
        <f t="shared" si="259"/>
        <v/>
      </c>
      <c r="BG392" s="51" t="str">
        <f t="shared" si="260"/>
        <v/>
      </c>
      <c r="BH392" s="51" t="b">
        <f t="shared" si="261"/>
        <v>0</v>
      </c>
      <c r="BI392" s="51" t="str">
        <f t="shared" si="262"/>
        <v/>
      </c>
      <c r="BJ392" s="51" t="str">
        <f t="shared" si="263"/>
        <v/>
      </c>
      <c r="BK392" s="51" t="b">
        <f t="shared" si="264"/>
        <v>0</v>
      </c>
      <c r="BL392" s="192"/>
    </row>
    <row r="393" spans="1:64" ht="13.5" thickBot="1" x14ac:dyDescent="0.25">
      <c r="A393" s="185" t="s">
        <v>1073</v>
      </c>
      <c r="B393" s="194" t="s">
        <v>695</v>
      </c>
      <c r="C393" s="194" t="s">
        <v>695</v>
      </c>
      <c r="D393" s="194" t="s">
        <v>695</v>
      </c>
      <c r="E393" s="193" t="s">
        <v>694</v>
      </c>
      <c r="F393" s="160" t="s">
        <v>20</v>
      </c>
      <c r="G393" s="161"/>
      <c r="H393" s="186" t="str">
        <f t="shared" si="222"/>
        <v>N/A</v>
      </c>
      <c r="I393" s="186" t="b">
        <f t="shared" si="223"/>
        <v>1</v>
      </c>
      <c r="J393" s="186" t="str">
        <f t="shared" si="224"/>
        <v>N/A</v>
      </c>
      <c r="K393" s="186" t="b">
        <f t="shared" si="225"/>
        <v>1</v>
      </c>
      <c r="L393" s="186" t="str">
        <f t="shared" si="226"/>
        <v>N/A</v>
      </c>
      <c r="M393" s="186" t="b">
        <f t="shared" si="227"/>
        <v>1</v>
      </c>
      <c r="N393" s="186" t="str">
        <f t="shared" si="228"/>
        <v>Used?</v>
      </c>
      <c r="O393" s="186" t="b">
        <f t="shared" si="229"/>
        <v>0</v>
      </c>
      <c r="P393" s="26" t="s">
        <v>696</v>
      </c>
      <c r="Q393" s="160" t="s">
        <v>20</v>
      </c>
      <c r="R393" s="160" t="s">
        <v>20</v>
      </c>
      <c r="S393" s="26" t="s">
        <v>697</v>
      </c>
      <c r="T393" s="165" t="str">
        <f t="shared" si="230"/>
        <v>Not Used</v>
      </c>
      <c r="U393" s="162"/>
      <c r="V393" s="55"/>
      <c r="W393" s="51" t="b">
        <f t="shared" si="231"/>
        <v>1</v>
      </c>
      <c r="X393" s="51" t="str">
        <f t="shared" si="232"/>
        <v>Not Used</v>
      </c>
      <c r="Y393" s="51" t="str">
        <f t="shared" si="233"/>
        <v>Not Used</v>
      </c>
      <c r="Z393" s="51" t="str">
        <f t="shared" si="234"/>
        <v>Not Used</v>
      </c>
      <c r="AA393" s="51" t="str">
        <f t="shared" si="234"/>
        <v>Not Used</v>
      </c>
      <c r="AB393" s="51" t="str">
        <f t="shared" si="235"/>
        <v>Not Used</v>
      </c>
      <c r="AC393" s="51" t="b">
        <f t="shared" si="236"/>
        <v>1</v>
      </c>
      <c r="AD393" s="51">
        <f>COUNTIF($X$5:$X$393, "Not Used")</f>
        <v>389</v>
      </c>
      <c r="AE393" s="51">
        <f>COUNTIF($X$5:$X$393, "TRUE")</f>
        <v>0</v>
      </c>
      <c r="AF393" s="51" t="b">
        <f t="shared" si="237"/>
        <v>1</v>
      </c>
      <c r="AI393" s="51" t="b">
        <f t="shared" si="238"/>
        <v>0</v>
      </c>
      <c r="AJ393" s="51" t="b">
        <f t="shared" si="239"/>
        <v>0</v>
      </c>
      <c r="AK393" s="51" t="b">
        <f t="shared" si="240"/>
        <v>0</v>
      </c>
      <c r="AL393" s="51" t="b">
        <f t="shared" si="241"/>
        <v>0</v>
      </c>
      <c r="AM393" s="51" t="b">
        <f t="shared" si="242"/>
        <v>0</v>
      </c>
      <c r="AN393" s="51"/>
      <c r="AO393" s="51" t="b">
        <f t="shared" si="243"/>
        <v>0</v>
      </c>
      <c r="AP393" s="51" t="str">
        <f t="shared" si="265"/>
        <v>Not in MMS</v>
      </c>
      <c r="AQ393" s="51" t="b">
        <f t="shared" si="244"/>
        <v>0</v>
      </c>
      <c r="AR393" s="51" t="b">
        <f t="shared" si="245"/>
        <v>0</v>
      </c>
      <c r="AS393" s="51" t="str">
        <f t="shared" si="246"/>
        <v/>
      </c>
      <c r="AT393" s="51" t="str">
        <f t="shared" si="247"/>
        <v/>
      </c>
      <c r="AU393" s="51" t="str">
        <f t="shared" si="248"/>
        <v/>
      </c>
      <c r="AV393" s="51" t="str">
        <f t="shared" si="249"/>
        <v/>
      </c>
      <c r="AW393" s="51" t="str">
        <f t="shared" si="250"/>
        <v/>
      </c>
      <c r="AX393" s="51" t="str">
        <f t="shared" si="251"/>
        <v/>
      </c>
      <c r="AY393" s="51" t="str">
        <f t="shared" si="252"/>
        <v/>
      </c>
      <c r="AZ393" s="51" t="str">
        <f t="shared" si="253"/>
        <v/>
      </c>
      <c r="BA393" s="51" t="str">
        <f t="shared" si="254"/>
        <v/>
      </c>
      <c r="BB393" s="51" t="str">
        <f t="shared" si="255"/>
        <v/>
      </c>
      <c r="BC393" s="51" t="str">
        <f t="shared" si="256"/>
        <v/>
      </c>
      <c r="BD393" s="51" t="str">
        <f t="shared" si="257"/>
        <v/>
      </c>
      <c r="BE393" s="51" t="str">
        <f t="shared" si="258"/>
        <v/>
      </c>
      <c r="BF393" s="51" t="str">
        <f t="shared" si="259"/>
        <v/>
      </c>
      <c r="BG393" s="51" t="str">
        <f t="shared" si="260"/>
        <v/>
      </c>
      <c r="BH393" s="51" t="b">
        <f t="shared" si="261"/>
        <v>0</v>
      </c>
      <c r="BI393" s="51" t="str">
        <f t="shared" si="262"/>
        <v/>
      </c>
      <c r="BJ393" s="51" t="str">
        <f t="shared" si="263"/>
        <v/>
      </c>
      <c r="BK393" s="51" t="b">
        <f t="shared" si="264"/>
        <v>0</v>
      </c>
      <c r="BL393" s="192"/>
    </row>
    <row r="394" spans="1:64" ht="13.5" thickBot="1" x14ac:dyDescent="0.25">
      <c r="A394" s="185" t="s">
        <v>1074</v>
      </c>
      <c r="B394" s="194" t="s">
        <v>695</v>
      </c>
      <c r="C394" s="194" t="s">
        <v>695</v>
      </c>
      <c r="D394" s="194" t="s">
        <v>695</v>
      </c>
      <c r="E394" s="193" t="s">
        <v>694</v>
      </c>
      <c r="F394" s="160" t="s">
        <v>20</v>
      </c>
      <c r="G394" s="161"/>
      <c r="H394" s="186" t="str">
        <f t="shared" si="222"/>
        <v>N/A</v>
      </c>
      <c r="I394" s="186" t="b">
        <f t="shared" si="223"/>
        <v>1</v>
      </c>
      <c r="J394" s="186" t="str">
        <f t="shared" si="224"/>
        <v>N/A</v>
      </c>
      <c r="K394" s="186" t="b">
        <f t="shared" si="225"/>
        <v>1</v>
      </c>
      <c r="L394" s="186" t="str">
        <f t="shared" si="226"/>
        <v>N/A</v>
      </c>
      <c r="M394" s="186" t="b">
        <f t="shared" si="227"/>
        <v>1</v>
      </c>
      <c r="N394" s="186" t="str">
        <f t="shared" si="228"/>
        <v>Used?</v>
      </c>
      <c r="O394" s="186" t="b">
        <f t="shared" si="229"/>
        <v>0</v>
      </c>
      <c r="P394" s="26" t="s">
        <v>696</v>
      </c>
      <c r="Q394" s="160" t="s">
        <v>20</v>
      </c>
      <c r="R394" s="160" t="s">
        <v>20</v>
      </c>
      <c r="S394" s="26" t="s">
        <v>697</v>
      </c>
      <c r="T394" s="165" t="str">
        <f t="shared" si="230"/>
        <v>Not Used</v>
      </c>
      <c r="U394" s="162"/>
      <c r="V394" s="55"/>
      <c r="W394" s="51" t="b">
        <f t="shared" si="231"/>
        <v>1</v>
      </c>
      <c r="X394" s="51" t="str">
        <f t="shared" si="232"/>
        <v>Not Used</v>
      </c>
      <c r="Y394" s="51" t="str">
        <f t="shared" si="233"/>
        <v>Not Used</v>
      </c>
      <c r="Z394" s="51" t="str">
        <f t="shared" si="234"/>
        <v>Not Used</v>
      </c>
      <c r="AA394" s="51" t="str">
        <f t="shared" si="234"/>
        <v>Not Used</v>
      </c>
      <c r="AB394" s="51" t="str">
        <f t="shared" si="235"/>
        <v>Not Used</v>
      </c>
      <c r="AC394" s="51" t="b">
        <f t="shared" si="236"/>
        <v>1</v>
      </c>
      <c r="AD394" s="51">
        <f>COUNTIF($X$5:$X$394, "Not Used")</f>
        <v>390</v>
      </c>
      <c r="AE394" s="51">
        <f>COUNTIF($X$5:$X$394, "TRUE")</f>
        <v>0</v>
      </c>
      <c r="AF394" s="51" t="b">
        <f t="shared" si="237"/>
        <v>1</v>
      </c>
      <c r="AI394" s="51" t="b">
        <f t="shared" si="238"/>
        <v>0</v>
      </c>
      <c r="AJ394" s="51" t="b">
        <f t="shared" si="239"/>
        <v>0</v>
      </c>
      <c r="AK394" s="51" t="b">
        <f t="shared" si="240"/>
        <v>0</v>
      </c>
      <c r="AL394" s="51" t="b">
        <f t="shared" si="241"/>
        <v>0</v>
      </c>
      <c r="AM394" s="51" t="b">
        <f t="shared" si="242"/>
        <v>0</v>
      </c>
      <c r="AN394" s="51"/>
      <c r="AO394" s="51" t="b">
        <f t="shared" si="243"/>
        <v>0</v>
      </c>
      <c r="AP394" s="51" t="str">
        <f t="shared" si="265"/>
        <v>Not in MMS</v>
      </c>
      <c r="AQ394" s="51" t="b">
        <f t="shared" si="244"/>
        <v>0</v>
      </c>
      <c r="AR394" s="51" t="b">
        <f t="shared" si="245"/>
        <v>0</v>
      </c>
      <c r="AS394" s="51" t="str">
        <f t="shared" si="246"/>
        <v/>
      </c>
      <c r="AT394" s="51" t="str">
        <f t="shared" si="247"/>
        <v/>
      </c>
      <c r="AU394" s="51" t="str">
        <f t="shared" si="248"/>
        <v/>
      </c>
      <c r="AV394" s="51" t="str">
        <f t="shared" si="249"/>
        <v/>
      </c>
      <c r="AW394" s="51" t="str">
        <f t="shared" si="250"/>
        <v/>
      </c>
      <c r="AX394" s="51" t="str">
        <f t="shared" si="251"/>
        <v/>
      </c>
      <c r="AY394" s="51" t="str">
        <f t="shared" si="252"/>
        <v/>
      </c>
      <c r="AZ394" s="51" t="str">
        <f t="shared" si="253"/>
        <v/>
      </c>
      <c r="BA394" s="51" t="str">
        <f t="shared" si="254"/>
        <v/>
      </c>
      <c r="BB394" s="51" t="str">
        <f t="shared" si="255"/>
        <v/>
      </c>
      <c r="BC394" s="51" t="str">
        <f t="shared" si="256"/>
        <v/>
      </c>
      <c r="BD394" s="51" t="str">
        <f t="shared" si="257"/>
        <v/>
      </c>
      <c r="BE394" s="51" t="str">
        <f t="shared" si="258"/>
        <v/>
      </c>
      <c r="BF394" s="51" t="str">
        <f t="shared" si="259"/>
        <v/>
      </c>
      <c r="BG394" s="51" t="str">
        <f t="shared" si="260"/>
        <v/>
      </c>
      <c r="BH394" s="51" t="b">
        <f t="shared" si="261"/>
        <v>0</v>
      </c>
      <c r="BI394" s="51" t="str">
        <f t="shared" si="262"/>
        <v/>
      </c>
      <c r="BJ394" s="51" t="str">
        <f t="shared" si="263"/>
        <v/>
      </c>
      <c r="BK394" s="51" t="b">
        <f t="shared" si="264"/>
        <v>0</v>
      </c>
      <c r="BL394" s="192"/>
    </row>
    <row r="395" spans="1:64" ht="13.5" thickBot="1" x14ac:dyDescent="0.25">
      <c r="A395" s="185" t="s">
        <v>1075</v>
      </c>
      <c r="B395" s="194" t="s">
        <v>695</v>
      </c>
      <c r="C395" s="194" t="s">
        <v>695</v>
      </c>
      <c r="D395" s="194" t="s">
        <v>695</v>
      </c>
      <c r="E395" s="193" t="s">
        <v>694</v>
      </c>
      <c r="F395" s="160" t="s">
        <v>20</v>
      </c>
      <c r="G395" s="161"/>
      <c r="H395" s="186" t="str">
        <f t="shared" si="222"/>
        <v>N/A</v>
      </c>
      <c r="I395" s="186" t="b">
        <f t="shared" si="223"/>
        <v>1</v>
      </c>
      <c r="J395" s="186" t="str">
        <f t="shared" si="224"/>
        <v>N/A</v>
      </c>
      <c r="K395" s="186" t="b">
        <f t="shared" si="225"/>
        <v>1</v>
      </c>
      <c r="L395" s="186" t="str">
        <f t="shared" si="226"/>
        <v>N/A</v>
      </c>
      <c r="M395" s="186" t="b">
        <f t="shared" si="227"/>
        <v>1</v>
      </c>
      <c r="N395" s="186" t="str">
        <f t="shared" si="228"/>
        <v>Used?</v>
      </c>
      <c r="O395" s="186" t="b">
        <f t="shared" si="229"/>
        <v>0</v>
      </c>
      <c r="P395" s="26" t="s">
        <v>696</v>
      </c>
      <c r="Q395" s="160" t="s">
        <v>20</v>
      </c>
      <c r="R395" s="160" t="s">
        <v>20</v>
      </c>
      <c r="S395" s="26" t="s">
        <v>697</v>
      </c>
      <c r="T395" s="165" t="str">
        <f t="shared" si="230"/>
        <v>Not Used</v>
      </c>
      <c r="U395" s="162"/>
      <c r="V395" s="55"/>
      <c r="W395" s="51" t="b">
        <f t="shared" si="231"/>
        <v>1</v>
      </c>
      <c r="X395" s="51" t="str">
        <f t="shared" si="232"/>
        <v>Not Used</v>
      </c>
      <c r="Y395" s="51" t="str">
        <f t="shared" si="233"/>
        <v>Not Used</v>
      </c>
      <c r="Z395" s="51" t="str">
        <f t="shared" si="234"/>
        <v>Not Used</v>
      </c>
      <c r="AA395" s="51" t="str">
        <f t="shared" si="234"/>
        <v>Not Used</v>
      </c>
      <c r="AB395" s="51" t="str">
        <f t="shared" si="235"/>
        <v>Not Used</v>
      </c>
      <c r="AC395" s="51" t="b">
        <f t="shared" si="236"/>
        <v>1</v>
      </c>
      <c r="AD395" s="51">
        <f>COUNTIF($X$5:$X$395, "Not Used")</f>
        <v>391</v>
      </c>
      <c r="AE395" s="51">
        <f>COUNTIF($X$5:$X$395, "TRUE")</f>
        <v>0</v>
      </c>
      <c r="AF395" s="51" t="b">
        <f t="shared" si="237"/>
        <v>1</v>
      </c>
      <c r="AI395" s="51" t="b">
        <f t="shared" si="238"/>
        <v>0</v>
      </c>
      <c r="AJ395" s="51" t="b">
        <f t="shared" si="239"/>
        <v>0</v>
      </c>
      <c r="AK395" s="51" t="b">
        <f t="shared" si="240"/>
        <v>0</v>
      </c>
      <c r="AL395" s="51" t="b">
        <f t="shared" si="241"/>
        <v>0</v>
      </c>
      <c r="AM395" s="51" t="b">
        <f t="shared" si="242"/>
        <v>0</v>
      </c>
      <c r="AN395" s="51"/>
      <c r="AO395" s="51" t="b">
        <f t="shared" si="243"/>
        <v>0</v>
      </c>
      <c r="AP395" s="51" t="str">
        <f t="shared" si="265"/>
        <v>Not in MMS</v>
      </c>
      <c r="AQ395" s="51" t="b">
        <f t="shared" si="244"/>
        <v>0</v>
      </c>
      <c r="AR395" s="51" t="b">
        <f t="shared" si="245"/>
        <v>0</v>
      </c>
      <c r="AS395" s="51" t="str">
        <f t="shared" si="246"/>
        <v/>
      </c>
      <c r="AT395" s="51" t="str">
        <f t="shared" si="247"/>
        <v/>
      </c>
      <c r="AU395" s="51" t="str">
        <f t="shared" si="248"/>
        <v/>
      </c>
      <c r="AV395" s="51" t="str">
        <f t="shared" si="249"/>
        <v/>
      </c>
      <c r="AW395" s="51" t="str">
        <f t="shared" si="250"/>
        <v/>
      </c>
      <c r="AX395" s="51" t="str">
        <f t="shared" si="251"/>
        <v/>
      </c>
      <c r="AY395" s="51" t="str">
        <f t="shared" si="252"/>
        <v/>
      </c>
      <c r="AZ395" s="51" t="str">
        <f t="shared" si="253"/>
        <v/>
      </c>
      <c r="BA395" s="51" t="str">
        <f t="shared" si="254"/>
        <v/>
      </c>
      <c r="BB395" s="51" t="str">
        <f t="shared" si="255"/>
        <v/>
      </c>
      <c r="BC395" s="51" t="str">
        <f t="shared" si="256"/>
        <v/>
      </c>
      <c r="BD395" s="51" t="str">
        <f t="shared" si="257"/>
        <v/>
      </c>
      <c r="BE395" s="51" t="str">
        <f t="shared" si="258"/>
        <v/>
      </c>
      <c r="BF395" s="51" t="str">
        <f t="shared" si="259"/>
        <v/>
      </c>
      <c r="BG395" s="51" t="str">
        <f t="shared" si="260"/>
        <v/>
      </c>
      <c r="BH395" s="51" t="b">
        <f t="shared" si="261"/>
        <v>0</v>
      </c>
      <c r="BI395" s="51" t="str">
        <f t="shared" si="262"/>
        <v/>
      </c>
      <c r="BJ395" s="51" t="str">
        <f t="shared" si="263"/>
        <v/>
      </c>
      <c r="BK395" s="51" t="b">
        <f t="shared" si="264"/>
        <v>0</v>
      </c>
      <c r="BL395" s="192"/>
    </row>
    <row r="396" spans="1:64" ht="13.5" thickBot="1" x14ac:dyDescent="0.25">
      <c r="A396" s="185" t="s">
        <v>1076</v>
      </c>
      <c r="B396" s="194" t="s">
        <v>695</v>
      </c>
      <c r="C396" s="194" t="s">
        <v>695</v>
      </c>
      <c r="D396" s="194" t="s">
        <v>695</v>
      </c>
      <c r="E396" s="193" t="s">
        <v>694</v>
      </c>
      <c r="F396" s="160" t="s">
        <v>20</v>
      </c>
      <c r="G396" s="161"/>
      <c r="H396" s="186" t="str">
        <f t="shared" si="222"/>
        <v>N/A</v>
      </c>
      <c r="I396" s="186" t="b">
        <f t="shared" si="223"/>
        <v>1</v>
      </c>
      <c r="J396" s="186" t="str">
        <f t="shared" si="224"/>
        <v>N/A</v>
      </c>
      <c r="K396" s="186" t="b">
        <f t="shared" si="225"/>
        <v>1</v>
      </c>
      <c r="L396" s="186" t="str">
        <f t="shared" si="226"/>
        <v>N/A</v>
      </c>
      <c r="M396" s="186" t="b">
        <f t="shared" si="227"/>
        <v>1</v>
      </c>
      <c r="N396" s="186" t="str">
        <f t="shared" si="228"/>
        <v>Used?</v>
      </c>
      <c r="O396" s="186" t="b">
        <f t="shared" si="229"/>
        <v>0</v>
      </c>
      <c r="P396" s="26" t="s">
        <v>696</v>
      </c>
      <c r="Q396" s="160" t="s">
        <v>20</v>
      </c>
      <c r="R396" s="160" t="s">
        <v>20</v>
      </c>
      <c r="S396" s="26" t="s">
        <v>697</v>
      </c>
      <c r="T396" s="165" t="str">
        <f t="shared" si="230"/>
        <v>Not Used</v>
      </c>
      <c r="U396" s="162"/>
      <c r="V396" s="55"/>
      <c r="W396" s="51" t="b">
        <f t="shared" si="231"/>
        <v>1</v>
      </c>
      <c r="X396" s="51" t="str">
        <f t="shared" si="232"/>
        <v>Not Used</v>
      </c>
      <c r="Y396" s="51" t="str">
        <f t="shared" si="233"/>
        <v>Not Used</v>
      </c>
      <c r="Z396" s="51" t="str">
        <f t="shared" si="234"/>
        <v>Not Used</v>
      </c>
      <c r="AA396" s="51" t="str">
        <f t="shared" si="234"/>
        <v>Not Used</v>
      </c>
      <c r="AB396" s="51" t="str">
        <f t="shared" si="235"/>
        <v>Not Used</v>
      </c>
      <c r="AC396" s="51" t="b">
        <f t="shared" si="236"/>
        <v>1</v>
      </c>
      <c r="AD396" s="51">
        <f>COUNTIF($X$5:$X$396, "Not Used")</f>
        <v>392</v>
      </c>
      <c r="AE396" s="51">
        <f>COUNTIF($X$5:$X$396, "TRUE")</f>
        <v>0</v>
      </c>
      <c r="AF396" s="51" t="b">
        <f t="shared" si="237"/>
        <v>1</v>
      </c>
      <c r="AI396" s="51" t="b">
        <f t="shared" si="238"/>
        <v>0</v>
      </c>
      <c r="AJ396" s="51" t="b">
        <f t="shared" si="239"/>
        <v>0</v>
      </c>
      <c r="AK396" s="51" t="b">
        <f t="shared" si="240"/>
        <v>0</v>
      </c>
      <c r="AL396" s="51" t="b">
        <f t="shared" si="241"/>
        <v>0</v>
      </c>
      <c r="AM396" s="51" t="b">
        <f t="shared" si="242"/>
        <v>0</v>
      </c>
      <c r="AN396" s="51"/>
      <c r="AO396" s="51" t="b">
        <f t="shared" si="243"/>
        <v>0</v>
      </c>
      <c r="AP396" s="51" t="str">
        <f t="shared" si="265"/>
        <v>Not in MMS</v>
      </c>
      <c r="AQ396" s="51" t="b">
        <f t="shared" si="244"/>
        <v>0</v>
      </c>
      <c r="AR396" s="51" t="b">
        <f t="shared" si="245"/>
        <v>0</v>
      </c>
      <c r="AS396" s="51" t="str">
        <f t="shared" si="246"/>
        <v/>
      </c>
      <c r="AT396" s="51" t="str">
        <f t="shared" si="247"/>
        <v/>
      </c>
      <c r="AU396" s="51" t="str">
        <f t="shared" si="248"/>
        <v/>
      </c>
      <c r="AV396" s="51" t="str">
        <f t="shared" si="249"/>
        <v/>
      </c>
      <c r="AW396" s="51" t="str">
        <f t="shared" si="250"/>
        <v/>
      </c>
      <c r="AX396" s="51" t="str">
        <f t="shared" si="251"/>
        <v/>
      </c>
      <c r="AY396" s="51" t="str">
        <f t="shared" si="252"/>
        <v/>
      </c>
      <c r="AZ396" s="51" t="str">
        <f t="shared" si="253"/>
        <v/>
      </c>
      <c r="BA396" s="51" t="str">
        <f t="shared" si="254"/>
        <v/>
      </c>
      <c r="BB396" s="51" t="str">
        <f t="shared" si="255"/>
        <v/>
      </c>
      <c r="BC396" s="51" t="str">
        <f t="shared" si="256"/>
        <v/>
      </c>
      <c r="BD396" s="51" t="str">
        <f t="shared" si="257"/>
        <v/>
      </c>
      <c r="BE396" s="51" t="str">
        <f t="shared" si="258"/>
        <v/>
      </c>
      <c r="BF396" s="51" t="str">
        <f t="shared" si="259"/>
        <v/>
      </c>
      <c r="BG396" s="51" t="str">
        <f t="shared" si="260"/>
        <v/>
      </c>
      <c r="BH396" s="51" t="b">
        <f t="shared" si="261"/>
        <v>0</v>
      </c>
      <c r="BI396" s="51" t="str">
        <f t="shared" si="262"/>
        <v/>
      </c>
      <c r="BJ396" s="51" t="str">
        <f t="shared" si="263"/>
        <v/>
      </c>
      <c r="BK396" s="51" t="b">
        <f t="shared" si="264"/>
        <v>0</v>
      </c>
      <c r="BL396" s="192"/>
    </row>
    <row r="397" spans="1:64" ht="13.5" thickBot="1" x14ac:dyDescent="0.25">
      <c r="A397" s="185" t="s">
        <v>1077</v>
      </c>
      <c r="B397" s="194" t="s">
        <v>695</v>
      </c>
      <c r="C397" s="194" t="s">
        <v>695</v>
      </c>
      <c r="D397" s="194" t="s">
        <v>695</v>
      </c>
      <c r="E397" s="193" t="s">
        <v>694</v>
      </c>
      <c r="F397" s="160" t="s">
        <v>20</v>
      </c>
      <c r="G397" s="161"/>
      <c r="H397" s="186" t="str">
        <f t="shared" si="222"/>
        <v>N/A</v>
      </c>
      <c r="I397" s="186" t="b">
        <f t="shared" si="223"/>
        <v>1</v>
      </c>
      <c r="J397" s="186" t="str">
        <f t="shared" si="224"/>
        <v>N/A</v>
      </c>
      <c r="K397" s="186" t="b">
        <f t="shared" si="225"/>
        <v>1</v>
      </c>
      <c r="L397" s="186" t="str">
        <f t="shared" si="226"/>
        <v>N/A</v>
      </c>
      <c r="M397" s="186" t="b">
        <f t="shared" si="227"/>
        <v>1</v>
      </c>
      <c r="N397" s="186" t="str">
        <f t="shared" si="228"/>
        <v>Used?</v>
      </c>
      <c r="O397" s="186" t="b">
        <f t="shared" si="229"/>
        <v>0</v>
      </c>
      <c r="P397" s="26" t="s">
        <v>696</v>
      </c>
      <c r="Q397" s="160" t="s">
        <v>20</v>
      </c>
      <c r="R397" s="160" t="s">
        <v>20</v>
      </c>
      <c r="S397" s="26" t="s">
        <v>697</v>
      </c>
      <c r="T397" s="165" t="str">
        <f t="shared" si="230"/>
        <v>Not Used</v>
      </c>
      <c r="U397" s="162"/>
      <c r="V397" s="55"/>
      <c r="W397" s="51" t="b">
        <f t="shared" si="231"/>
        <v>1</v>
      </c>
      <c r="X397" s="51" t="str">
        <f t="shared" si="232"/>
        <v>Not Used</v>
      </c>
      <c r="Y397" s="51" t="str">
        <f t="shared" si="233"/>
        <v>Not Used</v>
      </c>
      <c r="Z397" s="51" t="str">
        <f t="shared" si="234"/>
        <v>Not Used</v>
      </c>
      <c r="AA397" s="51" t="str">
        <f t="shared" si="234"/>
        <v>Not Used</v>
      </c>
      <c r="AB397" s="51" t="str">
        <f t="shared" si="235"/>
        <v>Not Used</v>
      </c>
      <c r="AC397" s="51" t="b">
        <f t="shared" si="236"/>
        <v>1</v>
      </c>
      <c r="AD397" s="51">
        <f>COUNTIF($X$5:$X$397, "Not Used")</f>
        <v>393</v>
      </c>
      <c r="AE397" s="51">
        <f>COUNTIF($X$5:$X$397, "TRUE")</f>
        <v>0</v>
      </c>
      <c r="AF397" s="51" t="b">
        <f t="shared" si="237"/>
        <v>1</v>
      </c>
      <c r="AI397" s="51" t="b">
        <f t="shared" si="238"/>
        <v>0</v>
      </c>
      <c r="AJ397" s="51" t="b">
        <f t="shared" si="239"/>
        <v>0</v>
      </c>
      <c r="AK397" s="51" t="b">
        <f t="shared" si="240"/>
        <v>0</v>
      </c>
      <c r="AL397" s="51" t="b">
        <f t="shared" si="241"/>
        <v>0</v>
      </c>
      <c r="AM397" s="51" t="b">
        <f t="shared" si="242"/>
        <v>0</v>
      </c>
      <c r="AN397" s="51"/>
      <c r="AO397" s="51" t="b">
        <f t="shared" si="243"/>
        <v>0</v>
      </c>
      <c r="AP397" s="51" t="str">
        <f t="shared" si="265"/>
        <v>Not in MMS</v>
      </c>
      <c r="AQ397" s="51" t="b">
        <f t="shared" si="244"/>
        <v>0</v>
      </c>
      <c r="AR397" s="51" t="b">
        <f t="shared" si="245"/>
        <v>0</v>
      </c>
      <c r="AS397" s="51" t="str">
        <f t="shared" si="246"/>
        <v/>
      </c>
      <c r="AT397" s="51" t="str">
        <f t="shared" si="247"/>
        <v/>
      </c>
      <c r="AU397" s="51" t="str">
        <f t="shared" si="248"/>
        <v/>
      </c>
      <c r="AV397" s="51" t="str">
        <f t="shared" si="249"/>
        <v/>
      </c>
      <c r="AW397" s="51" t="str">
        <f t="shared" si="250"/>
        <v/>
      </c>
      <c r="AX397" s="51" t="str">
        <f t="shared" si="251"/>
        <v/>
      </c>
      <c r="AY397" s="51" t="str">
        <f t="shared" si="252"/>
        <v/>
      </c>
      <c r="AZ397" s="51" t="str">
        <f t="shared" si="253"/>
        <v/>
      </c>
      <c r="BA397" s="51" t="str">
        <f t="shared" si="254"/>
        <v/>
      </c>
      <c r="BB397" s="51" t="str">
        <f t="shared" si="255"/>
        <v/>
      </c>
      <c r="BC397" s="51" t="str">
        <f t="shared" si="256"/>
        <v/>
      </c>
      <c r="BD397" s="51" t="str">
        <f t="shared" si="257"/>
        <v/>
      </c>
      <c r="BE397" s="51" t="str">
        <f t="shared" si="258"/>
        <v/>
      </c>
      <c r="BF397" s="51" t="str">
        <f t="shared" si="259"/>
        <v/>
      </c>
      <c r="BG397" s="51" t="str">
        <f t="shared" si="260"/>
        <v/>
      </c>
      <c r="BH397" s="51" t="b">
        <f t="shared" si="261"/>
        <v>0</v>
      </c>
      <c r="BI397" s="51" t="str">
        <f t="shared" si="262"/>
        <v/>
      </c>
      <c r="BJ397" s="51" t="str">
        <f t="shared" si="263"/>
        <v/>
      </c>
      <c r="BK397" s="51" t="b">
        <f t="shared" si="264"/>
        <v>0</v>
      </c>
      <c r="BL397" s="192"/>
    </row>
    <row r="398" spans="1:64" ht="13.5" thickBot="1" x14ac:dyDescent="0.25">
      <c r="A398" s="185" t="s">
        <v>1078</v>
      </c>
      <c r="B398" s="194" t="s">
        <v>695</v>
      </c>
      <c r="C398" s="194" t="s">
        <v>695</v>
      </c>
      <c r="D398" s="194" t="s">
        <v>695</v>
      </c>
      <c r="E398" s="193" t="s">
        <v>694</v>
      </c>
      <c r="F398" s="160" t="s">
        <v>20</v>
      </c>
      <c r="G398" s="161"/>
      <c r="H398" s="186" t="str">
        <f t="shared" si="222"/>
        <v>N/A</v>
      </c>
      <c r="I398" s="186" t="b">
        <f t="shared" si="223"/>
        <v>1</v>
      </c>
      <c r="J398" s="186" t="str">
        <f t="shared" si="224"/>
        <v>N/A</v>
      </c>
      <c r="K398" s="186" t="b">
        <f t="shared" si="225"/>
        <v>1</v>
      </c>
      <c r="L398" s="186" t="str">
        <f t="shared" si="226"/>
        <v>N/A</v>
      </c>
      <c r="M398" s="186" t="b">
        <f t="shared" si="227"/>
        <v>1</v>
      </c>
      <c r="N398" s="186" t="str">
        <f t="shared" si="228"/>
        <v>Used?</v>
      </c>
      <c r="O398" s="186" t="b">
        <f t="shared" si="229"/>
        <v>0</v>
      </c>
      <c r="P398" s="26" t="s">
        <v>696</v>
      </c>
      <c r="Q398" s="160" t="s">
        <v>20</v>
      </c>
      <c r="R398" s="160" t="s">
        <v>20</v>
      </c>
      <c r="S398" s="26" t="s">
        <v>697</v>
      </c>
      <c r="T398" s="165" t="str">
        <f t="shared" si="230"/>
        <v>Not Used</v>
      </c>
      <c r="U398" s="162"/>
      <c r="V398" s="55"/>
      <c r="W398" s="51" t="b">
        <f t="shared" si="231"/>
        <v>1</v>
      </c>
      <c r="X398" s="51" t="str">
        <f t="shared" si="232"/>
        <v>Not Used</v>
      </c>
      <c r="Y398" s="51" t="str">
        <f t="shared" si="233"/>
        <v>Not Used</v>
      </c>
      <c r="Z398" s="51" t="str">
        <f t="shared" si="234"/>
        <v>Not Used</v>
      </c>
      <c r="AA398" s="51" t="str">
        <f t="shared" si="234"/>
        <v>Not Used</v>
      </c>
      <c r="AB398" s="51" t="str">
        <f t="shared" si="235"/>
        <v>Not Used</v>
      </c>
      <c r="AC398" s="51" t="b">
        <f t="shared" si="236"/>
        <v>1</v>
      </c>
      <c r="AD398" s="51">
        <f>COUNTIF($X$5:$X$398, "Not Used")</f>
        <v>394</v>
      </c>
      <c r="AE398" s="51">
        <f>COUNTIF($X$5:$X$398, "TRUE")</f>
        <v>0</v>
      </c>
      <c r="AF398" s="51" t="b">
        <f t="shared" si="237"/>
        <v>1</v>
      </c>
      <c r="AI398" s="51" t="b">
        <f t="shared" si="238"/>
        <v>0</v>
      </c>
      <c r="AJ398" s="51" t="b">
        <f t="shared" si="239"/>
        <v>0</v>
      </c>
      <c r="AK398" s="51" t="b">
        <f t="shared" si="240"/>
        <v>0</v>
      </c>
      <c r="AL398" s="51" t="b">
        <f t="shared" si="241"/>
        <v>0</v>
      </c>
      <c r="AM398" s="51" t="b">
        <f t="shared" si="242"/>
        <v>0</v>
      </c>
      <c r="AN398" s="51"/>
      <c r="AO398" s="51" t="b">
        <f t="shared" si="243"/>
        <v>0</v>
      </c>
      <c r="AP398" s="51" t="str">
        <f t="shared" si="265"/>
        <v>Not in MMS</v>
      </c>
      <c r="AQ398" s="51" t="b">
        <f t="shared" si="244"/>
        <v>0</v>
      </c>
      <c r="AR398" s="51" t="b">
        <f t="shared" si="245"/>
        <v>0</v>
      </c>
      <c r="AS398" s="51" t="str">
        <f t="shared" si="246"/>
        <v/>
      </c>
      <c r="AT398" s="51" t="str">
        <f t="shared" si="247"/>
        <v/>
      </c>
      <c r="AU398" s="51" t="str">
        <f t="shared" si="248"/>
        <v/>
      </c>
      <c r="AV398" s="51" t="str">
        <f t="shared" si="249"/>
        <v/>
      </c>
      <c r="AW398" s="51" t="str">
        <f t="shared" si="250"/>
        <v/>
      </c>
      <c r="AX398" s="51" t="str">
        <f t="shared" si="251"/>
        <v/>
      </c>
      <c r="AY398" s="51" t="str">
        <f t="shared" si="252"/>
        <v/>
      </c>
      <c r="AZ398" s="51" t="str">
        <f t="shared" si="253"/>
        <v/>
      </c>
      <c r="BA398" s="51" t="str">
        <f t="shared" si="254"/>
        <v/>
      </c>
      <c r="BB398" s="51" t="str">
        <f t="shared" si="255"/>
        <v/>
      </c>
      <c r="BC398" s="51" t="str">
        <f t="shared" si="256"/>
        <v/>
      </c>
      <c r="BD398" s="51" t="str">
        <f t="shared" si="257"/>
        <v/>
      </c>
      <c r="BE398" s="51" t="str">
        <f t="shared" si="258"/>
        <v/>
      </c>
      <c r="BF398" s="51" t="str">
        <f t="shared" si="259"/>
        <v/>
      </c>
      <c r="BG398" s="51" t="str">
        <f t="shared" si="260"/>
        <v/>
      </c>
      <c r="BH398" s="51" t="b">
        <f t="shared" si="261"/>
        <v>0</v>
      </c>
      <c r="BI398" s="51" t="str">
        <f t="shared" si="262"/>
        <v/>
      </c>
      <c r="BJ398" s="51" t="str">
        <f t="shared" si="263"/>
        <v/>
      </c>
      <c r="BK398" s="51" t="b">
        <f t="shared" si="264"/>
        <v>0</v>
      </c>
      <c r="BL398" s="192"/>
    </row>
    <row r="399" spans="1:64" ht="13.5" thickBot="1" x14ac:dyDescent="0.25">
      <c r="A399" s="185" t="s">
        <v>1079</v>
      </c>
      <c r="B399" s="194" t="s">
        <v>695</v>
      </c>
      <c r="C399" s="194" t="s">
        <v>695</v>
      </c>
      <c r="D399" s="194" t="s">
        <v>695</v>
      </c>
      <c r="E399" s="193" t="s">
        <v>694</v>
      </c>
      <c r="F399" s="160" t="s">
        <v>20</v>
      </c>
      <c r="G399" s="161"/>
      <c r="H399" s="186" t="str">
        <f t="shared" si="222"/>
        <v>N/A</v>
      </c>
      <c r="I399" s="186" t="b">
        <f t="shared" si="223"/>
        <v>1</v>
      </c>
      <c r="J399" s="186" t="str">
        <f t="shared" si="224"/>
        <v>N/A</v>
      </c>
      <c r="K399" s="186" t="b">
        <f t="shared" si="225"/>
        <v>1</v>
      </c>
      <c r="L399" s="186" t="str">
        <f t="shared" si="226"/>
        <v>N/A</v>
      </c>
      <c r="M399" s="186" t="b">
        <f t="shared" si="227"/>
        <v>1</v>
      </c>
      <c r="N399" s="186" t="str">
        <f t="shared" si="228"/>
        <v>Used?</v>
      </c>
      <c r="O399" s="186" t="b">
        <f t="shared" si="229"/>
        <v>0</v>
      </c>
      <c r="P399" s="26" t="s">
        <v>696</v>
      </c>
      <c r="Q399" s="160" t="s">
        <v>20</v>
      </c>
      <c r="R399" s="160" t="s">
        <v>20</v>
      </c>
      <c r="S399" s="26" t="s">
        <v>697</v>
      </c>
      <c r="T399" s="165" t="str">
        <f t="shared" si="230"/>
        <v>Not Used</v>
      </c>
      <c r="U399" s="162"/>
      <c r="V399" s="55"/>
      <c r="W399" s="51" t="b">
        <f t="shared" si="231"/>
        <v>1</v>
      </c>
      <c r="X399" s="51" t="str">
        <f t="shared" si="232"/>
        <v>Not Used</v>
      </c>
      <c r="Y399" s="51" t="str">
        <f t="shared" si="233"/>
        <v>Not Used</v>
      </c>
      <c r="Z399" s="51" t="str">
        <f t="shared" si="234"/>
        <v>Not Used</v>
      </c>
      <c r="AA399" s="51" t="str">
        <f t="shared" si="234"/>
        <v>Not Used</v>
      </c>
      <c r="AB399" s="51" t="str">
        <f t="shared" si="235"/>
        <v>Not Used</v>
      </c>
      <c r="AC399" s="51" t="b">
        <f t="shared" si="236"/>
        <v>1</v>
      </c>
      <c r="AD399" s="51">
        <f>COUNTIF($X$5:$X$399, "Not Used")</f>
        <v>395</v>
      </c>
      <c r="AE399" s="51">
        <f>COUNTIF($X$5:$X$399, "TRUE")</f>
        <v>0</v>
      </c>
      <c r="AF399" s="51" t="b">
        <f t="shared" si="237"/>
        <v>1</v>
      </c>
      <c r="AI399" s="51" t="b">
        <f t="shared" si="238"/>
        <v>0</v>
      </c>
      <c r="AJ399" s="51" t="b">
        <f t="shared" si="239"/>
        <v>0</v>
      </c>
      <c r="AK399" s="51" t="b">
        <f t="shared" si="240"/>
        <v>0</v>
      </c>
      <c r="AL399" s="51" t="b">
        <f t="shared" si="241"/>
        <v>0</v>
      </c>
      <c r="AM399" s="51" t="b">
        <f t="shared" si="242"/>
        <v>0</v>
      </c>
      <c r="AN399" s="51"/>
      <c r="AO399" s="51" t="b">
        <f t="shared" si="243"/>
        <v>0</v>
      </c>
      <c r="AP399" s="51" t="str">
        <f t="shared" si="265"/>
        <v>Not in MMS</v>
      </c>
      <c r="AQ399" s="51" t="b">
        <f t="shared" si="244"/>
        <v>0</v>
      </c>
      <c r="AR399" s="51" t="b">
        <f t="shared" si="245"/>
        <v>0</v>
      </c>
      <c r="AS399" s="51" t="str">
        <f t="shared" si="246"/>
        <v/>
      </c>
      <c r="AT399" s="51" t="str">
        <f t="shared" si="247"/>
        <v/>
      </c>
      <c r="AU399" s="51" t="str">
        <f t="shared" si="248"/>
        <v/>
      </c>
      <c r="AV399" s="51" t="str">
        <f t="shared" si="249"/>
        <v/>
      </c>
      <c r="AW399" s="51" t="str">
        <f t="shared" si="250"/>
        <v/>
      </c>
      <c r="AX399" s="51" t="str">
        <f t="shared" si="251"/>
        <v/>
      </c>
      <c r="AY399" s="51" t="str">
        <f t="shared" si="252"/>
        <v/>
      </c>
      <c r="AZ399" s="51" t="str">
        <f t="shared" si="253"/>
        <v/>
      </c>
      <c r="BA399" s="51" t="str">
        <f t="shared" si="254"/>
        <v/>
      </c>
      <c r="BB399" s="51" t="str">
        <f t="shared" si="255"/>
        <v/>
      </c>
      <c r="BC399" s="51" t="str">
        <f t="shared" si="256"/>
        <v/>
      </c>
      <c r="BD399" s="51" t="str">
        <f t="shared" si="257"/>
        <v/>
      </c>
      <c r="BE399" s="51" t="str">
        <f t="shared" si="258"/>
        <v/>
      </c>
      <c r="BF399" s="51" t="str">
        <f t="shared" si="259"/>
        <v/>
      </c>
      <c r="BG399" s="51" t="str">
        <f t="shared" si="260"/>
        <v/>
      </c>
      <c r="BH399" s="51" t="b">
        <f t="shared" si="261"/>
        <v>0</v>
      </c>
      <c r="BI399" s="51" t="str">
        <f t="shared" si="262"/>
        <v/>
      </c>
      <c r="BJ399" s="51" t="str">
        <f t="shared" si="263"/>
        <v/>
      </c>
      <c r="BK399" s="51" t="b">
        <f t="shared" si="264"/>
        <v>0</v>
      </c>
      <c r="BL399" s="192"/>
    </row>
    <row r="400" spans="1:64" ht="13.5" thickBot="1" x14ac:dyDescent="0.25">
      <c r="A400" s="185" t="s">
        <v>1080</v>
      </c>
      <c r="B400" s="194" t="s">
        <v>695</v>
      </c>
      <c r="C400" s="194" t="s">
        <v>695</v>
      </c>
      <c r="D400" s="194" t="s">
        <v>695</v>
      </c>
      <c r="E400" s="193" t="s">
        <v>694</v>
      </c>
      <c r="F400" s="160" t="s">
        <v>20</v>
      </c>
      <c r="G400" s="161"/>
      <c r="H400" s="186" t="str">
        <f t="shared" ref="H400:H466" si="266">IF(B400="YES",(IF(F400="Yes",TRUE,(IF(F400="YES WITH MODIFICATION",(IF((NOT(ISBLANK(U400))),"Used with modification","Change Request?")),(IF(F400="N/A",(IF((NOT(ISBLANK(G400))),"Not Used","Rationale?")),(IF(F400="&lt;Select&gt;","Used?",FALSE)))))))),"N/A")</f>
        <v>N/A</v>
      </c>
      <c r="I400" s="186" t="b">
        <f t="shared" ref="I400:I466" si="267">IF(B400="YES",OR(IF(F400="YES",TRUE,FALSE),IF(AND(F400="YES WITH MODIFICATION",NOT(ISBLANK(U400))),TRUE,FALSE),(IF(F400="N/A",NOT(ISBLANK(G400))))),TRUE)</f>
        <v>1</v>
      </c>
      <c r="J400" s="186" t="str">
        <f t="shared" ref="J400:J466" si="268">IF(C400="YES",(IF(F400="YES",TRUE,(IF(F400="YES WITH MODIFICATION",(IF((NOT(ISBLANK(U400))),"Used with modification","Change Request?")),(IF(F400="N/A",(IF((NOT(ISBLANK(G400))),"Not Used","Rationale?")),(IF(F400="&lt;Select&gt;","Used?",FALSE)))))))),"N/A")</f>
        <v>N/A</v>
      </c>
      <c r="K400" s="186" t="b">
        <f t="shared" ref="K400:K466" si="269">IF(C400="YES",OR(IF(F400="YES",TRUE,FALSE),IF(AND(F400="YES WITH MODIFICATION",NOT(ISBLANK(U400))),TRUE,FALSE),(IF(F400="N/A",NOT(ISBLANK(G400))))),TRUE)</f>
        <v>1</v>
      </c>
      <c r="L400" s="186" t="str">
        <f t="shared" ref="L400:L466" si="270">IF(D400="YES",(IF(F400="YES",TRUE,(IF(F400="YES WITH MODIFICATION",(IF((NOT(ISBLANK(U400))),"Used with modification","Change Request?")),(IF(F400="N/A",(IF((NOT(ISBLANK(G400))),"Not Used","Rationale?")),(IF(F400="&lt;Select&gt;","Used?",FALSE)))))))),"N/A")</f>
        <v>N/A</v>
      </c>
      <c r="M400" s="186" t="b">
        <f t="shared" ref="M400:M466" si="271">IF(D400="YES",OR(IF(F400="YES",TRUE,FALSE),IF(AND(F400="YES WITH MODIFICATION",NOT(ISBLANK(U400))),TRUE,FALSE),(IF(F400="N/A",NOT(ISBLANK(G400))))),TRUE)</f>
        <v>1</v>
      </c>
      <c r="N400" s="186" t="str">
        <f t="shared" ref="N400:N466" si="272">IF(E400="YES",(IF(F400="YES",TRUE,(IF(F400="YES WITH MODIFICATION",(IF((NOT(ISBLANK(U400))),"Used with modification","Change Request?")),(IF(F400="N/A",(IF((NOT(ISBLANK(G400))),"Not Used","Rationale?")),(IF(F400="&lt;Select&gt;","Used?",FALSE)))))))),"N/A")</f>
        <v>Used?</v>
      </c>
      <c r="O400" s="186" t="b">
        <f t="shared" ref="O400:O466" si="273">IF(E400="YES",OR(IF(F400="YES",TRUE,FALSE),IF(AND(F400="YES WITH MODIFICATION",NOT(ISBLANK(U400))),TRUE,FALSE),(IF(F400="N/A",NOT(ISBLANK(G400))))),TRUE)</f>
        <v>0</v>
      </c>
      <c r="P400" s="26" t="s">
        <v>696</v>
      </c>
      <c r="Q400" s="160" t="s">
        <v>20</v>
      </c>
      <c r="R400" s="160" t="s">
        <v>20</v>
      </c>
      <c r="S400" s="26" t="s">
        <v>697</v>
      </c>
      <c r="T400" s="165" t="str">
        <f t="shared" ref="T400:T466" si="274">IF(NOT(OR(F400="Yes",F400="YES WITH MODIFICATION")),"Not Used",(AND(X400=Y400,X400=(OR(Z400=TRUE,AA400=TRUE)), X400=AB400, X400=AC400)))</f>
        <v>Not Used</v>
      </c>
      <c r="U400" s="162"/>
      <c r="V400" s="55"/>
      <c r="W400" s="51" t="b">
        <f t="shared" ref="W400:W466" si="275">IF(T400=TRUE,TRUE,(IF(T400="Not Used", TRUE,FALSE)))</f>
        <v>1</v>
      </c>
      <c r="X400" s="51" t="str">
        <f t="shared" ref="X400:X466" si="276">IF(OR(F400="YES",F400="YES WITH MODIFICATION"),TRUE,"Not Used")</f>
        <v>Not Used</v>
      </c>
      <c r="Y400" s="51" t="str">
        <f t="shared" ref="Y400:Y466" si="277">IF(OR(P400="SC §3.X.X.X", ISBLANK(P400)),"Not Used", TRUE)</f>
        <v>Not Used</v>
      </c>
      <c r="Z400" s="51" t="str">
        <f t="shared" ref="Z400:AA466" si="278">IF(OR(Q400="&lt;Select&gt;",(ISBLANK(Q400))),"Not Used",TRUE)</f>
        <v>Not Used</v>
      </c>
      <c r="AA400" s="51" t="str">
        <f t="shared" si="278"/>
        <v>Not Used</v>
      </c>
      <c r="AB400" s="51" t="str">
        <f t="shared" ref="AB400:AB466" si="279">IF(OR(S400="&lt;enter location here&gt;",(ISBLANK(S400))),"Not Used",TRUE)</f>
        <v>Not Used</v>
      </c>
      <c r="AC400" s="51" t="b">
        <f t="shared" ref="AC400:AC466" si="280">IF(F400="YES WITH MODIFICATION",IF(NOT(ISBLANK(U400)),TRUE,FALSE),TRUE)</f>
        <v>1</v>
      </c>
      <c r="AD400" s="51">
        <f>COUNTIF($X$5:$X$400, "Not Used")</f>
        <v>396</v>
      </c>
      <c r="AE400" s="51">
        <f>COUNTIF($X$5:$X$400, "TRUE")</f>
        <v>0</v>
      </c>
      <c r="AF400" s="51" t="b">
        <f t="shared" ref="AF400:AF466" si="281">IF(F400="&lt;Select&gt;", TRUE,FALSE)</f>
        <v>1</v>
      </c>
      <c r="AI400" s="51" t="b">
        <f t="shared" ref="AI400:AI466" si="282">IF(F400="N/A", TRUE, FALSE)</f>
        <v>0</v>
      </c>
      <c r="AJ400" s="51" t="b">
        <f t="shared" ref="AJ400:AJ466" si="283">IF(AI400=TRUE, IF(NOT(ISBLANK(G400)), TRUE, FALSE))</f>
        <v>0</v>
      </c>
      <c r="AK400" s="51" t="b">
        <f t="shared" ref="AK400:AK466" si="284">IF(F400="YES WITH MODIFICATION", TRUE, FALSE)</f>
        <v>0</v>
      </c>
      <c r="AL400" s="51" t="b">
        <f t="shared" ref="AL400:AL466" si="285">IF(ISBLANK(U400), FALSE, TRUE)</f>
        <v>0</v>
      </c>
      <c r="AM400" s="51" t="b">
        <f t="shared" ref="AM400:AM466" si="286">IF(AND(AK400=TRUE, AL400=TRUE), TRUE, FALSE)</f>
        <v>0</v>
      </c>
      <c r="AN400" s="51"/>
      <c r="AO400" s="51" t="b">
        <f t="shared" ref="AO400:AO466" si="287">IF(AND(F400="YES WITH MODIFICATION", NOT(ISBLANK(U400))), TRUE, FALSE)</f>
        <v>0</v>
      </c>
      <c r="AP400" s="51" t="str">
        <f t="shared" si="265"/>
        <v>Not in MMS</v>
      </c>
      <c r="AQ400" s="51" t="b">
        <f t="shared" ref="AQ400:AQ466" si="288">IF(S400="&lt;enter location here&gt;", FALSE, TRUE)</f>
        <v>0</v>
      </c>
      <c r="AR400" s="51" t="b">
        <f t="shared" ref="AR400:AR466" si="289">IF(F400="&lt;Select&gt;", FALSE, IF(T400=FALSE, FALSE, TRUE))</f>
        <v>0</v>
      </c>
      <c r="AS400" s="51" t="str">
        <f t="shared" ref="AS400:AS466" si="290">IF(ISNUMBER(SEARCH("Tier 1 Sub MMS",AP400)), IF(F400="&lt;Select&gt;", FALSE, IF(AND(F400="N/A", J400="Rationale?"), FALSE, TRUE)), "")</f>
        <v/>
      </c>
      <c r="AT400" s="51" t="str">
        <f t="shared" ref="AT400:AT466" si="291">IF(ISNUMBER(SEARCH("Tier 1 MMS",AP400)), IF(F400="&lt;Select&gt;", FALSE, IF(AND(F400="N/A", H400="Rationale?"), FALSE, TRUE)), "")</f>
        <v/>
      </c>
      <c r="AU400" s="51" t="str">
        <f t="shared" ref="AU400:AU466" si="292">IF(ISNUMBER(SEARCH("Tier 1 MMS",AP400)), IF(F400="&lt;Select&gt;", FALSE, IF(AND(F400="YES WITH MODIFICATION", H400="Change Request?"), FALSE, TRUE)), "")</f>
        <v/>
      </c>
      <c r="AV400" s="51" t="str">
        <f t="shared" ref="AV400:AV466" si="293">IF(ISNUMBER(SEARCH("Tier 1 MMS",AP400)), IF(AK400=TRUE, TRUE, ""),"")</f>
        <v/>
      </c>
      <c r="AW400" s="51" t="str">
        <f t="shared" ref="AW400:AW466" si="294">IF(ISNUMBER(SEARCH("Tier 1 MMS",AP400)), IF(AL400=TRUE, TRUE, ""),"")</f>
        <v/>
      </c>
      <c r="AX400" s="51" t="str">
        <f t="shared" ref="AX400:AX466" si="295">IF(ISNUMBER(SEARCH("Tier 1 MMS",AP400)), IF(AI400=TRUE, TRUE, ""),"")</f>
        <v/>
      </c>
      <c r="AY400" s="51" t="str">
        <f t="shared" ref="AY400:AY466" si="296">IF(ISNUMBER(SEARCH("Tier 1 MMS",AP400)), IF(AJ400=TRUE, TRUE, ""),"")</f>
        <v/>
      </c>
      <c r="AZ400" s="51" t="str">
        <f t="shared" ref="AZ400:AZ466" si="297">IF(ISNUMBER(SEARCH("Tier 1 Sub MMS",AP400)), IF(AK400=TRUE, TRUE, ""),"")</f>
        <v/>
      </c>
      <c r="BA400" s="51" t="str">
        <f t="shared" ref="BA400:BA466" si="298">IF(ISNUMBER(SEARCH("Tier 1 Sub MMS",AP400)), IF(AL400=TRUE, TRUE, ""),"")</f>
        <v/>
      </c>
      <c r="BB400" s="51" t="str">
        <f t="shared" ref="BB400:BB466" si="299">IF(ISNUMBER(SEARCH("Tier 1 Sub MMS",AP400)), IF(AI400=TRUE, TRUE, ""),"")</f>
        <v/>
      </c>
      <c r="BC400" s="51" t="str">
        <f t="shared" ref="BC400:BC466" si="300">IF(ISNUMBER(SEARCH("Tier 1 Sub MMS",AP400)), IF(AJ400=TRUE, TRUE, ""),"")</f>
        <v/>
      </c>
      <c r="BD400" s="51" t="str">
        <f t="shared" ref="BD400:BD466" si="301">IF(ISNUMBER(SEARCH("Tier 2 MMS",AP400)), IF(AK400=TRUE, TRUE, ""),"")</f>
        <v/>
      </c>
      <c r="BE400" s="51" t="str">
        <f t="shared" ref="BE400:BE466" si="302">IF(ISNUMBER(SEARCH("Tier 2 MMS",AP400)), IF(AL400=TRUE, TRUE, ""),"")</f>
        <v/>
      </c>
      <c r="BF400" s="51" t="str">
        <f t="shared" ref="BF400:BF466" si="303">IF(ISNUMBER(SEARCH("Tier 2 MMS",AP400)), IF(AI400=TRUE, TRUE, ""),"")</f>
        <v/>
      </c>
      <c r="BG400" s="51" t="str">
        <f t="shared" ref="BG400:BG466" si="304">IF(ISNUMBER(SEARCH("Tier 2 MMS",AP400)), IF(AJ400=TRUE, TRUE, ""),"")</f>
        <v/>
      </c>
      <c r="BH400" s="51" t="b">
        <f t="shared" ref="BH400:BH466" si="305" xml:space="preserve"> IF(OR(F400="&lt;Select&gt;", AQ400=FALSE), FALSE, TRUE)</f>
        <v>0</v>
      </c>
      <c r="BI400" s="51" t="str">
        <f t="shared" ref="BI400:BI466" si="306">IF(E400="YES", "", IF(E400="NO", IF(F400="N/A",TRUE,IF(F400="YES",FALSE))))</f>
        <v/>
      </c>
      <c r="BJ400" s="51" t="str">
        <f t="shared" ref="BJ400:BJ466" si="307">IF(E400="YES", "", IF(E400="NO", IF(AND(F400="N/A", NOT(ISBLANK(G400))), TRUE, IF(AND(F400="YES",AL400=TRUE),TRUE,FALSE))))</f>
        <v/>
      </c>
      <c r="BK400" s="51" t="b">
        <f t="shared" ref="BK400:BK466" si="308" xml:space="preserve"> IF(OR(F400="&lt;Select&gt;", T400=FALSE), FALSE, TRUE)</f>
        <v>0</v>
      </c>
      <c r="BL400" s="192"/>
    </row>
    <row r="401" spans="1:64" ht="13.5" thickBot="1" x14ac:dyDescent="0.25">
      <c r="A401" s="185" t="s">
        <v>1081</v>
      </c>
      <c r="B401" s="194" t="s">
        <v>695</v>
      </c>
      <c r="C401" s="194" t="s">
        <v>695</v>
      </c>
      <c r="D401" s="194" t="s">
        <v>695</v>
      </c>
      <c r="E401" s="193" t="s">
        <v>694</v>
      </c>
      <c r="F401" s="160" t="s">
        <v>20</v>
      </c>
      <c r="G401" s="161"/>
      <c r="H401" s="186" t="str">
        <f t="shared" si="266"/>
        <v>N/A</v>
      </c>
      <c r="I401" s="186" t="b">
        <f t="shared" si="267"/>
        <v>1</v>
      </c>
      <c r="J401" s="186" t="str">
        <f t="shared" si="268"/>
        <v>N/A</v>
      </c>
      <c r="K401" s="186" t="b">
        <f t="shared" si="269"/>
        <v>1</v>
      </c>
      <c r="L401" s="186" t="str">
        <f t="shared" si="270"/>
        <v>N/A</v>
      </c>
      <c r="M401" s="186" t="b">
        <f t="shared" si="271"/>
        <v>1</v>
      </c>
      <c r="N401" s="186" t="str">
        <f t="shared" si="272"/>
        <v>Used?</v>
      </c>
      <c r="O401" s="186" t="b">
        <f t="shared" si="273"/>
        <v>0</v>
      </c>
      <c r="P401" s="26" t="s">
        <v>696</v>
      </c>
      <c r="Q401" s="160" t="s">
        <v>20</v>
      </c>
      <c r="R401" s="160" t="s">
        <v>20</v>
      </c>
      <c r="S401" s="26" t="s">
        <v>697</v>
      </c>
      <c r="T401" s="165" t="str">
        <f t="shared" si="274"/>
        <v>Not Used</v>
      </c>
      <c r="U401" s="162"/>
      <c r="V401" s="55"/>
      <c r="W401" s="51" t="b">
        <f t="shared" si="275"/>
        <v>1</v>
      </c>
      <c r="X401" s="51" t="str">
        <f t="shared" si="276"/>
        <v>Not Used</v>
      </c>
      <c r="Y401" s="51" t="str">
        <f t="shared" si="277"/>
        <v>Not Used</v>
      </c>
      <c r="Z401" s="51" t="str">
        <f t="shared" si="278"/>
        <v>Not Used</v>
      </c>
      <c r="AA401" s="51" t="str">
        <f t="shared" si="278"/>
        <v>Not Used</v>
      </c>
      <c r="AB401" s="51" t="str">
        <f t="shared" si="279"/>
        <v>Not Used</v>
      </c>
      <c r="AC401" s="51" t="b">
        <f t="shared" si="280"/>
        <v>1</v>
      </c>
      <c r="AD401" s="51">
        <f>COUNTIF($X$5:$X$401, "Not Used")</f>
        <v>397</v>
      </c>
      <c r="AE401" s="51">
        <f>COUNTIF($X$5:$X$401, "TRUE")</f>
        <v>0</v>
      </c>
      <c r="AF401" s="51" t="b">
        <f t="shared" si="281"/>
        <v>1</v>
      </c>
      <c r="AI401" s="51" t="b">
        <f t="shared" si="282"/>
        <v>0</v>
      </c>
      <c r="AJ401" s="51" t="b">
        <f t="shared" si="283"/>
        <v>0</v>
      </c>
      <c r="AK401" s="51" t="b">
        <f t="shared" si="284"/>
        <v>0</v>
      </c>
      <c r="AL401" s="51" t="b">
        <f t="shared" si="285"/>
        <v>0</v>
      </c>
      <c r="AM401" s="51" t="b">
        <f t="shared" si="286"/>
        <v>0</v>
      </c>
      <c r="AN401" s="51"/>
      <c r="AO401" s="51" t="b">
        <f t="shared" si="287"/>
        <v>0</v>
      </c>
      <c r="AP401" s="51" t="str">
        <f t="shared" ref="AP401:AP467" si="309">IF(AND(B401="YES", C401="YES", D401="YES"), "Tier 1 MMS, Tier 1 Sub MMS, Tier 2 MMS", IF(AND(B401="YES", C401="YES"), "Tier 1 MMS, Tier 1 Sub MMS", IF(AND(B401="YES", D401="YES"), "Tier 1 MMS, Tier 2 MMS", IF(AND(C401="YES", D401="YES"), "Tier 1 Sub MMS, Tier 2 MMS", IF(B401="YES", "Tier 1 MMS", IF(C401="YES", "Tier 1 Sub MMS", IF(D401="YES", "Tier 2 MMS", "Not in MMS")))))))</f>
        <v>Not in MMS</v>
      </c>
      <c r="AQ401" s="51" t="b">
        <f t="shared" si="288"/>
        <v>0</v>
      </c>
      <c r="AR401" s="51" t="b">
        <f t="shared" si="289"/>
        <v>0</v>
      </c>
      <c r="AS401" s="51" t="str">
        <f t="shared" si="290"/>
        <v/>
      </c>
      <c r="AT401" s="51" t="str">
        <f t="shared" si="291"/>
        <v/>
      </c>
      <c r="AU401" s="51" t="str">
        <f t="shared" si="292"/>
        <v/>
      </c>
      <c r="AV401" s="51" t="str">
        <f t="shared" si="293"/>
        <v/>
      </c>
      <c r="AW401" s="51" t="str">
        <f t="shared" si="294"/>
        <v/>
      </c>
      <c r="AX401" s="51" t="str">
        <f t="shared" si="295"/>
        <v/>
      </c>
      <c r="AY401" s="51" t="str">
        <f t="shared" si="296"/>
        <v/>
      </c>
      <c r="AZ401" s="51" t="str">
        <f t="shared" si="297"/>
        <v/>
      </c>
      <c r="BA401" s="51" t="str">
        <f t="shared" si="298"/>
        <v/>
      </c>
      <c r="BB401" s="51" t="str">
        <f t="shared" si="299"/>
        <v/>
      </c>
      <c r="BC401" s="51" t="str">
        <f t="shared" si="300"/>
        <v/>
      </c>
      <c r="BD401" s="51" t="str">
        <f t="shared" si="301"/>
        <v/>
      </c>
      <c r="BE401" s="51" t="str">
        <f t="shared" si="302"/>
        <v/>
      </c>
      <c r="BF401" s="51" t="str">
        <f t="shared" si="303"/>
        <v/>
      </c>
      <c r="BG401" s="51" t="str">
        <f t="shared" si="304"/>
        <v/>
      </c>
      <c r="BH401" s="51" t="b">
        <f t="shared" si="305"/>
        <v>0</v>
      </c>
      <c r="BI401" s="51" t="str">
        <f t="shared" si="306"/>
        <v/>
      </c>
      <c r="BJ401" s="51" t="str">
        <f t="shared" si="307"/>
        <v/>
      </c>
      <c r="BK401" s="51" t="b">
        <f t="shared" si="308"/>
        <v>0</v>
      </c>
      <c r="BL401" s="192"/>
    </row>
    <row r="402" spans="1:64" ht="13.5" thickBot="1" x14ac:dyDescent="0.25">
      <c r="A402" s="185" t="s">
        <v>1082</v>
      </c>
      <c r="B402" s="194" t="s">
        <v>695</v>
      </c>
      <c r="C402" s="194" t="s">
        <v>695</v>
      </c>
      <c r="D402" s="194" t="s">
        <v>695</v>
      </c>
      <c r="E402" s="193" t="s">
        <v>694</v>
      </c>
      <c r="F402" s="160" t="s">
        <v>20</v>
      </c>
      <c r="G402" s="161"/>
      <c r="H402" s="186" t="str">
        <f t="shared" si="266"/>
        <v>N/A</v>
      </c>
      <c r="I402" s="186" t="b">
        <f t="shared" si="267"/>
        <v>1</v>
      </c>
      <c r="J402" s="186" t="str">
        <f t="shared" si="268"/>
        <v>N/A</v>
      </c>
      <c r="K402" s="186" t="b">
        <f t="shared" si="269"/>
        <v>1</v>
      </c>
      <c r="L402" s="186" t="str">
        <f t="shared" si="270"/>
        <v>N/A</v>
      </c>
      <c r="M402" s="186" t="b">
        <f t="shared" si="271"/>
        <v>1</v>
      </c>
      <c r="N402" s="186" t="str">
        <f t="shared" si="272"/>
        <v>Used?</v>
      </c>
      <c r="O402" s="186" t="b">
        <f t="shared" si="273"/>
        <v>0</v>
      </c>
      <c r="P402" s="26" t="s">
        <v>696</v>
      </c>
      <c r="Q402" s="160" t="s">
        <v>20</v>
      </c>
      <c r="R402" s="160" t="s">
        <v>20</v>
      </c>
      <c r="S402" s="26" t="s">
        <v>697</v>
      </c>
      <c r="T402" s="165" t="str">
        <f t="shared" si="274"/>
        <v>Not Used</v>
      </c>
      <c r="U402" s="162"/>
      <c r="V402" s="55"/>
      <c r="W402" s="51" t="b">
        <f t="shared" si="275"/>
        <v>1</v>
      </c>
      <c r="X402" s="51" t="str">
        <f t="shared" si="276"/>
        <v>Not Used</v>
      </c>
      <c r="Y402" s="51" t="str">
        <f t="shared" si="277"/>
        <v>Not Used</v>
      </c>
      <c r="Z402" s="51" t="str">
        <f t="shared" si="278"/>
        <v>Not Used</v>
      </c>
      <c r="AA402" s="51" t="str">
        <f t="shared" si="278"/>
        <v>Not Used</v>
      </c>
      <c r="AB402" s="51" t="str">
        <f t="shared" si="279"/>
        <v>Not Used</v>
      </c>
      <c r="AC402" s="51" t="b">
        <f t="shared" si="280"/>
        <v>1</v>
      </c>
      <c r="AD402" s="51">
        <f>COUNTIF($X$5:$X$402, "Not Used")</f>
        <v>398</v>
      </c>
      <c r="AE402" s="51">
        <f>COUNTIF($X$5:$X$402, "TRUE")</f>
        <v>0</v>
      </c>
      <c r="AF402" s="51" t="b">
        <f t="shared" si="281"/>
        <v>1</v>
      </c>
      <c r="AI402" s="51" t="b">
        <f t="shared" si="282"/>
        <v>0</v>
      </c>
      <c r="AJ402" s="51" t="b">
        <f t="shared" si="283"/>
        <v>0</v>
      </c>
      <c r="AK402" s="51" t="b">
        <f t="shared" si="284"/>
        <v>0</v>
      </c>
      <c r="AL402" s="51" t="b">
        <f t="shared" si="285"/>
        <v>0</v>
      </c>
      <c r="AM402" s="51" t="b">
        <f t="shared" si="286"/>
        <v>0</v>
      </c>
      <c r="AN402" s="51"/>
      <c r="AO402" s="51" t="b">
        <f t="shared" si="287"/>
        <v>0</v>
      </c>
      <c r="AP402" s="51" t="str">
        <f t="shared" si="309"/>
        <v>Not in MMS</v>
      </c>
      <c r="AQ402" s="51" t="b">
        <f t="shared" si="288"/>
        <v>0</v>
      </c>
      <c r="AR402" s="51" t="b">
        <f t="shared" si="289"/>
        <v>0</v>
      </c>
      <c r="AS402" s="51" t="str">
        <f t="shared" si="290"/>
        <v/>
      </c>
      <c r="AT402" s="51" t="str">
        <f t="shared" si="291"/>
        <v/>
      </c>
      <c r="AU402" s="51" t="str">
        <f t="shared" si="292"/>
        <v/>
      </c>
      <c r="AV402" s="51" t="str">
        <f t="shared" si="293"/>
        <v/>
      </c>
      <c r="AW402" s="51" t="str">
        <f t="shared" si="294"/>
        <v/>
      </c>
      <c r="AX402" s="51" t="str">
        <f t="shared" si="295"/>
        <v/>
      </c>
      <c r="AY402" s="51" t="str">
        <f t="shared" si="296"/>
        <v/>
      </c>
      <c r="AZ402" s="51" t="str">
        <f t="shared" si="297"/>
        <v/>
      </c>
      <c r="BA402" s="51" t="str">
        <f t="shared" si="298"/>
        <v/>
      </c>
      <c r="BB402" s="51" t="str">
        <f t="shared" si="299"/>
        <v/>
      </c>
      <c r="BC402" s="51" t="str">
        <f t="shared" si="300"/>
        <v/>
      </c>
      <c r="BD402" s="51" t="str">
        <f t="shared" si="301"/>
        <v/>
      </c>
      <c r="BE402" s="51" t="str">
        <f t="shared" si="302"/>
        <v/>
      </c>
      <c r="BF402" s="51" t="str">
        <f t="shared" si="303"/>
        <v/>
      </c>
      <c r="BG402" s="51" t="str">
        <f t="shared" si="304"/>
        <v/>
      </c>
      <c r="BH402" s="51" t="b">
        <f t="shared" si="305"/>
        <v>0</v>
      </c>
      <c r="BI402" s="51" t="str">
        <f t="shared" si="306"/>
        <v/>
      </c>
      <c r="BJ402" s="51" t="str">
        <f t="shared" si="307"/>
        <v/>
      </c>
      <c r="BK402" s="51" t="b">
        <f t="shared" si="308"/>
        <v>0</v>
      </c>
      <c r="BL402" s="192"/>
    </row>
    <row r="403" spans="1:64" ht="13.5" thickBot="1" x14ac:dyDescent="0.25">
      <c r="A403" s="185" t="s">
        <v>1083</v>
      </c>
      <c r="B403" s="194" t="s">
        <v>695</v>
      </c>
      <c r="C403" s="194" t="s">
        <v>695</v>
      </c>
      <c r="D403" s="194" t="s">
        <v>695</v>
      </c>
      <c r="E403" s="193" t="s">
        <v>694</v>
      </c>
      <c r="F403" s="160" t="s">
        <v>20</v>
      </c>
      <c r="G403" s="161"/>
      <c r="H403" s="186" t="str">
        <f t="shared" si="266"/>
        <v>N/A</v>
      </c>
      <c r="I403" s="186" t="b">
        <f t="shared" si="267"/>
        <v>1</v>
      </c>
      <c r="J403" s="186" t="str">
        <f t="shared" si="268"/>
        <v>N/A</v>
      </c>
      <c r="K403" s="186" t="b">
        <f t="shared" si="269"/>
        <v>1</v>
      </c>
      <c r="L403" s="186" t="str">
        <f t="shared" si="270"/>
        <v>N/A</v>
      </c>
      <c r="M403" s="186" t="b">
        <f t="shared" si="271"/>
        <v>1</v>
      </c>
      <c r="N403" s="186" t="str">
        <f t="shared" si="272"/>
        <v>Used?</v>
      </c>
      <c r="O403" s="186" t="b">
        <f t="shared" si="273"/>
        <v>0</v>
      </c>
      <c r="P403" s="26" t="s">
        <v>696</v>
      </c>
      <c r="Q403" s="160" t="s">
        <v>20</v>
      </c>
      <c r="R403" s="160" t="s">
        <v>20</v>
      </c>
      <c r="S403" s="26" t="s">
        <v>697</v>
      </c>
      <c r="T403" s="165" t="str">
        <f t="shared" si="274"/>
        <v>Not Used</v>
      </c>
      <c r="U403" s="162"/>
      <c r="V403" s="55"/>
      <c r="W403" s="51" t="b">
        <f t="shared" si="275"/>
        <v>1</v>
      </c>
      <c r="X403" s="51" t="str">
        <f t="shared" si="276"/>
        <v>Not Used</v>
      </c>
      <c r="Y403" s="51" t="str">
        <f t="shared" si="277"/>
        <v>Not Used</v>
      </c>
      <c r="Z403" s="51" t="str">
        <f t="shared" si="278"/>
        <v>Not Used</v>
      </c>
      <c r="AA403" s="51" t="str">
        <f t="shared" si="278"/>
        <v>Not Used</v>
      </c>
      <c r="AB403" s="51" t="str">
        <f t="shared" si="279"/>
        <v>Not Used</v>
      </c>
      <c r="AC403" s="51" t="b">
        <f t="shared" si="280"/>
        <v>1</v>
      </c>
      <c r="AD403" s="51">
        <f>COUNTIF($X$5:$X$403, "Not Used")</f>
        <v>399</v>
      </c>
      <c r="AE403" s="51">
        <f>COUNTIF($X$5:$X$403, "TRUE")</f>
        <v>0</v>
      </c>
      <c r="AF403" s="51" t="b">
        <f t="shared" si="281"/>
        <v>1</v>
      </c>
      <c r="AI403" s="51" t="b">
        <f t="shared" si="282"/>
        <v>0</v>
      </c>
      <c r="AJ403" s="51" t="b">
        <f t="shared" si="283"/>
        <v>0</v>
      </c>
      <c r="AK403" s="51" t="b">
        <f t="shared" si="284"/>
        <v>0</v>
      </c>
      <c r="AL403" s="51" t="b">
        <f t="shared" si="285"/>
        <v>0</v>
      </c>
      <c r="AM403" s="51" t="b">
        <f t="shared" si="286"/>
        <v>0</v>
      </c>
      <c r="AN403" s="51"/>
      <c r="AO403" s="51" t="b">
        <f t="shared" si="287"/>
        <v>0</v>
      </c>
      <c r="AP403" s="51" t="str">
        <f t="shared" si="309"/>
        <v>Not in MMS</v>
      </c>
      <c r="AQ403" s="51" t="b">
        <f t="shared" si="288"/>
        <v>0</v>
      </c>
      <c r="AR403" s="51" t="b">
        <f t="shared" si="289"/>
        <v>0</v>
      </c>
      <c r="AS403" s="51" t="str">
        <f t="shared" si="290"/>
        <v/>
      </c>
      <c r="AT403" s="51" t="str">
        <f t="shared" si="291"/>
        <v/>
      </c>
      <c r="AU403" s="51" t="str">
        <f t="shared" si="292"/>
        <v/>
      </c>
      <c r="AV403" s="51" t="str">
        <f t="shared" si="293"/>
        <v/>
      </c>
      <c r="AW403" s="51" t="str">
        <f t="shared" si="294"/>
        <v/>
      </c>
      <c r="AX403" s="51" t="str">
        <f t="shared" si="295"/>
        <v/>
      </c>
      <c r="AY403" s="51" t="str">
        <f t="shared" si="296"/>
        <v/>
      </c>
      <c r="AZ403" s="51" t="str">
        <f t="shared" si="297"/>
        <v/>
      </c>
      <c r="BA403" s="51" t="str">
        <f t="shared" si="298"/>
        <v/>
      </c>
      <c r="BB403" s="51" t="str">
        <f t="shared" si="299"/>
        <v/>
      </c>
      <c r="BC403" s="51" t="str">
        <f t="shared" si="300"/>
        <v/>
      </c>
      <c r="BD403" s="51" t="str">
        <f t="shared" si="301"/>
        <v/>
      </c>
      <c r="BE403" s="51" t="str">
        <f t="shared" si="302"/>
        <v/>
      </c>
      <c r="BF403" s="51" t="str">
        <f t="shared" si="303"/>
        <v/>
      </c>
      <c r="BG403" s="51" t="str">
        <f t="shared" si="304"/>
        <v/>
      </c>
      <c r="BH403" s="51" t="b">
        <f t="shared" si="305"/>
        <v>0</v>
      </c>
      <c r="BI403" s="51" t="str">
        <f t="shared" si="306"/>
        <v/>
      </c>
      <c r="BJ403" s="51" t="str">
        <f t="shared" si="307"/>
        <v/>
      </c>
      <c r="BK403" s="51" t="b">
        <f t="shared" si="308"/>
        <v>0</v>
      </c>
      <c r="BL403" s="192"/>
    </row>
    <row r="404" spans="1:64" ht="13.5" thickBot="1" x14ac:dyDescent="0.25">
      <c r="A404" s="185" t="s">
        <v>1084</v>
      </c>
      <c r="B404" s="194" t="s">
        <v>695</v>
      </c>
      <c r="C404" s="194" t="s">
        <v>695</v>
      </c>
      <c r="D404" s="194" t="s">
        <v>695</v>
      </c>
      <c r="E404" s="193" t="s">
        <v>694</v>
      </c>
      <c r="F404" s="160" t="s">
        <v>20</v>
      </c>
      <c r="G404" s="161"/>
      <c r="H404" s="186" t="str">
        <f t="shared" si="266"/>
        <v>N/A</v>
      </c>
      <c r="I404" s="186" t="b">
        <f t="shared" si="267"/>
        <v>1</v>
      </c>
      <c r="J404" s="186" t="str">
        <f t="shared" si="268"/>
        <v>N/A</v>
      </c>
      <c r="K404" s="186" t="b">
        <f t="shared" si="269"/>
        <v>1</v>
      </c>
      <c r="L404" s="186" t="str">
        <f t="shared" si="270"/>
        <v>N/A</v>
      </c>
      <c r="M404" s="186" t="b">
        <f t="shared" si="271"/>
        <v>1</v>
      </c>
      <c r="N404" s="186" t="str">
        <f t="shared" si="272"/>
        <v>Used?</v>
      </c>
      <c r="O404" s="186" t="b">
        <f t="shared" si="273"/>
        <v>0</v>
      </c>
      <c r="P404" s="26" t="s">
        <v>696</v>
      </c>
      <c r="Q404" s="160" t="s">
        <v>20</v>
      </c>
      <c r="R404" s="160" t="s">
        <v>20</v>
      </c>
      <c r="S404" s="26" t="s">
        <v>697</v>
      </c>
      <c r="T404" s="165" t="str">
        <f t="shared" si="274"/>
        <v>Not Used</v>
      </c>
      <c r="U404" s="162"/>
      <c r="V404" s="55"/>
      <c r="W404" s="51" t="b">
        <f t="shared" si="275"/>
        <v>1</v>
      </c>
      <c r="X404" s="51" t="str">
        <f t="shared" si="276"/>
        <v>Not Used</v>
      </c>
      <c r="Y404" s="51" t="str">
        <f t="shared" si="277"/>
        <v>Not Used</v>
      </c>
      <c r="Z404" s="51" t="str">
        <f t="shared" si="278"/>
        <v>Not Used</v>
      </c>
      <c r="AA404" s="51" t="str">
        <f t="shared" si="278"/>
        <v>Not Used</v>
      </c>
      <c r="AB404" s="51" t="str">
        <f t="shared" si="279"/>
        <v>Not Used</v>
      </c>
      <c r="AC404" s="51" t="b">
        <f t="shared" si="280"/>
        <v>1</v>
      </c>
      <c r="AD404" s="51">
        <f>COUNTIF($X$5:$X$404, "Not Used")</f>
        <v>400</v>
      </c>
      <c r="AE404" s="51">
        <f>COUNTIF($X$5:$X$404, "TRUE")</f>
        <v>0</v>
      </c>
      <c r="AF404" s="51" t="b">
        <f t="shared" si="281"/>
        <v>1</v>
      </c>
      <c r="AI404" s="51" t="b">
        <f t="shared" si="282"/>
        <v>0</v>
      </c>
      <c r="AJ404" s="51" t="b">
        <f t="shared" si="283"/>
        <v>0</v>
      </c>
      <c r="AK404" s="51" t="b">
        <f t="shared" si="284"/>
        <v>0</v>
      </c>
      <c r="AL404" s="51" t="b">
        <f t="shared" si="285"/>
        <v>0</v>
      </c>
      <c r="AM404" s="51" t="b">
        <f t="shared" si="286"/>
        <v>0</v>
      </c>
      <c r="AN404" s="51"/>
      <c r="AO404" s="51" t="b">
        <f t="shared" si="287"/>
        <v>0</v>
      </c>
      <c r="AP404" s="51" t="str">
        <f t="shared" si="309"/>
        <v>Not in MMS</v>
      </c>
      <c r="AQ404" s="51" t="b">
        <f t="shared" si="288"/>
        <v>0</v>
      </c>
      <c r="AR404" s="51" t="b">
        <f t="shared" si="289"/>
        <v>0</v>
      </c>
      <c r="AS404" s="51" t="str">
        <f t="shared" si="290"/>
        <v/>
      </c>
      <c r="AT404" s="51" t="str">
        <f t="shared" si="291"/>
        <v/>
      </c>
      <c r="AU404" s="51" t="str">
        <f t="shared" si="292"/>
        <v/>
      </c>
      <c r="AV404" s="51" t="str">
        <f t="shared" si="293"/>
        <v/>
      </c>
      <c r="AW404" s="51" t="str">
        <f t="shared" si="294"/>
        <v/>
      </c>
      <c r="AX404" s="51" t="str">
        <f t="shared" si="295"/>
        <v/>
      </c>
      <c r="AY404" s="51" t="str">
        <f t="shared" si="296"/>
        <v/>
      </c>
      <c r="AZ404" s="51" t="str">
        <f t="shared" si="297"/>
        <v/>
      </c>
      <c r="BA404" s="51" t="str">
        <f t="shared" si="298"/>
        <v/>
      </c>
      <c r="BB404" s="51" t="str">
        <f t="shared" si="299"/>
        <v/>
      </c>
      <c r="BC404" s="51" t="str">
        <f t="shared" si="300"/>
        <v/>
      </c>
      <c r="BD404" s="51" t="str">
        <f t="shared" si="301"/>
        <v/>
      </c>
      <c r="BE404" s="51" t="str">
        <f t="shared" si="302"/>
        <v/>
      </c>
      <c r="BF404" s="51" t="str">
        <f t="shared" si="303"/>
        <v/>
      </c>
      <c r="BG404" s="51" t="str">
        <f t="shared" si="304"/>
        <v/>
      </c>
      <c r="BH404" s="51" t="b">
        <f t="shared" si="305"/>
        <v>0</v>
      </c>
      <c r="BI404" s="51" t="str">
        <f t="shared" si="306"/>
        <v/>
      </c>
      <c r="BJ404" s="51" t="str">
        <f t="shared" si="307"/>
        <v/>
      </c>
      <c r="BK404" s="51" t="b">
        <f t="shared" si="308"/>
        <v>0</v>
      </c>
      <c r="BL404" s="192"/>
    </row>
    <row r="405" spans="1:64" ht="13.5" thickBot="1" x14ac:dyDescent="0.25">
      <c r="A405" s="185" t="s">
        <v>1085</v>
      </c>
      <c r="B405" s="194" t="s">
        <v>695</v>
      </c>
      <c r="C405" s="194" t="s">
        <v>695</v>
      </c>
      <c r="D405" s="194" t="s">
        <v>695</v>
      </c>
      <c r="E405" s="193" t="s">
        <v>694</v>
      </c>
      <c r="F405" s="160" t="s">
        <v>20</v>
      </c>
      <c r="G405" s="161"/>
      <c r="H405" s="186" t="str">
        <f t="shared" si="266"/>
        <v>N/A</v>
      </c>
      <c r="I405" s="186" t="b">
        <f t="shared" si="267"/>
        <v>1</v>
      </c>
      <c r="J405" s="186" t="str">
        <f t="shared" si="268"/>
        <v>N/A</v>
      </c>
      <c r="K405" s="186" t="b">
        <f t="shared" si="269"/>
        <v>1</v>
      </c>
      <c r="L405" s="186" t="str">
        <f t="shared" si="270"/>
        <v>N/A</v>
      </c>
      <c r="M405" s="186" t="b">
        <f t="shared" si="271"/>
        <v>1</v>
      </c>
      <c r="N405" s="186" t="str">
        <f t="shared" si="272"/>
        <v>Used?</v>
      </c>
      <c r="O405" s="186" t="b">
        <f t="shared" si="273"/>
        <v>0</v>
      </c>
      <c r="P405" s="26" t="s">
        <v>696</v>
      </c>
      <c r="Q405" s="160" t="s">
        <v>20</v>
      </c>
      <c r="R405" s="160" t="s">
        <v>20</v>
      </c>
      <c r="S405" s="26" t="s">
        <v>697</v>
      </c>
      <c r="T405" s="165" t="str">
        <f t="shared" si="274"/>
        <v>Not Used</v>
      </c>
      <c r="U405" s="162"/>
      <c r="V405" s="55"/>
      <c r="W405" s="51" t="b">
        <f t="shared" si="275"/>
        <v>1</v>
      </c>
      <c r="X405" s="51" t="str">
        <f t="shared" si="276"/>
        <v>Not Used</v>
      </c>
      <c r="Y405" s="51" t="str">
        <f t="shared" si="277"/>
        <v>Not Used</v>
      </c>
      <c r="Z405" s="51" t="str">
        <f t="shared" si="278"/>
        <v>Not Used</v>
      </c>
      <c r="AA405" s="51" t="str">
        <f t="shared" si="278"/>
        <v>Not Used</v>
      </c>
      <c r="AB405" s="51" t="str">
        <f t="shared" si="279"/>
        <v>Not Used</v>
      </c>
      <c r="AC405" s="51" t="b">
        <f t="shared" si="280"/>
        <v>1</v>
      </c>
      <c r="AD405" s="51">
        <f>COUNTIF($X$5:$X$405, "Not Used")</f>
        <v>401</v>
      </c>
      <c r="AE405" s="51">
        <f>COUNTIF($X$5:$X$405, "TRUE")</f>
        <v>0</v>
      </c>
      <c r="AF405" s="51" t="b">
        <f t="shared" si="281"/>
        <v>1</v>
      </c>
      <c r="AI405" s="51" t="b">
        <f t="shared" si="282"/>
        <v>0</v>
      </c>
      <c r="AJ405" s="51" t="b">
        <f t="shared" si="283"/>
        <v>0</v>
      </c>
      <c r="AK405" s="51" t="b">
        <f t="shared" si="284"/>
        <v>0</v>
      </c>
      <c r="AL405" s="51" t="b">
        <f t="shared" si="285"/>
        <v>0</v>
      </c>
      <c r="AM405" s="51" t="b">
        <f t="shared" si="286"/>
        <v>0</v>
      </c>
      <c r="AN405" s="51"/>
      <c r="AO405" s="51" t="b">
        <f t="shared" si="287"/>
        <v>0</v>
      </c>
      <c r="AP405" s="51" t="str">
        <f t="shared" si="309"/>
        <v>Not in MMS</v>
      </c>
      <c r="AQ405" s="51" t="b">
        <f t="shared" si="288"/>
        <v>0</v>
      </c>
      <c r="AR405" s="51" t="b">
        <f t="shared" si="289"/>
        <v>0</v>
      </c>
      <c r="AS405" s="51" t="str">
        <f t="shared" si="290"/>
        <v/>
      </c>
      <c r="AT405" s="51" t="str">
        <f t="shared" si="291"/>
        <v/>
      </c>
      <c r="AU405" s="51" t="str">
        <f t="shared" si="292"/>
        <v/>
      </c>
      <c r="AV405" s="51" t="str">
        <f t="shared" si="293"/>
        <v/>
      </c>
      <c r="AW405" s="51" t="str">
        <f t="shared" si="294"/>
        <v/>
      </c>
      <c r="AX405" s="51" t="str">
        <f t="shared" si="295"/>
        <v/>
      </c>
      <c r="AY405" s="51" t="str">
        <f t="shared" si="296"/>
        <v/>
      </c>
      <c r="AZ405" s="51" t="str">
        <f t="shared" si="297"/>
        <v/>
      </c>
      <c r="BA405" s="51" t="str">
        <f t="shared" si="298"/>
        <v/>
      </c>
      <c r="BB405" s="51" t="str">
        <f t="shared" si="299"/>
        <v/>
      </c>
      <c r="BC405" s="51" t="str">
        <f t="shared" si="300"/>
        <v/>
      </c>
      <c r="BD405" s="51" t="str">
        <f t="shared" si="301"/>
        <v/>
      </c>
      <c r="BE405" s="51" t="str">
        <f t="shared" si="302"/>
        <v/>
      </c>
      <c r="BF405" s="51" t="str">
        <f t="shared" si="303"/>
        <v/>
      </c>
      <c r="BG405" s="51" t="str">
        <f t="shared" si="304"/>
        <v/>
      </c>
      <c r="BH405" s="51" t="b">
        <f t="shared" si="305"/>
        <v>0</v>
      </c>
      <c r="BI405" s="51" t="str">
        <f t="shared" si="306"/>
        <v/>
      </c>
      <c r="BJ405" s="51" t="str">
        <f t="shared" si="307"/>
        <v/>
      </c>
      <c r="BK405" s="51" t="b">
        <f t="shared" si="308"/>
        <v>0</v>
      </c>
      <c r="BL405" s="192"/>
    </row>
    <row r="406" spans="1:64" ht="13.5" thickBot="1" x14ac:dyDescent="0.25">
      <c r="A406" s="185" t="s">
        <v>1086</v>
      </c>
      <c r="B406" s="194" t="s">
        <v>695</v>
      </c>
      <c r="C406" s="194" t="s">
        <v>695</v>
      </c>
      <c r="D406" s="194" t="s">
        <v>695</v>
      </c>
      <c r="E406" s="193" t="s">
        <v>694</v>
      </c>
      <c r="F406" s="160" t="s">
        <v>20</v>
      </c>
      <c r="G406" s="161"/>
      <c r="H406" s="186" t="str">
        <f t="shared" si="266"/>
        <v>N/A</v>
      </c>
      <c r="I406" s="186" t="b">
        <f t="shared" si="267"/>
        <v>1</v>
      </c>
      <c r="J406" s="186" t="str">
        <f t="shared" si="268"/>
        <v>N/A</v>
      </c>
      <c r="K406" s="186" t="b">
        <f t="shared" si="269"/>
        <v>1</v>
      </c>
      <c r="L406" s="186" t="str">
        <f t="shared" si="270"/>
        <v>N/A</v>
      </c>
      <c r="M406" s="186" t="b">
        <f t="shared" si="271"/>
        <v>1</v>
      </c>
      <c r="N406" s="186" t="str">
        <f t="shared" si="272"/>
        <v>Used?</v>
      </c>
      <c r="O406" s="186" t="b">
        <f t="shared" si="273"/>
        <v>0</v>
      </c>
      <c r="P406" s="26" t="s">
        <v>696</v>
      </c>
      <c r="Q406" s="160" t="s">
        <v>20</v>
      </c>
      <c r="R406" s="160" t="s">
        <v>20</v>
      </c>
      <c r="S406" s="26" t="s">
        <v>697</v>
      </c>
      <c r="T406" s="165" t="str">
        <f t="shared" si="274"/>
        <v>Not Used</v>
      </c>
      <c r="U406" s="162"/>
      <c r="V406" s="55"/>
      <c r="W406" s="51" t="b">
        <f t="shared" si="275"/>
        <v>1</v>
      </c>
      <c r="X406" s="51" t="str">
        <f t="shared" si="276"/>
        <v>Not Used</v>
      </c>
      <c r="Y406" s="51" t="str">
        <f t="shared" si="277"/>
        <v>Not Used</v>
      </c>
      <c r="Z406" s="51" t="str">
        <f t="shared" si="278"/>
        <v>Not Used</v>
      </c>
      <c r="AA406" s="51" t="str">
        <f t="shared" si="278"/>
        <v>Not Used</v>
      </c>
      <c r="AB406" s="51" t="str">
        <f t="shared" si="279"/>
        <v>Not Used</v>
      </c>
      <c r="AC406" s="51" t="b">
        <f t="shared" si="280"/>
        <v>1</v>
      </c>
      <c r="AD406" s="51">
        <f>COUNTIF($X$5:$X$406, "Not Used")</f>
        <v>402</v>
      </c>
      <c r="AE406" s="51">
        <f>COUNTIF($X$5:$X$406, "TRUE")</f>
        <v>0</v>
      </c>
      <c r="AF406" s="51" t="b">
        <f t="shared" si="281"/>
        <v>1</v>
      </c>
      <c r="AI406" s="51" t="b">
        <f t="shared" si="282"/>
        <v>0</v>
      </c>
      <c r="AJ406" s="51" t="b">
        <f t="shared" si="283"/>
        <v>0</v>
      </c>
      <c r="AK406" s="51" t="b">
        <f t="shared" si="284"/>
        <v>0</v>
      </c>
      <c r="AL406" s="51" t="b">
        <f t="shared" si="285"/>
        <v>0</v>
      </c>
      <c r="AM406" s="51" t="b">
        <f t="shared" si="286"/>
        <v>0</v>
      </c>
      <c r="AN406" s="51"/>
      <c r="AO406" s="51" t="b">
        <f t="shared" si="287"/>
        <v>0</v>
      </c>
      <c r="AP406" s="51" t="str">
        <f t="shared" si="309"/>
        <v>Not in MMS</v>
      </c>
      <c r="AQ406" s="51" t="b">
        <f t="shared" si="288"/>
        <v>0</v>
      </c>
      <c r="AR406" s="51" t="b">
        <f t="shared" si="289"/>
        <v>0</v>
      </c>
      <c r="AS406" s="51" t="str">
        <f t="shared" si="290"/>
        <v/>
      </c>
      <c r="AT406" s="51" t="str">
        <f t="shared" si="291"/>
        <v/>
      </c>
      <c r="AU406" s="51" t="str">
        <f t="shared" si="292"/>
        <v/>
      </c>
      <c r="AV406" s="51" t="str">
        <f t="shared" si="293"/>
        <v/>
      </c>
      <c r="AW406" s="51" t="str">
        <f t="shared" si="294"/>
        <v/>
      </c>
      <c r="AX406" s="51" t="str">
        <f t="shared" si="295"/>
        <v/>
      </c>
      <c r="AY406" s="51" t="str">
        <f t="shared" si="296"/>
        <v/>
      </c>
      <c r="AZ406" s="51" t="str">
        <f t="shared" si="297"/>
        <v/>
      </c>
      <c r="BA406" s="51" t="str">
        <f t="shared" si="298"/>
        <v/>
      </c>
      <c r="BB406" s="51" t="str">
        <f t="shared" si="299"/>
        <v/>
      </c>
      <c r="BC406" s="51" t="str">
        <f t="shared" si="300"/>
        <v/>
      </c>
      <c r="BD406" s="51" t="str">
        <f t="shared" si="301"/>
        <v/>
      </c>
      <c r="BE406" s="51" t="str">
        <f t="shared" si="302"/>
        <v/>
      </c>
      <c r="BF406" s="51" t="str">
        <f t="shared" si="303"/>
        <v/>
      </c>
      <c r="BG406" s="51" t="str">
        <f t="shared" si="304"/>
        <v/>
      </c>
      <c r="BH406" s="51" t="b">
        <f t="shared" si="305"/>
        <v>0</v>
      </c>
      <c r="BI406" s="51" t="str">
        <f t="shared" si="306"/>
        <v/>
      </c>
      <c r="BJ406" s="51" t="str">
        <f t="shared" si="307"/>
        <v/>
      </c>
      <c r="BK406" s="51" t="b">
        <f t="shared" si="308"/>
        <v>0</v>
      </c>
      <c r="BL406" s="192"/>
    </row>
    <row r="407" spans="1:64" ht="13.5" thickBot="1" x14ac:dyDescent="0.25">
      <c r="A407" s="185" t="s">
        <v>1087</v>
      </c>
      <c r="B407" s="194" t="s">
        <v>695</v>
      </c>
      <c r="C407" s="194" t="s">
        <v>695</v>
      </c>
      <c r="D407" s="194" t="s">
        <v>695</v>
      </c>
      <c r="E407" s="193" t="s">
        <v>694</v>
      </c>
      <c r="F407" s="160" t="s">
        <v>20</v>
      </c>
      <c r="G407" s="161"/>
      <c r="H407" s="186" t="str">
        <f t="shared" si="266"/>
        <v>N/A</v>
      </c>
      <c r="I407" s="186" t="b">
        <f t="shared" si="267"/>
        <v>1</v>
      </c>
      <c r="J407" s="186" t="str">
        <f t="shared" si="268"/>
        <v>N/A</v>
      </c>
      <c r="K407" s="186" t="b">
        <f t="shared" si="269"/>
        <v>1</v>
      </c>
      <c r="L407" s="186" t="str">
        <f t="shared" si="270"/>
        <v>N/A</v>
      </c>
      <c r="M407" s="186" t="b">
        <f t="shared" si="271"/>
        <v>1</v>
      </c>
      <c r="N407" s="186" t="str">
        <f t="shared" si="272"/>
        <v>Used?</v>
      </c>
      <c r="O407" s="186" t="b">
        <f t="shared" si="273"/>
        <v>0</v>
      </c>
      <c r="P407" s="26" t="s">
        <v>696</v>
      </c>
      <c r="Q407" s="160" t="s">
        <v>20</v>
      </c>
      <c r="R407" s="160" t="s">
        <v>20</v>
      </c>
      <c r="S407" s="26" t="s">
        <v>697</v>
      </c>
      <c r="T407" s="165" t="str">
        <f t="shared" si="274"/>
        <v>Not Used</v>
      </c>
      <c r="U407" s="162"/>
      <c r="V407" s="55"/>
      <c r="W407" s="51" t="b">
        <f t="shared" si="275"/>
        <v>1</v>
      </c>
      <c r="X407" s="51" t="str">
        <f t="shared" si="276"/>
        <v>Not Used</v>
      </c>
      <c r="Y407" s="51" t="str">
        <f t="shared" si="277"/>
        <v>Not Used</v>
      </c>
      <c r="Z407" s="51" t="str">
        <f t="shared" si="278"/>
        <v>Not Used</v>
      </c>
      <c r="AA407" s="51" t="str">
        <f t="shared" si="278"/>
        <v>Not Used</v>
      </c>
      <c r="AB407" s="51" t="str">
        <f t="shared" si="279"/>
        <v>Not Used</v>
      </c>
      <c r="AC407" s="51" t="b">
        <f t="shared" si="280"/>
        <v>1</v>
      </c>
      <c r="AD407" s="51">
        <f>COUNTIF($X$5:$X$407, "Not Used")</f>
        <v>403</v>
      </c>
      <c r="AE407" s="51">
        <f>COUNTIF($X$5:$X$407, "TRUE")</f>
        <v>0</v>
      </c>
      <c r="AF407" s="51" t="b">
        <f t="shared" si="281"/>
        <v>1</v>
      </c>
      <c r="AI407" s="51" t="b">
        <f t="shared" si="282"/>
        <v>0</v>
      </c>
      <c r="AJ407" s="51" t="b">
        <f t="shared" si="283"/>
        <v>0</v>
      </c>
      <c r="AK407" s="51" t="b">
        <f t="shared" si="284"/>
        <v>0</v>
      </c>
      <c r="AL407" s="51" t="b">
        <f t="shared" si="285"/>
        <v>0</v>
      </c>
      <c r="AM407" s="51" t="b">
        <f t="shared" si="286"/>
        <v>0</v>
      </c>
      <c r="AN407" s="51"/>
      <c r="AO407" s="51" t="b">
        <f t="shared" si="287"/>
        <v>0</v>
      </c>
      <c r="AP407" s="51" t="str">
        <f t="shared" si="309"/>
        <v>Not in MMS</v>
      </c>
      <c r="AQ407" s="51" t="b">
        <f t="shared" si="288"/>
        <v>0</v>
      </c>
      <c r="AR407" s="51" t="b">
        <f t="shared" si="289"/>
        <v>0</v>
      </c>
      <c r="AS407" s="51" t="str">
        <f t="shared" si="290"/>
        <v/>
      </c>
      <c r="AT407" s="51" t="str">
        <f t="shared" si="291"/>
        <v/>
      </c>
      <c r="AU407" s="51" t="str">
        <f t="shared" si="292"/>
        <v/>
      </c>
      <c r="AV407" s="51" t="str">
        <f t="shared" si="293"/>
        <v/>
      </c>
      <c r="AW407" s="51" t="str">
        <f t="shared" si="294"/>
        <v/>
      </c>
      <c r="AX407" s="51" t="str">
        <f t="shared" si="295"/>
        <v/>
      </c>
      <c r="AY407" s="51" t="str">
        <f t="shared" si="296"/>
        <v/>
      </c>
      <c r="AZ407" s="51" t="str">
        <f t="shared" si="297"/>
        <v/>
      </c>
      <c r="BA407" s="51" t="str">
        <f t="shared" si="298"/>
        <v/>
      </c>
      <c r="BB407" s="51" t="str">
        <f t="shared" si="299"/>
        <v/>
      </c>
      <c r="BC407" s="51" t="str">
        <f t="shared" si="300"/>
        <v/>
      </c>
      <c r="BD407" s="51" t="str">
        <f t="shared" si="301"/>
        <v/>
      </c>
      <c r="BE407" s="51" t="str">
        <f t="shared" si="302"/>
        <v/>
      </c>
      <c r="BF407" s="51" t="str">
        <f t="shared" si="303"/>
        <v/>
      </c>
      <c r="BG407" s="51" t="str">
        <f t="shared" si="304"/>
        <v/>
      </c>
      <c r="BH407" s="51" t="b">
        <f t="shared" si="305"/>
        <v>0</v>
      </c>
      <c r="BI407" s="51" t="str">
        <f t="shared" si="306"/>
        <v/>
      </c>
      <c r="BJ407" s="51" t="str">
        <f t="shared" si="307"/>
        <v/>
      </c>
      <c r="BK407" s="51" t="b">
        <f t="shared" si="308"/>
        <v>0</v>
      </c>
      <c r="BL407" s="192"/>
    </row>
    <row r="408" spans="1:64" ht="13.5" thickBot="1" x14ac:dyDescent="0.25">
      <c r="A408" s="185" t="s">
        <v>1088</v>
      </c>
      <c r="B408" s="194" t="s">
        <v>695</v>
      </c>
      <c r="C408" s="194" t="s">
        <v>695</v>
      </c>
      <c r="D408" s="194" t="s">
        <v>695</v>
      </c>
      <c r="E408" s="193" t="s">
        <v>694</v>
      </c>
      <c r="F408" s="160" t="s">
        <v>20</v>
      </c>
      <c r="G408" s="161"/>
      <c r="H408" s="186" t="str">
        <f t="shared" si="266"/>
        <v>N/A</v>
      </c>
      <c r="I408" s="186" t="b">
        <f t="shared" si="267"/>
        <v>1</v>
      </c>
      <c r="J408" s="186" t="str">
        <f t="shared" si="268"/>
        <v>N/A</v>
      </c>
      <c r="K408" s="186" t="b">
        <f t="shared" si="269"/>
        <v>1</v>
      </c>
      <c r="L408" s="186" t="str">
        <f t="shared" si="270"/>
        <v>N/A</v>
      </c>
      <c r="M408" s="186" t="b">
        <f t="shared" si="271"/>
        <v>1</v>
      </c>
      <c r="N408" s="186" t="str">
        <f t="shared" si="272"/>
        <v>Used?</v>
      </c>
      <c r="O408" s="186" t="b">
        <f t="shared" si="273"/>
        <v>0</v>
      </c>
      <c r="P408" s="26" t="s">
        <v>696</v>
      </c>
      <c r="Q408" s="160" t="s">
        <v>20</v>
      </c>
      <c r="R408" s="160" t="s">
        <v>20</v>
      </c>
      <c r="S408" s="26" t="s">
        <v>697</v>
      </c>
      <c r="T408" s="165" t="str">
        <f t="shared" si="274"/>
        <v>Not Used</v>
      </c>
      <c r="U408" s="162"/>
      <c r="V408" s="55"/>
      <c r="W408" s="51" t="b">
        <f t="shared" si="275"/>
        <v>1</v>
      </c>
      <c r="X408" s="51" t="str">
        <f t="shared" si="276"/>
        <v>Not Used</v>
      </c>
      <c r="Y408" s="51" t="str">
        <f t="shared" si="277"/>
        <v>Not Used</v>
      </c>
      <c r="Z408" s="51" t="str">
        <f t="shared" si="278"/>
        <v>Not Used</v>
      </c>
      <c r="AA408" s="51" t="str">
        <f t="shared" si="278"/>
        <v>Not Used</v>
      </c>
      <c r="AB408" s="51" t="str">
        <f t="shared" si="279"/>
        <v>Not Used</v>
      </c>
      <c r="AC408" s="51" t="b">
        <f t="shared" si="280"/>
        <v>1</v>
      </c>
      <c r="AD408" s="51">
        <f>COUNTIF($X$5:$X$408, "Not Used")</f>
        <v>404</v>
      </c>
      <c r="AE408" s="51">
        <f>COUNTIF($X$5:$X$408, "TRUE")</f>
        <v>0</v>
      </c>
      <c r="AF408" s="51" t="b">
        <f t="shared" si="281"/>
        <v>1</v>
      </c>
      <c r="AI408" s="51" t="b">
        <f t="shared" si="282"/>
        <v>0</v>
      </c>
      <c r="AJ408" s="51" t="b">
        <f t="shared" si="283"/>
        <v>0</v>
      </c>
      <c r="AK408" s="51" t="b">
        <f t="shared" si="284"/>
        <v>0</v>
      </c>
      <c r="AL408" s="51" t="b">
        <f t="shared" si="285"/>
        <v>0</v>
      </c>
      <c r="AM408" s="51" t="b">
        <f t="shared" si="286"/>
        <v>0</v>
      </c>
      <c r="AN408" s="51"/>
      <c r="AO408" s="51" t="b">
        <f t="shared" si="287"/>
        <v>0</v>
      </c>
      <c r="AP408" s="51" t="str">
        <f t="shared" si="309"/>
        <v>Not in MMS</v>
      </c>
      <c r="AQ408" s="51" t="b">
        <f t="shared" si="288"/>
        <v>0</v>
      </c>
      <c r="AR408" s="51" t="b">
        <f t="shared" si="289"/>
        <v>0</v>
      </c>
      <c r="AS408" s="51" t="str">
        <f t="shared" si="290"/>
        <v/>
      </c>
      <c r="AT408" s="51" t="str">
        <f t="shared" si="291"/>
        <v/>
      </c>
      <c r="AU408" s="51" t="str">
        <f t="shared" si="292"/>
        <v/>
      </c>
      <c r="AV408" s="51" t="str">
        <f t="shared" si="293"/>
        <v/>
      </c>
      <c r="AW408" s="51" t="str">
        <f t="shared" si="294"/>
        <v/>
      </c>
      <c r="AX408" s="51" t="str">
        <f t="shared" si="295"/>
        <v/>
      </c>
      <c r="AY408" s="51" t="str">
        <f t="shared" si="296"/>
        <v/>
      </c>
      <c r="AZ408" s="51" t="str">
        <f t="shared" si="297"/>
        <v/>
      </c>
      <c r="BA408" s="51" t="str">
        <f t="shared" si="298"/>
        <v/>
      </c>
      <c r="BB408" s="51" t="str">
        <f t="shared" si="299"/>
        <v/>
      </c>
      <c r="BC408" s="51" t="str">
        <f t="shared" si="300"/>
        <v/>
      </c>
      <c r="BD408" s="51" t="str">
        <f t="shared" si="301"/>
        <v/>
      </c>
      <c r="BE408" s="51" t="str">
        <f t="shared" si="302"/>
        <v/>
      </c>
      <c r="BF408" s="51" t="str">
        <f t="shared" si="303"/>
        <v/>
      </c>
      <c r="BG408" s="51" t="str">
        <f t="shared" si="304"/>
        <v/>
      </c>
      <c r="BH408" s="51" t="b">
        <f t="shared" si="305"/>
        <v>0</v>
      </c>
      <c r="BI408" s="51" t="str">
        <f t="shared" si="306"/>
        <v/>
      </c>
      <c r="BJ408" s="51" t="str">
        <f t="shared" si="307"/>
        <v/>
      </c>
      <c r="BK408" s="51" t="b">
        <f t="shared" si="308"/>
        <v>0</v>
      </c>
      <c r="BL408" s="192"/>
    </row>
    <row r="409" spans="1:64" ht="13.5" thickBot="1" x14ac:dyDescent="0.25">
      <c r="A409" s="185" t="s">
        <v>1089</v>
      </c>
      <c r="B409" s="194" t="s">
        <v>695</v>
      </c>
      <c r="C409" s="194" t="s">
        <v>695</v>
      </c>
      <c r="D409" s="194" t="s">
        <v>695</v>
      </c>
      <c r="E409" s="193" t="s">
        <v>694</v>
      </c>
      <c r="F409" s="160" t="s">
        <v>20</v>
      </c>
      <c r="G409" s="161"/>
      <c r="H409" s="186" t="str">
        <f t="shared" si="266"/>
        <v>N/A</v>
      </c>
      <c r="I409" s="186" t="b">
        <f t="shared" si="267"/>
        <v>1</v>
      </c>
      <c r="J409" s="186" t="str">
        <f t="shared" si="268"/>
        <v>N/A</v>
      </c>
      <c r="K409" s="186" t="b">
        <f t="shared" si="269"/>
        <v>1</v>
      </c>
      <c r="L409" s="186" t="str">
        <f t="shared" si="270"/>
        <v>N/A</v>
      </c>
      <c r="M409" s="186" t="b">
        <f t="shared" si="271"/>
        <v>1</v>
      </c>
      <c r="N409" s="186" t="str">
        <f t="shared" si="272"/>
        <v>Used?</v>
      </c>
      <c r="O409" s="186" t="b">
        <f t="shared" si="273"/>
        <v>0</v>
      </c>
      <c r="P409" s="26" t="s">
        <v>696</v>
      </c>
      <c r="Q409" s="160" t="s">
        <v>20</v>
      </c>
      <c r="R409" s="160" t="s">
        <v>20</v>
      </c>
      <c r="S409" s="26" t="s">
        <v>697</v>
      </c>
      <c r="T409" s="165" t="str">
        <f t="shared" si="274"/>
        <v>Not Used</v>
      </c>
      <c r="U409" s="162"/>
      <c r="V409" s="55"/>
      <c r="W409" s="51" t="b">
        <f t="shared" si="275"/>
        <v>1</v>
      </c>
      <c r="X409" s="51" t="str">
        <f t="shared" si="276"/>
        <v>Not Used</v>
      </c>
      <c r="Y409" s="51" t="str">
        <f t="shared" si="277"/>
        <v>Not Used</v>
      </c>
      <c r="Z409" s="51" t="str">
        <f t="shared" si="278"/>
        <v>Not Used</v>
      </c>
      <c r="AA409" s="51" t="str">
        <f t="shared" si="278"/>
        <v>Not Used</v>
      </c>
      <c r="AB409" s="51" t="str">
        <f t="shared" si="279"/>
        <v>Not Used</v>
      </c>
      <c r="AC409" s="51" t="b">
        <f t="shared" si="280"/>
        <v>1</v>
      </c>
      <c r="AD409" s="51">
        <f>COUNTIF($X$5:$X$409, "Not Used")</f>
        <v>405</v>
      </c>
      <c r="AE409" s="51">
        <f>COUNTIF($X$5:$X$409, "TRUE")</f>
        <v>0</v>
      </c>
      <c r="AF409" s="51" t="b">
        <f t="shared" si="281"/>
        <v>1</v>
      </c>
      <c r="AI409" s="51" t="b">
        <f t="shared" si="282"/>
        <v>0</v>
      </c>
      <c r="AJ409" s="51" t="b">
        <f t="shared" si="283"/>
        <v>0</v>
      </c>
      <c r="AK409" s="51" t="b">
        <f t="shared" si="284"/>
        <v>0</v>
      </c>
      <c r="AL409" s="51" t="b">
        <f t="shared" si="285"/>
        <v>0</v>
      </c>
      <c r="AM409" s="51" t="b">
        <f t="shared" si="286"/>
        <v>0</v>
      </c>
      <c r="AN409" s="51"/>
      <c r="AO409" s="51" t="b">
        <f t="shared" si="287"/>
        <v>0</v>
      </c>
      <c r="AP409" s="51" t="str">
        <f t="shared" si="309"/>
        <v>Not in MMS</v>
      </c>
      <c r="AQ409" s="51" t="b">
        <f t="shared" si="288"/>
        <v>0</v>
      </c>
      <c r="AR409" s="51" t="b">
        <f t="shared" si="289"/>
        <v>0</v>
      </c>
      <c r="AS409" s="51" t="str">
        <f t="shared" si="290"/>
        <v/>
      </c>
      <c r="AT409" s="51" t="str">
        <f t="shared" si="291"/>
        <v/>
      </c>
      <c r="AU409" s="51" t="str">
        <f t="shared" si="292"/>
        <v/>
      </c>
      <c r="AV409" s="51" t="str">
        <f t="shared" si="293"/>
        <v/>
      </c>
      <c r="AW409" s="51" t="str">
        <f t="shared" si="294"/>
        <v/>
      </c>
      <c r="AX409" s="51" t="str">
        <f t="shared" si="295"/>
        <v/>
      </c>
      <c r="AY409" s="51" t="str">
        <f t="shared" si="296"/>
        <v/>
      </c>
      <c r="AZ409" s="51" t="str">
        <f t="shared" si="297"/>
        <v/>
      </c>
      <c r="BA409" s="51" t="str">
        <f t="shared" si="298"/>
        <v/>
      </c>
      <c r="BB409" s="51" t="str">
        <f t="shared" si="299"/>
        <v/>
      </c>
      <c r="BC409" s="51" t="str">
        <f t="shared" si="300"/>
        <v/>
      </c>
      <c r="BD409" s="51" t="str">
        <f t="shared" si="301"/>
        <v/>
      </c>
      <c r="BE409" s="51" t="str">
        <f t="shared" si="302"/>
        <v/>
      </c>
      <c r="BF409" s="51" t="str">
        <f t="shared" si="303"/>
        <v/>
      </c>
      <c r="BG409" s="51" t="str">
        <f t="shared" si="304"/>
        <v/>
      </c>
      <c r="BH409" s="51" t="b">
        <f t="shared" si="305"/>
        <v>0</v>
      </c>
      <c r="BI409" s="51" t="str">
        <f t="shared" si="306"/>
        <v/>
      </c>
      <c r="BJ409" s="51" t="str">
        <f t="shared" si="307"/>
        <v/>
      </c>
      <c r="BK409" s="51" t="b">
        <f t="shared" si="308"/>
        <v>0</v>
      </c>
      <c r="BL409" s="192"/>
    </row>
    <row r="410" spans="1:64" ht="13.5" thickBot="1" x14ac:dyDescent="0.25">
      <c r="A410" s="185" t="s">
        <v>1090</v>
      </c>
      <c r="B410" s="194" t="s">
        <v>695</v>
      </c>
      <c r="C410" s="194" t="s">
        <v>695</v>
      </c>
      <c r="D410" s="194" t="s">
        <v>695</v>
      </c>
      <c r="E410" s="193" t="s">
        <v>694</v>
      </c>
      <c r="F410" s="160" t="s">
        <v>20</v>
      </c>
      <c r="G410" s="161"/>
      <c r="H410" s="186" t="str">
        <f t="shared" si="266"/>
        <v>N/A</v>
      </c>
      <c r="I410" s="186" t="b">
        <f t="shared" si="267"/>
        <v>1</v>
      </c>
      <c r="J410" s="186" t="str">
        <f t="shared" si="268"/>
        <v>N/A</v>
      </c>
      <c r="K410" s="186" t="b">
        <f t="shared" si="269"/>
        <v>1</v>
      </c>
      <c r="L410" s="186" t="str">
        <f t="shared" si="270"/>
        <v>N/A</v>
      </c>
      <c r="M410" s="186" t="b">
        <f t="shared" si="271"/>
        <v>1</v>
      </c>
      <c r="N410" s="186" t="str">
        <f t="shared" si="272"/>
        <v>Used?</v>
      </c>
      <c r="O410" s="186" t="b">
        <f t="shared" si="273"/>
        <v>0</v>
      </c>
      <c r="P410" s="26" t="s">
        <v>696</v>
      </c>
      <c r="Q410" s="160" t="s">
        <v>20</v>
      </c>
      <c r="R410" s="160" t="s">
        <v>20</v>
      </c>
      <c r="S410" s="26" t="s">
        <v>697</v>
      </c>
      <c r="T410" s="165" t="str">
        <f t="shared" si="274"/>
        <v>Not Used</v>
      </c>
      <c r="U410" s="162"/>
      <c r="V410" s="55"/>
      <c r="W410" s="51" t="b">
        <f t="shared" si="275"/>
        <v>1</v>
      </c>
      <c r="X410" s="51" t="str">
        <f t="shared" si="276"/>
        <v>Not Used</v>
      </c>
      <c r="Y410" s="51" t="str">
        <f t="shared" si="277"/>
        <v>Not Used</v>
      </c>
      <c r="Z410" s="51" t="str">
        <f t="shared" si="278"/>
        <v>Not Used</v>
      </c>
      <c r="AA410" s="51" t="str">
        <f t="shared" si="278"/>
        <v>Not Used</v>
      </c>
      <c r="AB410" s="51" t="str">
        <f t="shared" si="279"/>
        <v>Not Used</v>
      </c>
      <c r="AC410" s="51" t="b">
        <f t="shared" si="280"/>
        <v>1</v>
      </c>
      <c r="AD410" s="51">
        <f>COUNTIF($X$5:$X$410, "Not Used")</f>
        <v>406</v>
      </c>
      <c r="AE410" s="51">
        <f>COUNTIF($X$5:$X$410, "TRUE")</f>
        <v>0</v>
      </c>
      <c r="AF410" s="51" t="b">
        <f t="shared" si="281"/>
        <v>1</v>
      </c>
      <c r="AI410" s="51" t="b">
        <f t="shared" si="282"/>
        <v>0</v>
      </c>
      <c r="AJ410" s="51" t="b">
        <f t="shared" si="283"/>
        <v>0</v>
      </c>
      <c r="AK410" s="51" t="b">
        <f t="shared" si="284"/>
        <v>0</v>
      </c>
      <c r="AL410" s="51" t="b">
        <f t="shared" si="285"/>
        <v>0</v>
      </c>
      <c r="AM410" s="51" t="b">
        <f t="shared" si="286"/>
        <v>0</v>
      </c>
      <c r="AN410" s="51"/>
      <c r="AO410" s="51" t="b">
        <f t="shared" si="287"/>
        <v>0</v>
      </c>
      <c r="AP410" s="51" t="str">
        <f t="shared" si="309"/>
        <v>Not in MMS</v>
      </c>
      <c r="AQ410" s="51" t="b">
        <f t="shared" si="288"/>
        <v>0</v>
      </c>
      <c r="AR410" s="51" t="b">
        <f t="shared" si="289"/>
        <v>0</v>
      </c>
      <c r="AS410" s="51" t="str">
        <f t="shared" si="290"/>
        <v/>
      </c>
      <c r="AT410" s="51" t="str">
        <f t="shared" si="291"/>
        <v/>
      </c>
      <c r="AU410" s="51" t="str">
        <f t="shared" si="292"/>
        <v/>
      </c>
      <c r="AV410" s="51" t="str">
        <f t="shared" si="293"/>
        <v/>
      </c>
      <c r="AW410" s="51" t="str">
        <f t="shared" si="294"/>
        <v/>
      </c>
      <c r="AX410" s="51" t="str">
        <f t="shared" si="295"/>
        <v/>
      </c>
      <c r="AY410" s="51" t="str">
        <f t="shared" si="296"/>
        <v/>
      </c>
      <c r="AZ410" s="51" t="str">
        <f t="shared" si="297"/>
        <v/>
      </c>
      <c r="BA410" s="51" t="str">
        <f t="shared" si="298"/>
        <v/>
      </c>
      <c r="BB410" s="51" t="str">
        <f t="shared" si="299"/>
        <v/>
      </c>
      <c r="BC410" s="51" t="str">
        <f t="shared" si="300"/>
        <v/>
      </c>
      <c r="BD410" s="51" t="str">
        <f t="shared" si="301"/>
        <v/>
      </c>
      <c r="BE410" s="51" t="str">
        <f t="shared" si="302"/>
        <v/>
      </c>
      <c r="BF410" s="51" t="str">
        <f t="shared" si="303"/>
        <v/>
      </c>
      <c r="BG410" s="51" t="str">
        <f t="shared" si="304"/>
        <v/>
      </c>
      <c r="BH410" s="51" t="b">
        <f t="shared" si="305"/>
        <v>0</v>
      </c>
      <c r="BI410" s="51" t="str">
        <f t="shared" si="306"/>
        <v/>
      </c>
      <c r="BJ410" s="51" t="str">
        <f t="shared" si="307"/>
        <v/>
      </c>
      <c r="BK410" s="51" t="b">
        <f t="shared" si="308"/>
        <v>0</v>
      </c>
      <c r="BL410" s="192"/>
    </row>
    <row r="411" spans="1:64" ht="13.5" thickBot="1" x14ac:dyDescent="0.25">
      <c r="A411" s="185" t="s">
        <v>1091</v>
      </c>
      <c r="B411" s="194" t="s">
        <v>695</v>
      </c>
      <c r="C411" s="194" t="s">
        <v>695</v>
      </c>
      <c r="D411" s="194" t="s">
        <v>695</v>
      </c>
      <c r="E411" s="193" t="s">
        <v>694</v>
      </c>
      <c r="F411" s="160" t="s">
        <v>20</v>
      </c>
      <c r="G411" s="161"/>
      <c r="H411" s="186" t="str">
        <f t="shared" si="266"/>
        <v>N/A</v>
      </c>
      <c r="I411" s="186" t="b">
        <f t="shared" si="267"/>
        <v>1</v>
      </c>
      <c r="J411" s="186" t="str">
        <f t="shared" si="268"/>
        <v>N/A</v>
      </c>
      <c r="K411" s="186" t="b">
        <f t="shared" si="269"/>
        <v>1</v>
      </c>
      <c r="L411" s="186" t="str">
        <f t="shared" si="270"/>
        <v>N/A</v>
      </c>
      <c r="M411" s="186" t="b">
        <f t="shared" si="271"/>
        <v>1</v>
      </c>
      <c r="N411" s="186" t="str">
        <f t="shared" si="272"/>
        <v>Used?</v>
      </c>
      <c r="O411" s="186" t="b">
        <f t="shared" si="273"/>
        <v>0</v>
      </c>
      <c r="P411" s="26" t="s">
        <v>696</v>
      </c>
      <c r="Q411" s="160" t="s">
        <v>20</v>
      </c>
      <c r="R411" s="160" t="s">
        <v>20</v>
      </c>
      <c r="S411" s="26" t="s">
        <v>697</v>
      </c>
      <c r="T411" s="165" t="str">
        <f t="shared" si="274"/>
        <v>Not Used</v>
      </c>
      <c r="U411" s="162"/>
      <c r="V411" s="55"/>
      <c r="W411" s="51" t="b">
        <f t="shared" si="275"/>
        <v>1</v>
      </c>
      <c r="X411" s="51" t="str">
        <f t="shared" si="276"/>
        <v>Not Used</v>
      </c>
      <c r="Y411" s="51" t="str">
        <f t="shared" si="277"/>
        <v>Not Used</v>
      </c>
      <c r="Z411" s="51" t="str">
        <f t="shared" si="278"/>
        <v>Not Used</v>
      </c>
      <c r="AA411" s="51" t="str">
        <f t="shared" si="278"/>
        <v>Not Used</v>
      </c>
      <c r="AB411" s="51" t="str">
        <f t="shared" si="279"/>
        <v>Not Used</v>
      </c>
      <c r="AC411" s="51" t="b">
        <f t="shared" si="280"/>
        <v>1</v>
      </c>
      <c r="AD411" s="51">
        <f>COUNTIF($X$5:$X$411, "Not Used")</f>
        <v>407</v>
      </c>
      <c r="AE411" s="51">
        <f>COUNTIF($X$5:$X$411, "TRUE")</f>
        <v>0</v>
      </c>
      <c r="AF411" s="51" t="b">
        <f t="shared" si="281"/>
        <v>1</v>
      </c>
      <c r="AI411" s="51" t="b">
        <f t="shared" si="282"/>
        <v>0</v>
      </c>
      <c r="AJ411" s="51" t="b">
        <f t="shared" si="283"/>
        <v>0</v>
      </c>
      <c r="AK411" s="51" t="b">
        <f t="shared" si="284"/>
        <v>0</v>
      </c>
      <c r="AL411" s="51" t="b">
        <f t="shared" si="285"/>
        <v>0</v>
      </c>
      <c r="AM411" s="51" t="b">
        <f t="shared" si="286"/>
        <v>0</v>
      </c>
      <c r="AN411" s="51"/>
      <c r="AO411" s="51" t="b">
        <f t="shared" si="287"/>
        <v>0</v>
      </c>
      <c r="AP411" s="51" t="str">
        <f t="shared" si="309"/>
        <v>Not in MMS</v>
      </c>
      <c r="AQ411" s="51" t="b">
        <f t="shared" si="288"/>
        <v>0</v>
      </c>
      <c r="AR411" s="51" t="b">
        <f t="shared" si="289"/>
        <v>0</v>
      </c>
      <c r="AS411" s="51" t="str">
        <f t="shared" si="290"/>
        <v/>
      </c>
      <c r="AT411" s="51" t="str">
        <f t="shared" si="291"/>
        <v/>
      </c>
      <c r="AU411" s="51" t="str">
        <f t="shared" si="292"/>
        <v/>
      </c>
      <c r="AV411" s="51" t="str">
        <f t="shared" si="293"/>
        <v/>
      </c>
      <c r="AW411" s="51" t="str">
        <f t="shared" si="294"/>
        <v/>
      </c>
      <c r="AX411" s="51" t="str">
        <f t="shared" si="295"/>
        <v/>
      </c>
      <c r="AY411" s="51" t="str">
        <f t="shared" si="296"/>
        <v/>
      </c>
      <c r="AZ411" s="51" t="str">
        <f t="shared" si="297"/>
        <v/>
      </c>
      <c r="BA411" s="51" t="str">
        <f t="shared" si="298"/>
        <v/>
      </c>
      <c r="BB411" s="51" t="str">
        <f t="shared" si="299"/>
        <v/>
      </c>
      <c r="BC411" s="51" t="str">
        <f t="shared" si="300"/>
        <v/>
      </c>
      <c r="BD411" s="51" t="str">
        <f t="shared" si="301"/>
        <v/>
      </c>
      <c r="BE411" s="51" t="str">
        <f t="shared" si="302"/>
        <v/>
      </c>
      <c r="BF411" s="51" t="str">
        <f t="shared" si="303"/>
        <v/>
      </c>
      <c r="BG411" s="51" t="str">
        <f t="shared" si="304"/>
        <v/>
      </c>
      <c r="BH411" s="51" t="b">
        <f t="shared" si="305"/>
        <v>0</v>
      </c>
      <c r="BI411" s="51" t="str">
        <f t="shared" si="306"/>
        <v/>
      </c>
      <c r="BJ411" s="51" t="str">
        <f t="shared" si="307"/>
        <v/>
      </c>
      <c r="BK411" s="51" t="b">
        <f t="shared" si="308"/>
        <v>0</v>
      </c>
      <c r="BL411" s="192"/>
    </row>
    <row r="412" spans="1:64" ht="13.5" thickBot="1" x14ac:dyDescent="0.25">
      <c r="A412" s="185" t="s">
        <v>1092</v>
      </c>
      <c r="B412" s="194" t="s">
        <v>695</v>
      </c>
      <c r="C412" s="194" t="s">
        <v>695</v>
      </c>
      <c r="D412" s="194" t="s">
        <v>695</v>
      </c>
      <c r="E412" s="193" t="s">
        <v>694</v>
      </c>
      <c r="F412" s="160" t="s">
        <v>20</v>
      </c>
      <c r="G412" s="161"/>
      <c r="H412" s="186" t="str">
        <f t="shared" si="266"/>
        <v>N/A</v>
      </c>
      <c r="I412" s="186" t="b">
        <f t="shared" si="267"/>
        <v>1</v>
      </c>
      <c r="J412" s="186" t="str">
        <f t="shared" si="268"/>
        <v>N/A</v>
      </c>
      <c r="K412" s="186" t="b">
        <f t="shared" si="269"/>
        <v>1</v>
      </c>
      <c r="L412" s="186" t="str">
        <f t="shared" si="270"/>
        <v>N/A</v>
      </c>
      <c r="M412" s="186" t="b">
        <f t="shared" si="271"/>
        <v>1</v>
      </c>
      <c r="N412" s="186" t="str">
        <f t="shared" si="272"/>
        <v>Used?</v>
      </c>
      <c r="O412" s="186" t="b">
        <f t="shared" si="273"/>
        <v>0</v>
      </c>
      <c r="P412" s="26" t="s">
        <v>696</v>
      </c>
      <c r="Q412" s="160" t="s">
        <v>20</v>
      </c>
      <c r="R412" s="160" t="s">
        <v>20</v>
      </c>
      <c r="S412" s="26" t="s">
        <v>697</v>
      </c>
      <c r="T412" s="165" t="str">
        <f t="shared" si="274"/>
        <v>Not Used</v>
      </c>
      <c r="U412" s="162"/>
      <c r="V412" s="55"/>
      <c r="W412" s="51" t="b">
        <f t="shared" si="275"/>
        <v>1</v>
      </c>
      <c r="X412" s="51" t="str">
        <f t="shared" si="276"/>
        <v>Not Used</v>
      </c>
      <c r="Y412" s="51" t="str">
        <f t="shared" si="277"/>
        <v>Not Used</v>
      </c>
      <c r="Z412" s="51" t="str">
        <f t="shared" si="278"/>
        <v>Not Used</v>
      </c>
      <c r="AA412" s="51" t="str">
        <f t="shared" si="278"/>
        <v>Not Used</v>
      </c>
      <c r="AB412" s="51" t="str">
        <f t="shared" si="279"/>
        <v>Not Used</v>
      </c>
      <c r="AC412" s="51" t="b">
        <f t="shared" si="280"/>
        <v>1</v>
      </c>
      <c r="AD412" s="51">
        <f>COUNTIF($X$5:$X$412, "Not Used")</f>
        <v>408</v>
      </c>
      <c r="AE412" s="51">
        <f>COUNTIF($X$5:$X$412, "TRUE")</f>
        <v>0</v>
      </c>
      <c r="AF412" s="51" t="b">
        <f t="shared" si="281"/>
        <v>1</v>
      </c>
      <c r="AI412" s="51" t="b">
        <f t="shared" si="282"/>
        <v>0</v>
      </c>
      <c r="AJ412" s="51" t="b">
        <f t="shared" si="283"/>
        <v>0</v>
      </c>
      <c r="AK412" s="51" t="b">
        <f t="shared" si="284"/>
        <v>0</v>
      </c>
      <c r="AL412" s="51" t="b">
        <f t="shared" si="285"/>
        <v>0</v>
      </c>
      <c r="AM412" s="51" t="b">
        <f t="shared" si="286"/>
        <v>0</v>
      </c>
      <c r="AN412" s="51"/>
      <c r="AO412" s="51" t="b">
        <f t="shared" si="287"/>
        <v>0</v>
      </c>
      <c r="AP412" s="51" t="str">
        <f t="shared" si="309"/>
        <v>Not in MMS</v>
      </c>
      <c r="AQ412" s="51" t="b">
        <f t="shared" si="288"/>
        <v>0</v>
      </c>
      <c r="AR412" s="51" t="b">
        <f t="shared" si="289"/>
        <v>0</v>
      </c>
      <c r="AS412" s="51" t="str">
        <f t="shared" si="290"/>
        <v/>
      </c>
      <c r="AT412" s="51" t="str">
        <f t="shared" si="291"/>
        <v/>
      </c>
      <c r="AU412" s="51" t="str">
        <f t="shared" si="292"/>
        <v/>
      </c>
      <c r="AV412" s="51" t="str">
        <f t="shared" si="293"/>
        <v/>
      </c>
      <c r="AW412" s="51" t="str">
        <f t="shared" si="294"/>
        <v/>
      </c>
      <c r="AX412" s="51" t="str">
        <f t="shared" si="295"/>
        <v/>
      </c>
      <c r="AY412" s="51" t="str">
        <f t="shared" si="296"/>
        <v/>
      </c>
      <c r="AZ412" s="51" t="str">
        <f t="shared" si="297"/>
        <v/>
      </c>
      <c r="BA412" s="51" t="str">
        <f t="shared" si="298"/>
        <v/>
      </c>
      <c r="BB412" s="51" t="str">
        <f t="shared" si="299"/>
        <v/>
      </c>
      <c r="BC412" s="51" t="str">
        <f t="shared" si="300"/>
        <v/>
      </c>
      <c r="BD412" s="51" t="str">
        <f t="shared" si="301"/>
        <v/>
      </c>
      <c r="BE412" s="51" t="str">
        <f t="shared" si="302"/>
        <v/>
      </c>
      <c r="BF412" s="51" t="str">
        <f t="shared" si="303"/>
        <v/>
      </c>
      <c r="BG412" s="51" t="str">
        <f t="shared" si="304"/>
        <v/>
      </c>
      <c r="BH412" s="51" t="b">
        <f t="shared" si="305"/>
        <v>0</v>
      </c>
      <c r="BI412" s="51" t="str">
        <f t="shared" si="306"/>
        <v/>
      </c>
      <c r="BJ412" s="51" t="str">
        <f t="shared" si="307"/>
        <v/>
      </c>
      <c r="BK412" s="51" t="b">
        <f t="shared" si="308"/>
        <v>0</v>
      </c>
      <c r="BL412" s="192"/>
    </row>
    <row r="413" spans="1:64" ht="13.5" thickBot="1" x14ac:dyDescent="0.25">
      <c r="A413" s="185" t="s">
        <v>1093</v>
      </c>
      <c r="B413" s="194" t="s">
        <v>695</v>
      </c>
      <c r="C413" s="194" t="s">
        <v>695</v>
      </c>
      <c r="D413" s="194" t="s">
        <v>695</v>
      </c>
      <c r="E413" s="193" t="s">
        <v>694</v>
      </c>
      <c r="F413" s="160" t="s">
        <v>20</v>
      </c>
      <c r="G413" s="161"/>
      <c r="H413" s="186" t="str">
        <f t="shared" si="266"/>
        <v>N/A</v>
      </c>
      <c r="I413" s="186" t="b">
        <f t="shared" si="267"/>
        <v>1</v>
      </c>
      <c r="J413" s="186" t="str">
        <f t="shared" si="268"/>
        <v>N/A</v>
      </c>
      <c r="K413" s="186" t="b">
        <f t="shared" si="269"/>
        <v>1</v>
      </c>
      <c r="L413" s="186" t="str">
        <f t="shared" si="270"/>
        <v>N/A</v>
      </c>
      <c r="M413" s="186" t="b">
        <f t="shared" si="271"/>
        <v>1</v>
      </c>
      <c r="N413" s="186" t="str">
        <f t="shared" si="272"/>
        <v>Used?</v>
      </c>
      <c r="O413" s="186" t="b">
        <f t="shared" si="273"/>
        <v>0</v>
      </c>
      <c r="P413" s="26" t="s">
        <v>696</v>
      </c>
      <c r="Q413" s="160" t="s">
        <v>20</v>
      </c>
      <c r="R413" s="160" t="s">
        <v>20</v>
      </c>
      <c r="S413" s="26" t="s">
        <v>697</v>
      </c>
      <c r="T413" s="165" t="str">
        <f t="shared" si="274"/>
        <v>Not Used</v>
      </c>
      <c r="U413" s="162"/>
      <c r="V413" s="55"/>
      <c r="W413" s="51" t="b">
        <f t="shared" si="275"/>
        <v>1</v>
      </c>
      <c r="X413" s="51" t="str">
        <f t="shared" si="276"/>
        <v>Not Used</v>
      </c>
      <c r="Y413" s="51" t="str">
        <f t="shared" si="277"/>
        <v>Not Used</v>
      </c>
      <c r="Z413" s="51" t="str">
        <f t="shared" si="278"/>
        <v>Not Used</v>
      </c>
      <c r="AA413" s="51" t="str">
        <f t="shared" si="278"/>
        <v>Not Used</v>
      </c>
      <c r="AB413" s="51" t="str">
        <f t="shared" si="279"/>
        <v>Not Used</v>
      </c>
      <c r="AC413" s="51" t="b">
        <f t="shared" si="280"/>
        <v>1</v>
      </c>
      <c r="AD413" s="51">
        <f>COUNTIF($X$5:$X$413, "Not Used")</f>
        <v>409</v>
      </c>
      <c r="AE413" s="51">
        <f>COUNTIF($X$5:$X$413, "TRUE")</f>
        <v>0</v>
      </c>
      <c r="AF413" s="51" t="b">
        <f t="shared" si="281"/>
        <v>1</v>
      </c>
      <c r="AI413" s="51" t="b">
        <f t="shared" si="282"/>
        <v>0</v>
      </c>
      <c r="AJ413" s="51" t="b">
        <f t="shared" si="283"/>
        <v>0</v>
      </c>
      <c r="AK413" s="51" t="b">
        <f t="shared" si="284"/>
        <v>0</v>
      </c>
      <c r="AL413" s="51" t="b">
        <f t="shared" si="285"/>
        <v>0</v>
      </c>
      <c r="AM413" s="51" t="b">
        <f t="shared" si="286"/>
        <v>0</v>
      </c>
      <c r="AN413" s="51"/>
      <c r="AO413" s="51" t="b">
        <f t="shared" si="287"/>
        <v>0</v>
      </c>
      <c r="AP413" s="51" t="str">
        <f t="shared" si="309"/>
        <v>Not in MMS</v>
      </c>
      <c r="AQ413" s="51" t="b">
        <f t="shared" si="288"/>
        <v>0</v>
      </c>
      <c r="AR413" s="51" t="b">
        <f t="shared" si="289"/>
        <v>0</v>
      </c>
      <c r="AS413" s="51" t="str">
        <f t="shared" si="290"/>
        <v/>
      </c>
      <c r="AT413" s="51" t="str">
        <f t="shared" si="291"/>
        <v/>
      </c>
      <c r="AU413" s="51" t="str">
        <f t="shared" si="292"/>
        <v/>
      </c>
      <c r="AV413" s="51" t="str">
        <f t="shared" si="293"/>
        <v/>
      </c>
      <c r="AW413" s="51" t="str">
        <f t="shared" si="294"/>
        <v/>
      </c>
      <c r="AX413" s="51" t="str">
        <f t="shared" si="295"/>
        <v/>
      </c>
      <c r="AY413" s="51" t="str">
        <f t="shared" si="296"/>
        <v/>
      </c>
      <c r="AZ413" s="51" t="str">
        <f t="shared" si="297"/>
        <v/>
      </c>
      <c r="BA413" s="51" t="str">
        <f t="shared" si="298"/>
        <v/>
      </c>
      <c r="BB413" s="51" t="str">
        <f t="shared" si="299"/>
        <v/>
      </c>
      <c r="BC413" s="51" t="str">
        <f t="shared" si="300"/>
        <v/>
      </c>
      <c r="BD413" s="51" t="str">
        <f t="shared" si="301"/>
        <v/>
      </c>
      <c r="BE413" s="51" t="str">
        <f t="shared" si="302"/>
        <v/>
      </c>
      <c r="BF413" s="51" t="str">
        <f t="shared" si="303"/>
        <v/>
      </c>
      <c r="BG413" s="51" t="str">
        <f t="shared" si="304"/>
        <v/>
      </c>
      <c r="BH413" s="51" t="b">
        <f t="shared" si="305"/>
        <v>0</v>
      </c>
      <c r="BI413" s="51" t="str">
        <f t="shared" si="306"/>
        <v/>
      </c>
      <c r="BJ413" s="51" t="str">
        <f t="shared" si="307"/>
        <v/>
      </c>
      <c r="BK413" s="51" t="b">
        <f t="shared" si="308"/>
        <v>0</v>
      </c>
      <c r="BL413" s="192"/>
    </row>
    <row r="414" spans="1:64" ht="13.5" thickBot="1" x14ac:dyDescent="0.25">
      <c r="A414" s="185" t="s">
        <v>1094</v>
      </c>
      <c r="B414" s="194" t="s">
        <v>695</v>
      </c>
      <c r="C414" s="194" t="s">
        <v>695</v>
      </c>
      <c r="D414" s="194" t="s">
        <v>695</v>
      </c>
      <c r="E414" s="193" t="s">
        <v>694</v>
      </c>
      <c r="F414" s="160" t="s">
        <v>20</v>
      </c>
      <c r="G414" s="161"/>
      <c r="H414" s="186" t="str">
        <f t="shared" si="266"/>
        <v>N/A</v>
      </c>
      <c r="I414" s="186" t="b">
        <f t="shared" si="267"/>
        <v>1</v>
      </c>
      <c r="J414" s="186" t="str">
        <f t="shared" si="268"/>
        <v>N/A</v>
      </c>
      <c r="K414" s="186" t="b">
        <f t="shared" si="269"/>
        <v>1</v>
      </c>
      <c r="L414" s="186" t="str">
        <f t="shared" si="270"/>
        <v>N/A</v>
      </c>
      <c r="M414" s="186" t="b">
        <f t="shared" si="271"/>
        <v>1</v>
      </c>
      <c r="N414" s="186" t="str">
        <f t="shared" si="272"/>
        <v>Used?</v>
      </c>
      <c r="O414" s="186" t="b">
        <f t="shared" si="273"/>
        <v>0</v>
      </c>
      <c r="P414" s="26" t="s">
        <v>696</v>
      </c>
      <c r="Q414" s="160" t="s">
        <v>20</v>
      </c>
      <c r="R414" s="160" t="s">
        <v>20</v>
      </c>
      <c r="S414" s="26" t="s">
        <v>697</v>
      </c>
      <c r="T414" s="165" t="str">
        <f t="shared" si="274"/>
        <v>Not Used</v>
      </c>
      <c r="U414" s="162"/>
      <c r="V414" s="55"/>
      <c r="W414" s="51" t="b">
        <f t="shared" si="275"/>
        <v>1</v>
      </c>
      <c r="X414" s="51" t="str">
        <f t="shared" si="276"/>
        <v>Not Used</v>
      </c>
      <c r="Y414" s="51" t="str">
        <f t="shared" si="277"/>
        <v>Not Used</v>
      </c>
      <c r="Z414" s="51" t="str">
        <f t="shared" si="278"/>
        <v>Not Used</v>
      </c>
      <c r="AA414" s="51" t="str">
        <f t="shared" si="278"/>
        <v>Not Used</v>
      </c>
      <c r="AB414" s="51" t="str">
        <f t="shared" si="279"/>
        <v>Not Used</v>
      </c>
      <c r="AC414" s="51" t="b">
        <f t="shared" si="280"/>
        <v>1</v>
      </c>
      <c r="AD414" s="51">
        <f>COUNTIF($X$5:$X$414, "Not Used")</f>
        <v>410</v>
      </c>
      <c r="AE414" s="51">
        <f>COUNTIF($X$5:$X$414, "TRUE")</f>
        <v>0</v>
      </c>
      <c r="AF414" s="51" t="b">
        <f t="shared" si="281"/>
        <v>1</v>
      </c>
      <c r="AI414" s="51" t="b">
        <f t="shared" si="282"/>
        <v>0</v>
      </c>
      <c r="AJ414" s="51" t="b">
        <f t="shared" si="283"/>
        <v>0</v>
      </c>
      <c r="AK414" s="51" t="b">
        <f t="shared" si="284"/>
        <v>0</v>
      </c>
      <c r="AL414" s="51" t="b">
        <f t="shared" si="285"/>
        <v>0</v>
      </c>
      <c r="AM414" s="51" t="b">
        <f t="shared" si="286"/>
        <v>0</v>
      </c>
      <c r="AN414" s="51"/>
      <c r="AO414" s="51" t="b">
        <f t="shared" si="287"/>
        <v>0</v>
      </c>
      <c r="AP414" s="51" t="str">
        <f t="shared" si="309"/>
        <v>Not in MMS</v>
      </c>
      <c r="AQ414" s="51" t="b">
        <f t="shared" si="288"/>
        <v>0</v>
      </c>
      <c r="AR414" s="51" t="b">
        <f t="shared" si="289"/>
        <v>0</v>
      </c>
      <c r="AS414" s="51" t="str">
        <f t="shared" si="290"/>
        <v/>
      </c>
      <c r="AT414" s="51" t="str">
        <f t="shared" si="291"/>
        <v/>
      </c>
      <c r="AU414" s="51" t="str">
        <f t="shared" si="292"/>
        <v/>
      </c>
      <c r="AV414" s="51" t="str">
        <f t="shared" si="293"/>
        <v/>
      </c>
      <c r="AW414" s="51" t="str">
        <f t="shared" si="294"/>
        <v/>
      </c>
      <c r="AX414" s="51" t="str">
        <f t="shared" si="295"/>
        <v/>
      </c>
      <c r="AY414" s="51" t="str">
        <f t="shared" si="296"/>
        <v/>
      </c>
      <c r="AZ414" s="51" t="str">
        <f t="shared" si="297"/>
        <v/>
      </c>
      <c r="BA414" s="51" t="str">
        <f t="shared" si="298"/>
        <v/>
      </c>
      <c r="BB414" s="51" t="str">
        <f t="shared" si="299"/>
        <v/>
      </c>
      <c r="BC414" s="51" t="str">
        <f t="shared" si="300"/>
        <v/>
      </c>
      <c r="BD414" s="51" t="str">
        <f t="shared" si="301"/>
        <v/>
      </c>
      <c r="BE414" s="51" t="str">
        <f t="shared" si="302"/>
        <v/>
      </c>
      <c r="BF414" s="51" t="str">
        <f t="shared" si="303"/>
        <v/>
      </c>
      <c r="BG414" s="51" t="str">
        <f t="shared" si="304"/>
        <v/>
      </c>
      <c r="BH414" s="51" t="b">
        <f t="shared" si="305"/>
        <v>0</v>
      </c>
      <c r="BI414" s="51" t="str">
        <f t="shared" si="306"/>
        <v/>
      </c>
      <c r="BJ414" s="51" t="str">
        <f t="shared" si="307"/>
        <v/>
      </c>
      <c r="BK414" s="51" t="b">
        <f t="shared" si="308"/>
        <v>0</v>
      </c>
      <c r="BL414" s="192"/>
    </row>
    <row r="415" spans="1:64" ht="13.5" thickBot="1" x14ac:dyDescent="0.25">
      <c r="A415" s="185" t="s">
        <v>1095</v>
      </c>
      <c r="B415" s="194" t="s">
        <v>695</v>
      </c>
      <c r="C415" s="194" t="s">
        <v>695</v>
      </c>
      <c r="D415" s="194" t="s">
        <v>695</v>
      </c>
      <c r="E415" s="193" t="s">
        <v>694</v>
      </c>
      <c r="F415" s="160" t="s">
        <v>20</v>
      </c>
      <c r="G415" s="161"/>
      <c r="H415" s="186" t="str">
        <f t="shared" si="266"/>
        <v>N/A</v>
      </c>
      <c r="I415" s="186" t="b">
        <f t="shared" si="267"/>
        <v>1</v>
      </c>
      <c r="J415" s="186" t="str">
        <f t="shared" si="268"/>
        <v>N/A</v>
      </c>
      <c r="K415" s="186" t="b">
        <f t="shared" si="269"/>
        <v>1</v>
      </c>
      <c r="L415" s="186" t="str">
        <f t="shared" si="270"/>
        <v>N/A</v>
      </c>
      <c r="M415" s="186" t="b">
        <f t="shared" si="271"/>
        <v>1</v>
      </c>
      <c r="N415" s="186" t="str">
        <f t="shared" si="272"/>
        <v>Used?</v>
      </c>
      <c r="O415" s="186" t="b">
        <f t="shared" si="273"/>
        <v>0</v>
      </c>
      <c r="P415" s="26" t="s">
        <v>696</v>
      </c>
      <c r="Q415" s="160" t="s">
        <v>20</v>
      </c>
      <c r="R415" s="160" t="s">
        <v>20</v>
      </c>
      <c r="S415" s="26" t="s">
        <v>697</v>
      </c>
      <c r="T415" s="165" t="str">
        <f t="shared" si="274"/>
        <v>Not Used</v>
      </c>
      <c r="U415" s="162"/>
      <c r="V415" s="55"/>
      <c r="W415" s="51" t="b">
        <f t="shared" si="275"/>
        <v>1</v>
      </c>
      <c r="X415" s="51" t="str">
        <f t="shared" si="276"/>
        <v>Not Used</v>
      </c>
      <c r="Y415" s="51" t="str">
        <f t="shared" si="277"/>
        <v>Not Used</v>
      </c>
      <c r="Z415" s="51" t="str">
        <f t="shared" si="278"/>
        <v>Not Used</v>
      </c>
      <c r="AA415" s="51" t="str">
        <f t="shared" si="278"/>
        <v>Not Used</v>
      </c>
      <c r="AB415" s="51" t="str">
        <f t="shared" si="279"/>
        <v>Not Used</v>
      </c>
      <c r="AC415" s="51" t="b">
        <f t="shared" si="280"/>
        <v>1</v>
      </c>
      <c r="AD415" s="51">
        <f>COUNTIF($X$5:$X$415, "Not Used")</f>
        <v>411</v>
      </c>
      <c r="AE415" s="51">
        <f>COUNTIF($X$5:$X$415, "TRUE")</f>
        <v>0</v>
      </c>
      <c r="AF415" s="51" t="b">
        <f t="shared" si="281"/>
        <v>1</v>
      </c>
      <c r="AI415" s="51" t="b">
        <f t="shared" si="282"/>
        <v>0</v>
      </c>
      <c r="AJ415" s="51" t="b">
        <f t="shared" si="283"/>
        <v>0</v>
      </c>
      <c r="AK415" s="51" t="b">
        <f t="shared" si="284"/>
        <v>0</v>
      </c>
      <c r="AL415" s="51" t="b">
        <f t="shared" si="285"/>
        <v>0</v>
      </c>
      <c r="AM415" s="51" t="b">
        <f t="shared" si="286"/>
        <v>0</v>
      </c>
      <c r="AN415" s="51"/>
      <c r="AO415" s="51" t="b">
        <f t="shared" si="287"/>
        <v>0</v>
      </c>
      <c r="AP415" s="51" t="str">
        <f t="shared" si="309"/>
        <v>Not in MMS</v>
      </c>
      <c r="AQ415" s="51" t="b">
        <f t="shared" si="288"/>
        <v>0</v>
      </c>
      <c r="AR415" s="51" t="b">
        <f t="shared" si="289"/>
        <v>0</v>
      </c>
      <c r="AS415" s="51" t="str">
        <f t="shared" si="290"/>
        <v/>
      </c>
      <c r="AT415" s="51" t="str">
        <f t="shared" si="291"/>
        <v/>
      </c>
      <c r="AU415" s="51" t="str">
        <f t="shared" si="292"/>
        <v/>
      </c>
      <c r="AV415" s="51" t="str">
        <f t="shared" si="293"/>
        <v/>
      </c>
      <c r="AW415" s="51" t="str">
        <f t="shared" si="294"/>
        <v/>
      </c>
      <c r="AX415" s="51" t="str">
        <f t="shared" si="295"/>
        <v/>
      </c>
      <c r="AY415" s="51" t="str">
        <f t="shared" si="296"/>
        <v/>
      </c>
      <c r="AZ415" s="51" t="str">
        <f t="shared" si="297"/>
        <v/>
      </c>
      <c r="BA415" s="51" t="str">
        <f t="shared" si="298"/>
        <v/>
      </c>
      <c r="BB415" s="51" t="str">
        <f t="shared" si="299"/>
        <v/>
      </c>
      <c r="BC415" s="51" t="str">
        <f t="shared" si="300"/>
        <v/>
      </c>
      <c r="BD415" s="51" t="str">
        <f t="shared" si="301"/>
        <v/>
      </c>
      <c r="BE415" s="51" t="str">
        <f t="shared" si="302"/>
        <v/>
      </c>
      <c r="BF415" s="51" t="str">
        <f t="shared" si="303"/>
        <v/>
      </c>
      <c r="BG415" s="51" t="str">
        <f t="shared" si="304"/>
        <v/>
      </c>
      <c r="BH415" s="51" t="b">
        <f t="shared" si="305"/>
        <v>0</v>
      </c>
      <c r="BI415" s="51" t="str">
        <f t="shared" si="306"/>
        <v/>
      </c>
      <c r="BJ415" s="51" t="str">
        <f t="shared" si="307"/>
        <v/>
      </c>
      <c r="BK415" s="51" t="b">
        <f t="shared" si="308"/>
        <v>0</v>
      </c>
      <c r="BL415" s="192"/>
    </row>
    <row r="416" spans="1:64" ht="13.5" thickBot="1" x14ac:dyDescent="0.25">
      <c r="A416" s="185" t="s">
        <v>1096</v>
      </c>
      <c r="B416" s="194" t="s">
        <v>695</v>
      </c>
      <c r="C416" s="194" t="s">
        <v>695</v>
      </c>
      <c r="D416" s="194" t="s">
        <v>695</v>
      </c>
      <c r="E416" s="193" t="s">
        <v>694</v>
      </c>
      <c r="F416" s="160" t="s">
        <v>20</v>
      </c>
      <c r="G416" s="161"/>
      <c r="H416" s="186" t="str">
        <f t="shared" si="266"/>
        <v>N/A</v>
      </c>
      <c r="I416" s="186" t="b">
        <f t="shared" si="267"/>
        <v>1</v>
      </c>
      <c r="J416" s="186" t="str">
        <f t="shared" si="268"/>
        <v>N/A</v>
      </c>
      <c r="K416" s="186" t="b">
        <f t="shared" si="269"/>
        <v>1</v>
      </c>
      <c r="L416" s="186" t="str">
        <f t="shared" si="270"/>
        <v>N/A</v>
      </c>
      <c r="M416" s="186" t="b">
        <f t="shared" si="271"/>
        <v>1</v>
      </c>
      <c r="N416" s="186" t="str">
        <f t="shared" si="272"/>
        <v>Used?</v>
      </c>
      <c r="O416" s="186" t="b">
        <f t="shared" si="273"/>
        <v>0</v>
      </c>
      <c r="P416" s="26" t="s">
        <v>696</v>
      </c>
      <c r="Q416" s="160" t="s">
        <v>20</v>
      </c>
      <c r="R416" s="160" t="s">
        <v>20</v>
      </c>
      <c r="S416" s="26" t="s">
        <v>697</v>
      </c>
      <c r="T416" s="165" t="str">
        <f t="shared" si="274"/>
        <v>Not Used</v>
      </c>
      <c r="U416" s="162"/>
      <c r="V416" s="55"/>
      <c r="W416" s="51" t="b">
        <f t="shared" si="275"/>
        <v>1</v>
      </c>
      <c r="X416" s="51" t="str">
        <f t="shared" si="276"/>
        <v>Not Used</v>
      </c>
      <c r="Y416" s="51" t="str">
        <f t="shared" si="277"/>
        <v>Not Used</v>
      </c>
      <c r="Z416" s="51" t="str">
        <f t="shared" si="278"/>
        <v>Not Used</v>
      </c>
      <c r="AA416" s="51" t="str">
        <f t="shared" si="278"/>
        <v>Not Used</v>
      </c>
      <c r="AB416" s="51" t="str">
        <f t="shared" si="279"/>
        <v>Not Used</v>
      </c>
      <c r="AC416" s="51" t="b">
        <f t="shared" si="280"/>
        <v>1</v>
      </c>
      <c r="AD416" s="51">
        <f>COUNTIF($X$5:$X$416, "Not Used")</f>
        <v>412</v>
      </c>
      <c r="AE416" s="51">
        <f>COUNTIF($X$5:$X$416, "TRUE")</f>
        <v>0</v>
      </c>
      <c r="AF416" s="51" t="b">
        <f t="shared" si="281"/>
        <v>1</v>
      </c>
      <c r="AI416" s="51" t="b">
        <f t="shared" si="282"/>
        <v>0</v>
      </c>
      <c r="AJ416" s="51" t="b">
        <f t="shared" si="283"/>
        <v>0</v>
      </c>
      <c r="AK416" s="51" t="b">
        <f t="shared" si="284"/>
        <v>0</v>
      </c>
      <c r="AL416" s="51" t="b">
        <f t="shared" si="285"/>
        <v>0</v>
      </c>
      <c r="AM416" s="51" t="b">
        <f t="shared" si="286"/>
        <v>0</v>
      </c>
      <c r="AN416" s="51"/>
      <c r="AO416" s="51" t="b">
        <f t="shared" si="287"/>
        <v>0</v>
      </c>
      <c r="AP416" s="51" t="str">
        <f t="shared" si="309"/>
        <v>Not in MMS</v>
      </c>
      <c r="AQ416" s="51" t="b">
        <f t="shared" si="288"/>
        <v>0</v>
      </c>
      <c r="AR416" s="51" t="b">
        <f t="shared" si="289"/>
        <v>0</v>
      </c>
      <c r="AS416" s="51" t="str">
        <f t="shared" si="290"/>
        <v/>
      </c>
      <c r="AT416" s="51" t="str">
        <f t="shared" si="291"/>
        <v/>
      </c>
      <c r="AU416" s="51" t="str">
        <f t="shared" si="292"/>
        <v/>
      </c>
      <c r="AV416" s="51" t="str">
        <f t="shared" si="293"/>
        <v/>
      </c>
      <c r="AW416" s="51" t="str">
        <f t="shared" si="294"/>
        <v/>
      </c>
      <c r="AX416" s="51" t="str">
        <f t="shared" si="295"/>
        <v/>
      </c>
      <c r="AY416" s="51" t="str">
        <f t="shared" si="296"/>
        <v/>
      </c>
      <c r="AZ416" s="51" t="str">
        <f t="shared" si="297"/>
        <v/>
      </c>
      <c r="BA416" s="51" t="str">
        <f t="shared" si="298"/>
        <v/>
      </c>
      <c r="BB416" s="51" t="str">
        <f t="shared" si="299"/>
        <v/>
      </c>
      <c r="BC416" s="51" t="str">
        <f t="shared" si="300"/>
        <v/>
      </c>
      <c r="BD416" s="51" t="str">
        <f t="shared" si="301"/>
        <v/>
      </c>
      <c r="BE416" s="51" t="str">
        <f t="shared" si="302"/>
        <v/>
      </c>
      <c r="BF416" s="51" t="str">
        <f t="shared" si="303"/>
        <v/>
      </c>
      <c r="BG416" s="51" t="str">
        <f t="shared" si="304"/>
        <v/>
      </c>
      <c r="BH416" s="51" t="b">
        <f t="shared" si="305"/>
        <v>0</v>
      </c>
      <c r="BI416" s="51" t="str">
        <f t="shared" si="306"/>
        <v/>
      </c>
      <c r="BJ416" s="51" t="str">
        <f t="shared" si="307"/>
        <v/>
      </c>
      <c r="BK416" s="51" t="b">
        <f t="shared" si="308"/>
        <v>0</v>
      </c>
      <c r="BL416" s="192"/>
    </row>
    <row r="417" spans="1:64" ht="13.5" thickBot="1" x14ac:dyDescent="0.25">
      <c r="A417" s="185" t="s">
        <v>1097</v>
      </c>
      <c r="B417" s="194" t="s">
        <v>695</v>
      </c>
      <c r="C417" s="194" t="s">
        <v>695</v>
      </c>
      <c r="D417" s="194" t="s">
        <v>695</v>
      </c>
      <c r="E417" s="193" t="s">
        <v>694</v>
      </c>
      <c r="F417" s="160" t="s">
        <v>20</v>
      </c>
      <c r="G417" s="161"/>
      <c r="H417" s="186" t="str">
        <f t="shared" si="266"/>
        <v>N/A</v>
      </c>
      <c r="I417" s="186" t="b">
        <f t="shared" si="267"/>
        <v>1</v>
      </c>
      <c r="J417" s="186" t="str">
        <f t="shared" si="268"/>
        <v>N/A</v>
      </c>
      <c r="K417" s="186" t="b">
        <f t="shared" si="269"/>
        <v>1</v>
      </c>
      <c r="L417" s="186" t="str">
        <f t="shared" si="270"/>
        <v>N/A</v>
      </c>
      <c r="M417" s="186" t="b">
        <f t="shared" si="271"/>
        <v>1</v>
      </c>
      <c r="N417" s="186" t="str">
        <f t="shared" si="272"/>
        <v>Used?</v>
      </c>
      <c r="O417" s="186" t="b">
        <f t="shared" si="273"/>
        <v>0</v>
      </c>
      <c r="P417" s="26" t="s">
        <v>696</v>
      </c>
      <c r="Q417" s="160" t="s">
        <v>20</v>
      </c>
      <c r="R417" s="160" t="s">
        <v>20</v>
      </c>
      <c r="S417" s="26" t="s">
        <v>697</v>
      </c>
      <c r="T417" s="165" t="str">
        <f t="shared" si="274"/>
        <v>Not Used</v>
      </c>
      <c r="U417" s="162"/>
      <c r="V417" s="55"/>
      <c r="W417" s="51" t="b">
        <f t="shared" si="275"/>
        <v>1</v>
      </c>
      <c r="X417" s="51" t="str">
        <f t="shared" si="276"/>
        <v>Not Used</v>
      </c>
      <c r="Y417" s="51" t="str">
        <f t="shared" si="277"/>
        <v>Not Used</v>
      </c>
      <c r="Z417" s="51" t="str">
        <f t="shared" si="278"/>
        <v>Not Used</v>
      </c>
      <c r="AA417" s="51" t="str">
        <f t="shared" si="278"/>
        <v>Not Used</v>
      </c>
      <c r="AB417" s="51" t="str">
        <f t="shared" si="279"/>
        <v>Not Used</v>
      </c>
      <c r="AC417" s="51" t="b">
        <f t="shared" si="280"/>
        <v>1</v>
      </c>
      <c r="AD417" s="51">
        <f>COUNTIF($X$5:$X$417, "Not Used")</f>
        <v>413</v>
      </c>
      <c r="AE417" s="51">
        <f>COUNTIF($X$5:$X$417, "TRUE")</f>
        <v>0</v>
      </c>
      <c r="AF417" s="51" t="b">
        <f t="shared" si="281"/>
        <v>1</v>
      </c>
      <c r="AI417" s="51" t="b">
        <f t="shared" si="282"/>
        <v>0</v>
      </c>
      <c r="AJ417" s="51" t="b">
        <f t="shared" si="283"/>
        <v>0</v>
      </c>
      <c r="AK417" s="51" t="b">
        <f t="shared" si="284"/>
        <v>0</v>
      </c>
      <c r="AL417" s="51" t="b">
        <f t="shared" si="285"/>
        <v>0</v>
      </c>
      <c r="AM417" s="51" t="b">
        <f t="shared" si="286"/>
        <v>0</v>
      </c>
      <c r="AN417" s="51"/>
      <c r="AO417" s="51" t="b">
        <f t="shared" si="287"/>
        <v>0</v>
      </c>
      <c r="AP417" s="51" t="str">
        <f t="shared" si="309"/>
        <v>Not in MMS</v>
      </c>
      <c r="AQ417" s="51" t="b">
        <f t="shared" si="288"/>
        <v>0</v>
      </c>
      <c r="AR417" s="51" t="b">
        <f t="shared" si="289"/>
        <v>0</v>
      </c>
      <c r="AS417" s="51" t="str">
        <f t="shared" si="290"/>
        <v/>
      </c>
      <c r="AT417" s="51" t="str">
        <f t="shared" si="291"/>
        <v/>
      </c>
      <c r="AU417" s="51" t="str">
        <f t="shared" si="292"/>
        <v/>
      </c>
      <c r="AV417" s="51" t="str">
        <f t="shared" si="293"/>
        <v/>
      </c>
      <c r="AW417" s="51" t="str">
        <f t="shared" si="294"/>
        <v/>
      </c>
      <c r="AX417" s="51" t="str">
        <f t="shared" si="295"/>
        <v/>
      </c>
      <c r="AY417" s="51" t="str">
        <f t="shared" si="296"/>
        <v/>
      </c>
      <c r="AZ417" s="51" t="str">
        <f t="shared" si="297"/>
        <v/>
      </c>
      <c r="BA417" s="51" t="str">
        <f t="shared" si="298"/>
        <v/>
      </c>
      <c r="BB417" s="51" t="str">
        <f t="shared" si="299"/>
        <v/>
      </c>
      <c r="BC417" s="51" t="str">
        <f t="shared" si="300"/>
        <v/>
      </c>
      <c r="BD417" s="51" t="str">
        <f t="shared" si="301"/>
        <v/>
      </c>
      <c r="BE417" s="51" t="str">
        <f t="shared" si="302"/>
        <v/>
      </c>
      <c r="BF417" s="51" t="str">
        <f t="shared" si="303"/>
        <v/>
      </c>
      <c r="BG417" s="51" t="str">
        <f t="shared" si="304"/>
        <v/>
      </c>
      <c r="BH417" s="51" t="b">
        <f t="shared" si="305"/>
        <v>0</v>
      </c>
      <c r="BI417" s="51" t="str">
        <f t="shared" si="306"/>
        <v/>
      </c>
      <c r="BJ417" s="51" t="str">
        <f t="shared" si="307"/>
        <v/>
      </c>
      <c r="BK417" s="51" t="b">
        <f t="shared" si="308"/>
        <v>0</v>
      </c>
      <c r="BL417" s="192"/>
    </row>
    <row r="418" spans="1:64" ht="13.5" thickBot="1" x14ac:dyDescent="0.25">
      <c r="A418" s="185" t="s">
        <v>1903</v>
      </c>
      <c r="B418" s="194" t="s">
        <v>695</v>
      </c>
      <c r="C418" s="194" t="s">
        <v>695</v>
      </c>
      <c r="D418" s="194" t="s">
        <v>695</v>
      </c>
      <c r="E418" s="193" t="s">
        <v>694</v>
      </c>
      <c r="F418" s="160" t="s">
        <v>20</v>
      </c>
      <c r="G418" s="161"/>
      <c r="H418" s="186" t="str">
        <f t="shared" si="266"/>
        <v>N/A</v>
      </c>
      <c r="I418" s="186" t="b">
        <f t="shared" si="267"/>
        <v>1</v>
      </c>
      <c r="J418" s="186" t="str">
        <f t="shared" si="268"/>
        <v>N/A</v>
      </c>
      <c r="K418" s="186" t="b">
        <f t="shared" si="269"/>
        <v>1</v>
      </c>
      <c r="L418" s="186" t="str">
        <f t="shared" si="270"/>
        <v>N/A</v>
      </c>
      <c r="M418" s="186" t="b">
        <f t="shared" si="271"/>
        <v>1</v>
      </c>
      <c r="N418" s="186" t="str">
        <f t="shared" si="272"/>
        <v>Used?</v>
      </c>
      <c r="O418" s="186" t="b">
        <f t="shared" si="273"/>
        <v>0</v>
      </c>
      <c r="P418" s="26" t="s">
        <v>696</v>
      </c>
      <c r="Q418" s="160" t="s">
        <v>20</v>
      </c>
      <c r="R418" s="160" t="s">
        <v>20</v>
      </c>
      <c r="S418" s="26" t="s">
        <v>697</v>
      </c>
      <c r="T418" s="165" t="str">
        <f t="shared" si="274"/>
        <v>Not Used</v>
      </c>
      <c r="U418" s="162"/>
      <c r="V418" s="55"/>
      <c r="W418" s="51" t="b">
        <f t="shared" si="275"/>
        <v>1</v>
      </c>
      <c r="X418" s="51" t="str">
        <f t="shared" si="276"/>
        <v>Not Used</v>
      </c>
      <c r="Y418" s="51" t="str">
        <f t="shared" si="277"/>
        <v>Not Used</v>
      </c>
      <c r="Z418" s="51" t="str">
        <f t="shared" si="278"/>
        <v>Not Used</v>
      </c>
      <c r="AA418" s="51" t="str">
        <f t="shared" si="278"/>
        <v>Not Used</v>
      </c>
      <c r="AB418" s="51" t="str">
        <f t="shared" si="279"/>
        <v>Not Used</v>
      </c>
      <c r="AC418" s="51" t="b">
        <f t="shared" si="280"/>
        <v>1</v>
      </c>
      <c r="AD418" s="51">
        <f>COUNTIF($X$5:$X$419, "Not Used")</f>
        <v>415</v>
      </c>
      <c r="AE418" s="51">
        <f>COUNTIF($X$5:$X$419, "TRUE")</f>
        <v>0</v>
      </c>
      <c r="AF418" s="51" t="b">
        <f t="shared" si="281"/>
        <v>1</v>
      </c>
      <c r="AI418" s="51" t="b">
        <f t="shared" si="282"/>
        <v>0</v>
      </c>
      <c r="AJ418" s="51" t="b">
        <f t="shared" si="283"/>
        <v>0</v>
      </c>
      <c r="AK418" s="51" t="b">
        <f t="shared" si="284"/>
        <v>0</v>
      </c>
      <c r="AL418" s="51" t="b">
        <f t="shared" si="285"/>
        <v>0</v>
      </c>
      <c r="AM418" s="51" t="b">
        <f t="shared" si="286"/>
        <v>0</v>
      </c>
      <c r="AN418" s="51"/>
      <c r="AO418" s="51" t="b">
        <f t="shared" si="287"/>
        <v>0</v>
      </c>
      <c r="AP418" s="51" t="str">
        <f t="shared" si="309"/>
        <v>Not in MMS</v>
      </c>
      <c r="AQ418" s="51" t="b">
        <f t="shared" si="288"/>
        <v>0</v>
      </c>
      <c r="AR418" s="51" t="b">
        <f t="shared" si="289"/>
        <v>0</v>
      </c>
      <c r="AS418" s="51" t="str">
        <f t="shared" si="290"/>
        <v/>
      </c>
      <c r="AT418" s="51" t="str">
        <f t="shared" si="291"/>
        <v/>
      </c>
      <c r="AU418" s="51" t="str">
        <f t="shared" si="292"/>
        <v/>
      </c>
      <c r="AV418" s="51" t="str">
        <f t="shared" si="293"/>
        <v/>
      </c>
      <c r="AW418" s="51" t="str">
        <f t="shared" si="294"/>
        <v/>
      </c>
      <c r="AX418" s="51" t="str">
        <f t="shared" si="295"/>
        <v/>
      </c>
      <c r="AY418" s="51" t="str">
        <f t="shared" si="296"/>
        <v/>
      </c>
      <c r="AZ418" s="51" t="str">
        <f t="shared" si="297"/>
        <v/>
      </c>
      <c r="BA418" s="51" t="str">
        <f t="shared" si="298"/>
        <v/>
      </c>
      <c r="BB418" s="51" t="str">
        <f t="shared" si="299"/>
        <v/>
      </c>
      <c r="BC418" s="51" t="str">
        <f t="shared" si="300"/>
        <v/>
      </c>
      <c r="BD418" s="51" t="str">
        <f t="shared" si="301"/>
        <v/>
      </c>
      <c r="BE418" s="51" t="str">
        <f t="shared" si="302"/>
        <v/>
      </c>
      <c r="BF418" s="51" t="str">
        <f t="shared" si="303"/>
        <v/>
      </c>
      <c r="BG418" s="51" t="str">
        <f t="shared" si="304"/>
        <v/>
      </c>
      <c r="BH418" s="51" t="b">
        <f t="shared" si="305"/>
        <v>0</v>
      </c>
      <c r="BI418" s="51" t="str">
        <f t="shared" si="306"/>
        <v/>
      </c>
      <c r="BJ418" s="51" t="str">
        <f t="shared" si="307"/>
        <v/>
      </c>
      <c r="BK418" s="51" t="b">
        <f t="shared" si="308"/>
        <v>0</v>
      </c>
      <c r="BL418" s="192"/>
    </row>
    <row r="419" spans="1:64" ht="13.5" thickBot="1" x14ac:dyDescent="0.25">
      <c r="A419" s="185" t="s">
        <v>1098</v>
      </c>
      <c r="B419" s="194" t="s">
        <v>695</v>
      </c>
      <c r="C419" s="194" t="s">
        <v>695</v>
      </c>
      <c r="D419" s="194" t="s">
        <v>695</v>
      </c>
      <c r="E419" s="193" t="s">
        <v>694</v>
      </c>
      <c r="F419" s="160" t="s">
        <v>20</v>
      </c>
      <c r="G419" s="161"/>
      <c r="H419" s="186" t="str">
        <f t="shared" si="266"/>
        <v>N/A</v>
      </c>
      <c r="I419" s="186" t="b">
        <f t="shared" si="267"/>
        <v>1</v>
      </c>
      <c r="J419" s="186" t="str">
        <f t="shared" si="268"/>
        <v>N/A</v>
      </c>
      <c r="K419" s="186" t="b">
        <f t="shared" si="269"/>
        <v>1</v>
      </c>
      <c r="L419" s="186" t="str">
        <f t="shared" si="270"/>
        <v>N/A</v>
      </c>
      <c r="M419" s="186" t="b">
        <f t="shared" si="271"/>
        <v>1</v>
      </c>
      <c r="N419" s="186" t="str">
        <f t="shared" si="272"/>
        <v>Used?</v>
      </c>
      <c r="O419" s="186" t="b">
        <f t="shared" si="273"/>
        <v>0</v>
      </c>
      <c r="P419" s="26" t="s">
        <v>696</v>
      </c>
      <c r="Q419" s="160" t="s">
        <v>20</v>
      </c>
      <c r="R419" s="160" t="s">
        <v>20</v>
      </c>
      <c r="S419" s="26" t="s">
        <v>697</v>
      </c>
      <c r="T419" s="165" t="str">
        <f t="shared" si="274"/>
        <v>Not Used</v>
      </c>
      <c r="U419" s="162"/>
      <c r="V419" s="55"/>
      <c r="W419" s="51" t="b">
        <f t="shared" si="275"/>
        <v>1</v>
      </c>
      <c r="X419" s="51" t="str">
        <f t="shared" si="276"/>
        <v>Not Used</v>
      </c>
      <c r="Y419" s="51" t="str">
        <f t="shared" si="277"/>
        <v>Not Used</v>
      </c>
      <c r="Z419" s="51" t="str">
        <f t="shared" si="278"/>
        <v>Not Used</v>
      </c>
      <c r="AA419" s="51" t="str">
        <f t="shared" si="278"/>
        <v>Not Used</v>
      </c>
      <c r="AB419" s="51" t="str">
        <f t="shared" si="279"/>
        <v>Not Used</v>
      </c>
      <c r="AC419" s="51" t="b">
        <f t="shared" si="280"/>
        <v>1</v>
      </c>
      <c r="AD419" s="51">
        <f>COUNTIF($X$5:$X$419, "Not Used")</f>
        <v>415</v>
      </c>
      <c r="AE419" s="51">
        <f>COUNTIF($X$5:$X$419, "TRUE")</f>
        <v>0</v>
      </c>
      <c r="AF419" s="51" t="b">
        <f t="shared" si="281"/>
        <v>1</v>
      </c>
      <c r="AI419" s="51" t="b">
        <f t="shared" si="282"/>
        <v>0</v>
      </c>
      <c r="AJ419" s="51" t="b">
        <f t="shared" si="283"/>
        <v>0</v>
      </c>
      <c r="AK419" s="51" t="b">
        <f t="shared" si="284"/>
        <v>0</v>
      </c>
      <c r="AL419" s="51" t="b">
        <f t="shared" si="285"/>
        <v>0</v>
      </c>
      <c r="AM419" s="51" t="b">
        <f t="shared" si="286"/>
        <v>0</v>
      </c>
      <c r="AN419" s="51"/>
      <c r="AO419" s="51" t="b">
        <f t="shared" si="287"/>
        <v>0</v>
      </c>
      <c r="AP419" s="51" t="str">
        <f t="shared" si="309"/>
        <v>Not in MMS</v>
      </c>
      <c r="AQ419" s="51" t="b">
        <f t="shared" si="288"/>
        <v>0</v>
      </c>
      <c r="AR419" s="51" t="b">
        <f t="shared" si="289"/>
        <v>0</v>
      </c>
      <c r="AS419" s="51" t="str">
        <f t="shared" si="290"/>
        <v/>
      </c>
      <c r="AT419" s="51" t="str">
        <f t="shared" si="291"/>
        <v/>
      </c>
      <c r="AU419" s="51" t="str">
        <f t="shared" si="292"/>
        <v/>
      </c>
      <c r="AV419" s="51" t="str">
        <f t="shared" si="293"/>
        <v/>
      </c>
      <c r="AW419" s="51" t="str">
        <f t="shared" si="294"/>
        <v/>
      </c>
      <c r="AX419" s="51" t="str">
        <f t="shared" si="295"/>
        <v/>
      </c>
      <c r="AY419" s="51" t="str">
        <f t="shared" si="296"/>
        <v/>
      </c>
      <c r="AZ419" s="51" t="str">
        <f t="shared" si="297"/>
        <v/>
      </c>
      <c r="BA419" s="51" t="str">
        <f t="shared" si="298"/>
        <v/>
      </c>
      <c r="BB419" s="51" t="str">
        <f t="shared" si="299"/>
        <v/>
      </c>
      <c r="BC419" s="51" t="str">
        <f t="shared" si="300"/>
        <v/>
      </c>
      <c r="BD419" s="51" t="str">
        <f t="shared" si="301"/>
        <v/>
      </c>
      <c r="BE419" s="51" t="str">
        <f t="shared" si="302"/>
        <v/>
      </c>
      <c r="BF419" s="51" t="str">
        <f t="shared" si="303"/>
        <v/>
      </c>
      <c r="BG419" s="51" t="str">
        <f t="shared" si="304"/>
        <v/>
      </c>
      <c r="BH419" s="51" t="b">
        <f t="shared" si="305"/>
        <v>0</v>
      </c>
      <c r="BI419" s="51" t="str">
        <f t="shared" si="306"/>
        <v/>
      </c>
      <c r="BJ419" s="51" t="str">
        <f t="shared" si="307"/>
        <v/>
      </c>
      <c r="BK419" s="51" t="b">
        <f t="shared" si="308"/>
        <v>0</v>
      </c>
      <c r="BL419" s="192"/>
    </row>
    <row r="420" spans="1:64" ht="13.5" thickBot="1" x14ac:dyDescent="0.25">
      <c r="A420" s="185" t="s">
        <v>1099</v>
      </c>
      <c r="B420" s="194" t="s">
        <v>695</v>
      </c>
      <c r="C420" s="194" t="s">
        <v>695</v>
      </c>
      <c r="D420" s="194" t="s">
        <v>695</v>
      </c>
      <c r="E420" s="193" t="s">
        <v>694</v>
      </c>
      <c r="F420" s="160" t="s">
        <v>20</v>
      </c>
      <c r="G420" s="161"/>
      <c r="H420" s="186" t="str">
        <f t="shared" si="266"/>
        <v>N/A</v>
      </c>
      <c r="I420" s="186" t="b">
        <f t="shared" si="267"/>
        <v>1</v>
      </c>
      <c r="J420" s="186" t="str">
        <f t="shared" si="268"/>
        <v>N/A</v>
      </c>
      <c r="K420" s="186" t="b">
        <f t="shared" si="269"/>
        <v>1</v>
      </c>
      <c r="L420" s="186" t="str">
        <f t="shared" si="270"/>
        <v>N/A</v>
      </c>
      <c r="M420" s="186" t="b">
        <f t="shared" si="271"/>
        <v>1</v>
      </c>
      <c r="N420" s="186" t="str">
        <f t="shared" si="272"/>
        <v>Used?</v>
      </c>
      <c r="O420" s="186" t="b">
        <f t="shared" si="273"/>
        <v>0</v>
      </c>
      <c r="P420" s="26" t="s">
        <v>696</v>
      </c>
      <c r="Q420" s="160" t="s">
        <v>20</v>
      </c>
      <c r="R420" s="160" t="s">
        <v>20</v>
      </c>
      <c r="S420" s="26" t="s">
        <v>697</v>
      </c>
      <c r="T420" s="165" t="str">
        <f t="shared" si="274"/>
        <v>Not Used</v>
      </c>
      <c r="U420" s="162"/>
      <c r="V420" s="55"/>
      <c r="W420" s="51" t="b">
        <f t="shared" si="275"/>
        <v>1</v>
      </c>
      <c r="X420" s="51" t="str">
        <f t="shared" si="276"/>
        <v>Not Used</v>
      </c>
      <c r="Y420" s="51" t="str">
        <f t="shared" si="277"/>
        <v>Not Used</v>
      </c>
      <c r="Z420" s="51" t="str">
        <f t="shared" si="278"/>
        <v>Not Used</v>
      </c>
      <c r="AA420" s="51" t="str">
        <f t="shared" si="278"/>
        <v>Not Used</v>
      </c>
      <c r="AB420" s="51" t="str">
        <f t="shared" si="279"/>
        <v>Not Used</v>
      </c>
      <c r="AC420" s="51" t="b">
        <f t="shared" si="280"/>
        <v>1</v>
      </c>
      <c r="AD420" s="51">
        <f>COUNTIF($X$5:$X$420, "Not Used")</f>
        <v>416</v>
      </c>
      <c r="AE420" s="51">
        <f>COUNTIF($X$5:$X$420, "TRUE")</f>
        <v>0</v>
      </c>
      <c r="AF420" s="51" t="b">
        <f t="shared" si="281"/>
        <v>1</v>
      </c>
      <c r="AI420" s="51" t="b">
        <f t="shared" si="282"/>
        <v>0</v>
      </c>
      <c r="AJ420" s="51" t="b">
        <f t="shared" si="283"/>
        <v>0</v>
      </c>
      <c r="AK420" s="51" t="b">
        <f t="shared" si="284"/>
        <v>0</v>
      </c>
      <c r="AL420" s="51" t="b">
        <f t="shared" si="285"/>
        <v>0</v>
      </c>
      <c r="AM420" s="51" t="b">
        <f t="shared" si="286"/>
        <v>0</v>
      </c>
      <c r="AN420" s="51"/>
      <c r="AO420" s="51" t="b">
        <f t="shared" si="287"/>
        <v>0</v>
      </c>
      <c r="AP420" s="51" t="str">
        <f t="shared" si="309"/>
        <v>Not in MMS</v>
      </c>
      <c r="AQ420" s="51" t="b">
        <f t="shared" si="288"/>
        <v>0</v>
      </c>
      <c r="AR420" s="51" t="b">
        <f t="shared" si="289"/>
        <v>0</v>
      </c>
      <c r="AS420" s="51" t="str">
        <f t="shared" si="290"/>
        <v/>
      </c>
      <c r="AT420" s="51" t="str">
        <f t="shared" si="291"/>
        <v/>
      </c>
      <c r="AU420" s="51" t="str">
        <f t="shared" si="292"/>
        <v/>
      </c>
      <c r="AV420" s="51" t="str">
        <f t="shared" si="293"/>
        <v/>
      </c>
      <c r="AW420" s="51" t="str">
        <f t="shared" si="294"/>
        <v/>
      </c>
      <c r="AX420" s="51" t="str">
        <f t="shared" si="295"/>
        <v/>
      </c>
      <c r="AY420" s="51" t="str">
        <f t="shared" si="296"/>
        <v/>
      </c>
      <c r="AZ420" s="51" t="str">
        <f t="shared" si="297"/>
        <v/>
      </c>
      <c r="BA420" s="51" t="str">
        <f t="shared" si="298"/>
        <v/>
      </c>
      <c r="BB420" s="51" t="str">
        <f t="shared" si="299"/>
        <v/>
      </c>
      <c r="BC420" s="51" t="str">
        <f t="shared" si="300"/>
        <v/>
      </c>
      <c r="BD420" s="51" t="str">
        <f t="shared" si="301"/>
        <v/>
      </c>
      <c r="BE420" s="51" t="str">
        <f t="shared" si="302"/>
        <v/>
      </c>
      <c r="BF420" s="51" t="str">
        <f t="shared" si="303"/>
        <v/>
      </c>
      <c r="BG420" s="51" t="str">
        <f t="shared" si="304"/>
        <v/>
      </c>
      <c r="BH420" s="51" t="b">
        <f t="shared" si="305"/>
        <v>0</v>
      </c>
      <c r="BI420" s="51" t="str">
        <f t="shared" si="306"/>
        <v/>
      </c>
      <c r="BJ420" s="51" t="str">
        <f t="shared" si="307"/>
        <v/>
      </c>
      <c r="BK420" s="51" t="b">
        <f t="shared" si="308"/>
        <v>0</v>
      </c>
      <c r="BL420" s="192"/>
    </row>
    <row r="421" spans="1:64" ht="13.5" thickBot="1" x14ac:dyDescent="0.25">
      <c r="A421" s="185" t="s">
        <v>1100</v>
      </c>
      <c r="B421" s="194" t="s">
        <v>695</v>
      </c>
      <c r="C421" s="194" t="s">
        <v>695</v>
      </c>
      <c r="D421" s="194" t="s">
        <v>695</v>
      </c>
      <c r="E421" s="193" t="s">
        <v>694</v>
      </c>
      <c r="F421" s="160" t="s">
        <v>20</v>
      </c>
      <c r="G421" s="161"/>
      <c r="H421" s="186" t="str">
        <f t="shared" si="266"/>
        <v>N/A</v>
      </c>
      <c r="I421" s="186" t="b">
        <f t="shared" si="267"/>
        <v>1</v>
      </c>
      <c r="J421" s="186" t="str">
        <f t="shared" si="268"/>
        <v>N/A</v>
      </c>
      <c r="K421" s="186" t="b">
        <f t="shared" si="269"/>
        <v>1</v>
      </c>
      <c r="L421" s="186" t="str">
        <f t="shared" si="270"/>
        <v>N/A</v>
      </c>
      <c r="M421" s="186" t="b">
        <f t="shared" si="271"/>
        <v>1</v>
      </c>
      <c r="N421" s="186" t="str">
        <f t="shared" si="272"/>
        <v>Used?</v>
      </c>
      <c r="O421" s="186" t="b">
        <f t="shared" si="273"/>
        <v>0</v>
      </c>
      <c r="P421" s="26" t="s">
        <v>696</v>
      </c>
      <c r="Q421" s="160" t="s">
        <v>20</v>
      </c>
      <c r="R421" s="160" t="s">
        <v>20</v>
      </c>
      <c r="S421" s="26" t="s">
        <v>697</v>
      </c>
      <c r="T421" s="165" t="str">
        <f t="shared" si="274"/>
        <v>Not Used</v>
      </c>
      <c r="U421" s="162"/>
      <c r="V421" s="55"/>
      <c r="W421" s="51" t="b">
        <f t="shared" si="275"/>
        <v>1</v>
      </c>
      <c r="X421" s="51" t="str">
        <f t="shared" si="276"/>
        <v>Not Used</v>
      </c>
      <c r="Y421" s="51" t="str">
        <f t="shared" si="277"/>
        <v>Not Used</v>
      </c>
      <c r="Z421" s="51" t="str">
        <f t="shared" si="278"/>
        <v>Not Used</v>
      </c>
      <c r="AA421" s="51" t="str">
        <f t="shared" si="278"/>
        <v>Not Used</v>
      </c>
      <c r="AB421" s="51" t="str">
        <f t="shared" si="279"/>
        <v>Not Used</v>
      </c>
      <c r="AC421" s="51" t="b">
        <f t="shared" si="280"/>
        <v>1</v>
      </c>
      <c r="AD421" s="51">
        <f>COUNTIF($X$5:$X$421, "Not Used")</f>
        <v>417</v>
      </c>
      <c r="AE421" s="51">
        <f>COUNTIF($X$5:$X$421, "TRUE")</f>
        <v>0</v>
      </c>
      <c r="AF421" s="51" t="b">
        <f t="shared" si="281"/>
        <v>1</v>
      </c>
      <c r="AI421" s="51" t="b">
        <f t="shared" si="282"/>
        <v>0</v>
      </c>
      <c r="AJ421" s="51" t="b">
        <f t="shared" si="283"/>
        <v>0</v>
      </c>
      <c r="AK421" s="51" t="b">
        <f t="shared" si="284"/>
        <v>0</v>
      </c>
      <c r="AL421" s="51" t="b">
        <f t="shared" si="285"/>
        <v>0</v>
      </c>
      <c r="AM421" s="51" t="b">
        <f t="shared" si="286"/>
        <v>0</v>
      </c>
      <c r="AN421" s="51"/>
      <c r="AO421" s="51" t="b">
        <f t="shared" si="287"/>
        <v>0</v>
      </c>
      <c r="AP421" s="51" t="str">
        <f t="shared" si="309"/>
        <v>Not in MMS</v>
      </c>
      <c r="AQ421" s="51" t="b">
        <f t="shared" si="288"/>
        <v>0</v>
      </c>
      <c r="AR421" s="51" t="b">
        <f t="shared" si="289"/>
        <v>0</v>
      </c>
      <c r="AS421" s="51" t="str">
        <f t="shared" si="290"/>
        <v/>
      </c>
      <c r="AT421" s="51" t="str">
        <f t="shared" si="291"/>
        <v/>
      </c>
      <c r="AU421" s="51" t="str">
        <f t="shared" si="292"/>
        <v/>
      </c>
      <c r="AV421" s="51" t="str">
        <f t="shared" si="293"/>
        <v/>
      </c>
      <c r="AW421" s="51" t="str">
        <f t="shared" si="294"/>
        <v/>
      </c>
      <c r="AX421" s="51" t="str">
        <f t="shared" si="295"/>
        <v/>
      </c>
      <c r="AY421" s="51" t="str">
        <f t="shared" si="296"/>
        <v/>
      </c>
      <c r="AZ421" s="51" t="str">
        <f t="shared" si="297"/>
        <v/>
      </c>
      <c r="BA421" s="51" t="str">
        <f t="shared" si="298"/>
        <v/>
      </c>
      <c r="BB421" s="51" t="str">
        <f t="shared" si="299"/>
        <v/>
      </c>
      <c r="BC421" s="51" t="str">
        <f t="shared" si="300"/>
        <v/>
      </c>
      <c r="BD421" s="51" t="str">
        <f t="shared" si="301"/>
        <v/>
      </c>
      <c r="BE421" s="51" t="str">
        <f t="shared" si="302"/>
        <v/>
      </c>
      <c r="BF421" s="51" t="str">
        <f t="shared" si="303"/>
        <v/>
      </c>
      <c r="BG421" s="51" t="str">
        <f t="shared" si="304"/>
        <v/>
      </c>
      <c r="BH421" s="51" t="b">
        <f t="shared" si="305"/>
        <v>0</v>
      </c>
      <c r="BI421" s="51" t="str">
        <f t="shared" si="306"/>
        <v/>
      </c>
      <c r="BJ421" s="51" t="str">
        <f t="shared" si="307"/>
        <v/>
      </c>
      <c r="BK421" s="51" t="b">
        <f t="shared" si="308"/>
        <v>0</v>
      </c>
      <c r="BL421" s="192"/>
    </row>
    <row r="422" spans="1:64" ht="13.5" thickBot="1" x14ac:dyDescent="0.25">
      <c r="A422" s="185" t="s">
        <v>1101</v>
      </c>
      <c r="B422" s="194" t="s">
        <v>695</v>
      </c>
      <c r="C422" s="194" t="s">
        <v>695</v>
      </c>
      <c r="D422" s="194" t="s">
        <v>695</v>
      </c>
      <c r="E422" s="193" t="s">
        <v>694</v>
      </c>
      <c r="F422" s="160" t="s">
        <v>20</v>
      </c>
      <c r="G422" s="161"/>
      <c r="H422" s="186" t="str">
        <f t="shared" si="266"/>
        <v>N/A</v>
      </c>
      <c r="I422" s="186" t="b">
        <f t="shared" si="267"/>
        <v>1</v>
      </c>
      <c r="J422" s="186" t="str">
        <f t="shared" si="268"/>
        <v>N/A</v>
      </c>
      <c r="K422" s="186" t="b">
        <f t="shared" si="269"/>
        <v>1</v>
      </c>
      <c r="L422" s="186" t="str">
        <f t="shared" si="270"/>
        <v>N/A</v>
      </c>
      <c r="M422" s="186" t="b">
        <f t="shared" si="271"/>
        <v>1</v>
      </c>
      <c r="N422" s="186" t="str">
        <f t="shared" si="272"/>
        <v>Used?</v>
      </c>
      <c r="O422" s="186" t="b">
        <f t="shared" si="273"/>
        <v>0</v>
      </c>
      <c r="P422" s="26" t="s">
        <v>696</v>
      </c>
      <c r="Q422" s="160" t="s">
        <v>20</v>
      </c>
      <c r="R422" s="160" t="s">
        <v>20</v>
      </c>
      <c r="S422" s="26" t="s">
        <v>697</v>
      </c>
      <c r="T422" s="165" t="str">
        <f t="shared" si="274"/>
        <v>Not Used</v>
      </c>
      <c r="U422" s="162"/>
      <c r="V422" s="55"/>
      <c r="W422" s="51" t="b">
        <f t="shared" si="275"/>
        <v>1</v>
      </c>
      <c r="X422" s="51" t="str">
        <f t="shared" si="276"/>
        <v>Not Used</v>
      </c>
      <c r="Y422" s="51" t="str">
        <f t="shared" si="277"/>
        <v>Not Used</v>
      </c>
      <c r="Z422" s="51" t="str">
        <f t="shared" si="278"/>
        <v>Not Used</v>
      </c>
      <c r="AA422" s="51" t="str">
        <f t="shared" si="278"/>
        <v>Not Used</v>
      </c>
      <c r="AB422" s="51" t="str">
        <f t="shared" si="279"/>
        <v>Not Used</v>
      </c>
      <c r="AC422" s="51" t="b">
        <f t="shared" si="280"/>
        <v>1</v>
      </c>
      <c r="AD422" s="51">
        <f>COUNTIF($X$5:$X$422, "Not Used")</f>
        <v>418</v>
      </c>
      <c r="AE422" s="51">
        <f>COUNTIF($X$5:$X$422, "TRUE")</f>
        <v>0</v>
      </c>
      <c r="AF422" s="51" t="b">
        <f t="shared" si="281"/>
        <v>1</v>
      </c>
      <c r="AI422" s="51" t="b">
        <f t="shared" si="282"/>
        <v>0</v>
      </c>
      <c r="AJ422" s="51" t="b">
        <f t="shared" si="283"/>
        <v>0</v>
      </c>
      <c r="AK422" s="51" t="b">
        <f t="shared" si="284"/>
        <v>0</v>
      </c>
      <c r="AL422" s="51" t="b">
        <f t="shared" si="285"/>
        <v>0</v>
      </c>
      <c r="AM422" s="51" t="b">
        <f t="shared" si="286"/>
        <v>0</v>
      </c>
      <c r="AN422" s="51"/>
      <c r="AO422" s="51" t="b">
        <f t="shared" si="287"/>
        <v>0</v>
      </c>
      <c r="AP422" s="51" t="str">
        <f t="shared" si="309"/>
        <v>Not in MMS</v>
      </c>
      <c r="AQ422" s="51" t="b">
        <f t="shared" si="288"/>
        <v>0</v>
      </c>
      <c r="AR422" s="51" t="b">
        <f t="shared" si="289"/>
        <v>0</v>
      </c>
      <c r="AS422" s="51" t="str">
        <f t="shared" si="290"/>
        <v/>
      </c>
      <c r="AT422" s="51" t="str">
        <f t="shared" si="291"/>
        <v/>
      </c>
      <c r="AU422" s="51" t="str">
        <f t="shared" si="292"/>
        <v/>
      </c>
      <c r="AV422" s="51" t="str">
        <f t="shared" si="293"/>
        <v/>
      </c>
      <c r="AW422" s="51" t="str">
        <f t="shared" si="294"/>
        <v/>
      </c>
      <c r="AX422" s="51" t="str">
        <f t="shared" si="295"/>
        <v/>
      </c>
      <c r="AY422" s="51" t="str">
        <f t="shared" si="296"/>
        <v/>
      </c>
      <c r="AZ422" s="51" t="str">
        <f t="shared" si="297"/>
        <v/>
      </c>
      <c r="BA422" s="51" t="str">
        <f t="shared" si="298"/>
        <v/>
      </c>
      <c r="BB422" s="51" t="str">
        <f t="shared" si="299"/>
        <v/>
      </c>
      <c r="BC422" s="51" t="str">
        <f t="shared" si="300"/>
        <v/>
      </c>
      <c r="BD422" s="51" t="str">
        <f t="shared" si="301"/>
        <v/>
      </c>
      <c r="BE422" s="51" t="str">
        <f t="shared" si="302"/>
        <v/>
      </c>
      <c r="BF422" s="51" t="str">
        <f t="shared" si="303"/>
        <v/>
      </c>
      <c r="BG422" s="51" t="str">
        <f t="shared" si="304"/>
        <v/>
      </c>
      <c r="BH422" s="51" t="b">
        <f t="shared" si="305"/>
        <v>0</v>
      </c>
      <c r="BI422" s="51" t="str">
        <f t="shared" si="306"/>
        <v/>
      </c>
      <c r="BJ422" s="51" t="str">
        <f t="shared" si="307"/>
        <v/>
      </c>
      <c r="BK422" s="51" t="b">
        <f t="shared" si="308"/>
        <v>0</v>
      </c>
      <c r="BL422" s="192"/>
    </row>
    <row r="423" spans="1:64" ht="13.5" thickBot="1" x14ac:dyDescent="0.25">
      <c r="A423" s="185" t="s">
        <v>1102</v>
      </c>
      <c r="B423" s="194" t="s">
        <v>695</v>
      </c>
      <c r="C423" s="194" t="s">
        <v>695</v>
      </c>
      <c r="D423" s="194" t="s">
        <v>695</v>
      </c>
      <c r="E423" s="193" t="s">
        <v>694</v>
      </c>
      <c r="F423" s="160" t="s">
        <v>20</v>
      </c>
      <c r="G423" s="161"/>
      <c r="H423" s="186" t="str">
        <f t="shared" si="266"/>
        <v>N/A</v>
      </c>
      <c r="I423" s="186" t="b">
        <f t="shared" si="267"/>
        <v>1</v>
      </c>
      <c r="J423" s="186" t="str">
        <f t="shared" si="268"/>
        <v>N/A</v>
      </c>
      <c r="K423" s="186" t="b">
        <f t="shared" si="269"/>
        <v>1</v>
      </c>
      <c r="L423" s="186" t="str">
        <f t="shared" si="270"/>
        <v>N/A</v>
      </c>
      <c r="M423" s="186" t="b">
        <f t="shared" si="271"/>
        <v>1</v>
      </c>
      <c r="N423" s="186" t="str">
        <f t="shared" si="272"/>
        <v>Used?</v>
      </c>
      <c r="O423" s="186" t="b">
        <f t="shared" si="273"/>
        <v>0</v>
      </c>
      <c r="P423" s="26" t="s">
        <v>696</v>
      </c>
      <c r="Q423" s="160" t="s">
        <v>20</v>
      </c>
      <c r="R423" s="160" t="s">
        <v>20</v>
      </c>
      <c r="S423" s="26" t="s">
        <v>697</v>
      </c>
      <c r="T423" s="165" t="str">
        <f t="shared" si="274"/>
        <v>Not Used</v>
      </c>
      <c r="U423" s="162"/>
      <c r="V423" s="55"/>
      <c r="W423" s="51" t="b">
        <f t="shared" si="275"/>
        <v>1</v>
      </c>
      <c r="X423" s="51" t="str">
        <f t="shared" si="276"/>
        <v>Not Used</v>
      </c>
      <c r="Y423" s="51" t="str">
        <f t="shared" si="277"/>
        <v>Not Used</v>
      </c>
      <c r="Z423" s="51" t="str">
        <f t="shared" si="278"/>
        <v>Not Used</v>
      </c>
      <c r="AA423" s="51" t="str">
        <f t="shared" si="278"/>
        <v>Not Used</v>
      </c>
      <c r="AB423" s="51" t="str">
        <f t="shared" si="279"/>
        <v>Not Used</v>
      </c>
      <c r="AC423" s="51" t="b">
        <f t="shared" si="280"/>
        <v>1</v>
      </c>
      <c r="AD423" s="51">
        <f>COUNTIF($X$5:$X$423, "Not Used")</f>
        <v>419</v>
      </c>
      <c r="AE423" s="51">
        <f>COUNTIF($X$5:$X$423, "TRUE")</f>
        <v>0</v>
      </c>
      <c r="AF423" s="51" t="b">
        <f t="shared" si="281"/>
        <v>1</v>
      </c>
      <c r="AI423" s="51" t="b">
        <f t="shared" si="282"/>
        <v>0</v>
      </c>
      <c r="AJ423" s="51" t="b">
        <f t="shared" si="283"/>
        <v>0</v>
      </c>
      <c r="AK423" s="51" t="b">
        <f t="shared" si="284"/>
        <v>0</v>
      </c>
      <c r="AL423" s="51" t="b">
        <f t="shared" si="285"/>
        <v>0</v>
      </c>
      <c r="AM423" s="51" t="b">
        <f t="shared" si="286"/>
        <v>0</v>
      </c>
      <c r="AN423" s="51"/>
      <c r="AO423" s="51" t="b">
        <f t="shared" si="287"/>
        <v>0</v>
      </c>
      <c r="AP423" s="51" t="str">
        <f t="shared" si="309"/>
        <v>Not in MMS</v>
      </c>
      <c r="AQ423" s="51" t="b">
        <f t="shared" si="288"/>
        <v>0</v>
      </c>
      <c r="AR423" s="51" t="b">
        <f t="shared" si="289"/>
        <v>0</v>
      </c>
      <c r="AS423" s="51" t="str">
        <f t="shared" si="290"/>
        <v/>
      </c>
      <c r="AT423" s="51" t="str">
        <f t="shared" si="291"/>
        <v/>
      </c>
      <c r="AU423" s="51" t="str">
        <f t="shared" si="292"/>
        <v/>
      </c>
      <c r="AV423" s="51" t="str">
        <f t="shared" si="293"/>
        <v/>
      </c>
      <c r="AW423" s="51" t="str">
        <f t="shared" si="294"/>
        <v/>
      </c>
      <c r="AX423" s="51" t="str">
        <f t="shared" si="295"/>
        <v/>
      </c>
      <c r="AY423" s="51" t="str">
        <f t="shared" si="296"/>
        <v/>
      </c>
      <c r="AZ423" s="51" t="str">
        <f t="shared" si="297"/>
        <v/>
      </c>
      <c r="BA423" s="51" t="str">
        <f t="shared" si="298"/>
        <v/>
      </c>
      <c r="BB423" s="51" t="str">
        <f t="shared" si="299"/>
        <v/>
      </c>
      <c r="BC423" s="51" t="str">
        <f t="shared" si="300"/>
        <v/>
      </c>
      <c r="BD423" s="51" t="str">
        <f t="shared" si="301"/>
        <v/>
      </c>
      <c r="BE423" s="51" t="str">
        <f t="shared" si="302"/>
        <v/>
      </c>
      <c r="BF423" s="51" t="str">
        <f t="shared" si="303"/>
        <v/>
      </c>
      <c r="BG423" s="51" t="str">
        <f t="shared" si="304"/>
        <v/>
      </c>
      <c r="BH423" s="51" t="b">
        <f t="shared" si="305"/>
        <v>0</v>
      </c>
      <c r="BI423" s="51" t="str">
        <f t="shared" si="306"/>
        <v/>
      </c>
      <c r="BJ423" s="51" t="str">
        <f t="shared" si="307"/>
        <v/>
      </c>
      <c r="BK423" s="51" t="b">
        <f t="shared" si="308"/>
        <v>0</v>
      </c>
      <c r="BL423" s="192"/>
    </row>
    <row r="424" spans="1:64" ht="13.5" thickBot="1" x14ac:dyDescent="0.25">
      <c r="A424" s="185" t="s">
        <v>1103</v>
      </c>
      <c r="B424" s="194" t="s">
        <v>695</v>
      </c>
      <c r="C424" s="194" t="s">
        <v>695</v>
      </c>
      <c r="D424" s="194" t="s">
        <v>695</v>
      </c>
      <c r="E424" s="193" t="s">
        <v>694</v>
      </c>
      <c r="F424" s="160" t="s">
        <v>20</v>
      </c>
      <c r="G424" s="161"/>
      <c r="H424" s="186" t="str">
        <f t="shared" si="266"/>
        <v>N/A</v>
      </c>
      <c r="I424" s="186" t="b">
        <f t="shared" si="267"/>
        <v>1</v>
      </c>
      <c r="J424" s="186" t="str">
        <f t="shared" si="268"/>
        <v>N/A</v>
      </c>
      <c r="K424" s="186" t="b">
        <f t="shared" si="269"/>
        <v>1</v>
      </c>
      <c r="L424" s="186" t="str">
        <f t="shared" si="270"/>
        <v>N/A</v>
      </c>
      <c r="M424" s="186" t="b">
        <f t="shared" si="271"/>
        <v>1</v>
      </c>
      <c r="N424" s="186" t="str">
        <f t="shared" si="272"/>
        <v>Used?</v>
      </c>
      <c r="O424" s="186" t="b">
        <f t="shared" si="273"/>
        <v>0</v>
      </c>
      <c r="P424" s="26" t="s">
        <v>696</v>
      </c>
      <c r="Q424" s="160" t="s">
        <v>20</v>
      </c>
      <c r="R424" s="160" t="s">
        <v>20</v>
      </c>
      <c r="S424" s="26" t="s">
        <v>697</v>
      </c>
      <c r="T424" s="165" t="str">
        <f t="shared" si="274"/>
        <v>Not Used</v>
      </c>
      <c r="U424" s="162"/>
      <c r="V424" s="55"/>
      <c r="W424" s="51" t="b">
        <f t="shared" si="275"/>
        <v>1</v>
      </c>
      <c r="X424" s="51" t="str">
        <f t="shared" si="276"/>
        <v>Not Used</v>
      </c>
      <c r="Y424" s="51" t="str">
        <f t="shared" si="277"/>
        <v>Not Used</v>
      </c>
      <c r="Z424" s="51" t="str">
        <f t="shared" si="278"/>
        <v>Not Used</v>
      </c>
      <c r="AA424" s="51" t="str">
        <f t="shared" si="278"/>
        <v>Not Used</v>
      </c>
      <c r="AB424" s="51" t="str">
        <f t="shared" si="279"/>
        <v>Not Used</v>
      </c>
      <c r="AC424" s="51" t="b">
        <f t="shared" si="280"/>
        <v>1</v>
      </c>
      <c r="AD424" s="51">
        <f>COUNTIF($X$5:$X$424, "Not Used")</f>
        <v>420</v>
      </c>
      <c r="AE424" s="51">
        <f>COUNTIF($X$5:$X$424, "TRUE")</f>
        <v>0</v>
      </c>
      <c r="AF424" s="51" t="b">
        <f t="shared" si="281"/>
        <v>1</v>
      </c>
      <c r="AI424" s="51" t="b">
        <f t="shared" si="282"/>
        <v>0</v>
      </c>
      <c r="AJ424" s="51" t="b">
        <f t="shared" si="283"/>
        <v>0</v>
      </c>
      <c r="AK424" s="51" t="b">
        <f t="shared" si="284"/>
        <v>0</v>
      </c>
      <c r="AL424" s="51" t="b">
        <f t="shared" si="285"/>
        <v>0</v>
      </c>
      <c r="AM424" s="51" t="b">
        <f t="shared" si="286"/>
        <v>0</v>
      </c>
      <c r="AN424" s="51"/>
      <c r="AO424" s="51" t="b">
        <f t="shared" si="287"/>
        <v>0</v>
      </c>
      <c r="AP424" s="51" t="str">
        <f t="shared" si="309"/>
        <v>Not in MMS</v>
      </c>
      <c r="AQ424" s="51" t="b">
        <f t="shared" si="288"/>
        <v>0</v>
      </c>
      <c r="AR424" s="51" t="b">
        <f t="shared" si="289"/>
        <v>0</v>
      </c>
      <c r="AS424" s="51" t="str">
        <f t="shared" si="290"/>
        <v/>
      </c>
      <c r="AT424" s="51" t="str">
        <f t="shared" si="291"/>
        <v/>
      </c>
      <c r="AU424" s="51" t="str">
        <f t="shared" si="292"/>
        <v/>
      </c>
      <c r="AV424" s="51" t="str">
        <f t="shared" si="293"/>
        <v/>
      </c>
      <c r="AW424" s="51" t="str">
        <f t="shared" si="294"/>
        <v/>
      </c>
      <c r="AX424" s="51" t="str">
        <f t="shared" si="295"/>
        <v/>
      </c>
      <c r="AY424" s="51" t="str">
        <f t="shared" si="296"/>
        <v/>
      </c>
      <c r="AZ424" s="51" t="str">
        <f t="shared" si="297"/>
        <v/>
      </c>
      <c r="BA424" s="51" t="str">
        <f t="shared" si="298"/>
        <v/>
      </c>
      <c r="BB424" s="51" t="str">
        <f t="shared" si="299"/>
        <v/>
      </c>
      <c r="BC424" s="51" t="str">
        <f t="shared" si="300"/>
        <v/>
      </c>
      <c r="BD424" s="51" t="str">
        <f t="shared" si="301"/>
        <v/>
      </c>
      <c r="BE424" s="51" t="str">
        <f t="shared" si="302"/>
        <v/>
      </c>
      <c r="BF424" s="51" t="str">
        <f t="shared" si="303"/>
        <v/>
      </c>
      <c r="BG424" s="51" t="str">
        <f t="shared" si="304"/>
        <v/>
      </c>
      <c r="BH424" s="51" t="b">
        <f t="shared" si="305"/>
        <v>0</v>
      </c>
      <c r="BI424" s="51" t="str">
        <f t="shared" si="306"/>
        <v/>
      </c>
      <c r="BJ424" s="51" t="str">
        <f t="shared" si="307"/>
        <v/>
      </c>
      <c r="BK424" s="51" t="b">
        <f t="shared" si="308"/>
        <v>0</v>
      </c>
      <c r="BL424" s="192"/>
    </row>
    <row r="425" spans="1:64" ht="13.5" thickBot="1" x14ac:dyDescent="0.25">
      <c r="A425" s="185" t="s">
        <v>1104</v>
      </c>
      <c r="B425" s="194" t="s">
        <v>695</v>
      </c>
      <c r="C425" s="194" t="s">
        <v>695</v>
      </c>
      <c r="D425" s="194" t="s">
        <v>695</v>
      </c>
      <c r="E425" s="193" t="s">
        <v>694</v>
      </c>
      <c r="F425" s="160" t="s">
        <v>20</v>
      </c>
      <c r="G425" s="161"/>
      <c r="H425" s="186" t="str">
        <f t="shared" si="266"/>
        <v>N/A</v>
      </c>
      <c r="I425" s="186" t="b">
        <f t="shared" si="267"/>
        <v>1</v>
      </c>
      <c r="J425" s="186" t="str">
        <f t="shared" si="268"/>
        <v>N/A</v>
      </c>
      <c r="K425" s="186" t="b">
        <f t="shared" si="269"/>
        <v>1</v>
      </c>
      <c r="L425" s="186" t="str">
        <f t="shared" si="270"/>
        <v>N/A</v>
      </c>
      <c r="M425" s="186" t="b">
        <f t="shared" si="271"/>
        <v>1</v>
      </c>
      <c r="N425" s="186" t="str">
        <f t="shared" si="272"/>
        <v>Used?</v>
      </c>
      <c r="O425" s="186" t="b">
        <f t="shared" si="273"/>
        <v>0</v>
      </c>
      <c r="P425" s="26" t="s">
        <v>696</v>
      </c>
      <c r="Q425" s="160" t="s">
        <v>20</v>
      </c>
      <c r="R425" s="160" t="s">
        <v>20</v>
      </c>
      <c r="S425" s="26" t="s">
        <v>697</v>
      </c>
      <c r="T425" s="165" t="str">
        <f t="shared" si="274"/>
        <v>Not Used</v>
      </c>
      <c r="U425" s="162"/>
      <c r="V425" s="55"/>
      <c r="W425" s="51" t="b">
        <f t="shared" si="275"/>
        <v>1</v>
      </c>
      <c r="X425" s="51" t="str">
        <f t="shared" si="276"/>
        <v>Not Used</v>
      </c>
      <c r="Y425" s="51" t="str">
        <f t="shared" si="277"/>
        <v>Not Used</v>
      </c>
      <c r="Z425" s="51" t="str">
        <f t="shared" si="278"/>
        <v>Not Used</v>
      </c>
      <c r="AA425" s="51" t="str">
        <f t="shared" si="278"/>
        <v>Not Used</v>
      </c>
      <c r="AB425" s="51" t="str">
        <f t="shared" si="279"/>
        <v>Not Used</v>
      </c>
      <c r="AC425" s="51" t="b">
        <f t="shared" si="280"/>
        <v>1</v>
      </c>
      <c r="AD425" s="51">
        <f>COUNTIF($X$5:$X$425, "Not Used")</f>
        <v>421</v>
      </c>
      <c r="AE425" s="51">
        <f>COUNTIF($X$5:$X$425, "TRUE")</f>
        <v>0</v>
      </c>
      <c r="AF425" s="51" t="b">
        <f t="shared" si="281"/>
        <v>1</v>
      </c>
      <c r="AI425" s="51" t="b">
        <f t="shared" si="282"/>
        <v>0</v>
      </c>
      <c r="AJ425" s="51" t="b">
        <f t="shared" si="283"/>
        <v>0</v>
      </c>
      <c r="AK425" s="51" t="b">
        <f t="shared" si="284"/>
        <v>0</v>
      </c>
      <c r="AL425" s="51" t="b">
        <f t="shared" si="285"/>
        <v>0</v>
      </c>
      <c r="AM425" s="51" t="b">
        <f t="shared" si="286"/>
        <v>0</v>
      </c>
      <c r="AN425" s="51"/>
      <c r="AO425" s="51" t="b">
        <f t="shared" si="287"/>
        <v>0</v>
      </c>
      <c r="AP425" s="51" t="str">
        <f t="shared" si="309"/>
        <v>Not in MMS</v>
      </c>
      <c r="AQ425" s="51" t="b">
        <f t="shared" si="288"/>
        <v>0</v>
      </c>
      <c r="AR425" s="51" t="b">
        <f t="shared" si="289"/>
        <v>0</v>
      </c>
      <c r="AS425" s="51" t="str">
        <f t="shared" si="290"/>
        <v/>
      </c>
      <c r="AT425" s="51" t="str">
        <f t="shared" si="291"/>
        <v/>
      </c>
      <c r="AU425" s="51" t="str">
        <f t="shared" si="292"/>
        <v/>
      </c>
      <c r="AV425" s="51" t="str">
        <f t="shared" si="293"/>
        <v/>
      </c>
      <c r="AW425" s="51" t="str">
        <f t="shared" si="294"/>
        <v/>
      </c>
      <c r="AX425" s="51" t="str">
        <f t="shared" si="295"/>
        <v/>
      </c>
      <c r="AY425" s="51" t="str">
        <f t="shared" si="296"/>
        <v/>
      </c>
      <c r="AZ425" s="51" t="str">
        <f t="shared" si="297"/>
        <v/>
      </c>
      <c r="BA425" s="51" t="str">
        <f t="shared" si="298"/>
        <v/>
      </c>
      <c r="BB425" s="51" t="str">
        <f t="shared" si="299"/>
        <v/>
      </c>
      <c r="BC425" s="51" t="str">
        <f t="shared" si="300"/>
        <v/>
      </c>
      <c r="BD425" s="51" t="str">
        <f t="shared" si="301"/>
        <v/>
      </c>
      <c r="BE425" s="51" t="str">
        <f t="shared" si="302"/>
        <v/>
      </c>
      <c r="BF425" s="51" t="str">
        <f t="shared" si="303"/>
        <v/>
      </c>
      <c r="BG425" s="51" t="str">
        <f t="shared" si="304"/>
        <v/>
      </c>
      <c r="BH425" s="51" t="b">
        <f t="shared" si="305"/>
        <v>0</v>
      </c>
      <c r="BI425" s="51" t="str">
        <f t="shared" si="306"/>
        <v/>
      </c>
      <c r="BJ425" s="51" t="str">
        <f t="shared" si="307"/>
        <v/>
      </c>
      <c r="BK425" s="51" t="b">
        <f t="shared" si="308"/>
        <v>0</v>
      </c>
      <c r="BL425" s="192"/>
    </row>
    <row r="426" spans="1:64" ht="13.5" thickBot="1" x14ac:dyDescent="0.25">
      <c r="A426" s="185" t="s">
        <v>1105</v>
      </c>
      <c r="B426" s="194" t="s">
        <v>695</v>
      </c>
      <c r="C426" s="194" t="s">
        <v>695</v>
      </c>
      <c r="D426" s="194" t="s">
        <v>695</v>
      </c>
      <c r="E426" s="193" t="s">
        <v>694</v>
      </c>
      <c r="F426" s="160" t="s">
        <v>20</v>
      </c>
      <c r="G426" s="161"/>
      <c r="H426" s="186" t="str">
        <f t="shared" si="266"/>
        <v>N/A</v>
      </c>
      <c r="I426" s="186" t="b">
        <f t="shared" si="267"/>
        <v>1</v>
      </c>
      <c r="J426" s="186" t="str">
        <f t="shared" si="268"/>
        <v>N/A</v>
      </c>
      <c r="K426" s="186" t="b">
        <f t="shared" si="269"/>
        <v>1</v>
      </c>
      <c r="L426" s="186" t="str">
        <f t="shared" si="270"/>
        <v>N/A</v>
      </c>
      <c r="M426" s="186" t="b">
        <f t="shared" si="271"/>
        <v>1</v>
      </c>
      <c r="N426" s="186" t="str">
        <f t="shared" si="272"/>
        <v>Used?</v>
      </c>
      <c r="O426" s="186" t="b">
        <f t="shared" si="273"/>
        <v>0</v>
      </c>
      <c r="P426" s="26" t="s">
        <v>696</v>
      </c>
      <c r="Q426" s="160" t="s">
        <v>20</v>
      </c>
      <c r="R426" s="160" t="s">
        <v>20</v>
      </c>
      <c r="S426" s="26" t="s">
        <v>697</v>
      </c>
      <c r="T426" s="165" t="str">
        <f t="shared" si="274"/>
        <v>Not Used</v>
      </c>
      <c r="U426" s="162"/>
      <c r="V426" s="55"/>
      <c r="W426" s="51" t="b">
        <f t="shared" si="275"/>
        <v>1</v>
      </c>
      <c r="X426" s="51" t="str">
        <f t="shared" si="276"/>
        <v>Not Used</v>
      </c>
      <c r="Y426" s="51" t="str">
        <f t="shared" si="277"/>
        <v>Not Used</v>
      </c>
      <c r="Z426" s="51" t="str">
        <f t="shared" si="278"/>
        <v>Not Used</v>
      </c>
      <c r="AA426" s="51" t="str">
        <f t="shared" si="278"/>
        <v>Not Used</v>
      </c>
      <c r="AB426" s="51" t="str">
        <f t="shared" si="279"/>
        <v>Not Used</v>
      </c>
      <c r="AC426" s="51" t="b">
        <f t="shared" si="280"/>
        <v>1</v>
      </c>
      <c r="AD426" s="51">
        <f>COUNTIF($X$5:$X$426, "Not Used")</f>
        <v>422</v>
      </c>
      <c r="AE426" s="51">
        <f>COUNTIF($X$5:$X$426, "TRUE")</f>
        <v>0</v>
      </c>
      <c r="AF426" s="51" t="b">
        <f t="shared" si="281"/>
        <v>1</v>
      </c>
      <c r="AI426" s="51" t="b">
        <f t="shared" si="282"/>
        <v>0</v>
      </c>
      <c r="AJ426" s="51" t="b">
        <f t="shared" si="283"/>
        <v>0</v>
      </c>
      <c r="AK426" s="51" t="b">
        <f t="shared" si="284"/>
        <v>0</v>
      </c>
      <c r="AL426" s="51" t="b">
        <f t="shared" si="285"/>
        <v>0</v>
      </c>
      <c r="AM426" s="51" t="b">
        <f t="shared" si="286"/>
        <v>0</v>
      </c>
      <c r="AN426" s="51"/>
      <c r="AO426" s="51" t="b">
        <f t="shared" si="287"/>
        <v>0</v>
      </c>
      <c r="AP426" s="51" t="str">
        <f t="shared" si="309"/>
        <v>Not in MMS</v>
      </c>
      <c r="AQ426" s="51" t="b">
        <f t="shared" si="288"/>
        <v>0</v>
      </c>
      <c r="AR426" s="51" t="b">
        <f t="shared" si="289"/>
        <v>0</v>
      </c>
      <c r="AS426" s="51" t="str">
        <f t="shared" si="290"/>
        <v/>
      </c>
      <c r="AT426" s="51" t="str">
        <f t="shared" si="291"/>
        <v/>
      </c>
      <c r="AU426" s="51" t="str">
        <f t="shared" si="292"/>
        <v/>
      </c>
      <c r="AV426" s="51" t="str">
        <f t="shared" si="293"/>
        <v/>
      </c>
      <c r="AW426" s="51" t="str">
        <f t="shared" si="294"/>
        <v/>
      </c>
      <c r="AX426" s="51" t="str">
        <f t="shared" si="295"/>
        <v/>
      </c>
      <c r="AY426" s="51" t="str">
        <f t="shared" si="296"/>
        <v/>
      </c>
      <c r="AZ426" s="51" t="str">
        <f t="shared" si="297"/>
        <v/>
      </c>
      <c r="BA426" s="51" t="str">
        <f t="shared" si="298"/>
        <v/>
      </c>
      <c r="BB426" s="51" t="str">
        <f t="shared" si="299"/>
        <v/>
      </c>
      <c r="BC426" s="51" t="str">
        <f t="shared" si="300"/>
        <v/>
      </c>
      <c r="BD426" s="51" t="str">
        <f t="shared" si="301"/>
        <v/>
      </c>
      <c r="BE426" s="51" t="str">
        <f t="shared" si="302"/>
        <v/>
      </c>
      <c r="BF426" s="51" t="str">
        <f t="shared" si="303"/>
        <v/>
      </c>
      <c r="BG426" s="51" t="str">
        <f t="shared" si="304"/>
        <v/>
      </c>
      <c r="BH426" s="51" t="b">
        <f t="shared" si="305"/>
        <v>0</v>
      </c>
      <c r="BI426" s="51" t="str">
        <f t="shared" si="306"/>
        <v/>
      </c>
      <c r="BJ426" s="51" t="str">
        <f t="shared" si="307"/>
        <v/>
      </c>
      <c r="BK426" s="51" t="b">
        <f t="shared" si="308"/>
        <v>0</v>
      </c>
      <c r="BL426" s="192"/>
    </row>
    <row r="427" spans="1:64" ht="13.5" thickBot="1" x14ac:dyDescent="0.25">
      <c r="A427" s="185" t="s">
        <v>1904</v>
      </c>
      <c r="B427" s="194" t="s">
        <v>695</v>
      </c>
      <c r="C427" s="194" t="s">
        <v>695</v>
      </c>
      <c r="D427" s="194" t="s">
        <v>695</v>
      </c>
      <c r="E427" s="193" t="s">
        <v>694</v>
      </c>
      <c r="F427" s="160" t="s">
        <v>20</v>
      </c>
      <c r="G427" s="161"/>
      <c r="H427" s="186" t="str">
        <f t="shared" si="266"/>
        <v>N/A</v>
      </c>
      <c r="I427" s="186" t="b">
        <f t="shared" si="267"/>
        <v>1</v>
      </c>
      <c r="J427" s="186" t="str">
        <f t="shared" si="268"/>
        <v>N/A</v>
      </c>
      <c r="K427" s="186" t="b">
        <f t="shared" si="269"/>
        <v>1</v>
      </c>
      <c r="L427" s="186" t="str">
        <f t="shared" si="270"/>
        <v>N/A</v>
      </c>
      <c r="M427" s="186" t="b">
        <f t="shared" si="271"/>
        <v>1</v>
      </c>
      <c r="N427" s="186" t="str">
        <f t="shared" si="272"/>
        <v>Used?</v>
      </c>
      <c r="O427" s="186" t="b">
        <f t="shared" si="273"/>
        <v>0</v>
      </c>
      <c r="P427" s="26" t="s">
        <v>696</v>
      </c>
      <c r="Q427" s="160" t="s">
        <v>20</v>
      </c>
      <c r="R427" s="160" t="s">
        <v>20</v>
      </c>
      <c r="S427" s="26" t="s">
        <v>697</v>
      </c>
      <c r="T427" s="165" t="str">
        <f t="shared" si="274"/>
        <v>Not Used</v>
      </c>
      <c r="U427" s="162"/>
      <c r="V427" s="55"/>
      <c r="W427" s="51" t="b">
        <f t="shared" si="275"/>
        <v>1</v>
      </c>
      <c r="X427" s="51" t="str">
        <f t="shared" si="276"/>
        <v>Not Used</v>
      </c>
      <c r="Y427" s="51" t="str">
        <f t="shared" si="277"/>
        <v>Not Used</v>
      </c>
      <c r="Z427" s="51" t="str">
        <f t="shared" si="278"/>
        <v>Not Used</v>
      </c>
      <c r="AA427" s="51" t="str">
        <f t="shared" si="278"/>
        <v>Not Used</v>
      </c>
      <c r="AB427" s="51" t="str">
        <f t="shared" si="279"/>
        <v>Not Used</v>
      </c>
      <c r="AC427" s="51" t="b">
        <f t="shared" si="280"/>
        <v>1</v>
      </c>
      <c r="AD427" s="51">
        <f>COUNTIF($X$5:$X$428, "Not Used")</f>
        <v>424</v>
      </c>
      <c r="AE427" s="51">
        <f>COUNTIF($X$5:$X$428, "TRUE")</f>
        <v>0</v>
      </c>
      <c r="AF427" s="51" t="b">
        <f t="shared" si="281"/>
        <v>1</v>
      </c>
      <c r="AI427" s="51" t="b">
        <f t="shared" si="282"/>
        <v>0</v>
      </c>
      <c r="AJ427" s="51" t="b">
        <f t="shared" si="283"/>
        <v>0</v>
      </c>
      <c r="AK427" s="51" t="b">
        <f t="shared" si="284"/>
        <v>0</v>
      </c>
      <c r="AL427" s="51" t="b">
        <f t="shared" si="285"/>
        <v>0</v>
      </c>
      <c r="AM427" s="51" t="b">
        <f t="shared" si="286"/>
        <v>0</v>
      </c>
      <c r="AN427" s="51"/>
      <c r="AO427" s="51" t="b">
        <f t="shared" si="287"/>
        <v>0</v>
      </c>
      <c r="AP427" s="51" t="str">
        <f t="shared" si="309"/>
        <v>Not in MMS</v>
      </c>
      <c r="AQ427" s="51" t="b">
        <f t="shared" si="288"/>
        <v>0</v>
      </c>
      <c r="AR427" s="51" t="b">
        <f t="shared" si="289"/>
        <v>0</v>
      </c>
      <c r="AS427" s="51" t="str">
        <f t="shared" si="290"/>
        <v/>
      </c>
      <c r="AT427" s="51" t="str">
        <f t="shared" si="291"/>
        <v/>
      </c>
      <c r="AU427" s="51" t="str">
        <f t="shared" si="292"/>
        <v/>
      </c>
      <c r="AV427" s="51" t="str">
        <f t="shared" si="293"/>
        <v/>
      </c>
      <c r="AW427" s="51" t="str">
        <f t="shared" si="294"/>
        <v/>
      </c>
      <c r="AX427" s="51" t="str">
        <f t="shared" si="295"/>
        <v/>
      </c>
      <c r="AY427" s="51" t="str">
        <f t="shared" si="296"/>
        <v/>
      </c>
      <c r="AZ427" s="51" t="str">
        <f t="shared" si="297"/>
        <v/>
      </c>
      <c r="BA427" s="51" t="str">
        <f t="shared" si="298"/>
        <v/>
      </c>
      <c r="BB427" s="51" t="str">
        <f t="shared" si="299"/>
        <v/>
      </c>
      <c r="BC427" s="51" t="str">
        <f t="shared" si="300"/>
        <v/>
      </c>
      <c r="BD427" s="51" t="str">
        <f t="shared" si="301"/>
        <v/>
      </c>
      <c r="BE427" s="51" t="str">
        <f t="shared" si="302"/>
        <v/>
      </c>
      <c r="BF427" s="51" t="str">
        <f t="shared" si="303"/>
        <v/>
      </c>
      <c r="BG427" s="51" t="str">
        <f t="shared" si="304"/>
        <v/>
      </c>
      <c r="BH427" s="51" t="b">
        <f t="shared" si="305"/>
        <v>0</v>
      </c>
      <c r="BI427" s="51" t="str">
        <f t="shared" si="306"/>
        <v/>
      </c>
      <c r="BJ427" s="51" t="str">
        <f t="shared" si="307"/>
        <v/>
      </c>
      <c r="BK427" s="51" t="b">
        <f t="shared" si="308"/>
        <v>0</v>
      </c>
      <c r="BL427" s="192"/>
    </row>
    <row r="428" spans="1:64" ht="13.5" thickBot="1" x14ac:dyDescent="0.25">
      <c r="A428" s="185" t="s">
        <v>1106</v>
      </c>
      <c r="B428" s="194" t="s">
        <v>695</v>
      </c>
      <c r="C428" s="194" t="s">
        <v>695</v>
      </c>
      <c r="D428" s="194" t="s">
        <v>695</v>
      </c>
      <c r="E428" s="193" t="s">
        <v>694</v>
      </c>
      <c r="F428" s="160" t="s">
        <v>20</v>
      </c>
      <c r="G428" s="161"/>
      <c r="H428" s="186" t="str">
        <f t="shared" si="266"/>
        <v>N/A</v>
      </c>
      <c r="I428" s="186" t="b">
        <f t="shared" si="267"/>
        <v>1</v>
      </c>
      <c r="J428" s="186" t="str">
        <f t="shared" si="268"/>
        <v>N/A</v>
      </c>
      <c r="K428" s="186" t="b">
        <f t="shared" si="269"/>
        <v>1</v>
      </c>
      <c r="L428" s="186" t="str">
        <f t="shared" si="270"/>
        <v>N/A</v>
      </c>
      <c r="M428" s="186" t="b">
        <f t="shared" si="271"/>
        <v>1</v>
      </c>
      <c r="N428" s="186" t="str">
        <f t="shared" si="272"/>
        <v>Used?</v>
      </c>
      <c r="O428" s="186" t="b">
        <f t="shared" si="273"/>
        <v>0</v>
      </c>
      <c r="P428" s="26" t="s">
        <v>696</v>
      </c>
      <c r="Q428" s="160" t="s">
        <v>20</v>
      </c>
      <c r="R428" s="160" t="s">
        <v>20</v>
      </c>
      <c r="S428" s="26" t="s">
        <v>697</v>
      </c>
      <c r="T428" s="165" t="str">
        <f t="shared" si="274"/>
        <v>Not Used</v>
      </c>
      <c r="U428" s="162"/>
      <c r="V428" s="55"/>
      <c r="W428" s="51" t="b">
        <f t="shared" si="275"/>
        <v>1</v>
      </c>
      <c r="X428" s="51" t="str">
        <f t="shared" si="276"/>
        <v>Not Used</v>
      </c>
      <c r="Y428" s="51" t="str">
        <f t="shared" si="277"/>
        <v>Not Used</v>
      </c>
      <c r="Z428" s="51" t="str">
        <f t="shared" si="278"/>
        <v>Not Used</v>
      </c>
      <c r="AA428" s="51" t="str">
        <f t="shared" si="278"/>
        <v>Not Used</v>
      </c>
      <c r="AB428" s="51" t="str">
        <f t="shared" si="279"/>
        <v>Not Used</v>
      </c>
      <c r="AC428" s="51" t="b">
        <f t="shared" si="280"/>
        <v>1</v>
      </c>
      <c r="AD428" s="51">
        <f>COUNTIF($X$5:$X$428, "Not Used")</f>
        <v>424</v>
      </c>
      <c r="AE428" s="51">
        <f>COUNTIF($X$5:$X$428, "TRUE")</f>
        <v>0</v>
      </c>
      <c r="AF428" s="51" t="b">
        <f t="shared" si="281"/>
        <v>1</v>
      </c>
      <c r="AI428" s="51" t="b">
        <f t="shared" si="282"/>
        <v>0</v>
      </c>
      <c r="AJ428" s="51" t="b">
        <f t="shared" si="283"/>
        <v>0</v>
      </c>
      <c r="AK428" s="51" t="b">
        <f t="shared" si="284"/>
        <v>0</v>
      </c>
      <c r="AL428" s="51" t="b">
        <f t="shared" si="285"/>
        <v>0</v>
      </c>
      <c r="AM428" s="51" t="b">
        <f t="shared" si="286"/>
        <v>0</v>
      </c>
      <c r="AN428" s="51"/>
      <c r="AO428" s="51" t="b">
        <f t="shared" si="287"/>
        <v>0</v>
      </c>
      <c r="AP428" s="51" t="str">
        <f t="shared" si="309"/>
        <v>Not in MMS</v>
      </c>
      <c r="AQ428" s="51" t="b">
        <f t="shared" si="288"/>
        <v>0</v>
      </c>
      <c r="AR428" s="51" t="b">
        <f t="shared" si="289"/>
        <v>0</v>
      </c>
      <c r="AS428" s="51" t="str">
        <f t="shared" si="290"/>
        <v/>
      </c>
      <c r="AT428" s="51" t="str">
        <f t="shared" si="291"/>
        <v/>
      </c>
      <c r="AU428" s="51" t="str">
        <f t="shared" si="292"/>
        <v/>
      </c>
      <c r="AV428" s="51" t="str">
        <f t="shared" si="293"/>
        <v/>
      </c>
      <c r="AW428" s="51" t="str">
        <f t="shared" si="294"/>
        <v/>
      </c>
      <c r="AX428" s="51" t="str">
        <f t="shared" si="295"/>
        <v/>
      </c>
      <c r="AY428" s="51" t="str">
        <f t="shared" si="296"/>
        <v/>
      </c>
      <c r="AZ428" s="51" t="str">
        <f t="shared" si="297"/>
        <v/>
      </c>
      <c r="BA428" s="51" t="str">
        <f t="shared" si="298"/>
        <v/>
      </c>
      <c r="BB428" s="51" t="str">
        <f t="shared" si="299"/>
        <v/>
      </c>
      <c r="BC428" s="51" t="str">
        <f t="shared" si="300"/>
        <v/>
      </c>
      <c r="BD428" s="51" t="str">
        <f t="shared" si="301"/>
        <v/>
      </c>
      <c r="BE428" s="51" t="str">
        <f t="shared" si="302"/>
        <v/>
      </c>
      <c r="BF428" s="51" t="str">
        <f t="shared" si="303"/>
        <v/>
      </c>
      <c r="BG428" s="51" t="str">
        <f t="shared" si="304"/>
        <v/>
      </c>
      <c r="BH428" s="51" t="b">
        <f t="shared" si="305"/>
        <v>0</v>
      </c>
      <c r="BI428" s="51" t="str">
        <f t="shared" si="306"/>
        <v/>
      </c>
      <c r="BJ428" s="51" t="str">
        <f t="shared" si="307"/>
        <v/>
      </c>
      <c r="BK428" s="51" t="b">
        <f t="shared" si="308"/>
        <v>0</v>
      </c>
      <c r="BL428" s="192"/>
    </row>
    <row r="429" spans="1:64" ht="13.5" thickBot="1" x14ac:dyDescent="0.25">
      <c r="A429" s="185" t="s">
        <v>1107</v>
      </c>
      <c r="B429" s="194" t="s">
        <v>695</v>
      </c>
      <c r="C429" s="194" t="s">
        <v>695</v>
      </c>
      <c r="D429" s="194" t="s">
        <v>695</v>
      </c>
      <c r="E429" s="193" t="s">
        <v>694</v>
      </c>
      <c r="F429" s="160" t="s">
        <v>20</v>
      </c>
      <c r="G429" s="161"/>
      <c r="H429" s="186" t="str">
        <f t="shared" si="266"/>
        <v>N/A</v>
      </c>
      <c r="I429" s="186" t="b">
        <f t="shared" si="267"/>
        <v>1</v>
      </c>
      <c r="J429" s="186" t="str">
        <f t="shared" si="268"/>
        <v>N/A</v>
      </c>
      <c r="K429" s="186" t="b">
        <f t="shared" si="269"/>
        <v>1</v>
      </c>
      <c r="L429" s="186" t="str">
        <f t="shared" si="270"/>
        <v>N/A</v>
      </c>
      <c r="M429" s="186" t="b">
        <f t="shared" si="271"/>
        <v>1</v>
      </c>
      <c r="N429" s="186" t="str">
        <f t="shared" si="272"/>
        <v>Used?</v>
      </c>
      <c r="O429" s="186" t="b">
        <f t="shared" si="273"/>
        <v>0</v>
      </c>
      <c r="P429" s="26" t="s">
        <v>696</v>
      </c>
      <c r="Q429" s="160" t="s">
        <v>20</v>
      </c>
      <c r="R429" s="160" t="s">
        <v>20</v>
      </c>
      <c r="S429" s="26" t="s">
        <v>697</v>
      </c>
      <c r="T429" s="165" t="str">
        <f t="shared" si="274"/>
        <v>Not Used</v>
      </c>
      <c r="U429" s="162"/>
      <c r="V429" s="55"/>
      <c r="W429" s="51" t="b">
        <f t="shared" si="275"/>
        <v>1</v>
      </c>
      <c r="X429" s="51" t="str">
        <f t="shared" si="276"/>
        <v>Not Used</v>
      </c>
      <c r="Y429" s="51" t="str">
        <f t="shared" si="277"/>
        <v>Not Used</v>
      </c>
      <c r="Z429" s="51" t="str">
        <f t="shared" si="278"/>
        <v>Not Used</v>
      </c>
      <c r="AA429" s="51" t="str">
        <f t="shared" si="278"/>
        <v>Not Used</v>
      </c>
      <c r="AB429" s="51" t="str">
        <f t="shared" si="279"/>
        <v>Not Used</v>
      </c>
      <c r="AC429" s="51" t="b">
        <f t="shared" si="280"/>
        <v>1</v>
      </c>
      <c r="AD429" s="51">
        <f>COUNTIF($X$5:$X$429, "Not Used")</f>
        <v>425</v>
      </c>
      <c r="AE429" s="51">
        <f>COUNTIF($X$5:$X$429, "TRUE")</f>
        <v>0</v>
      </c>
      <c r="AF429" s="51" t="b">
        <f t="shared" si="281"/>
        <v>1</v>
      </c>
      <c r="AI429" s="51" t="b">
        <f t="shared" si="282"/>
        <v>0</v>
      </c>
      <c r="AJ429" s="51" t="b">
        <f t="shared" si="283"/>
        <v>0</v>
      </c>
      <c r="AK429" s="51" t="b">
        <f t="shared" si="284"/>
        <v>0</v>
      </c>
      <c r="AL429" s="51" t="b">
        <f t="shared" si="285"/>
        <v>0</v>
      </c>
      <c r="AM429" s="51" t="b">
        <f t="shared" si="286"/>
        <v>0</v>
      </c>
      <c r="AN429" s="51"/>
      <c r="AO429" s="51" t="b">
        <f t="shared" si="287"/>
        <v>0</v>
      </c>
      <c r="AP429" s="51" t="str">
        <f t="shared" si="309"/>
        <v>Not in MMS</v>
      </c>
      <c r="AQ429" s="51" t="b">
        <f t="shared" si="288"/>
        <v>0</v>
      </c>
      <c r="AR429" s="51" t="b">
        <f t="shared" si="289"/>
        <v>0</v>
      </c>
      <c r="AS429" s="51" t="str">
        <f t="shared" si="290"/>
        <v/>
      </c>
      <c r="AT429" s="51" t="str">
        <f t="shared" si="291"/>
        <v/>
      </c>
      <c r="AU429" s="51" t="str">
        <f t="shared" si="292"/>
        <v/>
      </c>
      <c r="AV429" s="51" t="str">
        <f t="shared" si="293"/>
        <v/>
      </c>
      <c r="AW429" s="51" t="str">
        <f t="shared" si="294"/>
        <v/>
      </c>
      <c r="AX429" s="51" t="str">
        <f t="shared" si="295"/>
        <v/>
      </c>
      <c r="AY429" s="51" t="str">
        <f t="shared" si="296"/>
        <v/>
      </c>
      <c r="AZ429" s="51" t="str">
        <f t="shared" si="297"/>
        <v/>
      </c>
      <c r="BA429" s="51" t="str">
        <f t="shared" si="298"/>
        <v/>
      </c>
      <c r="BB429" s="51" t="str">
        <f t="shared" si="299"/>
        <v/>
      </c>
      <c r="BC429" s="51" t="str">
        <f t="shared" si="300"/>
        <v/>
      </c>
      <c r="BD429" s="51" t="str">
        <f t="shared" si="301"/>
        <v/>
      </c>
      <c r="BE429" s="51" t="str">
        <f t="shared" si="302"/>
        <v/>
      </c>
      <c r="BF429" s="51" t="str">
        <f t="shared" si="303"/>
        <v/>
      </c>
      <c r="BG429" s="51" t="str">
        <f t="shared" si="304"/>
        <v/>
      </c>
      <c r="BH429" s="51" t="b">
        <f t="shared" si="305"/>
        <v>0</v>
      </c>
      <c r="BI429" s="51" t="str">
        <f t="shared" si="306"/>
        <v/>
      </c>
      <c r="BJ429" s="51" t="str">
        <f t="shared" si="307"/>
        <v/>
      </c>
      <c r="BK429" s="51" t="b">
        <f t="shared" si="308"/>
        <v>0</v>
      </c>
      <c r="BL429" s="192"/>
    </row>
    <row r="430" spans="1:64" ht="13.5" thickBot="1" x14ac:dyDescent="0.25">
      <c r="A430" s="185" t="s">
        <v>1108</v>
      </c>
      <c r="B430" s="194" t="s">
        <v>695</v>
      </c>
      <c r="C430" s="194" t="s">
        <v>695</v>
      </c>
      <c r="D430" s="194" t="s">
        <v>695</v>
      </c>
      <c r="E430" s="193" t="s">
        <v>694</v>
      </c>
      <c r="F430" s="160" t="s">
        <v>20</v>
      </c>
      <c r="G430" s="161"/>
      <c r="H430" s="186" t="str">
        <f t="shared" si="266"/>
        <v>N/A</v>
      </c>
      <c r="I430" s="186" t="b">
        <f t="shared" si="267"/>
        <v>1</v>
      </c>
      <c r="J430" s="186" t="str">
        <f t="shared" si="268"/>
        <v>N/A</v>
      </c>
      <c r="K430" s="186" t="b">
        <f t="shared" si="269"/>
        <v>1</v>
      </c>
      <c r="L430" s="186" t="str">
        <f t="shared" si="270"/>
        <v>N/A</v>
      </c>
      <c r="M430" s="186" t="b">
        <f t="shared" si="271"/>
        <v>1</v>
      </c>
      <c r="N430" s="186" t="str">
        <f t="shared" si="272"/>
        <v>Used?</v>
      </c>
      <c r="O430" s="186" t="b">
        <f t="shared" si="273"/>
        <v>0</v>
      </c>
      <c r="P430" s="26" t="s">
        <v>696</v>
      </c>
      <c r="Q430" s="160" t="s">
        <v>20</v>
      </c>
      <c r="R430" s="160" t="s">
        <v>20</v>
      </c>
      <c r="S430" s="26" t="s">
        <v>697</v>
      </c>
      <c r="T430" s="165" t="str">
        <f t="shared" si="274"/>
        <v>Not Used</v>
      </c>
      <c r="U430" s="162"/>
      <c r="V430" s="55"/>
      <c r="W430" s="51" t="b">
        <f t="shared" si="275"/>
        <v>1</v>
      </c>
      <c r="X430" s="51" t="str">
        <f t="shared" si="276"/>
        <v>Not Used</v>
      </c>
      <c r="Y430" s="51" t="str">
        <f t="shared" si="277"/>
        <v>Not Used</v>
      </c>
      <c r="Z430" s="51" t="str">
        <f t="shared" si="278"/>
        <v>Not Used</v>
      </c>
      <c r="AA430" s="51" t="str">
        <f t="shared" si="278"/>
        <v>Not Used</v>
      </c>
      <c r="AB430" s="51" t="str">
        <f t="shared" si="279"/>
        <v>Not Used</v>
      </c>
      <c r="AC430" s="51" t="b">
        <f t="shared" si="280"/>
        <v>1</v>
      </c>
      <c r="AD430" s="51">
        <f>COUNTIF($X$5:$X$430, "Not Used")</f>
        <v>426</v>
      </c>
      <c r="AE430" s="51">
        <f>COUNTIF($X$5:$X$430, "TRUE")</f>
        <v>0</v>
      </c>
      <c r="AF430" s="51" t="b">
        <f t="shared" si="281"/>
        <v>1</v>
      </c>
      <c r="AI430" s="51" t="b">
        <f t="shared" si="282"/>
        <v>0</v>
      </c>
      <c r="AJ430" s="51" t="b">
        <f t="shared" si="283"/>
        <v>0</v>
      </c>
      <c r="AK430" s="51" t="b">
        <f t="shared" si="284"/>
        <v>0</v>
      </c>
      <c r="AL430" s="51" t="b">
        <f t="shared" si="285"/>
        <v>0</v>
      </c>
      <c r="AM430" s="51" t="b">
        <f t="shared" si="286"/>
        <v>0</v>
      </c>
      <c r="AN430" s="51"/>
      <c r="AO430" s="51" t="b">
        <f t="shared" si="287"/>
        <v>0</v>
      </c>
      <c r="AP430" s="51" t="str">
        <f t="shared" si="309"/>
        <v>Not in MMS</v>
      </c>
      <c r="AQ430" s="51" t="b">
        <f t="shared" si="288"/>
        <v>0</v>
      </c>
      <c r="AR430" s="51" t="b">
        <f t="shared" si="289"/>
        <v>0</v>
      </c>
      <c r="AS430" s="51" t="str">
        <f t="shared" si="290"/>
        <v/>
      </c>
      <c r="AT430" s="51" t="str">
        <f t="shared" si="291"/>
        <v/>
      </c>
      <c r="AU430" s="51" t="str">
        <f t="shared" si="292"/>
        <v/>
      </c>
      <c r="AV430" s="51" t="str">
        <f t="shared" si="293"/>
        <v/>
      </c>
      <c r="AW430" s="51" t="str">
        <f t="shared" si="294"/>
        <v/>
      </c>
      <c r="AX430" s="51" t="str">
        <f t="shared" si="295"/>
        <v/>
      </c>
      <c r="AY430" s="51" t="str">
        <f t="shared" si="296"/>
        <v/>
      </c>
      <c r="AZ430" s="51" t="str">
        <f t="shared" si="297"/>
        <v/>
      </c>
      <c r="BA430" s="51" t="str">
        <f t="shared" si="298"/>
        <v/>
      </c>
      <c r="BB430" s="51" t="str">
        <f t="shared" si="299"/>
        <v/>
      </c>
      <c r="BC430" s="51" t="str">
        <f t="shared" si="300"/>
        <v/>
      </c>
      <c r="BD430" s="51" t="str">
        <f t="shared" si="301"/>
        <v/>
      </c>
      <c r="BE430" s="51" t="str">
        <f t="shared" si="302"/>
        <v/>
      </c>
      <c r="BF430" s="51" t="str">
        <f t="shared" si="303"/>
        <v/>
      </c>
      <c r="BG430" s="51" t="str">
        <f t="shared" si="304"/>
        <v/>
      </c>
      <c r="BH430" s="51" t="b">
        <f t="shared" si="305"/>
        <v>0</v>
      </c>
      <c r="BI430" s="51" t="str">
        <f t="shared" si="306"/>
        <v/>
      </c>
      <c r="BJ430" s="51" t="str">
        <f t="shared" si="307"/>
        <v/>
      </c>
      <c r="BK430" s="51" t="b">
        <f t="shared" si="308"/>
        <v>0</v>
      </c>
      <c r="BL430" s="192"/>
    </row>
    <row r="431" spans="1:64" ht="13.5" thickBot="1" x14ac:dyDescent="0.25">
      <c r="A431" s="185" t="s">
        <v>1109</v>
      </c>
      <c r="B431" s="194" t="s">
        <v>695</v>
      </c>
      <c r="C431" s="194" t="s">
        <v>695</v>
      </c>
      <c r="D431" s="194" t="s">
        <v>695</v>
      </c>
      <c r="E431" s="193" t="s">
        <v>694</v>
      </c>
      <c r="F431" s="160" t="s">
        <v>20</v>
      </c>
      <c r="G431" s="161"/>
      <c r="H431" s="186" t="str">
        <f t="shared" si="266"/>
        <v>N/A</v>
      </c>
      <c r="I431" s="186" t="b">
        <f t="shared" si="267"/>
        <v>1</v>
      </c>
      <c r="J431" s="186" t="str">
        <f t="shared" si="268"/>
        <v>N/A</v>
      </c>
      <c r="K431" s="186" t="b">
        <f t="shared" si="269"/>
        <v>1</v>
      </c>
      <c r="L431" s="186" t="str">
        <f t="shared" si="270"/>
        <v>N/A</v>
      </c>
      <c r="M431" s="186" t="b">
        <f t="shared" si="271"/>
        <v>1</v>
      </c>
      <c r="N431" s="186" t="str">
        <f t="shared" si="272"/>
        <v>Used?</v>
      </c>
      <c r="O431" s="186" t="b">
        <f t="shared" si="273"/>
        <v>0</v>
      </c>
      <c r="P431" s="26" t="s">
        <v>696</v>
      </c>
      <c r="Q431" s="160" t="s">
        <v>20</v>
      </c>
      <c r="R431" s="160" t="s">
        <v>20</v>
      </c>
      <c r="S431" s="26" t="s">
        <v>697</v>
      </c>
      <c r="T431" s="165" t="str">
        <f t="shared" si="274"/>
        <v>Not Used</v>
      </c>
      <c r="U431" s="162"/>
      <c r="V431" s="55"/>
      <c r="W431" s="51" t="b">
        <f t="shared" si="275"/>
        <v>1</v>
      </c>
      <c r="X431" s="51" t="str">
        <f t="shared" si="276"/>
        <v>Not Used</v>
      </c>
      <c r="Y431" s="51" t="str">
        <f t="shared" si="277"/>
        <v>Not Used</v>
      </c>
      <c r="Z431" s="51" t="str">
        <f t="shared" si="278"/>
        <v>Not Used</v>
      </c>
      <c r="AA431" s="51" t="str">
        <f t="shared" si="278"/>
        <v>Not Used</v>
      </c>
      <c r="AB431" s="51" t="str">
        <f t="shared" si="279"/>
        <v>Not Used</v>
      </c>
      <c r="AC431" s="51" t="b">
        <f t="shared" si="280"/>
        <v>1</v>
      </c>
      <c r="AD431" s="51">
        <f>COUNTIF($X$5:$X$431, "Not Used")</f>
        <v>427</v>
      </c>
      <c r="AE431" s="51">
        <f>COUNTIF($X$5:$X$431, "TRUE")</f>
        <v>0</v>
      </c>
      <c r="AF431" s="51" t="b">
        <f t="shared" si="281"/>
        <v>1</v>
      </c>
      <c r="AI431" s="51" t="b">
        <f t="shared" si="282"/>
        <v>0</v>
      </c>
      <c r="AJ431" s="51" t="b">
        <f t="shared" si="283"/>
        <v>0</v>
      </c>
      <c r="AK431" s="51" t="b">
        <f t="shared" si="284"/>
        <v>0</v>
      </c>
      <c r="AL431" s="51" t="b">
        <f t="shared" si="285"/>
        <v>0</v>
      </c>
      <c r="AM431" s="51" t="b">
        <f t="shared" si="286"/>
        <v>0</v>
      </c>
      <c r="AN431" s="51"/>
      <c r="AO431" s="51" t="b">
        <f t="shared" si="287"/>
        <v>0</v>
      </c>
      <c r="AP431" s="51" t="str">
        <f t="shared" si="309"/>
        <v>Not in MMS</v>
      </c>
      <c r="AQ431" s="51" t="b">
        <f t="shared" si="288"/>
        <v>0</v>
      </c>
      <c r="AR431" s="51" t="b">
        <f t="shared" si="289"/>
        <v>0</v>
      </c>
      <c r="AS431" s="51" t="str">
        <f t="shared" si="290"/>
        <v/>
      </c>
      <c r="AT431" s="51" t="str">
        <f t="shared" si="291"/>
        <v/>
      </c>
      <c r="AU431" s="51" t="str">
        <f t="shared" si="292"/>
        <v/>
      </c>
      <c r="AV431" s="51" t="str">
        <f t="shared" si="293"/>
        <v/>
      </c>
      <c r="AW431" s="51" t="str">
        <f t="shared" si="294"/>
        <v/>
      </c>
      <c r="AX431" s="51" t="str">
        <f t="shared" si="295"/>
        <v/>
      </c>
      <c r="AY431" s="51" t="str">
        <f t="shared" si="296"/>
        <v/>
      </c>
      <c r="AZ431" s="51" t="str">
        <f t="shared" si="297"/>
        <v/>
      </c>
      <c r="BA431" s="51" t="str">
        <f t="shared" si="298"/>
        <v/>
      </c>
      <c r="BB431" s="51" t="str">
        <f t="shared" si="299"/>
        <v/>
      </c>
      <c r="BC431" s="51" t="str">
        <f t="shared" si="300"/>
        <v/>
      </c>
      <c r="BD431" s="51" t="str">
        <f t="shared" si="301"/>
        <v/>
      </c>
      <c r="BE431" s="51" t="str">
        <f t="shared" si="302"/>
        <v/>
      </c>
      <c r="BF431" s="51" t="str">
        <f t="shared" si="303"/>
        <v/>
      </c>
      <c r="BG431" s="51" t="str">
        <f t="shared" si="304"/>
        <v/>
      </c>
      <c r="BH431" s="51" t="b">
        <f t="shared" si="305"/>
        <v>0</v>
      </c>
      <c r="BI431" s="51" t="str">
        <f t="shared" si="306"/>
        <v/>
      </c>
      <c r="BJ431" s="51" t="str">
        <f t="shared" si="307"/>
        <v/>
      </c>
      <c r="BK431" s="51" t="b">
        <f t="shared" si="308"/>
        <v>0</v>
      </c>
      <c r="BL431" s="192"/>
    </row>
    <row r="432" spans="1:64" ht="13.5" thickBot="1" x14ac:dyDescent="0.25">
      <c r="A432" s="185" t="s">
        <v>1110</v>
      </c>
      <c r="B432" s="194" t="s">
        <v>695</v>
      </c>
      <c r="C432" s="194" t="s">
        <v>695</v>
      </c>
      <c r="D432" s="194" t="s">
        <v>695</v>
      </c>
      <c r="E432" s="193" t="s">
        <v>694</v>
      </c>
      <c r="F432" s="160" t="s">
        <v>20</v>
      </c>
      <c r="G432" s="161"/>
      <c r="H432" s="186" t="str">
        <f t="shared" si="266"/>
        <v>N/A</v>
      </c>
      <c r="I432" s="186" t="b">
        <f t="shared" si="267"/>
        <v>1</v>
      </c>
      <c r="J432" s="186" t="str">
        <f t="shared" si="268"/>
        <v>N/A</v>
      </c>
      <c r="K432" s="186" t="b">
        <f t="shared" si="269"/>
        <v>1</v>
      </c>
      <c r="L432" s="186" t="str">
        <f t="shared" si="270"/>
        <v>N/A</v>
      </c>
      <c r="M432" s="186" t="b">
        <f t="shared" si="271"/>
        <v>1</v>
      </c>
      <c r="N432" s="186" t="str">
        <f t="shared" si="272"/>
        <v>Used?</v>
      </c>
      <c r="O432" s="186" t="b">
        <f t="shared" si="273"/>
        <v>0</v>
      </c>
      <c r="P432" s="26" t="s">
        <v>696</v>
      </c>
      <c r="Q432" s="160" t="s">
        <v>20</v>
      </c>
      <c r="R432" s="160" t="s">
        <v>20</v>
      </c>
      <c r="S432" s="26" t="s">
        <v>697</v>
      </c>
      <c r="T432" s="165" t="str">
        <f t="shared" si="274"/>
        <v>Not Used</v>
      </c>
      <c r="U432" s="162"/>
      <c r="V432" s="55"/>
      <c r="W432" s="51" t="b">
        <f t="shared" si="275"/>
        <v>1</v>
      </c>
      <c r="X432" s="51" t="str">
        <f t="shared" si="276"/>
        <v>Not Used</v>
      </c>
      <c r="Y432" s="51" t="str">
        <f t="shared" si="277"/>
        <v>Not Used</v>
      </c>
      <c r="Z432" s="51" t="str">
        <f t="shared" si="278"/>
        <v>Not Used</v>
      </c>
      <c r="AA432" s="51" t="str">
        <f t="shared" si="278"/>
        <v>Not Used</v>
      </c>
      <c r="AB432" s="51" t="str">
        <f t="shared" si="279"/>
        <v>Not Used</v>
      </c>
      <c r="AC432" s="51" t="b">
        <f t="shared" si="280"/>
        <v>1</v>
      </c>
      <c r="AD432" s="51">
        <f>COUNTIF($X$5:$X$432, "Not Used")</f>
        <v>428</v>
      </c>
      <c r="AE432" s="51">
        <f>COUNTIF($X$5:$X$432, "TRUE")</f>
        <v>0</v>
      </c>
      <c r="AF432" s="51" t="b">
        <f t="shared" si="281"/>
        <v>1</v>
      </c>
      <c r="AI432" s="51" t="b">
        <f t="shared" si="282"/>
        <v>0</v>
      </c>
      <c r="AJ432" s="51" t="b">
        <f t="shared" si="283"/>
        <v>0</v>
      </c>
      <c r="AK432" s="51" t="b">
        <f t="shared" si="284"/>
        <v>0</v>
      </c>
      <c r="AL432" s="51" t="b">
        <f t="shared" si="285"/>
        <v>0</v>
      </c>
      <c r="AM432" s="51" t="b">
        <f t="shared" si="286"/>
        <v>0</v>
      </c>
      <c r="AN432" s="51"/>
      <c r="AO432" s="51" t="b">
        <f t="shared" si="287"/>
        <v>0</v>
      </c>
      <c r="AP432" s="51" t="str">
        <f t="shared" si="309"/>
        <v>Not in MMS</v>
      </c>
      <c r="AQ432" s="51" t="b">
        <f t="shared" si="288"/>
        <v>0</v>
      </c>
      <c r="AR432" s="51" t="b">
        <f t="shared" si="289"/>
        <v>0</v>
      </c>
      <c r="AS432" s="51" t="str">
        <f t="shared" si="290"/>
        <v/>
      </c>
      <c r="AT432" s="51" t="str">
        <f t="shared" si="291"/>
        <v/>
      </c>
      <c r="AU432" s="51" t="str">
        <f t="shared" si="292"/>
        <v/>
      </c>
      <c r="AV432" s="51" t="str">
        <f t="shared" si="293"/>
        <v/>
      </c>
      <c r="AW432" s="51" t="str">
        <f t="shared" si="294"/>
        <v/>
      </c>
      <c r="AX432" s="51" t="str">
        <f t="shared" si="295"/>
        <v/>
      </c>
      <c r="AY432" s="51" t="str">
        <f t="shared" si="296"/>
        <v/>
      </c>
      <c r="AZ432" s="51" t="str">
        <f t="shared" si="297"/>
        <v/>
      </c>
      <c r="BA432" s="51" t="str">
        <f t="shared" si="298"/>
        <v/>
      </c>
      <c r="BB432" s="51" t="str">
        <f t="shared" si="299"/>
        <v/>
      </c>
      <c r="BC432" s="51" t="str">
        <f t="shared" si="300"/>
        <v/>
      </c>
      <c r="BD432" s="51" t="str">
        <f t="shared" si="301"/>
        <v/>
      </c>
      <c r="BE432" s="51" t="str">
        <f t="shared" si="302"/>
        <v/>
      </c>
      <c r="BF432" s="51" t="str">
        <f t="shared" si="303"/>
        <v/>
      </c>
      <c r="BG432" s="51" t="str">
        <f t="shared" si="304"/>
        <v/>
      </c>
      <c r="BH432" s="51" t="b">
        <f t="shared" si="305"/>
        <v>0</v>
      </c>
      <c r="BI432" s="51" t="str">
        <f t="shared" si="306"/>
        <v/>
      </c>
      <c r="BJ432" s="51" t="str">
        <f t="shared" si="307"/>
        <v/>
      </c>
      <c r="BK432" s="51" t="b">
        <f t="shared" si="308"/>
        <v>0</v>
      </c>
      <c r="BL432" s="192"/>
    </row>
    <row r="433" spans="1:64" ht="13.5" thickBot="1" x14ac:dyDescent="0.25">
      <c r="A433" s="185" t="s">
        <v>1111</v>
      </c>
      <c r="B433" s="194" t="s">
        <v>695</v>
      </c>
      <c r="C433" s="194" t="s">
        <v>695</v>
      </c>
      <c r="D433" s="194" t="s">
        <v>695</v>
      </c>
      <c r="E433" s="193" t="s">
        <v>694</v>
      </c>
      <c r="F433" s="160" t="s">
        <v>20</v>
      </c>
      <c r="G433" s="161"/>
      <c r="H433" s="186" t="str">
        <f t="shared" si="266"/>
        <v>N/A</v>
      </c>
      <c r="I433" s="186" t="b">
        <f t="shared" si="267"/>
        <v>1</v>
      </c>
      <c r="J433" s="186" t="str">
        <f t="shared" si="268"/>
        <v>N/A</v>
      </c>
      <c r="K433" s="186" t="b">
        <f t="shared" si="269"/>
        <v>1</v>
      </c>
      <c r="L433" s="186" t="str">
        <f t="shared" si="270"/>
        <v>N/A</v>
      </c>
      <c r="M433" s="186" t="b">
        <f t="shared" si="271"/>
        <v>1</v>
      </c>
      <c r="N433" s="186" t="str">
        <f t="shared" si="272"/>
        <v>Used?</v>
      </c>
      <c r="O433" s="186" t="b">
        <f t="shared" si="273"/>
        <v>0</v>
      </c>
      <c r="P433" s="26" t="s">
        <v>696</v>
      </c>
      <c r="Q433" s="160" t="s">
        <v>20</v>
      </c>
      <c r="R433" s="160" t="s">
        <v>20</v>
      </c>
      <c r="S433" s="26" t="s">
        <v>697</v>
      </c>
      <c r="T433" s="165" t="str">
        <f t="shared" si="274"/>
        <v>Not Used</v>
      </c>
      <c r="U433" s="162"/>
      <c r="V433" s="55"/>
      <c r="W433" s="51" t="b">
        <f t="shared" si="275"/>
        <v>1</v>
      </c>
      <c r="X433" s="51" t="str">
        <f t="shared" si="276"/>
        <v>Not Used</v>
      </c>
      <c r="Y433" s="51" t="str">
        <f t="shared" si="277"/>
        <v>Not Used</v>
      </c>
      <c r="Z433" s="51" t="str">
        <f t="shared" si="278"/>
        <v>Not Used</v>
      </c>
      <c r="AA433" s="51" t="str">
        <f t="shared" si="278"/>
        <v>Not Used</v>
      </c>
      <c r="AB433" s="51" t="str">
        <f t="shared" si="279"/>
        <v>Not Used</v>
      </c>
      <c r="AC433" s="51" t="b">
        <f t="shared" si="280"/>
        <v>1</v>
      </c>
      <c r="AD433" s="51">
        <f>COUNTIF($X$5:$X$433, "Not Used")</f>
        <v>429</v>
      </c>
      <c r="AE433" s="51">
        <f>COUNTIF($X$5:$X$433, "TRUE")</f>
        <v>0</v>
      </c>
      <c r="AF433" s="51" t="b">
        <f t="shared" si="281"/>
        <v>1</v>
      </c>
      <c r="AI433" s="51" t="b">
        <f t="shared" si="282"/>
        <v>0</v>
      </c>
      <c r="AJ433" s="51" t="b">
        <f t="shared" si="283"/>
        <v>0</v>
      </c>
      <c r="AK433" s="51" t="b">
        <f t="shared" si="284"/>
        <v>0</v>
      </c>
      <c r="AL433" s="51" t="b">
        <f t="shared" si="285"/>
        <v>0</v>
      </c>
      <c r="AM433" s="51" t="b">
        <f t="shared" si="286"/>
        <v>0</v>
      </c>
      <c r="AN433" s="51"/>
      <c r="AO433" s="51" t="b">
        <f t="shared" si="287"/>
        <v>0</v>
      </c>
      <c r="AP433" s="51" t="str">
        <f t="shared" si="309"/>
        <v>Not in MMS</v>
      </c>
      <c r="AQ433" s="51" t="b">
        <f t="shared" si="288"/>
        <v>0</v>
      </c>
      <c r="AR433" s="51" t="b">
        <f t="shared" si="289"/>
        <v>0</v>
      </c>
      <c r="AS433" s="51" t="str">
        <f t="shared" si="290"/>
        <v/>
      </c>
      <c r="AT433" s="51" t="str">
        <f t="shared" si="291"/>
        <v/>
      </c>
      <c r="AU433" s="51" t="str">
        <f t="shared" si="292"/>
        <v/>
      </c>
      <c r="AV433" s="51" t="str">
        <f t="shared" si="293"/>
        <v/>
      </c>
      <c r="AW433" s="51" t="str">
        <f t="shared" si="294"/>
        <v/>
      </c>
      <c r="AX433" s="51" t="str">
        <f t="shared" si="295"/>
        <v/>
      </c>
      <c r="AY433" s="51" t="str">
        <f t="shared" si="296"/>
        <v/>
      </c>
      <c r="AZ433" s="51" t="str">
        <f t="shared" si="297"/>
        <v/>
      </c>
      <c r="BA433" s="51" t="str">
        <f t="shared" si="298"/>
        <v/>
      </c>
      <c r="BB433" s="51" t="str">
        <f t="shared" si="299"/>
        <v/>
      </c>
      <c r="BC433" s="51" t="str">
        <f t="shared" si="300"/>
        <v/>
      </c>
      <c r="BD433" s="51" t="str">
        <f t="shared" si="301"/>
        <v/>
      </c>
      <c r="BE433" s="51" t="str">
        <f t="shared" si="302"/>
        <v/>
      </c>
      <c r="BF433" s="51" t="str">
        <f t="shared" si="303"/>
        <v/>
      </c>
      <c r="BG433" s="51" t="str">
        <f t="shared" si="304"/>
        <v/>
      </c>
      <c r="BH433" s="51" t="b">
        <f t="shared" si="305"/>
        <v>0</v>
      </c>
      <c r="BI433" s="51" t="str">
        <f t="shared" si="306"/>
        <v/>
      </c>
      <c r="BJ433" s="51" t="str">
        <f t="shared" si="307"/>
        <v/>
      </c>
      <c r="BK433" s="51" t="b">
        <f t="shared" si="308"/>
        <v>0</v>
      </c>
      <c r="BL433" s="192"/>
    </row>
    <row r="434" spans="1:64" ht="13.5" thickBot="1" x14ac:dyDescent="0.25">
      <c r="A434" s="185" t="s">
        <v>1112</v>
      </c>
      <c r="B434" s="194" t="s">
        <v>695</v>
      </c>
      <c r="C434" s="194" t="s">
        <v>695</v>
      </c>
      <c r="D434" s="194" t="s">
        <v>695</v>
      </c>
      <c r="E434" s="193" t="s">
        <v>694</v>
      </c>
      <c r="F434" s="160" t="s">
        <v>20</v>
      </c>
      <c r="G434" s="161"/>
      <c r="H434" s="186" t="str">
        <f t="shared" si="266"/>
        <v>N/A</v>
      </c>
      <c r="I434" s="186" t="b">
        <f t="shared" si="267"/>
        <v>1</v>
      </c>
      <c r="J434" s="186" t="str">
        <f t="shared" si="268"/>
        <v>N/A</v>
      </c>
      <c r="K434" s="186" t="b">
        <f t="shared" si="269"/>
        <v>1</v>
      </c>
      <c r="L434" s="186" t="str">
        <f t="shared" si="270"/>
        <v>N/A</v>
      </c>
      <c r="M434" s="186" t="b">
        <f t="shared" si="271"/>
        <v>1</v>
      </c>
      <c r="N434" s="186" t="str">
        <f t="shared" si="272"/>
        <v>Used?</v>
      </c>
      <c r="O434" s="186" t="b">
        <f t="shared" si="273"/>
        <v>0</v>
      </c>
      <c r="P434" s="26" t="s">
        <v>696</v>
      </c>
      <c r="Q434" s="160" t="s">
        <v>20</v>
      </c>
      <c r="R434" s="160" t="s">
        <v>20</v>
      </c>
      <c r="S434" s="26" t="s">
        <v>697</v>
      </c>
      <c r="T434" s="165" t="str">
        <f t="shared" si="274"/>
        <v>Not Used</v>
      </c>
      <c r="U434" s="162"/>
      <c r="V434" s="55"/>
      <c r="W434" s="51" t="b">
        <f t="shared" si="275"/>
        <v>1</v>
      </c>
      <c r="X434" s="51" t="str">
        <f t="shared" si="276"/>
        <v>Not Used</v>
      </c>
      <c r="Y434" s="51" t="str">
        <f t="shared" si="277"/>
        <v>Not Used</v>
      </c>
      <c r="Z434" s="51" t="str">
        <f t="shared" si="278"/>
        <v>Not Used</v>
      </c>
      <c r="AA434" s="51" t="str">
        <f t="shared" si="278"/>
        <v>Not Used</v>
      </c>
      <c r="AB434" s="51" t="str">
        <f t="shared" si="279"/>
        <v>Not Used</v>
      </c>
      <c r="AC434" s="51" t="b">
        <f t="shared" si="280"/>
        <v>1</v>
      </c>
      <c r="AD434" s="51">
        <f>COUNTIF($X$5:$X$434, "Not Used")</f>
        <v>430</v>
      </c>
      <c r="AE434" s="51">
        <f>COUNTIF($X$5:$X$434, "TRUE")</f>
        <v>0</v>
      </c>
      <c r="AF434" s="51" t="b">
        <f t="shared" si="281"/>
        <v>1</v>
      </c>
      <c r="AI434" s="51" t="b">
        <f t="shared" si="282"/>
        <v>0</v>
      </c>
      <c r="AJ434" s="51" t="b">
        <f t="shared" si="283"/>
        <v>0</v>
      </c>
      <c r="AK434" s="51" t="b">
        <f t="shared" si="284"/>
        <v>0</v>
      </c>
      <c r="AL434" s="51" t="b">
        <f t="shared" si="285"/>
        <v>0</v>
      </c>
      <c r="AM434" s="51" t="b">
        <f t="shared" si="286"/>
        <v>0</v>
      </c>
      <c r="AN434" s="51"/>
      <c r="AO434" s="51" t="b">
        <f t="shared" si="287"/>
        <v>0</v>
      </c>
      <c r="AP434" s="51" t="str">
        <f t="shared" si="309"/>
        <v>Not in MMS</v>
      </c>
      <c r="AQ434" s="51" t="b">
        <f t="shared" si="288"/>
        <v>0</v>
      </c>
      <c r="AR434" s="51" t="b">
        <f t="shared" si="289"/>
        <v>0</v>
      </c>
      <c r="AS434" s="51" t="str">
        <f t="shared" si="290"/>
        <v/>
      </c>
      <c r="AT434" s="51" t="str">
        <f t="shared" si="291"/>
        <v/>
      </c>
      <c r="AU434" s="51" t="str">
        <f t="shared" si="292"/>
        <v/>
      </c>
      <c r="AV434" s="51" t="str">
        <f t="shared" si="293"/>
        <v/>
      </c>
      <c r="AW434" s="51" t="str">
        <f t="shared" si="294"/>
        <v/>
      </c>
      <c r="AX434" s="51" t="str">
        <f t="shared" si="295"/>
        <v/>
      </c>
      <c r="AY434" s="51" t="str">
        <f t="shared" si="296"/>
        <v/>
      </c>
      <c r="AZ434" s="51" t="str">
        <f t="shared" si="297"/>
        <v/>
      </c>
      <c r="BA434" s="51" t="str">
        <f t="shared" si="298"/>
        <v/>
      </c>
      <c r="BB434" s="51" t="str">
        <f t="shared" si="299"/>
        <v/>
      </c>
      <c r="BC434" s="51" t="str">
        <f t="shared" si="300"/>
        <v/>
      </c>
      <c r="BD434" s="51" t="str">
        <f t="shared" si="301"/>
        <v/>
      </c>
      <c r="BE434" s="51" t="str">
        <f t="shared" si="302"/>
        <v/>
      </c>
      <c r="BF434" s="51" t="str">
        <f t="shared" si="303"/>
        <v/>
      </c>
      <c r="BG434" s="51" t="str">
        <f t="shared" si="304"/>
        <v/>
      </c>
      <c r="BH434" s="51" t="b">
        <f t="shared" si="305"/>
        <v>0</v>
      </c>
      <c r="BI434" s="51" t="str">
        <f t="shared" si="306"/>
        <v/>
      </c>
      <c r="BJ434" s="51" t="str">
        <f t="shared" si="307"/>
        <v/>
      </c>
      <c r="BK434" s="51" t="b">
        <f t="shared" si="308"/>
        <v>0</v>
      </c>
      <c r="BL434" s="192"/>
    </row>
    <row r="435" spans="1:64" ht="13.5" thickBot="1" x14ac:dyDescent="0.25">
      <c r="A435" s="185" t="s">
        <v>1113</v>
      </c>
      <c r="B435" s="194" t="s">
        <v>695</v>
      </c>
      <c r="C435" s="194" t="s">
        <v>695</v>
      </c>
      <c r="D435" s="194" t="s">
        <v>695</v>
      </c>
      <c r="E435" s="193" t="s">
        <v>694</v>
      </c>
      <c r="F435" s="160" t="s">
        <v>20</v>
      </c>
      <c r="G435" s="161"/>
      <c r="H435" s="186" t="str">
        <f t="shared" si="266"/>
        <v>N/A</v>
      </c>
      <c r="I435" s="186" t="b">
        <f t="shared" si="267"/>
        <v>1</v>
      </c>
      <c r="J435" s="186" t="str">
        <f t="shared" si="268"/>
        <v>N/A</v>
      </c>
      <c r="K435" s="186" t="b">
        <f t="shared" si="269"/>
        <v>1</v>
      </c>
      <c r="L435" s="186" t="str">
        <f t="shared" si="270"/>
        <v>N/A</v>
      </c>
      <c r="M435" s="186" t="b">
        <f t="shared" si="271"/>
        <v>1</v>
      </c>
      <c r="N435" s="186" t="str">
        <f t="shared" si="272"/>
        <v>Used?</v>
      </c>
      <c r="O435" s="186" t="b">
        <f t="shared" si="273"/>
        <v>0</v>
      </c>
      <c r="P435" s="26" t="s">
        <v>696</v>
      </c>
      <c r="Q435" s="160" t="s">
        <v>20</v>
      </c>
      <c r="R435" s="160" t="s">
        <v>20</v>
      </c>
      <c r="S435" s="26" t="s">
        <v>697</v>
      </c>
      <c r="T435" s="165" t="str">
        <f t="shared" si="274"/>
        <v>Not Used</v>
      </c>
      <c r="U435" s="162"/>
      <c r="V435" s="55"/>
      <c r="W435" s="51" t="b">
        <f t="shared" si="275"/>
        <v>1</v>
      </c>
      <c r="X435" s="51" t="str">
        <f t="shared" si="276"/>
        <v>Not Used</v>
      </c>
      <c r="Y435" s="51" t="str">
        <f t="shared" si="277"/>
        <v>Not Used</v>
      </c>
      <c r="Z435" s="51" t="str">
        <f t="shared" si="278"/>
        <v>Not Used</v>
      </c>
      <c r="AA435" s="51" t="str">
        <f t="shared" si="278"/>
        <v>Not Used</v>
      </c>
      <c r="AB435" s="51" t="str">
        <f t="shared" si="279"/>
        <v>Not Used</v>
      </c>
      <c r="AC435" s="51" t="b">
        <f t="shared" si="280"/>
        <v>1</v>
      </c>
      <c r="AD435" s="51">
        <f>COUNTIF($X$5:$X$435, "Not Used")</f>
        <v>431</v>
      </c>
      <c r="AE435" s="51">
        <f>COUNTIF($X$5:$X$435, "TRUE")</f>
        <v>0</v>
      </c>
      <c r="AF435" s="51" t="b">
        <f t="shared" si="281"/>
        <v>1</v>
      </c>
      <c r="AI435" s="51" t="b">
        <f t="shared" si="282"/>
        <v>0</v>
      </c>
      <c r="AJ435" s="51" t="b">
        <f t="shared" si="283"/>
        <v>0</v>
      </c>
      <c r="AK435" s="51" t="b">
        <f t="shared" si="284"/>
        <v>0</v>
      </c>
      <c r="AL435" s="51" t="b">
        <f t="shared" si="285"/>
        <v>0</v>
      </c>
      <c r="AM435" s="51" t="b">
        <f t="shared" si="286"/>
        <v>0</v>
      </c>
      <c r="AN435" s="51"/>
      <c r="AO435" s="51" t="b">
        <f t="shared" si="287"/>
        <v>0</v>
      </c>
      <c r="AP435" s="51" t="str">
        <f t="shared" si="309"/>
        <v>Not in MMS</v>
      </c>
      <c r="AQ435" s="51" t="b">
        <f t="shared" si="288"/>
        <v>0</v>
      </c>
      <c r="AR435" s="51" t="b">
        <f t="shared" si="289"/>
        <v>0</v>
      </c>
      <c r="AS435" s="51" t="str">
        <f t="shared" si="290"/>
        <v/>
      </c>
      <c r="AT435" s="51" t="str">
        <f t="shared" si="291"/>
        <v/>
      </c>
      <c r="AU435" s="51" t="str">
        <f t="shared" si="292"/>
        <v/>
      </c>
      <c r="AV435" s="51" t="str">
        <f t="shared" si="293"/>
        <v/>
      </c>
      <c r="AW435" s="51" t="str">
        <f t="shared" si="294"/>
        <v/>
      </c>
      <c r="AX435" s="51" t="str">
        <f t="shared" si="295"/>
        <v/>
      </c>
      <c r="AY435" s="51" t="str">
        <f t="shared" si="296"/>
        <v/>
      </c>
      <c r="AZ435" s="51" t="str">
        <f t="shared" si="297"/>
        <v/>
      </c>
      <c r="BA435" s="51" t="str">
        <f t="shared" si="298"/>
        <v/>
      </c>
      <c r="BB435" s="51" t="str">
        <f t="shared" si="299"/>
        <v/>
      </c>
      <c r="BC435" s="51" t="str">
        <f t="shared" si="300"/>
        <v/>
      </c>
      <c r="BD435" s="51" t="str">
        <f t="shared" si="301"/>
        <v/>
      </c>
      <c r="BE435" s="51" t="str">
        <f t="shared" si="302"/>
        <v/>
      </c>
      <c r="BF435" s="51" t="str">
        <f t="shared" si="303"/>
        <v/>
      </c>
      <c r="BG435" s="51" t="str">
        <f t="shared" si="304"/>
        <v/>
      </c>
      <c r="BH435" s="51" t="b">
        <f t="shared" si="305"/>
        <v>0</v>
      </c>
      <c r="BI435" s="51" t="str">
        <f t="shared" si="306"/>
        <v/>
      </c>
      <c r="BJ435" s="51" t="str">
        <f t="shared" si="307"/>
        <v/>
      </c>
      <c r="BK435" s="51" t="b">
        <f t="shared" si="308"/>
        <v>0</v>
      </c>
      <c r="BL435" s="192"/>
    </row>
    <row r="436" spans="1:64" ht="13.5" thickBot="1" x14ac:dyDescent="0.25">
      <c r="A436" s="185" t="s">
        <v>1114</v>
      </c>
      <c r="B436" s="194" t="s">
        <v>695</v>
      </c>
      <c r="C436" s="194" t="s">
        <v>695</v>
      </c>
      <c r="D436" s="194" t="s">
        <v>695</v>
      </c>
      <c r="E436" s="193" t="s">
        <v>694</v>
      </c>
      <c r="F436" s="160" t="s">
        <v>20</v>
      </c>
      <c r="G436" s="161"/>
      <c r="H436" s="186" t="str">
        <f t="shared" si="266"/>
        <v>N/A</v>
      </c>
      <c r="I436" s="186" t="b">
        <f t="shared" si="267"/>
        <v>1</v>
      </c>
      <c r="J436" s="186" t="str">
        <f t="shared" si="268"/>
        <v>N/A</v>
      </c>
      <c r="K436" s="186" t="b">
        <f t="shared" si="269"/>
        <v>1</v>
      </c>
      <c r="L436" s="186" t="str">
        <f t="shared" si="270"/>
        <v>N/A</v>
      </c>
      <c r="M436" s="186" t="b">
        <f t="shared" si="271"/>
        <v>1</v>
      </c>
      <c r="N436" s="186" t="str">
        <f t="shared" si="272"/>
        <v>Used?</v>
      </c>
      <c r="O436" s="186" t="b">
        <f t="shared" si="273"/>
        <v>0</v>
      </c>
      <c r="P436" s="26" t="s">
        <v>696</v>
      </c>
      <c r="Q436" s="160" t="s">
        <v>20</v>
      </c>
      <c r="R436" s="160" t="s">
        <v>20</v>
      </c>
      <c r="S436" s="26" t="s">
        <v>697</v>
      </c>
      <c r="T436" s="165" t="str">
        <f t="shared" si="274"/>
        <v>Not Used</v>
      </c>
      <c r="U436" s="162"/>
      <c r="V436" s="55"/>
      <c r="W436" s="51" t="b">
        <f t="shared" si="275"/>
        <v>1</v>
      </c>
      <c r="X436" s="51" t="str">
        <f t="shared" si="276"/>
        <v>Not Used</v>
      </c>
      <c r="Y436" s="51" t="str">
        <f t="shared" si="277"/>
        <v>Not Used</v>
      </c>
      <c r="Z436" s="51" t="str">
        <f t="shared" si="278"/>
        <v>Not Used</v>
      </c>
      <c r="AA436" s="51" t="str">
        <f t="shared" si="278"/>
        <v>Not Used</v>
      </c>
      <c r="AB436" s="51" t="str">
        <f t="shared" si="279"/>
        <v>Not Used</v>
      </c>
      <c r="AC436" s="51" t="b">
        <f t="shared" si="280"/>
        <v>1</v>
      </c>
      <c r="AD436" s="51">
        <f>COUNTIF($X$5:$X$436, "Not Used")</f>
        <v>432</v>
      </c>
      <c r="AE436" s="51">
        <f>COUNTIF($X$5:$X$436, "TRUE")</f>
        <v>0</v>
      </c>
      <c r="AF436" s="51" t="b">
        <f t="shared" si="281"/>
        <v>1</v>
      </c>
      <c r="AI436" s="51" t="b">
        <f t="shared" si="282"/>
        <v>0</v>
      </c>
      <c r="AJ436" s="51" t="b">
        <f t="shared" si="283"/>
        <v>0</v>
      </c>
      <c r="AK436" s="51" t="b">
        <f t="shared" si="284"/>
        <v>0</v>
      </c>
      <c r="AL436" s="51" t="b">
        <f t="shared" si="285"/>
        <v>0</v>
      </c>
      <c r="AM436" s="51" t="b">
        <f t="shared" si="286"/>
        <v>0</v>
      </c>
      <c r="AN436" s="51"/>
      <c r="AO436" s="51" t="b">
        <f t="shared" si="287"/>
        <v>0</v>
      </c>
      <c r="AP436" s="51" t="str">
        <f t="shared" si="309"/>
        <v>Not in MMS</v>
      </c>
      <c r="AQ436" s="51" t="b">
        <f t="shared" si="288"/>
        <v>0</v>
      </c>
      <c r="AR436" s="51" t="b">
        <f t="shared" si="289"/>
        <v>0</v>
      </c>
      <c r="AS436" s="51" t="str">
        <f t="shared" si="290"/>
        <v/>
      </c>
      <c r="AT436" s="51" t="str">
        <f t="shared" si="291"/>
        <v/>
      </c>
      <c r="AU436" s="51" t="str">
        <f t="shared" si="292"/>
        <v/>
      </c>
      <c r="AV436" s="51" t="str">
        <f t="shared" si="293"/>
        <v/>
      </c>
      <c r="AW436" s="51" t="str">
        <f t="shared" si="294"/>
        <v/>
      </c>
      <c r="AX436" s="51" t="str">
        <f t="shared" si="295"/>
        <v/>
      </c>
      <c r="AY436" s="51" t="str">
        <f t="shared" si="296"/>
        <v/>
      </c>
      <c r="AZ436" s="51" t="str">
        <f t="shared" si="297"/>
        <v/>
      </c>
      <c r="BA436" s="51" t="str">
        <f t="shared" si="298"/>
        <v/>
      </c>
      <c r="BB436" s="51" t="str">
        <f t="shared" si="299"/>
        <v/>
      </c>
      <c r="BC436" s="51" t="str">
        <f t="shared" si="300"/>
        <v/>
      </c>
      <c r="BD436" s="51" t="str">
        <f t="shared" si="301"/>
        <v/>
      </c>
      <c r="BE436" s="51" t="str">
        <f t="shared" si="302"/>
        <v/>
      </c>
      <c r="BF436" s="51" t="str">
        <f t="shared" si="303"/>
        <v/>
      </c>
      <c r="BG436" s="51" t="str">
        <f t="shared" si="304"/>
        <v/>
      </c>
      <c r="BH436" s="51" t="b">
        <f t="shared" si="305"/>
        <v>0</v>
      </c>
      <c r="BI436" s="51" t="str">
        <f t="shared" si="306"/>
        <v/>
      </c>
      <c r="BJ436" s="51" t="str">
        <f t="shared" si="307"/>
        <v/>
      </c>
      <c r="BK436" s="51" t="b">
        <f t="shared" si="308"/>
        <v>0</v>
      </c>
      <c r="BL436" s="192"/>
    </row>
    <row r="437" spans="1:64" ht="13.5" thickBot="1" x14ac:dyDescent="0.25">
      <c r="A437" s="185" t="s">
        <v>1115</v>
      </c>
      <c r="B437" s="194" t="s">
        <v>695</v>
      </c>
      <c r="C437" s="194" t="s">
        <v>695</v>
      </c>
      <c r="D437" s="194" t="s">
        <v>695</v>
      </c>
      <c r="E437" s="193" t="s">
        <v>694</v>
      </c>
      <c r="F437" s="160" t="s">
        <v>20</v>
      </c>
      <c r="G437" s="161"/>
      <c r="H437" s="186" t="str">
        <f t="shared" si="266"/>
        <v>N/A</v>
      </c>
      <c r="I437" s="186" t="b">
        <f t="shared" si="267"/>
        <v>1</v>
      </c>
      <c r="J437" s="186" t="str">
        <f t="shared" si="268"/>
        <v>N/A</v>
      </c>
      <c r="K437" s="186" t="b">
        <f t="shared" si="269"/>
        <v>1</v>
      </c>
      <c r="L437" s="186" t="str">
        <f t="shared" si="270"/>
        <v>N/A</v>
      </c>
      <c r="M437" s="186" t="b">
        <f t="shared" si="271"/>
        <v>1</v>
      </c>
      <c r="N437" s="186" t="str">
        <f t="shared" si="272"/>
        <v>Used?</v>
      </c>
      <c r="O437" s="186" t="b">
        <f t="shared" si="273"/>
        <v>0</v>
      </c>
      <c r="P437" s="26" t="s">
        <v>696</v>
      </c>
      <c r="Q437" s="160" t="s">
        <v>20</v>
      </c>
      <c r="R437" s="160" t="s">
        <v>20</v>
      </c>
      <c r="S437" s="26" t="s">
        <v>697</v>
      </c>
      <c r="T437" s="165" t="str">
        <f t="shared" si="274"/>
        <v>Not Used</v>
      </c>
      <c r="U437" s="162"/>
      <c r="V437" s="55"/>
      <c r="W437" s="51" t="b">
        <f t="shared" si="275"/>
        <v>1</v>
      </c>
      <c r="X437" s="51" t="str">
        <f t="shared" si="276"/>
        <v>Not Used</v>
      </c>
      <c r="Y437" s="51" t="str">
        <f t="shared" si="277"/>
        <v>Not Used</v>
      </c>
      <c r="Z437" s="51" t="str">
        <f t="shared" si="278"/>
        <v>Not Used</v>
      </c>
      <c r="AA437" s="51" t="str">
        <f t="shared" si="278"/>
        <v>Not Used</v>
      </c>
      <c r="AB437" s="51" t="str">
        <f t="shared" si="279"/>
        <v>Not Used</v>
      </c>
      <c r="AC437" s="51" t="b">
        <f t="shared" si="280"/>
        <v>1</v>
      </c>
      <c r="AD437" s="51">
        <f>COUNTIF($X$5:$X$437, "Not Used")</f>
        <v>433</v>
      </c>
      <c r="AE437" s="51">
        <f>COUNTIF($X$5:$X$437, "TRUE")</f>
        <v>0</v>
      </c>
      <c r="AF437" s="51" t="b">
        <f t="shared" si="281"/>
        <v>1</v>
      </c>
      <c r="AI437" s="51" t="b">
        <f t="shared" si="282"/>
        <v>0</v>
      </c>
      <c r="AJ437" s="51" t="b">
        <f t="shared" si="283"/>
        <v>0</v>
      </c>
      <c r="AK437" s="51" t="b">
        <f t="shared" si="284"/>
        <v>0</v>
      </c>
      <c r="AL437" s="51" t="b">
        <f t="shared" si="285"/>
        <v>0</v>
      </c>
      <c r="AM437" s="51" t="b">
        <f t="shared" si="286"/>
        <v>0</v>
      </c>
      <c r="AN437" s="51"/>
      <c r="AO437" s="51" t="b">
        <f t="shared" si="287"/>
        <v>0</v>
      </c>
      <c r="AP437" s="51" t="str">
        <f t="shared" si="309"/>
        <v>Not in MMS</v>
      </c>
      <c r="AQ437" s="51" t="b">
        <f t="shared" si="288"/>
        <v>0</v>
      </c>
      <c r="AR437" s="51" t="b">
        <f t="shared" si="289"/>
        <v>0</v>
      </c>
      <c r="AS437" s="51" t="str">
        <f t="shared" si="290"/>
        <v/>
      </c>
      <c r="AT437" s="51" t="str">
        <f t="shared" si="291"/>
        <v/>
      </c>
      <c r="AU437" s="51" t="str">
        <f t="shared" si="292"/>
        <v/>
      </c>
      <c r="AV437" s="51" t="str">
        <f t="shared" si="293"/>
        <v/>
      </c>
      <c r="AW437" s="51" t="str">
        <f t="shared" si="294"/>
        <v/>
      </c>
      <c r="AX437" s="51" t="str">
        <f t="shared" si="295"/>
        <v/>
      </c>
      <c r="AY437" s="51" t="str">
        <f t="shared" si="296"/>
        <v/>
      </c>
      <c r="AZ437" s="51" t="str">
        <f t="shared" si="297"/>
        <v/>
      </c>
      <c r="BA437" s="51" t="str">
        <f t="shared" si="298"/>
        <v/>
      </c>
      <c r="BB437" s="51" t="str">
        <f t="shared" si="299"/>
        <v/>
      </c>
      <c r="BC437" s="51" t="str">
        <f t="shared" si="300"/>
        <v/>
      </c>
      <c r="BD437" s="51" t="str">
        <f t="shared" si="301"/>
        <v/>
      </c>
      <c r="BE437" s="51" t="str">
        <f t="shared" si="302"/>
        <v/>
      </c>
      <c r="BF437" s="51" t="str">
        <f t="shared" si="303"/>
        <v/>
      </c>
      <c r="BG437" s="51" t="str">
        <f t="shared" si="304"/>
        <v/>
      </c>
      <c r="BH437" s="51" t="b">
        <f t="shared" si="305"/>
        <v>0</v>
      </c>
      <c r="BI437" s="51" t="str">
        <f t="shared" si="306"/>
        <v/>
      </c>
      <c r="BJ437" s="51" t="str">
        <f t="shared" si="307"/>
        <v/>
      </c>
      <c r="BK437" s="51" t="b">
        <f t="shared" si="308"/>
        <v>0</v>
      </c>
      <c r="BL437" s="192"/>
    </row>
    <row r="438" spans="1:64" ht="13.5" thickBot="1" x14ac:dyDescent="0.25">
      <c r="A438" s="185" t="s">
        <v>1116</v>
      </c>
      <c r="B438" s="194" t="s">
        <v>695</v>
      </c>
      <c r="C438" s="194" t="s">
        <v>695</v>
      </c>
      <c r="D438" s="194" t="s">
        <v>695</v>
      </c>
      <c r="E438" s="193" t="s">
        <v>694</v>
      </c>
      <c r="F438" s="160" t="s">
        <v>20</v>
      </c>
      <c r="G438" s="161"/>
      <c r="H438" s="186" t="str">
        <f t="shared" si="266"/>
        <v>N/A</v>
      </c>
      <c r="I438" s="186" t="b">
        <f t="shared" si="267"/>
        <v>1</v>
      </c>
      <c r="J438" s="186" t="str">
        <f t="shared" si="268"/>
        <v>N/A</v>
      </c>
      <c r="K438" s="186" t="b">
        <f t="shared" si="269"/>
        <v>1</v>
      </c>
      <c r="L438" s="186" t="str">
        <f t="shared" si="270"/>
        <v>N/A</v>
      </c>
      <c r="M438" s="186" t="b">
        <f t="shared" si="271"/>
        <v>1</v>
      </c>
      <c r="N438" s="186" t="str">
        <f t="shared" si="272"/>
        <v>Used?</v>
      </c>
      <c r="O438" s="186" t="b">
        <f t="shared" si="273"/>
        <v>0</v>
      </c>
      <c r="P438" s="26" t="s">
        <v>696</v>
      </c>
      <c r="Q438" s="160" t="s">
        <v>20</v>
      </c>
      <c r="R438" s="160" t="s">
        <v>20</v>
      </c>
      <c r="S438" s="26" t="s">
        <v>697</v>
      </c>
      <c r="T438" s="165" t="str">
        <f t="shared" si="274"/>
        <v>Not Used</v>
      </c>
      <c r="U438" s="162"/>
      <c r="V438" s="55"/>
      <c r="W438" s="51" t="b">
        <f t="shared" si="275"/>
        <v>1</v>
      </c>
      <c r="X438" s="51" t="str">
        <f t="shared" si="276"/>
        <v>Not Used</v>
      </c>
      <c r="Y438" s="51" t="str">
        <f t="shared" si="277"/>
        <v>Not Used</v>
      </c>
      <c r="Z438" s="51" t="str">
        <f t="shared" si="278"/>
        <v>Not Used</v>
      </c>
      <c r="AA438" s="51" t="str">
        <f t="shared" si="278"/>
        <v>Not Used</v>
      </c>
      <c r="AB438" s="51" t="str">
        <f t="shared" si="279"/>
        <v>Not Used</v>
      </c>
      <c r="AC438" s="51" t="b">
        <f t="shared" si="280"/>
        <v>1</v>
      </c>
      <c r="AD438" s="51">
        <f>COUNTIF($X$5:$X$438, "Not Used")</f>
        <v>434</v>
      </c>
      <c r="AE438" s="51">
        <f>COUNTIF($X$5:$X$438, "TRUE")</f>
        <v>0</v>
      </c>
      <c r="AF438" s="51" t="b">
        <f t="shared" si="281"/>
        <v>1</v>
      </c>
      <c r="AI438" s="51" t="b">
        <f t="shared" si="282"/>
        <v>0</v>
      </c>
      <c r="AJ438" s="51" t="b">
        <f t="shared" si="283"/>
        <v>0</v>
      </c>
      <c r="AK438" s="51" t="b">
        <f t="shared" si="284"/>
        <v>0</v>
      </c>
      <c r="AL438" s="51" t="b">
        <f t="shared" si="285"/>
        <v>0</v>
      </c>
      <c r="AM438" s="51" t="b">
        <f t="shared" si="286"/>
        <v>0</v>
      </c>
      <c r="AN438" s="51"/>
      <c r="AO438" s="51" t="b">
        <f t="shared" si="287"/>
        <v>0</v>
      </c>
      <c r="AP438" s="51" t="str">
        <f t="shared" si="309"/>
        <v>Not in MMS</v>
      </c>
      <c r="AQ438" s="51" t="b">
        <f t="shared" si="288"/>
        <v>0</v>
      </c>
      <c r="AR438" s="51" t="b">
        <f t="shared" si="289"/>
        <v>0</v>
      </c>
      <c r="AS438" s="51" t="str">
        <f t="shared" si="290"/>
        <v/>
      </c>
      <c r="AT438" s="51" t="str">
        <f t="shared" si="291"/>
        <v/>
      </c>
      <c r="AU438" s="51" t="str">
        <f t="shared" si="292"/>
        <v/>
      </c>
      <c r="AV438" s="51" t="str">
        <f t="shared" si="293"/>
        <v/>
      </c>
      <c r="AW438" s="51" t="str">
        <f t="shared" si="294"/>
        <v/>
      </c>
      <c r="AX438" s="51" t="str">
        <f t="shared" si="295"/>
        <v/>
      </c>
      <c r="AY438" s="51" t="str">
        <f t="shared" si="296"/>
        <v/>
      </c>
      <c r="AZ438" s="51" t="str">
        <f t="shared" si="297"/>
        <v/>
      </c>
      <c r="BA438" s="51" t="str">
        <f t="shared" si="298"/>
        <v/>
      </c>
      <c r="BB438" s="51" t="str">
        <f t="shared" si="299"/>
        <v/>
      </c>
      <c r="BC438" s="51" t="str">
        <f t="shared" si="300"/>
        <v/>
      </c>
      <c r="BD438" s="51" t="str">
        <f t="shared" si="301"/>
        <v/>
      </c>
      <c r="BE438" s="51" t="str">
        <f t="shared" si="302"/>
        <v/>
      </c>
      <c r="BF438" s="51" t="str">
        <f t="shared" si="303"/>
        <v/>
      </c>
      <c r="BG438" s="51" t="str">
        <f t="shared" si="304"/>
        <v/>
      </c>
      <c r="BH438" s="51" t="b">
        <f t="shared" si="305"/>
        <v>0</v>
      </c>
      <c r="BI438" s="51" t="str">
        <f t="shared" si="306"/>
        <v/>
      </c>
      <c r="BJ438" s="51" t="str">
        <f t="shared" si="307"/>
        <v/>
      </c>
      <c r="BK438" s="51" t="b">
        <f t="shared" si="308"/>
        <v>0</v>
      </c>
      <c r="BL438" s="192"/>
    </row>
    <row r="439" spans="1:64" ht="13.5" thickBot="1" x14ac:dyDescent="0.25">
      <c r="A439" s="185" t="s">
        <v>1117</v>
      </c>
      <c r="B439" s="194" t="s">
        <v>695</v>
      </c>
      <c r="C439" s="194" t="s">
        <v>695</v>
      </c>
      <c r="D439" s="194" t="s">
        <v>695</v>
      </c>
      <c r="E439" s="193" t="s">
        <v>694</v>
      </c>
      <c r="F439" s="160" t="s">
        <v>20</v>
      </c>
      <c r="G439" s="161"/>
      <c r="H439" s="186" t="str">
        <f t="shared" si="266"/>
        <v>N/A</v>
      </c>
      <c r="I439" s="186" t="b">
        <f t="shared" si="267"/>
        <v>1</v>
      </c>
      <c r="J439" s="186" t="str">
        <f t="shared" si="268"/>
        <v>N/A</v>
      </c>
      <c r="K439" s="186" t="b">
        <f t="shared" si="269"/>
        <v>1</v>
      </c>
      <c r="L439" s="186" t="str">
        <f t="shared" si="270"/>
        <v>N/A</v>
      </c>
      <c r="M439" s="186" t="b">
        <f t="shared" si="271"/>
        <v>1</v>
      </c>
      <c r="N439" s="186" t="str">
        <f t="shared" si="272"/>
        <v>Used?</v>
      </c>
      <c r="O439" s="186" t="b">
        <f t="shared" si="273"/>
        <v>0</v>
      </c>
      <c r="P439" s="26" t="s">
        <v>696</v>
      </c>
      <c r="Q439" s="160" t="s">
        <v>20</v>
      </c>
      <c r="R439" s="160" t="s">
        <v>20</v>
      </c>
      <c r="S439" s="26" t="s">
        <v>697</v>
      </c>
      <c r="T439" s="165" t="str">
        <f t="shared" si="274"/>
        <v>Not Used</v>
      </c>
      <c r="U439" s="162"/>
      <c r="V439" s="55"/>
      <c r="W439" s="51" t="b">
        <f t="shared" si="275"/>
        <v>1</v>
      </c>
      <c r="X439" s="51" t="str">
        <f t="shared" si="276"/>
        <v>Not Used</v>
      </c>
      <c r="Y439" s="51" t="str">
        <f t="shared" si="277"/>
        <v>Not Used</v>
      </c>
      <c r="Z439" s="51" t="str">
        <f t="shared" si="278"/>
        <v>Not Used</v>
      </c>
      <c r="AA439" s="51" t="str">
        <f t="shared" si="278"/>
        <v>Not Used</v>
      </c>
      <c r="AB439" s="51" t="str">
        <f t="shared" si="279"/>
        <v>Not Used</v>
      </c>
      <c r="AC439" s="51" t="b">
        <f t="shared" si="280"/>
        <v>1</v>
      </c>
      <c r="AD439" s="51">
        <f>COUNTIF($X$5:$X$439, "Not Used")</f>
        <v>435</v>
      </c>
      <c r="AE439" s="51">
        <f>COUNTIF($X$5:$X$439, "TRUE")</f>
        <v>0</v>
      </c>
      <c r="AF439" s="51" t="b">
        <f t="shared" si="281"/>
        <v>1</v>
      </c>
      <c r="AI439" s="51" t="b">
        <f t="shared" si="282"/>
        <v>0</v>
      </c>
      <c r="AJ439" s="51" t="b">
        <f t="shared" si="283"/>
        <v>0</v>
      </c>
      <c r="AK439" s="51" t="b">
        <f t="shared" si="284"/>
        <v>0</v>
      </c>
      <c r="AL439" s="51" t="b">
        <f t="shared" si="285"/>
        <v>0</v>
      </c>
      <c r="AM439" s="51" t="b">
        <f t="shared" si="286"/>
        <v>0</v>
      </c>
      <c r="AN439" s="51"/>
      <c r="AO439" s="51" t="b">
        <f t="shared" si="287"/>
        <v>0</v>
      </c>
      <c r="AP439" s="51" t="str">
        <f t="shared" si="309"/>
        <v>Not in MMS</v>
      </c>
      <c r="AQ439" s="51" t="b">
        <f t="shared" si="288"/>
        <v>0</v>
      </c>
      <c r="AR439" s="51" t="b">
        <f t="shared" si="289"/>
        <v>0</v>
      </c>
      <c r="AS439" s="51" t="str">
        <f t="shared" si="290"/>
        <v/>
      </c>
      <c r="AT439" s="51" t="str">
        <f t="shared" si="291"/>
        <v/>
      </c>
      <c r="AU439" s="51" t="str">
        <f t="shared" si="292"/>
        <v/>
      </c>
      <c r="AV439" s="51" t="str">
        <f t="shared" si="293"/>
        <v/>
      </c>
      <c r="AW439" s="51" t="str">
        <f t="shared" si="294"/>
        <v/>
      </c>
      <c r="AX439" s="51" t="str">
        <f t="shared" si="295"/>
        <v/>
      </c>
      <c r="AY439" s="51" t="str">
        <f t="shared" si="296"/>
        <v/>
      </c>
      <c r="AZ439" s="51" t="str">
        <f t="shared" si="297"/>
        <v/>
      </c>
      <c r="BA439" s="51" t="str">
        <f t="shared" si="298"/>
        <v/>
      </c>
      <c r="BB439" s="51" t="str">
        <f t="shared" si="299"/>
        <v/>
      </c>
      <c r="BC439" s="51" t="str">
        <f t="shared" si="300"/>
        <v/>
      </c>
      <c r="BD439" s="51" t="str">
        <f t="shared" si="301"/>
        <v/>
      </c>
      <c r="BE439" s="51" t="str">
        <f t="shared" si="302"/>
        <v/>
      </c>
      <c r="BF439" s="51" t="str">
        <f t="shared" si="303"/>
        <v/>
      </c>
      <c r="BG439" s="51" t="str">
        <f t="shared" si="304"/>
        <v/>
      </c>
      <c r="BH439" s="51" t="b">
        <f t="shared" si="305"/>
        <v>0</v>
      </c>
      <c r="BI439" s="51" t="str">
        <f t="shared" si="306"/>
        <v/>
      </c>
      <c r="BJ439" s="51" t="str">
        <f t="shared" si="307"/>
        <v/>
      </c>
      <c r="BK439" s="51" t="b">
        <f t="shared" si="308"/>
        <v>0</v>
      </c>
      <c r="BL439" s="192"/>
    </row>
    <row r="440" spans="1:64" ht="13.5" thickBot="1" x14ac:dyDescent="0.25">
      <c r="A440" s="185" t="s">
        <v>1118</v>
      </c>
      <c r="B440" s="194" t="s">
        <v>695</v>
      </c>
      <c r="C440" s="194" t="s">
        <v>695</v>
      </c>
      <c r="D440" s="194" t="s">
        <v>695</v>
      </c>
      <c r="E440" s="193" t="s">
        <v>694</v>
      </c>
      <c r="F440" s="160" t="s">
        <v>20</v>
      </c>
      <c r="G440" s="161"/>
      <c r="H440" s="186" t="str">
        <f t="shared" si="266"/>
        <v>N/A</v>
      </c>
      <c r="I440" s="186" t="b">
        <f t="shared" si="267"/>
        <v>1</v>
      </c>
      <c r="J440" s="186" t="str">
        <f t="shared" si="268"/>
        <v>N/A</v>
      </c>
      <c r="K440" s="186" t="b">
        <f t="shared" si="269"/>
        <v>1</v>
      </c>
      <c r="L440" s="186" t="str">
        <f t="shared" si="270"/>
        <v>N/A</v>
      </c>
      <c r="M440" s="186" t="b">
        <f t="shared" si="271"/>
        <v>1</v>
      </c>
      <c r="N440" s="186" t="str">
        <f t="shared" si="272"/>
        <v>Used?</v>
      </c>
      <c r="O440" s="186" t="b">
        <f t="shared" si="273"/>
        <v>0</v>
      </c>
      <c r="P440" s="26" t="s">
        <v>696</v>
      </c>
      <c r="Q440" s="160" t="s">
        <v>20</v>
      </c>
      <c r="R440" s="160" t="s">
        <v>20</v>
      </c>
      <c r="S440" s="26" t="s">
        <v>697</v>
      </c>
      <c r="T440" s="165" t="str">
        <f t="shared" si="274"/>
        <v>Not Used</v>
      </c>
      <c r="U440" s="162"/>
      <c r="V440" s="55"/>
      <c r="W440" s="51" t="b">
        <f t="shared" si="275"/>
        <v>1</v>
      </c>
      <c r="X440" s="51" t="str">
        <f t="shared" si="276"/>
        <v>Not Used</v>
      </c>
      <c r="Y440" s="51" t="str">
        <f t="shared" si="277"/>
        <v>Not Used</v>
      </c>
      <c r="Z440" s="51" t="str">
        <f t="shared" si="278"/>
        <v>Not Used</v>
      </c>
      <c r="AA440" s="51" t="str">
        <f t="shared" si="278"/>
        <v>Not Used</v>
      </c>
      <c r="AB440" s="51" t="str">
        <f t="shared" si="279"/>
        <v>Not Used</v>
      </c>
      <c r="AC440" s="51" t="b">
        <f t="shared" si="280"/>
        <v>1</v>
      </c>
      <c r="AD440" s="51">
        <f>COUNTIF($X$5:$X$440, "Not Used")</f>
        <v>436</v>
      </c>
      <c r="AE440" s="51">
        <f>COUNTIF($X$5:$X$440, "TRUE")</f>
        <v>0</v>
      </c>
      <c r="AF440" s="51" t="b">
        <f t="shared" si="281"/>
        <v>1</v>
      </c>
      <c r="AI440" s="51" t="b">
        <f t="shared" si="282"/>
        <v>0</v>
      </c>
      <c r="AJ440" s="51" t="b">
        <f t="shared" si="283"/>
        <v>0</v>
      </c>
      <c r="AK440" s="51" t="b">
        <f t="shared" si="284"/>
        <v>0</v>
      </c>
      <c r="AL440" s="51" t="b">
        <f t="shared" si="285"/>
        <v>0</v>
      </c>
      <c r="AM440" s="51" t="b">
        <f t="shared" si="286"/>
        <v>0</v>
      </c>
      <c r="AN440" s="51"/>
      <c r="AO440" s="51" t="b">
        <f t="shared" si="287"/>
        <v>0</v>
      </c>
      <c r="AP440" s="51" t="str">
        <f t="shared" si="309"/>
        <v>Not in MMS</v>
      </c>
      <c r="AQ440" s="51" t="b">
        <f t="shared" si="288"/>
        <v>0</v>
      </c>
      <c r="AR440" s="51" t="b">
        <f t="shared" si="289"/>
        <v>0</v>
      </c>
      <c r="AS440" s="51" t="str">
        <f t="shared" si="290"/>
        <v/>
      </c>
      <c r="AT440" s="51" t="str">
        <f t="shared" si="291"/>
        <v/>
      </c>
      <c r="AU440" s="51" t="str">
        <f t="shared" si="292"/>
        <v/>
      </c>
      <c r="AV440" s="51" t="str">
        <f t="shared" si="293"/>
        <v/>
      </c>
      <c r="AW440" s="51" t="str">
        <f t="shared" si="294"/>
        <v/>
      </c>
      <c r="AX440" s="51" t="str">
        <f t="shared" si="295"/>
        <v/>
      </c>
      <c r="AY440" s="51" t="str">
        <f t="shared" si="296"/>
        <v/>
      </c>
      <c r="AZ440" s="51" t="str">
        <f t="shared" si="297"/>
        <v/>
      </c>
      <c r="BA440" s="51" t="str">
        <f t="shared" si="298"/>
        <v/>
      </c>
      <c r="BB440" s="51" t="str">
        <f t="shared" si="299"/>
        <v/>
      </c>
      <c r="BC440" s="51" t="str">
        <f t="shared" si="300"/>
        <v/>
      </c>
      <c r="BD440" s="51" t="str">
        <f t="shared" si="301"/>
        <v/>
      </c>
      <c r="BE440" s="51" t="str">
        <f t="shared" si="302"/>
        <v/>
      </c>
      <c r="BF440" s="51" t="str">
        <f t="shared" si="303"/>
        <v/>
      </c>
      <c r="BG440" s="51" t="str">
        <f t="shared" si="304"/>
        <v/>
      </c>
      <c r="BH440" s="51" t="b">
        <f t="shared" si="305"/>
        <v>0</v>
      </c>
      <c r="BI440" s="51" t="str">
        <f t="shared" si="306"/>
        <v/>
      </c>
      <c r="BJ440" s="51" t="str">
        <f t="shared" si="307"/>
        <v/>
      </c>
      <c r="BK440" s="51" t="b">
        <f t="shared" si="308"/>
        <v>0</v>
      </c>
      <c r="BL440" s="192"/>
    </row>
    <row r="441" spans="1:64" ht="13.5" thickBot="1" x14ac:dyDescent="0.25">
      <c r="A441" s="185" t="s">
        <v>1119</v>
      </c>
      <c r="B441" s="194" t="s">
        <v>695</v>
      </c>
      <c r="C441" s="194" t="s">
        <v>695</v>
      </c>
      <c r="D441" s="194" t="s">
        <v>695</v>
      </c>
      <c r="E441" s="193" t="s">
        <v>694</v>
      </c>
      <c r="F441" s="160" t="s">
        <v>20</v>
      </c>
      <c r="G441" s="161"/>
      <c r="H441" s="186" t="str">
        <f t="shared" si="266"/>
        <v>N/A</v>
      </c>
      <c r="I441" s="186" t="b">
        <f t="shared" si="267"/>
        <v>1</v>
      </c>
      <c r="J441" s="186" t="str">
        <f t="shared" si="268"/>
        <v>N/A</v>
      </c>
      <c r="K441" s="186" t="b">
        <f t="shared" si="269"/>
        <v>1</v>
      </c>
      <c r="L441" s="186" t="str">
        <f t="shared" si="270"/>
        <v>N/A</v>
      </c>
      <c r="M441" s="186" t="b">
        <f t="shared" si="271"/>
        <v>1</v>
      </c>
      <c r="N441" s="186" t="str">
        <f t="shared" si="272"/>
        <v>Used?</v>
      </c>
      <c r="O441" s="186" t="b">
        <f t="shared" si="273"/>
        <v>0</v>
      </c>
      <c r="P441" s="26" t="s">
        <v>696</v>
      </c>
      <c r="Q441" s="160" t="s">
        <v>20</v>
      </c>
      <c r="R441" s="160" t="s">
        <v>20</v>
      </c>
      <c r="S441" s="26" t="s">
        <v>697</v>
      </c>
      <c r="T441" s="165" t="str">
        <f t="shared" si="274"/>
        <v>Not Used</v>
      </c>
      <c r="U441" s="162"/>
      <c r="V441" s="55"/>
      <c r="W441" s="51" t="b">
        <f t="shared" si="275"/>
        <v>1</v>
      </c>
      <c r="X441" s="51" t="str">
        <f t="shared" si="276"/>
        <v>Not Used</v>
      </c>
      <c r="Y441" s="51" t="str">
        <f t="shared" si="277"/>
        <v>Not Used</v>
      </c>
      <c r="Z441" s="51" t="str">
        <f t="shared" si="278"/>
        <v>Not Used</v>
      </c>
      <c r="AA441" s="51" t="str">
        <f t="shared" si="278"/>
        <v>Not Used</v>
      </c>
      <c r="AB441" s="51" t="str">
        <f t="shared" si="279"/>
        <v>Not Used</v>
      </c>
      <c r="AC441" s="51" t="b">
        <f t="shared" si="280"/>
        <v>1</v>
      </c>
      <c r="AD441" s="51">
        <f>COUNTIF($X$5:$X$441, "Not Used")</f>
        <v>437</v>
      </c>
      <c r="AE441" s="51">
        <f>COUNTIF($X$5:$X$441, "TRUE")</f>
        <v>0</v>
      </c>
      <c r="AF441" s="51" t="b">
        <f t="shared" si="281"/>
        <v>1</v>
      </c>
      <c r="AI441" s="51" t="b">
        <f t="shared" si="282"/>
        <v>0</v>
      </c>
      <c r="AJ441" s="51" t="b">
        <f t="shared" si="283"/>
        <v>0</v>
      </c>
      <c r="AK441" s="51" t="b">
        <f t="shared" si="284"/>
        <v>0</v>
      </c>
      <c r="AL441" s="51" t="b">
        <f t="shared" si="285"/>
        <v>0</v>
      </c>
      <c r="AM441" s="51" t="b">
        <f t="shared" si="286"/>
        <v>0</v>
      </c>
      <c r="AN441" s="51"/>
      <c r="AO441" s="51" t="b">
        <f t="shared" si="287"/>
        <v>0</v>
      </c>
      <c r="AP441" s="51" t="str">
        <f t="shared" si="309"/>
        <v>Not in MMS</v>
      </c>
      <c r="AQ441" s="51" t="b">
        <f t="shared" si="288"/>
        <v>0</v>
      </c>
      <c r="AR441" s="51" t="b">
        <f t="shared" si="289"/>
        <v>0</v>
      </c>
      <c r="AS441" s="51" t="str">
        <f t="shared" si="290"/>
        <v/>
      </c>
      <c r="AT441" s="51" t="str">
        <f t="shared" si="291"/>
        <v/>
      </c>
      <c r="AU441" s="51" t="str">
        <f t="shared" si="292"/>
        <v/>
      </c>
      <c r="AV441" s="51" t="str">
        <f t="shared" si="293"/>
        <v/>
      </c>
      <c r="AW441" s="51" t="str">
        <f t="shared" si="294"/>
        <v/>
      </c>
      <c r="AX441" s="51" t="str">
        <f t="shared" si="295"/>
        <v/>
      </c>
      <c r="AY441" s="51" t="str">
        <f t="shared" si="296"/>
        <v/>
      </c>
      <c r="AZ441" s="51" t="str">
        <f t="shared" si="297"/>
        <v/>
      </c>
      <c r="BA441" s="51" t="str">
        <f t="shared" si="298"/>
        <v/>
      </c>
      <c r="BB441" s="51" t="str">
        <f t="shared" si="299"/>
        <v/>
      </c>
      <c r="BC441" s="51" t="str">
        <f t="shared" si="300"/>
        <v/>
      </c>
      <c r="BD441" s="51" t="str">
        <f t="shared" si="301"/>
        <v/>
      </c>
      <c r="BE441" s="51" t="str">
        <f t="shared" si="302"/>
        <v/>
      </c>
      <c r="BF441" s="51" t="str">
        <f t="shared" si="303"/>
        <v/>
      </c>
      <c r="BG441" s="51" t="str">
        <f t="shared" si="304"/>
        <v/>
      </c>
      <c r="BH441" s="51" t="b">
        <f t="shared" si="305"/>
        <v>0</v>
      </c>
      <c r="BI441" s="51" t="str">
        <f t="shared" si="306"/>
        <v/>
      </c>
      <c r="BJ441" s="51" t="str">
        <f t="shared" si="307"/>
        <v/>
      </c>
      <c r="BK441" s="51" t="b">
        <f t="shared" si="308"/>
        <v>0</v>
      </c>
      <c r="BL441" s="192"/>
    </row>
    <row r="442" spans="1:64" ht="13.5" thickBot="1" x14ac:dyDescent="0.25">
      <c r="A442" s="185" t="s">
        <v>1120</v>
      </c>
      <c r="B442" s="194" t="s">
        <v>695</v>
      </c>
      <c r="C442" s="194" t="s">
        <v>695</v>
      </c>
      <c r="D442" s="194" t="s">
        <v>695</v>
      </c>
      <c r="E442" s="193" t="s">
        <v>694</v>
      </c>
      <c r="F442" s="160" t="s">
        <v>20</v>
      </c>
      <c r="G442" s="161"/>
      <c r="H442" s="186" t="str">
        <f t="shared" si="266"/>
        <v>N/A</v>
      </c>
      <c r="I442" s="186" t="b">
        <f t="shared" si="267"/>
        <v>1</v>
      </c>
      <c r="J442" s="186" t="str">
        <f t="shared" si="268"/>
        <v>N/A</v>
      </c>
      <c r="K442" s="186" t="b">
        <f t="shared" si="269"/>
        <v>1</v>
      </c>
      <c r="L442" s="186" t="str">
        <f t="shared" si="270"/>
        <v>N/A</v>
      </c>
      <c r="M442" s="186" t="b">
        <f t="shared" si="271"/>
        <v>1</v>
      </c>
      <c r="N442" s="186" t="str">
        <f t="shared" si="272"/>
        <v>Used?</v>
      </c>
      <c r="O442" s="186" t="b">
        <f t="shared" si="273"/>
        <v>0</v>
      </c>
      <c r="P442" s="26" t="s">
        <v>696</v>
      </c>
      <c r="Q442" s="160" t="s">
        <v>20</v>
      </c>
      <c r="R442" s="160" t="s">
        <v>20</v>
      </c>
      <c r="S442" s="26" t="s">
        <v>697</v>
      </c>
      <c r="T442" s="165" t="str">
        <f t="shared" si="274"/>
        <v>Not Used</v>
      </c>
      <c r="U442" s="162"/>
      <c r="V442" s="55"/>
      <c r="W442" s="51" t="b">
        <f t="shared" si="275"/>
        <v>1</v>
      </c>
      <c r="X442" s="51" t="str">
        <f t="shared" si="276"/>
        <v>Not Used</v>
      </c>
      <c r="Y442" s="51" t="str">
        <f t="shared" si="277"/>
        <v>Not Used</v>
      </c>
      <c r="Z442" s="51" t="str">
        <f t="shared" si="278"/>
        <v>Not Used</v>
      </c>
      <c r="AA442" s="51" t="str">
        <f t="shared" si="278"/>
        <v>Not Used</v>
      </c>
      <c r="AB442" s="51" t="str">
        <f t="shared" si="279"/>
        <v>Not Used</v>
      </c>
      <c r="AC442" s="51" t="b">
        <f t="shared" si="280"/>
        <v>1</v>
      </c>
      <c r="AD442" s="51">
        <f>COUNTIF($X$5:$X$442, "Not Used")</f>
        <v>438</v>
      </c>
      <c r="AE442" s="51">
        <f>COUNTIF($X$5:$X$442, "TRUE")</f>
        <v>0</v>
      </c>
      <c r="AF442" s="51" t="b">
        <f t="shared" si="281"/>
        <v>1</v>
      </c>
      <c r="AI442" s="51" t="b">
        <f t="shared" si="282"/>
        <v>0</v>
      </c>
      <c r="AJ442" s="51" t="b">
        <f t="shared" si="283"/>
        <v>0</v>
      </c>
      <c r="AK442" s="51" t="b">
        <f t="shared" si="284"/>
        <v>0</v>
      </c>
      <c r="AL442" s="51" t="b">
        <f t="shared" si="285"/>
        <v>0</v>
      </c>
      <c r="AM442" s="51" t="b">
        <f t="shared" si="286"/>
        <v>0</v>
      </c>
      <c r="AN442" s="51"/>
      <c r="AO442" s="51" t="b">
        <f t="shared" si="287"/>
        <v>0</v>
      </c>
      <c r="AP442" s="51" t="str">
        <f t="shared" si="309"/>
        <v>Not in MMS</v>
      </c>
      <c r="AQ442" s="51" t="b">
        <f t="shared" si="288"/>
        <v>0</v>
      </c>
      <c r="AR442" s="51" t="b">
        <f t="shared" si="289"/>
        <v>0</v>
      </c>
      <c r="AS442" s="51" t="str">
        <f t="shared" si="290"/>
        <v/>
      </c>
      <c r="AT442" s="51" t="str">
        <f t="shared" si="291"/>
        <v/>
      </c>
      <c r="AU442" s="51" t="str">
        <f t="shared" si="292"/>
        <v/>
      </c>
      <c r="AV442" s="51" t="str">
        <f t="shared" si="293"/>
        <v/>
      </c>
      <c r="AW442" s="51" t="str">
        <f t="shared" si="294"/>
        <v/>
      </c>
      <c r="AX442" s="51" t="str">
        <f t="shared" si="295"/>
        <v/>
      </c>
      <c r="AY442" s="51" t="str">
        <f t="shared" si="296"/>
        <v/>
      </c>
      <c r="AZ442" s="51" t="str">
        <f t="shared" si="297"/>
        <v/>
      </c>
      <c r="BA442" s="51" t="str">
        <f t="shared" si="298"/>
        <v/>
      </c>
      <c r="BB442" s="51" t="str">
        <f t="shared" si="299"/>
        <v/>
      </c>
      <c r="BC442" s="51" t="str">
        <f t="shared" si="300"/>
        <v/>
      </c>
      <c r="BD442" s="51" t="str">
        <f t="shared" si="301"/>
        <v/>
      </c>
      <c r="BE442" s="51" t="str">
        <f t="shared" si="302"/>
        <v/>
      </c>
      <c r="BF442" s="51" t="str">
        <f t="shared" si="303"/>
        <v/>
      </c>
      <c r="BG442" s="51" t="str">
        <f t="shared" si="304"/>
        <v/>
      </c>
      <c r="BH442" s="51" t="b">
        <f t="shared" si="305"/>
        <v>0</v>
      </c>
      <c r="BI442" s="51" t="str">
        <f t="shared" si="306"/>
        <v/>
      </c>
      <c r="BJ442" s="51" t="str">
        <f t="shared" si="307"/>
        <v/>
      </c>
      <c r="BK442" s="51" t="b">
        <f t="shared" si="308"/>
        <v>0</v>
      </c>
      <c r="BL442" s="192"/>
    </row>
    <row r="443" spans="1:64" ht="13.5" thickBot="1" x14ac:dyDescent="0.25">
      <c r="A443" s="185" t="s">
        <v>1121</v>
      </c>
      <c r="B443" s="194" t="s">
        <v>695</v>
      </c>
      <c r="C443" s="194" t="s">
        <v>695</v>
      </c>
      <c r="D443" s="194" t="s">
        <v>695</v>
      </c>
      <c r="E443" s="193" t="s">
        <v>694</v>
      </c>
      <c r="F443" s="160" t="s">
        <v>20</v>
      </c>
      <c r="G443" s="161"/>
      <c r="H443" s="186" t="str">
        <f t="shared" si="266"/>
        <v>N/A</v>
      </c>
      <c r="I443" s="186" t="b">
        <f t="shared" si="267"/>
        <v>1</v>
      </c>
      <c r="J443" s="186" t="str">
        <f t="shared" si="268"/>
        <v>N/A</v>
      </c>
      <c r="K443" s="186" t="b">
        <f t="shared" si="269"/>
        <v>1</v>
      </c>
      <c r="L443" s="186" t="str">
        <f t="shared" si="270"/>
        <v>N/A</v>
      </c>
      <c r="M443" s="186" t="b">
        <f t="shared" si="271"/>
        <v>1</v>
      </c>
      <c r="N443" s="186" t="str">
        <f t="shared" si="272"/>
        <v>Used?</v>
      </c>
      <c r="O443" s="186" t="b">
        <f t="shared" si="273"/>
        <v>0</v>
      </c>
      <c r="P443" s="26" t="s">
        <v>696</v>
      </c>
      <c r="Q443" s="160" t="s">
        <v>20</v>
      </c>
      <c r="R443" s="160" t="s">
        <v>20</v>
      </c>
      <c r="S443" s="26" t="s">
        <v>697</v>
      </c>
      <c r="T443" s="165" t="str">
        <f t="shared" si="274"/>
        <v>Not Used</v>
      </c>
      <c r="U443" s="162"/>
      <c r="V443" s="55"/>
      <c r="W443" s="51" t="b">
        <f t="shared" si="275"/>
        <v>1</v>
      </c>
      <c r="X443" s="51" t="str">
        <f t="shared" si="276"/>
        <v>Not Used</v>
      </c>
      <c r="Y443" s="51" t="str">
        <f t="shared" si="277"/>
        <v>Not Used</v>
      </c>
      <c r="Z443" s="51" t="str">
        <f t="shared" si="278"/>
        <v>Not Used</v>
      </c>
      <c r="AA443" s="51" t="str">
        <f t="shared" si="278"/>
        <v>Not Used</v>
      </c>
      <c r="AB443" s="51" t="str">
        <f t="shared" si="279"/>
        <v>Not Used</v>
      </c>
      <c r="AC443" s="51" t="b">
        <f t="shared" si="280"/>
        <v>1</v>
      </c>
      <c r="AD443" s="51">
        <f>COUNTIF($X$5:$X$443, "Not Used")</f>
        <v>439</v>
      </c>
      <c r="AE443" s="51">
        <f>COUNTIF($X$5:$X$443, "TRUE")</f>
        <v>0</v>
      </c>
      <c r="AF443" s="51" t="b">
        <f t="shared" si="281"/>
        <v>1</v>
      </c>
      <c r="AI443" s="51" t="b">
        <f t="shared" si="282"/>
        <v>0</v>
      </c>
      <c r="AJ443" s="51" t="b">
        <f t="shared" si="283"/>
        <v>0</v>
      </c>
      <c r="AK443" s="51" t="b">
        <f t="shared" si="284"/>
        <v>0</v>
      </c>
      <c r="AL443" s="51" t="b">
        <f t="shared" si="285"/>
        <v>0</v>
      </c>
      <c r="AM443" s="51" t="b">
        <f t="shared" si="286"/>
        <v>0</v>
      </c>
      <c r="AN443" s="51"/>
      <c r="AO443" s="51" t="b">
        <f t="shared" si="287"/>
        <v>0</v>
      </c>
      <c r="AP443" s="51" t="str">
        <f t="shared" si="309"/>
        <v>Not in MMS</v>
      </c>
      <c r="AQ443" s="51" t="b">
        <f t="shared" si="288"/>
        <v>0</v>
      </c>
      <c r="AR443" s="51" t="b">
        <f t="shared" si="289"/>
        <v>0</v>
      </c>
      <c r="AS443" s="51" t="str">
        <f t="shared" si="290"/>
        <v/>
      </c>
      <c r="AT443" s="51" t="str">
        <f t="shared" si="291"/>
        <v/>
      </c>
      <c r="AU443" s="51" t="str">
        <f t="shared" si="292"/>
        <v/>
      </c>
      <c r="AV443" s="51" t="str">
        <f t="shared" si="293"/>
        <v/>
      </c>
      <c r="AW443" s="51" t="str">
        <f t="shared" si="294"/>
        <v/>
      </c>
      <c r="AX443" s="51" t="str">
        <f t="shared" si="295"/>
        <v/>
      </c>
      <c r="AY443" s="51" t="str">
        <f t="shared" si="296"/>
        <v/>
      </c>
      <c r="AZ443" s="51" t="str">
        <f t="shared" si="297"/>
        <v/>
      </c>
      <c r="BA443" s="51" t="str">
        <f t="shared" si="298"/>
        <v/>
      </c>
      <c r="BB443" s="51" t="str">
        <f t="shared" si="299"/>
        <v/>
      </c>
      <c r="BC443" s="51" t="str">
        <f t="shared" si="300"/>
        <v/>
      </c>
      <c r="BD443" s="51" t="str">
        <f t="shared" si="301"/>
        <v/>
      </c>
      <c r="BE443" s="51" t="str">
        <f t="shared" si="302"/>
        <v/>
      </c>
      <c r="BF443" s="51" t="str">
        <f t="shared" si="303"/>
        <v/>
      </c>
      <c r="BG443" s="51" t="str">
        <f t="shared" si="304"/>
        <v/>
      </c>
      <c r="BH443" s="51" t="b">
        <f t="shared" si="305"/>
        <v>0</v>
      </c>
      <c r="BI443" s="51" t="str">
        <f t="shared" si="306"/>
        <v/>
      </c>
      <c r="BJ443" s="51" t="str">
        <f t="shared" si="307"/>
        <v/>
      </c>
      <c r="BK443" s="51" t="b">
        <f t="shared" si="308"/>
        <v>0</v>
      </c>
      <c r="BL443" s="192"/>
    </row>
    <row r="444" spans="1:64" ht="13.5" thickBot="1" x14ac:dyDescent="0.25">
      <c r="A444" s="185" t="s">
        <v>1122</v>
      </c>
      <c r="B444" s="194" t="s">
        <v>695</v>
      </c>
      <c r="C444" s="194" t="s">
        <v>695</v>
      </c>
      <c r="D444" s="194" t="s">
        <v>695</v>
      </c>
      <c r="E444" s="193" t="s">
        <v>694</v>
      </c>
      <c r="F444" s="160" t="s">
        <v>20</v>
      </c>
      <c r="G444" s="161"/>
      <c r="H444" s="186" t="str">
        <f t="shared" si="266"/>
        <v>N/A</v>
      </c>
      <c r="I444" s="186" t="b">
        <f t="shared" si="267"/>
        <v>1</v>
      </c>
      <c r="J444" s="186" t="str">
        <f t="shared" si="268"/>
        <v>N/A</v>
      </c>
      <c r="K444" s="186" t="b">
        <f t="shared" si="269"/>
        <v>1</v>
      </c>
      <c r="L444" s="186" t="str">
        <f t="shared" si="270"/>
        <v>N/A</v>
      </c>
      <c r="M444" s="186" t="b">
        <f t="shared" si="271"/>
        <v>1</v>
      </c>
      <c r="N444" s="186" t="str">
        <f t="shared" si="272"/>
        <v>Used?</v>
      </c>
      <c r="O444" s="186" t="b">
        <f t="shared" si="273"/>
        <v>0</v>
      </c>
      <c r="P444" s="26" t="s">
        <v>696</v>
      </c>
      <c r="Q444" s="160" t="s">
        <v>20</v>
      </c>
      <c r="R444" s="160" t="s">
        <v>20</v>
      </c>
      <c r="S444" s="26" t="s">
        <v>697</v>
      </c>
      <c r="T444" s="165" t="str">
        <f t="shared" si="274"/>
        <v>Not Used</v>
      </c>
      <c r="U444" s="162"/>
      <c r="V444" s="55"/>
      <c r="W444" s="51" t="b">
        <f t="shared" si="275"/>
        <v>1</v>
      </c>
      <c r="X444" s="51" t="str">
        <f t="shared" si="276"/>
        <v>Not Used</v>
      </c>
      <c r="Y444" s="51" t="str">
        <f t="shared" si="277"/>
        <v>Not Used</v>
      </c>
      <c r="Z444" s="51" t="str">
        <f t="shared" si="278"/>
        <v>Not Used</v>
      </c>
      <c r="AA444" s="51" t="str">
        <f t="shared" si="278"/>
        <v>Not Used</v>
      </c>
      <c r="AB444" s="51" t="str">
        <f t="shared" si="279"/>
        <v>Not Used</v>
      </c>
      <c r="AC444" s="51" t="b">
        <f t="shared" si="280"/>
        <v>1</v>
      </c>
      <c r="AD444" s="51">
        <f>COUNTIF($X$5:$X$444, "Not Used")</f>
        <v>440</v>
      </c>
      <c r="AE444" s="51">
        <f>COUNTIF($X$5:$X$444, "TRUE")</f>
        <v>0</v>
      </c>
      <c r="AF444" s="51" t="b">
        <f t="shared" si="281"/>
        <v>1</v>
      </c>
      <c r="AI444" s="51" t="b">
        <f t="shared" si="282"/>
        <v>0</v>
      </c>
      <c r="AJ444" s="51" t="b">
        <f t="shared" si="283"/>
        <v>0</v>
      </c>
      <c r="AK444" s="51" t="b">
        <f t="shared" si="284"/>
        <v>0</v>
      </c>
      <c r="AL444" s="51" t="b">
        <f t="shared" si="285"/>
        <v>0</v>
      </c>
      <c r="AM444" s="51" t="b">
        <f t="shared" si="286"/>
        <v>0</v>
      </c>
      <c r="AN444" s="51"/>
      <c r="AO444" s="51" t="b">
        <f t="shared" si="287"/>
        <v>0</v>
      </c>
      <c r="AP444" s="51" t="str">
        <f t="shared" si="309"/>
        <v>Not in MMS</v>
      </c>
      <c r="AQ444" s="51" t="b">
        <f t="shared" si="288"/>
        <v>0</v>
      </c>
      <c r="AR444" s="51" t="b">
        <f t="shared" si="289"/>
        <v>0</v>
      </c>
      <c r="AS444" s="51" t="str">
        <f t="shared" si="290"/>
        <v/>
      </c>
      <c r="AT444" s="51" t="str">
        <f t="shared" si="291"/>
        <v/>
      </c>
      <c r="AU444" s="51" t="str">
        <f t="shared" si="292"/>
        <v/>
      </c>
      <c r="AV444" s="51" t="str">
        <f t="shared" si="293"/>
        <v/>
      </c>
      <c r="AW444" s="51" t="str">
        <f t="shared" si="294"/>
        <v/>
      </c>
      <c r="AX444" s="51" t="str">
        <f t="shared" si="295"/>
        <v/>
      </c>
      <c r="AY444" s="51" t="str">
        <f t="shared" si="296"/>
        <v/>
      </c>
      <c r="AZ444" s="51" t="str">
        <f t="shared" si="297"/>
        <v/>
      </c>
      <c r="BA444" s="51" t="str">
        <f t="shared" si="298"/>
        <v/>
      </c>
      <c r="BB444" s="51" t="str">
        <f t="shared" si="299"/>
        <v/>
      </c>
      <c r="BC444" s="51" t="str">
        <f t="shared" si="300"/>
        <v/>
      </c>
      <c r="BD444" s="51" t="str">
        <f t="shared" si="301"/>
        <v/>
      </c>
      <c r="BE444" s="51" t="str">
        <f t="shared" si="302"/>
        <v/>
      </c>
      <c r="BF444" s="51" t="str">
        <f t="shared" si="303"/>
        <v/>
      </c>
      <c r="BG444" s="51" t="str">
        <f t="shared" si="304"/>
        <v/>
      </c>
      <c r="BH444" s="51" t="b">
        <f t="shared" si="305"/>
        <v>0</v>
      </c>
      <c r="BI444" s="51" t="str">
        <f t="shared" si="306"/>
        <v/>
      </c>
      <c r="BJ444" s="51" t="str">
        <f t="shared" si="307"/>
        <v/>
      </c>
      <c r="BK444" s="51" t="b">
        <f t="shared" si="308"/>
        <v>0</v>
      </c>
      <c r="BL444" s="192"/>
    </row>
    <row r="445" spans="1:64" ht="13.5" thickBot="1" x14ac:dyDescent="0.25">
      <c r="A445" s="185" t="s">
        <v>1123</v>
      </c>
      <c r="B445" s="194" t="s">
        <v>695</v>
      </c>
      <c r="C445" s="194" t="s">
        <v>695</v>
      </c>
      <c r="D445" s="194" t="s">
        <v>695</v>
      </c>
      <c r="E445" s="193" t="s">
        <v>694</v>
      </c>
      <c r="F445" s="160" t="s">
        <v>20</v>
      </c>
      <c r="G445" s="161"/>
      <c r="H445" s="186" t="str">
        <f t="shared" si="266"/>
        <v>N/A</v>
      </c>
      <c r="I445" s="186" t="b">
        <f t="shared" si="267"/>
        <v>1</v>
      </c>
      <c r="J445" s="186" t="str">
        <f t="shared" si="268"/>
        <v>N/A</v>
      </c>
      <c r="K445" s="186" t="b">
        <f t="shared" si="269"/>
        <v>1</v>
      </c>
      <c r="L445" s="186" t="str">
        <f t="shared" si="270"/>
        <v>N/A</v>
      </c>
      <c r="M445" s="186" t="b">
        <f t="shared" si="271"/>
        <v>1</v>
      </c>
      <c r="N445" s="186" t="str">
        <f t="shared" si="272"/>
        <v>Used?</v>
      </c>
      <c r="O445" s="186" t="b">
        <f t="shared" si="273"/>
        <v>0</v>
      </c>
      <c r="P445" s="26" t="s">
        <v>696</v>
      </c>
      <c r="Q445" s="160" t="s">
        <v>20</v>
      </c>
      <c r="R445" s="160" t="s">
        <v>20</v>
      </c>
      <c r="S445" s="26" t="s">
        <v>697</v>
      </c>
      <c r="T445" s="165" t="str">
        <f t="shared" si="274"/>
        <v>Not Used</v>
      </c>
      <c r="U445" s="162"/>
      <c r="V445" s="55"/>
      <c r="W445" s="51" t="b">
        <f t="shared" si="275"/>
        <v>1</v>
      </c>
      <c r="X445" s="51" t="str">
        <f t="shared" si="276"/>
        <v>Not Used</v>
      </c>
      <c r="Y445" s="51" t="str">
        <f t="shared" si="277"/>
        <v>Not Used</v>
      </c>
      <c r="Z445" s="51" t="str">
        <f t="shared" si="278"/>
        <v>Not Used</v>
      </c>
      <c r="AA445" s="51" t="str">
        <f t="shared" si="278"/>
        <v>Not Used</v>
      </c>
      <c r="AB445" s="51" t="str">
        <f t="shared" si="279"/>
        <v>Not Used</v>
      </c>
      <c r="AC445" s="51" t="b">
        <f t="shared" si="280"/>
        <v>1</v>
      </c>
      <c r="AD445" s="51">
        <f>COUNTIF($X$5:$X$445, "Not Used")</f>
        <v>441</v>
      </c>
      <c r="AE445" s="51">
        <f>COUNTIF($X$5:$X$445, "TRUE")</f>
        <v>0</v>
      </c>
      <c r="AF445" s="51" t="b">
        <f t="shared" si="281"/>
        <v>1</v>
      </c>
      <c r="AI445" s="51" t="b">
        <f t="shared" si="282"/>
        <v>0</v>
      </c>
      <c r="AJ445" s="51" t="b">
        <f t="shared" si="283"/>
        <v>0</v>
      </c>
      <c r="AK445" s="51" t="b">
        <f t="shared" si="284"/>
        <v>0</v>
      </c>
      <c r="AL445" s="51" t="b">
        <f t="shared" si="285"/>
        <v>0</v>
      </c>
      <c r="AM445" s="51" t="b">
        <f t="shared" si="286"/>
        <v>0</v>
      </c>
      <c r="AN445" s="51"/>
      <c r="AO445" s="51" t="b">
        <f t="shared" si="287"/>
        <v>0</v>
      </c>
      <c r="AP445" s="51" t="str">
        <f t="shared" si="309"/>
        <v>Not in MMS</v>
      </c>
      <c r="AQ445" s="51" t="b">
        <f t="shared" si="288"/>
        <v>0</v>
      </c>
      <c r="AR445" s="51" t="b">
        <f t="shared" si="289"/>
        <v>0</v>
      </c>
      <c r="AS445" s="51" t="str">
        <f t="shared" si="290"/>
        <v/>
      </c>
      <c r="AT445" s="51" t="str">
        <f t="shared" si="291"/>
        <v/>
      </c>
      <c r="AU445" s="51" t="str">
        <f t="shared" si="292"/>
        <v/>
      </c>
      <c r="AV445" s="51" t="str">
        <f t="shared" si="293"/>
        <v/>
      </c>
      <c r="AW445" s="51" t="str">
        <f t="shared" si="294"/>
        <v/>
      </c>
      <c r="AX445" s="51" t="str">
        <f t="shared" si="295"/>
        <v/>
      </c>
      <c r="AY445" s="51" t="str">
        <f t="shared" si="296"/>
        <v/>
      </c>
      <c r="AZ445" s="51" t="str">
        <f t="shared" si="297"/>
        <v/>
      </c>
      <c r="BA445" s="51" t="str">
        <f t="shared" si="298"/>
        <v/>
      </c>
      <c r="BB445" s="51" t="str">
        <f t="shared" si="299"/>
        <v/>
      </c>
      <c r="BC445" s="51" t="str">
        <f t="shared" si="300"/>
        <v/>
      </c>
      <c r="BD445" s="51" t="str">
        <f t="shared" si="301"/>
        <v/>
      </c>
      <c r="BE445" s="51" t="str">
        <f t="shared" si="302"/>
        <v/>
      </c>
      <c r="BF445" s="51" t="str">
        <f t="shared" si="303"/>
        <v/>
      </c>
      <c r="BG445" s="51" t="str">
        <f t="shared" si="304"/>
        <v/>
      </c>
      <c r="BH445" s="51" t="b">
        <f t="shared" si="305"/>
        <v>0</v>
      </c>
      <c r="BI445" s="51" t="str">
        <f t="shared" si="306"/>
        <v/>
      </c>
      <c r="BJ445" s="51" t="str">
        <f t="shared" si="307"/>
        <v/>
      </c>
      <c r="BK445" s="51" t="b">
        <f t="shared" si="308"/>
        <v>0</v>
      </c>
      <c r="BL445" s="192"/>
    </row>
    <row r="446" spans="1:64" ht="13.5" thickBot="1" x14ac:dyDescent="0.25">
      <c r="A446" s="185" t="s">
        <v>1124</v>
      </c>
      <c r="B446" s="194" t="s">
        <v>695</v>
      </c>
      <c r="C446" s="194" t="s">
        <v>695</v>
      </c>
      <c r="D446" s="194" t="s">
        <v>695</v>
      </c>
      <c r="E446" s="193" t="s">
        <v>694</v>
      </c>
      <c r="F446" s="160" t="s">
        <v>20</v>
      </c>
      <c r="G446" s="161"/>
      <c r="H446" s="186" t="str">
        <f t="shared" si="266"/>
        <v>N/A</v>
      </c>
      <c r="I446" s="186" t="b">
        <f t="shared" si="267"/>
        <v>1</v>
      </c>
      <c r="J446" s="186" t="str">
        <f t="shared" si="268"/>
        <v>N/A</v>
      </c>
      <c r="K446" s="186" t="b">
        <f t="shared" si="269"/>
        <v>1</v>
      </c>
      <c r="L446" s="186" t="str">
        <f t="shared" si="270"/>
        <v>N/A</v>
      </c>
      <c r="M446" s="186" t="b">
        <f t="shared" si="271"/>
        <v>1</v>
      </c>
      <c r="N446" s="186" t="str">
        <f t="shared" si="272"/>
        <v>Used?</v>
      </c>
      <c r="O446" s="186" t="b">
        <f t="shared" si="273"/>
        <v>0</v>
      </c>
      <c r="P446" s="26" t="s">
        <v>696</v>
      </c>
      <c r="Q446" s="160" t="s">
        <v>20</v>
      </c>
      <c r="R446" s="160" t="s">
        <v>20</v>
      </c>
      <c r="S446" s="26" t="s">
        <v>697</v>
      </c>
      <c r="T446" s="165" t="str">
        <f t="shared" si="274"/>
        <v>Not Used</v>
      </c>
      <c r="U446" s="162"/>
      <c r="V446" s="55"/>
      <c r="W446" s="51" t="b">
        <f t="shared" si="275"/>
        <v>1</v>
      </c>
      <c r="X446" s="51" t="str">
        <f t="shared" si="276"/>
        <v>Not Used</v>
      </c>
      <c r="Y446" s="51" t="str">
        <f t="shared" si="277"/>
        <v>Not Used</v>
      </c>
      <c r="Z446" s="51" t="str">
        <f t="shared" si="278"/>
        <v>Not Used</v>
      </c>
      <c r="AA446" s="51" t="str">
        <f t="shared" si="278"/>
        <v>Not Used</v>
      </c>
      <c r="AB446" s="51" t="str">
        <f t="shared" si="279"/>
        <v>Not Used</v>
      </c>
      <c r="AC446" s="51" t="b">
        <f t="shared" si="280"/>
        <v>1</v>
      </c>
      <c r="AD446" s="51">
        <f>COUNTIF($X$5:$X$446, "Not Used")</f>
        <v>442</v>
      </c>
      <c r="AE446" s="51">
        <f>COUNTIF($X$5:$X$446, "TRUE")</f>
        <v>0</v>
      </c>
      <c r="AF446" s="51" t="b">
        <f t="shared" si="281"/>
        <v>1</v>
      </c>
      <c r="AI446" s="51" t="b">
        <f t="shared" si="282"/>
        <v>0</v>
      </c>
      <c r="AJ446" s="51" t="b">
        <f t="shared" si="283"/>
        <v>0</v>
      </c>
      <c r="AK446" s="51" t="b">
        <f t="shared" si="284"/>
        <v>0</v>
      </c>
      <c r="AL446" s="51" t="b">
        <f t="shared" si="285"/>
        <v>0</v>
      </c>
      <c r="AM446" s="51" t="b">
        <f t="shared" si="286"/>
        <v>0</v>
      </c>
      <c r="AN446" s="51"/>
      <c r="AO446" s="51" t="b">
        <f t="shared" si="287"/>
        <v>0</v>
      </c>
      <c r="AP446" s="51" t="str">
        <f t="shared" si="309"/>
        <v>Not in MMS</v>
      </c>
      <c r="AQ446" s="51" t="b">
        <f t="shared" si="288"/>
        <v>0</v>
      </c>
      <c r="AR446" s="51" t="b">
        <f t="shared" si="289"/>
        <v>0</v>
      </c>
      <c r="AS446" s="51" t="str">
        <f t="shared" si="290"/>
        <v/>
      </c>
      <c r="AT446" s="51" t="str">
        <f t="shared" si="291"/>
        <v/>
      </c>
      <c r="AU446" s="51" t="str">
        <f t="shared" si="292"/>
        <v/>
      </c>
      <c r="AV446" s="51" t="str">
        <f t="shared" si="293"/>
        <v/>
      </c>
      <c r="AW446" s="51" t="str">
        <f t="shared" si="294"/>
        <v/>
      </c>
      <c r="AX446" s="51" t="str">
        <f t="shared" si="295"/>
        <v/>
      </c>
      <c r="AY446" s="51" t="str">
        <f t="shared" si="296"/>
        <v/>
      </c>
      <c r="AZ446" s="51" t="str">
        <f t="shared" si="297"/>
        <v/>
      </c>
      <c r="BA446" s="51" t="str">
        <f t="shared" si="298"/>
        <v/>
      </c>
      <c r="BB446" s="51" t="str">
        <f t="shared" si="299"/>
        <v/>
      </c>
      <c r="BC446" s="51" t="str">
        <f t="shared" si="300"/>
        <v/>
      </c>
      <c r="BD446" s="51" t="str">
        <f t="shared" si="301"/>
        <v/>
      </c>
      <c r="BE446" s="51" t="str">
        <f t="shared" si="302"/>
        <v/>
      </c>
      <c r="BF446" s="51" t="str">
        <f t="shared" si="303"/>
        <v/>
      </c>
      <c r="BG446" s="51" t="str">
        <f t="shared" si="304"/>
        <v/>
      </c>
      <c r="BH446" s="51" t="b">
        <f t="shared" si="305"/>
        <v>0</v>
      </c>
      <c r="BI446" s="51" t="str">
        <f t="shared" si="306"/>
        <v/>
      </c>
      <c r="BJ446" s="51" t="str">
        <f t="shared" si="307"/>
        <v/>
      </c>
      <c r="BK446" s="51" t="b">
        <f t="shared" si="308"/>
        <v>0</v>
      </c>
      <c r="BL446" s="192"/>
    </row>
    <row r="447" spans="1:64" ht="13.5" thickBot="1" x14ac:dyDescent="0.25">
      <c r="A447" s="185" t="s">
        <v>1125</v>
      </c>
      <c r="B447" s="194" t="s">
        <v>695</v>
      </c>
      <c r="C447" s="194" t="s">
        <v>695</v>
      </c>
      <c r="D447" s="194" t="s">
        <v>695</v>
      </c>
      <c r="E447" s="193" t="s">
        <v>694</v>
      </c>
      <c r="F447" s="160" t="s">
        <v>20</v>
      </c>
      <c r="G447" s="161"/>
      <c r="H447" s="186" t="str">
        <f t="shared" si="266"/>
        <v>N/A</v>
      </c>
      <c r="I447" s="186" t="b">
        <f t="shared" si="267"/>
        <v>1</v>
      </c>
      <c r="J447" s="186" t="str">
        <f t="shared" si="268"/>
        <v>N/A</v>
      </c>
      <c r="K447" s="186" t="b">
        <f t="shared" si="269"/>
        <v>1</v>
      </c>
      <c r="L447" s="186" t="str">
        <f t="shared" si="270"/>
        <v>N/A</v>
      </c>
      <c r="M447" s="186" t="b">
        <f t="shared" si="271"/>
        <v>1</v>
      </c>
      <c r="N447" s="186" t="str">
        <f t="shared" si="272"/>
        <v>Used?</v>
      </c>
      <c r="O447" s="186" t="b">
        <f t="shared" si="273"/>
        <v>0</v>
      </c>
      <c r="P447" s="26" t="s">
        <v>696</v>
      </c>
      <c r="Q447" s="160" t="s">
        <v>20</v>
      </c>
      <c r="R447" s="160" t="s">
        <v>20</v>
      </c>
      <c r="S447" s="26" t="s">
        <v>697</v>
      </c>
      <c r="T447" s="165" t="str">
        <f t="shared" si="274"/>
        <v>Not Used</v>
      </c>
      <c r="U447" s="162"/>
      <c r="V447" s="55"/>
      <c r="W447" s="51" t="b">
        <f t="shared" si="275"/>
        <v>1</v>
      </c>
      <c r="X447" s="51" t="str">
        <f t="shared" si="276"/>
        <v>Not Used</v>
      </c>
      <c r="Y447" s="51" t="str">
        <f t="shared" si="277"/>
        <v>Not Used</v>
      </c>
      <c r="Z447" s="51" t="str">
        <f t="shared" si="278"/>
        <v>Not Used</v>
      </c>
      <c r="AA447" s="51" t="str">
        <f t="shared" si="278"/>
        <v>Not Used</v>
      </c>
      <c r="AB447" s="51" t="str">
        <f t="shared" si="279"/>
        <v>Not Used</v>
      </c>
      <c r="AC447" s="51" t="b">
        <f t="shared" si="280"/>
        <v>1</v>
      </c>
      <c r="AD447" s="51">
        <f>COUNTIF($X$5:$X$447, "Not Used")</f>
        <v>443</v>
      </c>
      <c r="AE447" s="51">
        <f>COUNTIF($X$5:$X$447, "TRUE")</f>
        <v>0</v>
      </c>
      <c r="AF447" s="51" t="b">
        <f t="shared" si="281"/>
        <v>1</v>
      </c>
      <c r="AI447" s="51" t="b">
        <f t="shared" si="282"/>
        <v>0</v>
      </c>
      <c r="AJ447" s="51" t="b">
        <f t="shared" si="283"/>
        <v>0</v>
      </c>
      <c r="AK447" s="51" t="b">
        <f t="shared" si="284"/>
        <v>0</v>
      </c>
      <c r="AL447" s="51" t="b">
        <f t="shared" si="285"/>
        <v>0</v>
      </c>
      <c r="AM447" s="51" t="b">
        <f t="shared" si="286"/>
        <v>0</v>
      </c>
      <c r="AN447" s="51"/>
      <c r="AO447" s="51" t="b">
        <f t="shared" si="287"/>
        <v>0</v>
      </c>
      <c r="AP447" s="51" t="str">
        <f t="shared" si="309"/>
        <v>Not in MMS</v>
      </c>
      <c r="AQ447" s="51" t="b">
        <f t="shared" si="288"/>
        <v>0</v>
      </c>
      <c r="AR447" s="51" t="b">
        <f t="shared" si="289"/>
        <v>0</v>
      </c>
      <c r="AS447" s="51" t="str">
        <f t="shared" si="290"/>
        <v/>
      </c>
      <c r="AT447" s="51" t="str">
        <f t="shared" si="291"/>
        <v/>
      </c>
      <c r="AU447" s="51" t="str">
        <f t="shared" si="292"/>
        <v/>
      </c>
      <c r="AV447" s="51" t="str">
        <f t="shared" si="293"/>
        <v/>
      </c>
      <c r="AW447" s="51" t="str">
        <f t="shared" si="294"/>
        <v/>
      </c>
      <c r="AX447" s="51" t="str">
        <f t="shared" si="295"/>
        <v/>
      </c>
      <c r="AY447" s="51" t="str">
        <f t="shared" si="296"/>
        <v/>
      </c>
      <c r="AZ447" s="51" t="str">
        <f t="shared" si="297"/>
        <v/>
      </c>
      <c r="BA447" s="51" t="str">
        <f t="shared" si="298"/>
        <v/>
      </c>
      <c r="BB447" s="51" t="str">
        <f t="shared" si="299"/>
        <v/>
      </c>
      <c r="BC447" s="51" t="str">
        <f t="shared" si="300"/>
        <v/>
      </c>
      <c r="BD447" s="51" t="str">
        <f t="shared" si="301"/>
        <v/>
      </c>
      <c r="BE447" s="51" t="str">
        <f t="shared" si="302"/>
        <v/>
      </c>
      <c r="BF447" s="51" t="str">
        <f t="shared" si="303"/>
        <v/>
      </c>
      <c r="BG447" s="51" t="str">
        <f t="shared" si="304"/>
        <v/>
      </c>
      <c r="BH447" s="51" t="b">
        <f t="shared" si="305"/>
        <v>0</v>
      </c>
      <c r="BI447" s="51" t="str">
        <f t="shared" si="306"/>
        <v/>
      </c>
      <c r="BJ447" s="51" t="str">
        <f t="shared" si="307"/>
        <v/>
      </c>
      <c r="BK447" s="51" t="b">
        <f t="shared" si="308"/>
        <v>0</v>
      </c>
      <c r="BL447" s="192"/>
    </row>
    <row r="448" spans="1:64" ht="13.5" thickBot="1" x14ac:dyDescent="0.25">
      <c r="A448" s="185" t="s">
        <v>1126</v>
      </c>
      <c r="B448" s="194" t="s">
        <v>695</v>
      </c>
      <c r="C448" s="194" t="s">
        <v>695</v>
      </c>
      <c r="D448" s="194" t="s">
        <v>695</v>
      </c>
      <c r="E448" s="193" t="s">
        <v>694</v>
      </c>
      <c r="F448" s="160" t="s">
        <v>20</v>
      </c>
      <c r="G448" s="161"/>
      <c r="H448" s="186" t="str">
        <f t="shared" si="266"/>
        <v>N/A</v>
      </c>
      <c r="I448" s="186" t="b">
        <f t="shared" si="267"/>
        <v>1</v>
      </c>
      <c r="J448" s="186" t="str">
        <f t="shared" si="268"/>
        <v>N/A</v>
      </c>
      <c r="K448" s="186" t="b">
        <f t="shared" si="269"/>
        <v>1</v>
      </c>
      <c r="L448" s="186" t="str">
        <f t="shared" si="270"/>
        <v>N/A</v>
      </c>
      <c r="M448" s="186" t="b">
        <f t="shared" si="271"/>
        <v>1</v>
      </c>
      <c r="N448" s="186" t="str">
        <f t="shared" si="272"/>
        <v>Used?</v>
      </c>
      <c r="O448" s="186" t="b">
        <f t="shared" si="273"/>
        <v>0</v>
      </c>
      <c r="P448" s="26" t="s">
        <v>696</v>
      </c>
      <c r="Q448" s="160" t="s">
        <v>20</v>
      </c>
      <c r="R448" s="160" t="s">
        <v>20</v>
      </c>
      <c r="S448" s="26" t="s">
        <v>697</v>
      </c>
      <c r="T448" s="165" t="str">
        <f t="shared" si="274"/>
        <v>Not Used</v>
      </c>
      <c r="U448" s="162"/>
      <c r="V448" s="55"/>
      <c r="W448" s="51" t="b">
        <f t="shared" si="275"/>
        <v>1</v>
      </c>
      <c r="X448" s="51" t="str">
        <f t="shared" si="276"/>
        <v>Not Used</v>
      </c>
      <c r="Y448" s="51" t="str">
        <f t="shared" si="277"/>
        <v>Not Used</v>
      </c>
      <c r="Z448" s="51" t="str">
        <f t="shared" si="278"/>
        <v>Not Used</v>
      </c>
      <c r="AA448" s="51" t="str">
        <f t="shared" si="278"/>
        <v>Not Used</v>
      </c>
      <c r="AB448" s="51" t="str">
        <f t="shared" si="279"/>
        <v>Not Used</v>
      </c>
      <c r="AC448" s="51" t="b">
        <f t="shared" si="280"/>
        <v>1</v>
      </c>
      <c r="AD448" s="51">
        <f>COUNTIF($X$5:$X$448, "Not Used")</f>
        <v>444</v>
      </c>
      <c r="AE448" s="51">
        <f>COUNTIF($X$5:$X$448, "TRUE")</f>
        <v>0</v>
      </c>
      <c r="AF448" s="51" t="b">
        <f t="shared" si="281"/>
        <v>1</v>
      </c>
      <c r="AI448" s="51" t="b">
        <f t="shared" si="282"/>
        <v>0</v>
      </c>
      <c r="AJ448" s="51" t="b">
        <f t="shared" si="283"/>
        <v>0</v>
      </c>
      <c r="AK448" s="51" t="b">
        <f t="shared" si="284"/>
        <v>0</v>
      </c>
      <c r="AL448" s="51" t="b">
        <f t="shared" si="285"/>
        <v>0</v>
      </c>
      <c r="AM448" s="51" t="b">
        <f t="shared" si="286"/>
        <v>0</v>
      </c>
      <c r="AN448" s="51"/>
      <c r="AO448" s="51" t="b">
        <f t="shared" si="287"/>
        <v>0</v>
      </c>
      <c r="AP448" s="51" t="str">
        <f t="shared" si="309"/>
        <v>Not in MMS</v>
      </c>
      <c r="AQ448" s="51" t="b">
        <f t="shared" si="288"/>
        <v>0</v>
      </c>
      <c r="AR448" s="51" t="b">
        <f t="shared" si="289"/>
        <v>0</v>
      </c>
      <c r="AS448" s="51" t="str">
        <f t="shared" si="290"/>
        <v/>
      </c>
      <c r="AT448" s="51" t="str">
        <f t="shared" si="291"/>
        <v/>
      </c>
      <c r="AU448" s="51" t="str">
        <f t="shared" si="292"/>
        <v/>
      </c>
      <c r="AV448" s="51" t="str">
        <f t="shared" si="293"/>
        <v/>
      </c>
      <c r="AW448" s="51" t="str">
        <f t="shared" si="294"/>
        <v/>
      </c>
      <c r="AX448" s="51" t="str">
        <f t="shared" si="295"/>
        <v/>
      </c>
      <c r="AY448" s="51" t="str">
        <f t="shared" si="296"/>
        <v/>
      </c>
      <c r="AZ448" s="51" t="str">
        <f t="shared" si="297"/>
        <v/>
      </c>
      <c r="BA448" s="51" t="str">
        <f t="shared" si="298"/>
        <v/>
      </c>
      <c r="BB448" s="51" t="str">
        <f t="shared" si="299"/>
        <v/>
      </c>
      <c r="BC448" s="51" t="str">
        <f t="shared" si="300"/>
        <v/>
      </c>
      <c r="BD448" s="51" t="str">
        <f t="shared" si="301"/>
        <v/>
      </c>
      <c r="BE448" s="51" t="str">
        <f t="shared" si="302"/>
        <v/>
      </c>
      <c r="BF448" s="51" t="str">
        <f t="shared" si="303"/>
        <v/>
      </c>
      <c r="BG448" s="51" t="str">
        <f t="shared" si="304"/>
        <v/>
      </c>
      <c r="BH448" s="51" t="b">
        <f t="shared" si="305"/>
        <v>0</v>
      </c>
      <c r="BI448" s="51" t="str">
        <f t="shared" si="306"/>
        <v/>
      </c>
      <c r="BJ448" s="51" t="str">
        <f t="shared" si="307"/>
        <v/>
      </c>
      <c r="BK448" s="51" t="b">
        <f t="shared" si="308"/>
        <v>0</v>
      </c>
      <c r="BL448" s="192"/>
    </row>
    <row r="449" spans="1:64" ht="13.5" thickBot="1" x14ac:dyDescent="0.25">
      <c r="A449" s="185" t="s">
        <v>1127</v>
      </c>
      <c r="B449" s="194" t="s">
        <v>695</v>
      </c>
      <c r="C449" s="194" t="s">
        <v>695</v>
      </c>
      <c r="D449" s="194" t="s">
        <v>695</v>
      </c>
      <c r="E449" s="193" t="s">
        <v>694</v>
      </c>
      <c r="F449" s="160" t="s">
        <v>20</v>
      </c>
      <c r="G449" s="161"/>
      <c r="H449" s="186" t="str">
        <f t="shared" si="266"/>
        <v>N/A</v>
      </c>
      <c r="I449" s="186" t="b">
        <f t="shared" si="267"/>
        <v>1</v>
      </c>
      <c r="J449" s="186" t="str">
        <f t="shared" si="268"/>
        <v>N/A</v>
      </c>
      <c r="K449" s="186" t="b">
        <f t="shared" si="269"/>
        <v>1</v>
      </c>
      <c r="L449" s="186" t="str">
        <f t="shared" si="270"/>
        <v>N/A</v>
      </c>
      <c r="M449" s="186" t="b">
        <f t="shared" si="271"/>
        <v>1</v>
      </c>
      <c r="N449" s="186" t="str">
        <f t="shared" si="272"/>
        <v>Used?</v>
      </c>
      <c r="O449" s="186" t="b">
        <f t="shared" si="273"/>
        <v>0</v>
      </c>
      <c r="P449" s="26" t="s">
        <v>696</v>
      </c>
      <c r="Q449" s="160" t="s">
        <v>20</v>
      </c>
      <c r="R449" s="160" t="s">
        <v>20</v>
      </c>
      <c r="S449" s="26" t="s">
        <v>697</v>
      </c>
      <c r="T449" s="165" t="str">
        <f t="shared" si="274"/>
        <v>Not Used</v>
      </c>
      <c r="U449" s="162"/>
      <c r="V449" s="55"/>
      <c r="W449" s="51" t="b">
        <f t="shared" si="275"/>
        <v>1</v>
      </c>
      <c r="X449" s="51" t="str">
        <f t="shared" si="276"/>
        <v>Not Used</v>
      </c>
      <c r="Y449" s="51" t="str">
        <f t="shared" si="277"/>
        <v>Not Used</v>
      </c>
      <c r="Z449" s="51" t="str">
        <f t="shared" si="278"/>
        <v>Not Used</v>
      </c>
      <c r="AA449" s="51" t="str">
        <f t="shared" si="278"/>
        <v>Not Used</v>
      </c>
      <c r="AB449" s="51" t="str">
        <f t="shared" si="279"/>
        <v>Not Used</v>
      </c>
      <c r="AC449" s="51" t="b">
        <f t="shared" si="280"/>
        <v>1</v>
      </c>
      <c r="AD449" s="51">
        <f>COUNTIF($X$5:$X$449, "Not Used")</f>
        <v>445</v>
      </c>
      <c r="AE449" s="51">
        <f>COUNTIF($X$5:$X$449, "TRUE")</f>
        <v>0</v>
      </c>
      <c r="AF449" s="51" t="b">
        <f t="shared" si="281"/>
        <v>1</v>
      </c>
      <c r="AI449" s="51" t="b">
        <f t="shared" si="282"/>
        <v>0</v>
      </c>
      <c r="AJ449" s="51" t="b">
        <f t="shared" si="283"/>
        <v>0</v>
      </c>
      <c r="AK449" s="51" t="b">
        <f t="shared" si="284"/>
        <v>0</v>
      </c>
      <c r="AL449" s="51" t="b">
        <f t="shared" si="285"/>
        <v>0</v>
      </c>
      <c r="AM449" s="51" t="b">
        <f t="shared" si="286"/>
        <v>0</v>
      </c>
      <c r="AN449" s="51"/>
      <c r="AO449" s="51" t="b">
        <f t="shared" si="287"/>
        <v>0</v>
      </c>
      <c r="AP449" s="51" t="str">
        <f t="shared" si="309"/>
        <v>Not in MMS</v>
      </c>
      <c r="AQ449" s="51" t="b">
        <f t="shared" si="288"/>
        <v>0</v>
      </c>
      <c r="AR449" s="51" t="b">
        <f t="shared" si="289"/>
        <v>0</v>
      </c>
      <c r="AS449" s="51" t="str">
        <f t="shared" si="290"/>
        <v/>
      </c>
      <c r="AT449" s="51" t="str">
        <f t="shared" si="291"/>
        <v/>
      </c>
      <c r="AU449" s="51" t="str">
        <f t="shared" si="292"/>
        <v/>
      </c>
      <c r="AV449" s="51" t="str">
        <f t="shared" si="293"/>
        <v/>
      </c>
      <c r="AW449" s="51" t="str">
        <f t="shared" si="294"/>
        <v/>
      </c>
      <c r="AX449" s="51" t="str">
        <f t="shared" si="295"/>
        <v/>
      </c>
      <c r="AY449" s="51" t="str">
        <f t="shared" si="296"/>
        <v/>
      </c>
      <c r="AZ449" s="51" t="str">
        <f t="shared" si="297"/>
        <v/>
      </c>
      <c r="BA449" s="51" t="str">
        <f t="shared" si="298"/>
        <v/>
      </c>
      <c r="BB449" s="51" t="str">
        <f t="shared" si="299"/>
        <v/>
      </c>
      <c r="BC449" s="51" t="str">
        <f t="shared" si="300"/>
        <v/>
      </c>
      <c r="BD449" s="51" t="str">
        <f t="shared" si="301"/>
        <v/>
      </c>
      <c r="BE449" s="51" t="str">
        <f t="shared" si="302"/>
        <v/>
      </c>
      <c r="BF449" s="51" t="str">
        <f t="shared" si="303"/>
        <v/>
      </c>
      <c r="BG449" s="51" t="str">
        <f t="shared" si="304"/>
        <v/>
      </c>
      <c r="BH449" s="51" t="b">
        <f t="shared" si="305"/>
        <v>0</v>
      </c>
      <c r="BI449" s="51" t="str">
        <f t="shared" si="306"/>
        <v/>
      </c>
      <c r="BJ449" s="51" t="str">
        <f t="shared" si="307"/>
        <v/>
      </c>
      <c r="BK449" s="51" t="b">
        <f t="shared" si="308"/>
        <v>0</v>
      </c>
      <c r="BL449" s="192"/>
    </row>
    <row r="450" spans="1:64" ht="13.5" thickBot="1" x14ac:dyDescent="0.25">
      <c r="A450" s="185" t="s">
        <v>1128</v>
      </c>
      <c r="B450" s="194" t="s">
        <v>695</v>
      </c>
      <c r="C450" s="194" t="s">
        <v>695</v>
      </c>
      <c r="D450" s="194" t="s">
        <v>695</v>
      </c>
      <c r="E450" s="193" t="s">
        <v>694</v>
      </c>
      <c r="F450" s="160" t="s">
        <v>20</v>
      </c>
      <c r="G450" s="161"/>
      <c r="H450" s="186" t="str">
        <f t="shared" si="266"/>
        <v>N/A</v>
      </c>
      <c r="I450" s="186" t="b">
        <f t="shared" si="267"/>
        <v>1</v>
      </c>
      <c r="J450" s="186" t="str">
        <f t="shared" si="268"/>
        <v>N/A</v>
      </c>
      <c r="K450" s="186" t="b">
        <f t="shared" si="269"/>
        <v>1</v>
      </c>
      <c r="L450" s="186" t="str">
        <f t="shared" si="270"/>
        <v>N/A</v>
      </c>
      <c r="M450" s="186" t="b">
        <f t="shared" si="271"/>
        <v>1</v>
      </c>
      <c r="N450" s="186" t="str">
        <f t="shared" si="272"/>
        <v>Used?</v>
      </c>
      <c r="O450" s="186" t="b">
        <f t="shared" si="273"/>
        <v>0</v>
      </c>
      <c r="P450" s="26" t="s">
        <v>696</v>
      </c>
      <c r="Q450" s="160" t="s">
        <v>20</v>
      </c>
      <c r="R450" s="160" t="s">
        <v>20</v>
      </c>
      <c r="S450" s="26" t="s">
        <v>697</v>
      </c>
      <c r="T450" s="165" t="str">
        <f t="shared" si="274"/>
        <v>Not Used</v>
      </c>
      <c r="U450" s="162"/>
      <c r="V450" s="55"/>
      <c r="W450" s="51" t="b">
        <f t="shared" si="275"/>
        <v>1</v>
      </c>
      <c r="X450" s="51" t="str">
        <f t="shared" si="276"/>
        <v>Not Used</v>
      </c>
      <c r="Y450" s="51" t="str">
        <f t="shared" si="277"/>
        <v>Not Used</v>
      </c>
      <c r="Z450" s="51" t="str">
        <f t="shared" si="278"/>
        <v>Not Used</v>
      </c>
      <c r="AA450" s="51" t="str">
        <f t="shared" si="278"/>
        <v>Not Used</v>
      </c>
      <c r="AB450" s="51" t="str">
        <f t="shared" si="279"/>
        <v>Not Used</v>
      </c>
      <c r="AC450" s="51" t="b">
        <f t="shared" si="280"/>
        <v>1</v>
      </c>
      <c r="AD450" s="51">
        <f>COUNTIF($X$5:$X$450, "Not Used")</f>
        <v>446</v>
      </c>
      <c r="AE450" s="51">
        <f>COUNTIF($X$5:$X$450, "TRUE")</f>
        <v>0</v>
      </c>
      <c r="AF450" s="51" t="b">
        <f t="shared" si="281"/>
        <v>1</v>
      </c>
      <c r="AI450" s="51" t="b">
        <f t="shared" si="282"/>
        <v>0</v>
      </c>
      <c r="AJ450" s="51" t="b">
        <f t="shared" si="283"/>
        <v>0</v>
      </c>
      <c r="AK450" s="51" t="b">
        <f t="shared" si="284"/>
        <v>0</v>
      </c>
      <c r="AL450" s="51" t="b">
        <f t="shared" si="285"/>
        <v>0</v>
      </c>
      <c r="AM450" s="51" t="b">
        <f t="shared" si="286"/>
        <v>0</v>
      </c>
      <c r="AN450" s="51"/>
      <c r="AO450" s="51" t="b">
        <f t="shared" si="287"/>
        <v>0</v>
      </c>
      <c r="AP450" s="51" t="str">
        <f t="shared" si="309"/>
        <v>Not in MMS</v>
      </c>
      <c r="AQ450" s="51" t="b">
        <f t="shared" si="288"/>
        <v>0</v>
      </c>
      <c r="AR450" s="51" t="b">
        <f t="shared" si="289"/>
        <v>0</v>
      </c>
      <c r="AS450" s="51" t="str">
        <f t="shared" si="290"/>
        <v/>
      </c>
      <c r="AT450" s="51" t="str">
        <f t="shared" si="291"/>
        <v/>
      </c>
      <c r="AU450" s="51" t="str">
        <f t="shared" si="292"/>
        <v/>
      </c>
      <c r="AV450" s="51" t="str">
        <f t="shared" si="293"/>
        <v/>
      </c>
      <c r="AW450" s="51" t="str">
        <f t="shared" si="294"/>
        <v/>
      </c>
      <c r="AX450" s="51" t="str">
        <f t="shared" si="295"/>
        <v/>
      </c>
      <c r="AY450" s="51" t="str">
        <f t="shared" si="296"/>
        <v/>
      </c>
      <c r="AZ450" s="51" t="str">
        <f t="shared" si="297"/>
        <v/>
      </c>
      <c r="BA450" s="51" t="str">
        <f t="shared" si="298"/>
        <v/>
      </c>
      <c r="BB450" s="51" t="str">
        <f t="shared" si="299"/>
        <v/>
      </c>
      <c r="BC450" s="51" t="str">
        <f t="shared" si="300"/>
        <v/>
      </c>
      <c r="BD450" s="51" t="str">
        <f t="shared" si="301"/>
        <v/>
      </c>
      <c r="BE450" s="51" t="str">
        <f t="shared" si="302"/>
        <v/>
      </c>
      <c r="BF450" s="51" t="str">
        <f t="shared" si="303"/>
        <v/>
      </c>
      <c r="BG450" s="51" t="str">
        <f t="shared" si="304"/>
        <v/>
      </c>
      <c r="BH450" s="51" t="b">
        <f t="shared" si="305"/>
        <v>0</v>
      </c>
      <c r="BI450" s="51" t="str">
        <f t="shared" si="306"/>
        <v/>
      </c>
      <c r="BJ450" s="51" t="str">
        <f t="shared" si="307"/>
        <v/>
      </c>
      <c r="BK450" s="51" t="b">
        <f t="shared" si="308"/>
        <v>0</v>
      </c>
      <c r="BL450" s="192"/>
    </row>
    <row r="451" spans="1:64" ht="13.5" thickBot="1" x14ac:dyDescent="0.25">
      <c r="A451" s="185" t="s">
        <v>1129</v>
      </c>
      <c r="B451" s="194" t="s">
        <v>695</v>
      </c>
      <c r="C451" s="194" t="s">
        <v>695</v>
      </c>
      <c r="D451" s="194" t="s">
        <v>695</v>
      </c>
      <c r="E451" s="193" t="s">
        <v>694</v>
      </c>
      <c r="F451" s="160" t="s">
        <v>20</v>
      </c>
      <c r="G451" s="161"/>
      <c r="H451" s="186" t="str">
        <f t="shared" si="266"/>
        <v>N/A</v>
      </c>
      <c r="I451" s="186" t="b">
        <f t="shared" si="267"/>
        <v>1</v>
      </c>
      <c r="J451" s="186" t="str">
        <f t="shared" si="268"/>
        <v>N/A</v>
      </c>
      <c r="K451" s="186" t="b">
        <f t="shared" si="269"/>
        <v>1</v>
      </c>
      <c r="L451" s="186" t="str">
        <f t="shared" si="270"/>
        <v>N/A</v>
      </c>
      <c r="M451" s="186" t="b">
        <f t="shared" si="271"/>
        <v>1</v>
      </c>
      <c r="N451" s="186" t="str">
        <f t="shared" si="272"/>
        <v>Used?</v>
      </c>
      <c r="O451" s="186" t="b">
        <f t="shared" si="273"/>
        <v>0</v>
      </c>
      <c r="P451" s="26" t="s">
        <v>696</v>
      </c>
      <c r="Q451" s="160" t="s">
        <v>20</v>
      </c>
      <c r="R451" s="160" t="s">
        <v>20</v>
      </c>
      <c r="S451" s="26" t="s">
        <v>697</v>
      </c>
      <c r="T451" s="165" t="str">
        <f t="shared" si="274"/>
        <v>Not Used</v>
      </c>
      <c r="U451" s="162"/>
      <c r="V451" s="55"/>
      <c r="W451" s="51" t="b">
        <f t="shared" si="275"/>
        <v>1</v>
      </c>
      <c r="X451" s="51" t="str">
        <f t="shared" si="276"/>
        <v>Not Used</v>
      </c>
      <c r="Y451" s="51" t="str">
        <f t="shared" si="277"/>
        <v>Not Used</v>
      </c>
      <c r="Z451" s="51" t="str">
        <f t="shared" si="278"/>
        <v>Not Used</v>
      </c>
      <c r="AA451" s="51" t="str">
        <f t="shared" si="278"/>
        <v>Not Used</v>
      </c>
      <c r="AB451" s="51" t="str">
        <f t="shared" si="279"/>
        <v>Not Used</v>
      </c>
      <c r="AC451" s="51" t="b">
        <f t="shared" si="280"/>
        <v>1</v>
      </c>
      <c r="AD451" s="51">
        <f>COUNTIF($X$5:$X$451, "Not Used")</f>
        <v>447</v>
      </c>
      <c r="AE451" s="51">
        <f>COUNTIF($X$5:$X$451, "TRUE")</f>
        <v>0</v>
      </c>
      <c r="AF451" s="51" t="b">
        <f t="shared" si="281"/>
        <v>1</v>
      </c>
      <c r="AI451" s="51" t="b">
        <f t="shared" si="282"/>
        <v>0</v>
      </c>
      <c r="AJ451" s="51" t="b">
        <f t="shared" si="283"/>
        <v>0</v>
      </c>
      <c r="AK451" s="51" t="b">
        <f t="shared" si="284"/>
        <v>0</v>
      </c>
      <c r="AL451" s="51" t="b">
        <f t="shared" si="285"/>
        <v>0</v>
      </c>
      <c r="AM451" s="51" t="b">
        <f t="shared" si="286"/>
        <v>0</v>
      </c>
      <c r="AN451" s="51"/>
      <c r="AO451" s="51" t="b">
        <f t="shared" si="287"/>
        <v>0</v>
      </c>
      <c r="AP451" s="51" t="str">
        <f t="shared" si="309"/>
        <v>Not in MMS</v>
      </c>
      <c r="AQ451" s="51" t="b">
        <f t="shared" si="288"/>
        <v>0</v>
      </c>
      <c r="AR451" s="51" t="b">
        <f t="shared" si="289"/>
        <v>0</v>
      </c>
      <c r="AS451" s="51" t="str">
        <f t="shared" si="290"/>
        <v/>
      </c>
      <c r="AT451" s="51" t="str">
        <f t="shared" si="291"/>
        <v/>
      </c>
      <c r="AU451" s="51" t="str">
        <f t="shared" si="292"/>
        <v/>
      </c>
      <c r="AV451" s="51" t="str">
        <f t="shared" si="293"/>
        <v/>
      </c>
      <c r="AW451" s="51" t="str">
        <f t="shared" si="294"/>
        <v/>
      </c>
      <c r="AX451" s="51" t="str">
        <f t="shared" si="295"/>
        <v/>
      </c>
      <c r="AY451" s="51" t="str">
        <f t="shared" si="296"/>
        <v/>
      </c>
      <c r="AZ451" s="51" t="str">
        <f t="shared" si="297"/>
        <v/>
      </c>
      <c r="BA451" s="51" t="str">
        <f t="shared" si="298"/>
        <v/>
      </c>
      <c r="BB451" s="51" t="str">
        <f t="shared" si="299"/>
        <v/>
      </c>
      <c r="BC451" s="51" t="str">
        <f t="shared" si="300"/>
        <v/>
      </c>
      <c r="BD451" s="51" t="str">
        <f t="shared" si="301"/>
        <v/>
      </c>
      <c r="BE451" s="51" t="str">
        <f t="shared" si="302"/>
        <v/>
      </c>
      <c r="BF451" s="51" t="str">
        <f t="shared" si="303"/>
        <v/>
      </c>
      <c r="BG451" s="51" t="str">
        <f t="shared" si="304"/>
        <v/>
      </c>
      <c r="BH451" s="51" t="b">
        <f t="shared" si="305"/>
        <v>0</v>
      </c>
      <c r="BI451" s="51" t="str">
        <f t="shared" si="306"/>
        <v/>
      </c>
      <c r="BJ451" s="51" t="str">
        <f t="shared" si="307"/>
        <v/>
      </c>
      <c r="BK451" s="51" t="b">
        <f t="shared" si="308"/>
        <v>0</v>
      </c>
      <c r="BL451" s="192"/>
    </row>
    <row r="452" spans="1:64" ht="13.5" thickBot="1" x14ac:dyDescent="0.25">
      <c r="A452" s="185" t="s">
        <v>1130</v>
      </c>
      <c r="B452" s="194" t="s">
        <v>695</v>
      </c>
      <c r="C452" s="194" t="s">
        <v>695</v>
      </c>
      <c r="D452" s="194" t="s">
        <v>695</v>
      </c>
      <c r="E452" s="193" t="s">
        <v>694</v>
      </c>
      <c r="F452" s="160" t="s">
        <v>20</v>
      </c>
      <c r="G452" s="161"/>
      <c r="H452" s="186" t="str">
        <f t="shared" si="266"/>
        <v>N/A</v>
      </c>
      <c r="I452" s="186" t="b">
        <f t="shared" si="267"/>
        <v>1</v>
      </c>
      <c r="J452" s="186" t="str">
        <f t="shared" si="268"/>
        <v>N/A</v>
      </c>
      <c r="K452" s="186" t="b">
        <f t="shared" si="269"/>
        <v>1</v>
      </c>
      <c r="L452" s="186" t="str">
        <f t="shared" si="270"/>
        <v>N/A</v>
      </c>
      <c r="M452" s="186" t="b">
        <f t="shared" si="271"/>
        <v>1</v>
      </c>
      <c r="N452" s="186" t="str">
        <f t="shared" si="272"/>
        <v>Used?</v>
      </c>
      <c r="O452" s="186" t="b">
        <f t="shared" si="273"/>
        <v>0</v>
      </c>
      <c r="P452" s="26" t="s">
        <v>696</v>
      </c>
      <c r="Q452" s="160" t="s">
        <v>20</v>
      </c>
      <c r="R452" s="160" t="s">
        <v>20</v>
      </c>
      <c r="S452" s="26" t="s">
        <v>697</v>
      </c>
      <c r="T452" s="165" t="str">
        <f t="shared" si="274"/>
        <v>Not Used</v>
      </c>
      <c r="U452" s="162"/>
      <c r="V452" s="55"/>
      <c r="W452" s="51" t="b">
        <f t="shared" si="275"/>
        <v>1</v>
      </c>
      <c r="X452" s="51" t="str">
        <f t="shared" si="276"/>
        <v>Not Used</v>
      </c>
      <c r="Y452" s="51" t="str">
        <f t="shared" si="277"/>
        <v>Not Used</v>
      </c>
      <c r="Z452" s="51" t="str">
        <f t="shared" si="278"/>
        <v>Not Used</v>
      </c>
      <c r="AA452" s="51" t="str">
        <f t="shared" si="278"/>
        <v>Not Used</v>
      </c>
      <c r="AB452" s="51" t="str">
        <f t="shared" si="279"/>
        <v>Not Used</v>
      </c>
      <c r="AC452" s="51" t="b">
        <f t="shared" si="280"/>
        <v>1</v>
      </c>
      <c r="AD452" s="51">
        <f>COUNTIF($X$5:$X$452, "Not Used")</f>
        <v>448</v>
      </c>
      <c r="AE452" s="51">
        <f>COUNTIF($X$5:$X$452, "TRUE")</f>
        <v>0</v>
      </c>
      <c r="AF452" s="51" t="b">
        <f t="shared" si="281"/>
        <v>1</v>
      </c>
      <c r="AI452" s="51" t="b">
        <f t="shared" si="282"/>
        <v>0</v>
      </c>
      <c r="AJ452" s="51" t="b">
        <f t="shared" si="283"/>
        <v>0</v>
      </c>
      <c r="AK452" s="51" t="b">
        <f t="shared" si="284"/>
        <v>0</v>
      </c>
      <c r="AL452" s="51" t="b">
        <f t="shared" si="285"/>
        <v>0</v>
      </c>
      <c r="AM452" s="51" t="b">
        <f t="shared" si="286"/>
        <v>0</v>
      </c>
      <c r="AN452" s="51"/>
      <c r="AO452" s="51" t="b">
        <f t="shared" si="287"/>
        <v>0</v>
      </c>
      <c r="AP452" s="51" t="str">
        <f t="shared" si="309"/>
        <v>Not in MMS</v>
      </c>
      <c r="AQ452" s="51" t="b">
        <f t="shared" si="288"/>
        <v>0</v>
      </c>
      <c r="AR452" s="51" t="b">
        <f t="shared" si="289"/>
        <v>0</v>
      </c>
      <c r="AS452" s="51" t="str">
        <f t="shared" si="290"/>
        <v/>
      </c>
      <c r="AT452" s="51" t="str">
        <f t="shared" si="291"/>
        <v/>
      </c>
      <c r="AU452" s="51" t="str">
        <f t="shared" si="292"/>
        <v/>
      </c>
      <c r="AV452" s="51" t="str">
        <f t="shared" si="293"/>
        <v/>
      </c>
      <c r="AW452" s="51" t="str">
        <f t="shared" si="294"/>
        <v/>
      </c>
      <c r="AX452" s="51" t="str">
        <f t="shared" si="295"/>
        <v/>
      </c>
      <c r="AY452" s="51" t="str">
        <f t="shared" si="296"/>
        <v/>
      </c>
      <c r="AZ452" s="51" t="str">
        <f t="shared" si="297"/>
        <v/>
      </c>
      <c r="BA452" s="51" t="str">
        <f t="shared" si="298"/>
        <v/>
      </c>
      <c r="BB452" s="51" t="str">
        <f t="shared" si="299"/>
        <v/>
      </c>
      <c r="BC452" s="51" t="str">
        <f t="shared" si="300"/>
        <v/>
      </c>
      <c r="BD452" s="51" t="str">
        <f t="shared" si="301"/>
        <v/>
      </c>
      <c r="BE452" s="51" t="str">
        <f t="shared" si="302"/>
        <v/>
      </c>
      <c r="BF452" s="51" t="str">
        <f t="shared" si="303"/>
        <v/>
      </c>
      <c r="BG452" s="51" t="str">
        <f t="shared" si="304"/>
        <v/>
      </c>
      <c r="BH452" s="51" t="b">
        <f t="shared" si="305"/>
        <v>0</v>
      </c>
      <c r="BI452" s="51" t="str">
        <f t="shared" si="306"/>
        <v/>
      </c>
      <c r="BJ452" s="51" t="str">
        <f t="shared" si="307"/>
        <v/>
      </c>
      <c r="BK452" s="51" t="b">
        <f t="shared" si="308"/>
        <v>0</v>
      </c>
      <c r="BL452" s="192"/>
    </row>
    <row r="453" spans="1:64" ht="13.5" thickBot="1" x14ac:dyDescent="0.25">
      <c r="A453" s="185" t="s">
        <v>1131</v>
      </c>
      <c r="B453" s="194" t="s">
        <v>695</v>
      </c>
      <c r="C453" s="194" t="s">
        <v>695</v>
      </c>
      <c r="D453" s="194" t="s">
        <v>695</v>
      </c>
      <c r="E453" s="193" t="s">
        <v>694</v>
      </c>
      <c r="F453" s="160" t="s">
        <v>20</v>
      </c>
      <c r="G453" s="161"/>
      <c r="H453" s="186" t="str">
        <f t="shared" si="266"/>
        <v>N/A</v>
      </c>
      <c r="I453" s="186" t="b">
        <f t="shared" si="267"/>
        <v>1</v>
      </c>
      <c r="J453" s="186" t="str">
        <f t="shared" si="268"/>
        <v>N/A</v>
      </c>
      <c r="K453" s="186" t="b">
        <f t="shared" si="269"/>
        <v>1</v>
      </c>
      <c r="L453" s="186" t="str">
        <f t="shared" si="270"/>
        <v>N/A</v>
      </c>
      <c r="M453" s="186" t="b">
        <f t="shared" si="271"/>
        <v>1</v>
      </c>
      <c r="N453" s="186" t="str">
        <f t="shared" si="272"/>
        <v>Used?</v>
      </c>
      <c r="O453" s="186" t="b">
        <f t="shared" si="273"/>
        <v>0</v>
      </c>
      <c r="P453" s="26" t="s">
        <v>696</v>
      </c>
      <c r="Q453" s="160" t="s">
        <v>20</v>
      </c>
      <c r="R453" s="160" t="s">
        <v>20</v>
      </c>
      <c r="S453" s="26" t="s">
        <v>697</v>
      </c>
      <c r="T453" s="165" t="str">
        <f t="shared" si="274"/>
        <v>Not Used</v>
      </c>
      <c r="U453" s="162"/>
      <c r="V453" s="55"/>
      <c r="W453" s="51" t="b">
        <f t="shared" si="275"/>
        <v>1</v>
      </c>
      <c r="X453" s="51" t="str">
        <f t="shared" si="276"/>
        <v>Not Used</v>
      </c>
      <c r="Y453" s="51" t="str">
        <f t="shared" si="277"/>
        <v>Not Used</v>
      </c>
      <c r="Z453" s="51" t="str">
        <f t="shared" si="278"/>
        <v>Not Used</v>
      </c>
      <c r="AA453" s="51" t="str">
        <f t="shared" si="278"/>
        <v>Not Used</v>
      </c>
      <c r="AB453" s="51" t="str">
        <f t="shared" si="279"/>
        <v>Not Used</v>
      </c>
      <c r="AC453" s="51" t="b">
        <f t="shared" si="280"/>
        <v>1</v>
      </c>
      <c r="AD453" s="51">
        <f>COUNTIF($X$5:$X$453, "Not Used")</f>
        <v>449</v>
      </c>
      <c r="AE453" s="51">
        <f>COUNTIF($X$5:$X$453, "TRUE")</f>
        <v>0</v>
      </c>
      <c r="AF453" s="51" t="b">
        <f t="shared" si="281"/>
        <v>1</v>
      </c>
      <c r="AI453" s="51" t="b">
        <f t="shared" si="282"/>
        <v>0</v>
      </c>
      <c r="AJ453" s="51" t="b">
        <f t="shared" si="283"/>
        <v>0</v>
      </c>
      <c r="AK453" s="51" t="b">
        <f t="shared" si="284"/>
        <v>0</v>
      </c>
      <c r="AL453" s="51" t="b">
        <f t="shared" si="285"/>
        <v>0</v>
      </c>
      <c r="AM453" s="51" t="b">
        <f t="shared" si="286"/>
        <v>0</v>
      </c>
      <c r="AN453" s="51"/>
      <c r="AO453" s="51" t="b">
        <f t="shared" si="287"/>
        <v>0</v>
      </c>
      <c r="AP453" s="51" t="str">
        <f t="shared" si="309"/>
        <v>Not in MMS</v>
      </c>
      <c r="AQ453" s="51" t="b">
        <f t="shared" si="288"/>
        <v>0</v>
      </c>
      <c r="AR453" s="51" t="b">
        <f t="shared" si="289"/>
        <v>0</v>
      </c>
      <c r="AS453" s="51" t="str">
        <f t="shared" si="290"/>
        <v/>
      </c>
      <c r="AT453" s="51" t="str">
        <f t="shared" si="291"/>
        <v/>
      </c>
      <c r="AU453" s="51" t="str">
        <f t="shared" si="292"/>
        <v/>
      </c>
      <c r="AV453" s="51" t="str">
        <f t="shared" si="293"/>
        <v/>
      </c>
      <c r="AW453" s="51" t="str">
        <f t="shared" si="294"/>
        <v/>
      </c>
      <c r="AX453" s="51" t="str">
        <f t="shared" si="295"/>
        <v/>
      </c>
      <c r="AY453" s="51" t="str">
        <f t="shared" si="296"/>
        <v/>
      </c>
      <c r="AZ453" s="51" t="str">
        <f t="shared" si="297"/>
        <v/>
      </c>
      <c r="BA453" s="51" t="str">
        <f t="shared" si="298"/>
        <v/>
      </c>
      <c r="BB453" s="51" t="str">
        <f t="shared" si="299"/>
        <v/>
      </c>
      <c r="BC453" s="51" t="str">
        <f t="shared" si="300"/>
        <v/>
      </c>
      <c r="BD453" s="51" t="str">
        <f t="shared" si="301"/>
        <v/>
      </c>
      <c r="BE453" s="51" t="str">
        <f t="shared" si="302"/>
        <v/>
      </c>
      <c r="BF453" s="51" t="str">
        <f t="shared" si="303"/>
        <v/>
      </c>
      <c r="BG453" s="51" t="str">
        <f t="shared" si="304"/>
        <v/>
      </c>
      <c r="BH453" s="51" t="b">
        <f t="shared" si="305"/>
        <v>0</v>
      </c>
      <c r="BI453" s="51" t="str">
        <f t="shared" si="306"/>
        <v/>
      </c>
      <c r="BJ453" s="51" t="str">
        <f t="shared" si="307"/>
        <v/>
      </c>
      <c r="BK453" s="51" t="b">
        <f t="shared" si="308"/>
        <v>0</v>
      </c>
      <c r="BL453" s="192"/>
    </row>
    <row r="454" spans="1:64" ht="13.5" thickBot="1" x14ac:dyDescent="0.25">
      <c r="A454" s="185" t="s">
        <v>1132</v>
      </c>
      <c r="B454" s="194" t="s">
        <v>695</v>
      </c>
      <c r="C454" s="194" t="s">
        <v>695</v>
      </c>
      <c r="D454" s="194" t="s">
        <v>695</v>
      </c>
      <c r="E454" s="193" t="s">
        <v>694</v>
      </c>
      <c r="F454" s="160" t="s">
        <v>20</v>
      </c>
      <c r="G454" s="161"/>
      <c r="H454" s="186" t="str">
        <f t="shared" si="266"/>
        <v>N/A</v>
      </c>
      <c r="I454" s="186" t="b">
        <f t="shared" si="267"/>
        <v>1</v>
      </c>
      <c r="J454" s="186" t="str">
        <f t="shared" si="268"/>
        <v>N/A</v>
      </c>
      <c r="K454" s="186" t="b">
        <f t="shared" si="269"/>
        <v>1</v>
      </c>
      <c r="L454" s="186" t="str">
        <f t="shared" si="270"/>
        <v>N/A</v>
      </c>
      <c r="M454" s="186" t="b">
        <f t="shared" si="271"/>
        <v>1</v>
      </c>
      <c r="N454" s="186" t="str">
        <f t="shared" si="272"/>
        <v>Used?</v>
      </c>
      <c r="O454" s="186" t="b">
        <f t="shared" si="273"/>
        <v>0</v>
      </c>
      <c r="P454" s="26" t="s">
        <v>696</v>
      </c>
      <c r="Q454" s="160" t="s">
        <v>20</v>
      </c>
      <c r="R454" s="160" t="s">
        <v>20</v>
      </c>
      <c r="S454" s="26" t="s">
        <v>697</v>
      </c>
      <c r="T454" s="165" t="str">
        <f t="shared" si="274"/>
        <v>Not Used</v>
      </c>
      <c r="U454" s="162"/>
      <c r="V454" s="55"/>
      <c r="W454" s="51" t="b">
        <f t="shared" si="275"/>
        <v>1</v>
      </c>
      <c r="X454" s="51" t="str">
        <f t="shared" si="276"/>
        <v>Not Used</v>
      </c>
      <c r="Y454" s="51" t="str">
        <f t="shared" si="277"/>
        <v>Not Used</v>
      </c>
      <c r="Z454" s="51" t="str">
        <f t="shared" si="278"/>
        <v>Not Used</v>
      </c>
      <c r="AA454" s="51" t="str">
        <f t="shared" si="278"/>
        <v>Not Used</v>
      </c>
      <c r="AB454" s="51" t="str">
        <f t="shared" si="279"/>
        <v>Not Used</v>
      </c>
      <c r="AC454" s="51" t="b">
        <f t="shared" si="280"/>
        <v>1</v>
      </c>
      <c r="AD454" s="51">
        <f>COUNTIF($X$5:$X$454, "Not Used")</f>
        <v>450</v>
      </c>
      <c r="AE454" s="51">
        <f>COUNTIF($X$5:$X$454, "TRUE")</f>
        <v>0</v>
      </c>
      <c r="AF454" s="51" t="b">
        <f t="shared" si="281"/>
        <v>1</v>
      </c>
      <c r="AI454" s="51" t="b">
        <f t="shared" si="282"/>
        <v>0</v>
      </c>
      <c r="AJ454" s="51" t="b">
        <f t="shared" si="283"/>
        <v>0</v>
      </c>
      <c r="AK454" s="51" t="b">
        <f t="shared" si="284"/>
        <v>0</v>
      </c>
      <c r="AL454" s="51" t="b">
        <f t="shared" si="285"/>
        <v>0</v>
      </c>
      <c r="AM454" s="51" t="b">
        <f t="shared" si="286"/>
        <v>0</v>
      </c>
      <c r="AN454" s="51"/>
      <c r="AO454" s="51" t="b">
        <f t="shared" si="287"/>
        <v>0</v>
      </c>
      <c r="AP454" s="51" t="str">
        <f t="shared" si="309"/>
        <v>Not in MMS</v>
      </c>
      <c r="AQ454" s="51" t="b">
        <f t="shared" si="288"/>
        <v>0</v>
      </c>
      <c r="AR454" s="51" t="b">
        <f t="shared" si="289"/>
        <v>0</v>
      </c>
      <c r="AS454" s="51" t="str">
        <f t="shared" si="290"/>
        <v/>
      </c>
      <c r="AT454" s="51" t="str">
        <f t="shared" si="291"/>
        <v/>
      </c>
      <c r="AU454" s="51" t="str">
        <f t="shared" si="292"/>
        <v/>
      </c>
      <c r="AV454" s="51" t="str">
        <f t="shared" si="293"/>
        <v/>
      </c>
      <c r="AW454" s="51" t="str">
        <f t="shared" si="294"/>
        <v/>
      </c>
      <c r="AX454" s="51" t="str">
        <f t="shared" si="295"/>
        <v/>
      </c>
      <c r="AY454" s="51" t="str">
        <f t="shared" si="296"/>
        <v/>
      </c>
      <c r="AZ454" s="51" t="str">
        <f t="shared" si="297"/>
        <v/>
      </c>
      <c r="BA454" s="51" t="str">
        <f t="shared" si="298"/>
        <v/>
      </c>
      <c r="BB454" s="51" t="str">
        <f t="shared" si="299"/>
        <v/>
      </c>
      <c r="BC454" s="51" t="str">
        <f t="shared" si="300"/>
        <v/>
      </c>
      <c r="BD454" s="51" t="str">
        <f t="shared" si="301"/>
        <v/>
      </c>
      <c r="BE454" s="51" t="str">
        <f t="shared" si="302"/>
        <v/>
      </c>
      <c r="BF454" s="51" t="str">
        <f t="shared" si="303"/>
        <v/>
      </c>
      <c r="BG454" s="51" t="str">
        <f t="shared" si="304"/>
        <v/>
      </c>
      <c r="BH454" s="51" t="b">
        <f t="shared" si="305"/>
        <v>0</v>
      </c>
      <c r="BI454" s="51" t="str">
        <f t="shared" si="306"/>
        <v/>
      </c>
      <c r="BJ454" s="51" t="str">
        <f t="shared" si="307"/>
        <v/>
      </c>
      <c r="BK454" s="51" t="b">
        <f t="shared" si="308"/>
        <v>0</v>
      </c>
      <c r="BL454" s="192"/>
    </row>
    <row r="455" spans="1:64" ht="13.5" thickBot="1" x14ac:dyDescent="0.25">
      <c r="A455" s="185" t="s">
        <v>1905</v>
      </c>
      <c r="B455" s="194" t="s">
        <v>695</v>
      </c>
      <c r="C455" s="194" t="s">
        <v>695</v>
      </c>
      <c r="D455" s="194" t="s">
        <v>695</v>
      </c>
      <c r="E455" s="193" t="s">
        <v>694</v>
      </c>
      <c r="F455" s="160" t="s">
        <v>20</v>
      </c>
      <c r="G455" s="161"/>
      <c r="H455" s="186" t="str">
        <f t="shared" si="266"/>
        <v>N/A</v>
      </c>
      <c r="I455" s="186" t="b">
        <f t="shared" si="267"/>
        <v>1</v>
      </c>
      <c r="J455" s="186" t="str">
        <f t="shared" si="268"/>
        <v>N/A</v>
      </c>
      <c r="K455" s="186" t="b">
        <f t="shared" si="269"/>
        <v>1</v>
      </c>
      <c r="L455" s="186" t="str">
        <f t="shared" si="270"/>
        <v>N/A</v>
      </c>
      <c r="M455" s="186" t="b">
        <f t="shared" si="271"/>
        <v>1</v>
      </c>
      <c r="N455" s="186" t="str">
        <f t="shared" si="272"/>
        <v>Used?</v>
      </c>
      <c r="O455" s="186" t="b">
        <f t="shared" si="273"/>
        <v>0</v>
      </c>
      <c r="P455" s="26" t="s">
        <v>696</v>
      </c>
      <c r="Q455" s="160" t="s">
        <v>20</v>
      </c>
      <c r="R455" s="160" t="s">
        <v>20</v>
      </c>
      <c r="S455" s="26" t="s">
        <v>697</v>
      </c>
      <c r="T455" s="165" t="str">
        <f t="shared" si="274"/>
        <v>Not Used</v>
      </c>
      <c r="U455" s="162"/>
      <c r="V455" s="55"/>
      <c r="W455" s="51" t="b">
        <f t="shared" si="275"/>
        <v>1</v>
      </c>
      <c r="X455" s="51" t="str">
        <f t="shared" si="276"/>
        <v>Not Used</v>
      </c>
      <c r="Y455" s="51" t="str">
        <f t="shared" si="277"/>
        <v>Not Used</v>
      </c>
      <c r="Z455" s="51" t="str">
        <f t="shared" si="278"/>
        <v>Not Used</v>
      </c>
      <c r="AA455" s="51" t="str">
        <f t="shared" si="278"/>
        <v>Not Used</v>
      </c>
      <c r="AB455" s="51" t="str">
        <f t="shared" si="279"/>
        <v>Not Used</v>
      </c>
      <c r="AC455" s="51" t="b">
        <f t="shared" si="280"/>
        <v>1</v>
      </c>
      <c r="AD455" s="51">
        <f>COUNTIF($X$5:$X$456, "Not Used")</f>
        <v>452</v>
      </c>
      <c r="AE455" s="51">
        <f>COUNTIF($X$5:$X$456, "TRUE")</f>
        <v>0</v>
      </c>
      <c r="AF455" s="51" t="b">
        <f t="shared" si="281"/>
        <v>1</v>
      </c>
      <c r="AI455" s="51" t="b">
        <f t="shared" si="282"/>
        <v>0</v>
      </c>
      <c r="AJ455" s="51" t="b">
        <f t="shared" si="283"/>
        <v>0</v>
      </c>
      <c r="AK455" s="51" t="b">
        <f t="shared" si="284"/>
        <v>0</v>
      </c>
      <c r="AL455" s="51" t="b">
        <f t="shared" si="285"/>
        <v>0</v>
      </c>
      <c r="AM455" s="51" t="b">
        <f t="shared" si="286"/>
        <v>0</v>
      </c>
      <c r="AN455" s="51"/>
      <c r="AO455" s="51" t="b">
        <f t="shared" si="287"/>
        <v>0</v>
      </c>
      <c r="AP455" s="51" t="str">
        <f t="shared" si="309"/>
        <v>Not in MMS</v>
      </c>
      <c r="AQ455" s="51" t="b">
        <f t="shared" si="288"/>
        <v>0</v>
      </c>
      <c r="AR455" s="51" t="b">
        <f t="shared" si="289"/>
        <v>0</v>
      </c>
      <c r="AS455" s="51" t="str">
        <f t="shared" si="290"/>
        <v/>
      </c>
      <c r="AT455" s="51" t="str">
        <f t="shared" si="291"/>
        <v/>
      </c>
      <c r="AU455" s="51" t="str">
        <f t="shared" si="292"/>
        <v/>
      </c>
      <c r="AV455" s="51" t="str">
        <f t="shared" si="293"/>
        <v/>
      </c>
      <c r="AW455" s="51" t="str">
        <f t="shared" si="294"/>
        <v/>
      </c>
      <c r="AX455" s="51" t="str">
        <f t="shared" si="295"/>
        <v/>
      </c>
      <c r="AY455" s="51" t="str">
        <f t="shared" si="296"/>
        <v/>
      </c>
      <c r="AZ455" s="51" t="str">
        <f t="shared" si="297"/>
        <v/>
      </c>
      <c r="BA455" s="51" t="str">
        <f t="shared" si="298"/>
        <v/>
      </c>
      <c r="BB455" s="51" t="str">
        <f t="shared" si="299"/>
        <v/>
      </c>
      <c r="BC455" s="51" t="str">
        <f t="shared" si="300"/>
        <v/>
      </c>
      <c r="BD455" s="51" t="str">
        <f t="shared" si="301"/>
        <v/>
      </c>
      <c r="BE455" s="51" t="str">
        <f t="shared" si="302"/>
        <v/>
      </c>
      <c r="BF455" s="51" t="str">
        <f t="shared" si="303"/>
        <v/>
      </c>
      <c r="BG455" s="51" t="str">
        <f t="shared" si="304"/>
        <v/>
      </c>
      <c r="BH455" s="51" t="b">
        <f t="shared" si="305"/>
        <v>0</v>
      </c>
      <c r="BI455" s="51" t="str">
        <f t="shared" si="306"/>
        <v/>
      </c>
      <c r="BJ455" s="51" t="str">
        <f t="shared" si="307"/>
        <v/>
      </c>
      <c r="BK455" s="51" t="b">
        <f t="shared" si="308"/>
        <v>0</v>
      </c>
      <c r="BL455" s="192"/>
    </row>
    <row r="456" spans="1:64" ht="13.5" thickBot="1" x14ac:dyDescent="0.25">
      <c r="A456" s="185" t="s">
        <v>1133</v>
      </c>
      <c r="B456" s="194" t="s">
        <v>695</v>
      </c>
      <c r="C456" s="194" t="s">
        <v>695</v>
      </c>
      <c r="D456" s="194" t="s">
        <v>695</v>
      </c>
      <c r="E456" s="193" t="s">
        <v>694</v>
      </c>
      <c r="F456" s="160" t="s">
        <v>20</v>
      </c>
      <c r="G456" s="161"/>
      <c r="H456" s="186" t="str">
        <f t="shared" si="266"/>
        <v>N/A</v>
      </c>
      <c r="I456" s="186" t="b">
        <f t="shared" si="267"/>
        <v>1</v>
      </c>
      <c r="J456" s="186" t="str">
        <f t="shared" si="268"/>
        <v>N/A</v>
      </c>
      <c r="K456" s="186" t="b">
        <f t="shared" si="269"/>
        <v>1</v>
      </c>
      <c r="L456" s="186" t="str">
        <f t="shared" si="270"/>
        <v>N/A</v>
      </c>
      <c r="M456" s="186" t="b">
        <f t="shared" si="271"/>
        <v>1</v>
      </c>
      <c r="N456" s="186" t="str">
        <f t="shared" si="272"/>
        <v>Used?</v>
      </c>
      <c r="O456" s="186" t="b">
        <f t="shared" si="273"/>
        <v>0</v>
      </c>
      <c r="P456" s="26" t="s">
        <v>696</v>
      </c>
      <c r="Q456" s="160" t="s">
        <v>20</v>
      </c>
      <c r="R456" s="160" t="s">
        <v>20</v>
      </c>
      <c r="S456" s="26" t="s">
        <v>697</v>
      </c>
      <c r="T456" s="165" t="str">
        <f t="shared" si="274"/>
        <v>Not Used</v>
      </c>
      <c r="U456" s="162"/>
      <c r="V456" s="55"/>
      <c r="W456" s="51" t="b">
        <f t="shared" si="275"/>
        <v>1</v>
      </c>
      <c r="X456" s="51" t="str">
        <f t="shared" si="276"/>
        <v>Not Used</v>
      </c>
      <c r="Y456" s="51" t="str">
        <f t="shared" si="277"/>
        <v>Not Used</v>
      </c>
      <c r="Z456" s="51" t="str">
        <f t="shared" si="278"/>
        <v>Not Used</v>
      </c>
      <c r="AA456" s="51" t="str">
        <f t="shared" si="278"/>
        <v>Not Used</v>
      </c>
      <c r="AB456" s="51" t="str">
        <f t="shared" si="279"/>
        <v>Not Used</v>
      </c>
      <c r="AC456" s="51" t="b">
        <f t="shared" si="280"/>
        <v>1</v>
      </c>
      <c r="AD456" s="51">
        <f>COUNTIF($X$5:$X$456, "Not Used")</f>
        <v>452</v>
      </c>
      <c r="AE456" s="51">
        <f>COUNTIF($X$5:$X$456, "TRUE")</f>
        <v>0</v>
      </c>
      <c r="AF456" s="51" t="b">
        <f t="shared" si="281"/>
        <v>1</v>
      </c>
      <c r="AI456" s="51" t="b">
        <f t="shared" si="282"/>
        <v>0</v>
      </c>
      <c r="AJ456" s="51" t="b">
        <f t="shared" si="283"/>
        <v>0</v>
      </c>
      <c r="AK456" s="51" t="b">
        <f t="shared" si="284"/>
        <v>0</v>
      </c>
      <c r="AL456" s="51" t="b">
        <f t="shared" si="285"/>
        <v>0</v>
      </c>
      <c r="AM456" s="51" t="b">
        <f t="shared" si="286"/>
        <v>0</v>
      </c>
      <c r="AN456" s="51"/>
      <c r="AO456" s="51" t="b">
        <f t="shared" si="287"/>
        <v>0</v>
      </c>
      <c r="AP456" s="51" t="str">
        <f t="shared" si="309"/>
        <v>Not in MMS</v>
      </c>
      <c r="AQ456" s="51" t="b">
        <f t="shared" si="288"/>
        <v>0</v>
      </c>
      <c r="AR456" s="51" t="b">
        <f t="shared" si="289"/>
        <v>0</v>
      </c>
      <c r="AS456" s="51" t="str">
        <f t="shared" si="290"/>
        <v/>
      </c>
      <c r="AT456" s="51" t="str">
        <f t="shared" si="291"/>
        <v/>
      </c>
      <c r="AU456" s="51" t="str">
        <f t="shared" si="292"/>
        <v/>
      </c>
      <c r="AV456" s="51" t="str">
        <f t="shared" si="293"/>
        <v/>
      </c>
      <c r="AW456" s="51" t="str">
        <f t="shared" si="294"/>
        <v/>
      </c>
      <c r="AX456" s="51" t="str">
        <f t="shared" si="295"/>
        <v/>
      </c>
      <c r="AY456" s="51" t="str">
        <f t="shared" si="296"/>
        <v/>
      </c>
      <c r="AZ456" s="51" t="str">
        <f t="shared" si="297"/>
        <v/>
      </c>
      <c r="BA456" s="51" t="str">
        <f t="shared" si="298"/>
        <v/>
      </c>
      <c r="BB456" s="51" t="str">
        <f t="shared" si="299"/>
        <v/>
      </c>
      <c r="BC456" s="51" t="str">
        <f t="shared" si="300"/>
        <v/>
      </c>
      <c r="BD456" s="51" t="str">
        <f t="shared" si="301"/>
        <v/>
      </c>
      <c r="BE456" s="51" t="str">
        <f t="shared" si="302"/>
        <v/>
      </c>
      <c r="BF456" s="51" t="str">
        <f t="shared" si="303"/>
        <v/>
      </c>
      <c r="BG456" s="51" t="str">
        <f t="shared" si="304"/>
        <v/>
      </c>
      <c r="BH456" s="51" t="b">
        <f t="shared" si="305"/>
        <v>0</v>
      </c>
      <c r="BI456" s="51" t="str">
        <f t="shared" si="306"/>
        <v/>
      </c>
      <c r="BJ456" s="51" t="str">
        <f t="shared" si="307"/>
        <v/>
      </c>
      <c r="BK456" s="51" t="b">
        <f t="shared" si="308"/>
        <v>0</v>
      </c>
      <c r="BL456" s="192"/>
    </row>
    <row r="457" spans="1:64" ht="13.5" thickBot="1" x14ac:dyDescent="0.25">
      <c r="A457" s="185" t="s">
        <v>1134</v>
      </c>
      <c r="B457" s="194" t="s">
        <v>695</v>
      </c>
      <c r="C457" s="194" t="s">
        <v>695</v>
      </c>
      <c r="D457" s="194" t="s">
        <v>695</v>
      </c>
      <c r="E457" s="193" t="s">
        <v>694</v>
      </c>
      <c r="F457" s="160" t="s">
        <v>20</v>
      </c>
      <c r="G457" s="161"/>
      <c r="H457" s="186" t="str">
        <f t="shared" si="266"/>
        <v>N/A</v>
      </c>
      <c r="I457" s="186" t="b">
        <f t="shared" si="267"/>
        <v>1</v>
      </c>
      <c r="J457" s="186" t="str">
        <f t="shared" si="268"/>
        <v>N/A</v>
      </c>
      <c r="K457" s="186" t="b">
        <f t="shared" si="269"/>
        <v>1</v>
      </c>
      <c r="L457" s="186" t="str">
        <f t="shared" si="270"/>
        <v>N/A</v>
      </c>
      <c r="M457" s="186" t="b">
        <f t="shared" si="271"/>
        <v>1</v>
      </c>
      <c r="N457" s="186" t="str">
        <f t="shared" si="272"/>
        <v>Used?</v>
      </c>
      <c r="O457" s="186" t="b">
        <f t="shared" si="273"/>
        <v>0</v>
      </c>
      <c r="P457" s="26" t="s">
        <v>696</v>
      </c>
      <c r="Q457" s="160" t="s">
        <v>20</v>
      </c>
      <c r="R457" s="160" t="s">
        <v>20</v>
      </c>
      <c r="S457" s="26" t="s">
        <v>697</v>
      </c>
      <c r="T457" s="165" t="str">
        <f t="shared" si="274"/>
        <v>Not Used</v>
      </c>
      <c r="U457" s="162"/>
      <c r="V457" s="55"/>
      <c r="W457" s="51" t="b">
        <f t="shared" si="275"/>
        <v>1</v>
      </c>
      <c r="X457" s="51" t="str">
        <f t="shared" si="276"/>
        <v>Not Used</v>
      </c>
      <c r="Y457" s="51" t="str">
        <f t="shared" si="277"/>
        <v>Not Used</v>
      </c>
      <c r="Z457" s="51" t="str">
        <f t="shared" si="278"/>
        <v>Not Used</v>
      </c>
      <c r="AA457" s="51" t="str">
        <f t="shared" si="278"/>
        <v>Not Used</v>
      </c>
      <c r="AB457" s="51" t="str">
        <f t="shared" si="279"/>
        <v>Not Used</v>
      </c>
      <c r="AC457" s="51" t="b">
        <f t="shared" si="280"/>
        <v>1</v>
      </c>
      <c r="AD457" s="51">
        <f>COUNTIF($X$5:$X$457, "Not Used")</f>
        <v>453</v>
      </c>
      <c r="AE457" s="51">
        <f>COUNTIF($X$5:$X$457, "TRUE")</f>
        <v>0</v>
      </c>
      <c r="AF457" s="51" t="b">
        <f t="shared" si="281"/>
        <v>1</v>
      </c>
      <c r="AI457" s="51" t="b">
        <f t="shared" si="282"/>
        <v>0</v>
      </c>
      <c r="AJ457" s="51" t="b">
        <f t="shared" si="283"/>
        <v>0</v>
      </c>
      <c r="AK457" s="51" t="b">
        <f t="shared" si="284"/>
        <v>0</v>
      </c>
      <c r="AL457" s="51" t="b">
        <f t="shared" si="285"/>
        <v>0</v>
      </c>
      <c r="AM457" s="51" t="b">
        <f t="shared" si="286"/>
        <v>0</v>
      </c>
      <c r="AN457" s="51"/>
      <c r="AO457" s="51" t="b">
        <f t="shared" si="287"/>
        <v>0</v>
      </c>
      <c r="AP457" s="51" t="str">
        <f t="shared" si="309"/>
        <v>Not in MMS</v>
      </c>
      <c r="AQ457" s="51" t="b">
        <f t="shared" si="288"/>
        <v>0</v>
      </c>
      <c r="AR457" s="51" t="b">
        <f t="shared" si="289"/>
        <v>0</v>
      </c>
      <c r="AS457" s="51" t="str">
        <f t="shared" si="290"/>
        <v/>
      </c>
      <c r="AT457" s="51" t="str">
        <f t="shared" si="291"/>
        <v/>
      </c>
      <c r="AU457" s="51" t="str">
        <f t="shared" si="292"/>
        <v/>
      </c>
      <c r="AV457" s="51" t="str">
        <f t="shared" si="293"/>
        <v/>
      </c>
      <c r="AW457" s="51" t="str">
        <f t="shared" si="294"/>
        <v/>
      </c>
      <c r="AX457" s="51" t="str">
        <f t="shared" si="295"/>
        <v/>
      </c>
      <c r="AY457" s="51" t="str">
        <f t="shared" si="296"/>
        <v/>
      </c>
      <c r="AZ457" s="51" t="str">
        <f t="shared" si="297"/>
        <v/>
      </c>
      <c r="BA457" s="51" t="str">
        <f t="shared" si="298"/>
        <v/>
      </c>
      <c r="BB457" s="51" t="str">
        <f t="shared" si="299"/>
        <v/>
      </c>
      <c r="BC457" s="51" t="str">
        <f t="shared" si="300"/>
        <v/>
      </c>
      <c r="BD457" s="51" t="str">
        <f t="shared" si="301"/>
        <v/>
      </c>
      <c r="BE457" s="51" t="str">
        <f t="shared" si="302"/>
        <v/>
      </c>
      <c r="BF457" s="51" t="str">
        <f t="shared" si="303"/>
        <v/>
      </c>
      <c r="BG457" s="51" t="str">
        <f t="shared" si="304"/>
        <v/>
      </c>
      <c r="BH457" s="51" t="b">
        <f t="shared" si="305"/>
        <v>0</v>
      </c>
      <c r="BI457" s="51" t="str">
        <f t="shared" si="306"/>
        <v/>
      </c>
      <c r="BJ457" s="51" t="str">
        <f t="shared" si="307"/>
        <v/>
      </c>
      <c r="BK457" s="51" t="b">
        <f t="shared" si="308"/>
        <v>0</v>
      </c>
      <c r="BL457" s="192"/>
    </row>
    <row r="458" spans="1:64" ht="13.5" thickBot="1" x14ac:dyDescent="0.25">
      <c r="A458" s="185" t="s">
        <v>1135</v>
      </c>
      <c r="B458" s="194" t="s">
        <v>695</v>
      </c>
      <c r="C458" s="194" t="s">
        <v>695</v>
      </c>
      <c r="D458" s="194" t="s">
        <v>695</v>
      </c>
      <c r="E458" s="193" t="s">
        <v>694</v>
      </c>
      <c r="F458" s="160" t="s">
        <v>20</v>
      </c>
      <c r="G458" s="161"/>
      <c r="H458" s="186" t="str">
        <f t="shared" si="266"/>
        <v>N/A</v>
      </c>
      <c r="I458" s="186" t="b">
        <f t="shared" si="267"/>
        <v>1</v>
      </c>
      <c r="J458" s="186" t="str">
        <f t="shared" si="268"/>
        <v>N/A</v>
      </c>
      <c r="K458" s="186" t="b">
        <f t="shared" si="269"/>
        <v>1</v>
      </c>
      <c r="L458" s="186" t="str">
        <f t="shared" si="270"/>
        <v>N/A</v>
      </c>
      <c r="M458" s="186" t="b">
        <f t="shared" si="271"/>
        <v>1</v>
      </c>
      <c r="N458" s="186" t="str">
        <f t="shared" si="272"/>
        <v>Used?</v>
      </c>
      <c r="O458" s="186" t="b">
        <f t="shared" si="273"/>
        <v>0</v>
      </c>
      <c r="P458" s="26" t="s">
        <v>696</v>
      </c>
      <c r="Q458" s="160" t="s">
        <v>20</v>
      </c>
      <c r="R458" s="160" t="s">
        <v>20</v>
      </c>
      <c r="S458" s="26" t="s">
        <v>697</v>
      </c>
      <c r="T458" s="165" t="str">
        <f t="shared" si="274"/>
        <v>Not Used</v>
      </c>
      <c r="U458" s="162"/>
      <c r="V458" s="55"/>
      <c r="W458" s="51" t="b">
        <f t="shared" si="275"/>
        <v>1</v>
      </c>
      <c r="X458" s="51" t="str">
        <f t="shared" si="276"/>
        <v>Not Used</v>
      </c>
      <c r="Y458" s="51" t="str">
        <f t="shared" si="277"/>
        <v>Not Used</v>
      </c>
      <c r="Z458" s="51" t="str">
        <f t="shared" si="278"/>
        <v>Not Used</v>
      </c>
      <c r="AA458" s="51" t="str">
        <f t="shared" si="278"/>
        <v>Not Used</v>
      </c>
      <c r="AB458" s="51" t="str">
        <f t="shared" si="279"/>
        <v>Not Used</v>
      </c>
      <c r="AC458" s="51" t="b">
        <f t="shared" si="280"/>
        <v>1</v>
      </c>
      <c r="AD458" s="51">
        <f>COUNTIF($X$5:$X$458, "Not Used")</f>
        <v>454</v>
      </c>
      <c r="AE458" s="51">
        <f>COUNTIF($X$5:$X$458, "TRUE")</f>
        <v>0</v>
      </c>
      <c r="AF458" s="51" t="b">
        <f t="shared" si="281"/>
        <v>1</v>
      </c>
      <c r="AI458" s="51" t="b">
        <f t="shared" si="282"/>
        <v>0</v>
      </c>
      <c r="AJ458" s="51" t="b">
        <f t="shared" si="283"/>
        <v>0</v>
      </c>
      <c r="AK458" s="51" t="b">
        <f t="shared" si="284"/>
        <v>0</v>
      </c>
      <c r="AL458" s="51" t="b">
        <f t="shared" si="285"/>
        <v>0</v>
      </c>
      <c r="AM458" s="51" t="b">
        <f t="shared" si="286"/>
        <v>0</v>
      </c>
      <c r="AN458" s="51"/>
      <c r="AO458" s="51" t="b">
        <f t="shared" si="287"/>
        <v>0</v>
      </c>
      <c r="AP458" s="51" t="str">
        <f t="shared" si="309"/>
        <v>Not in MMS</v>
      </c>
      <c r="AQ458" s="51" t="b">
        <f t="shared" si="288"/>
        <v>0</v>
      </c>
      <c r="AR458" s="51" t="b">
        <f t="shared" si="289"/>
        <v>0</v>
      </c>
      <c r="AS458" s="51" t="str">
        <f t="shared" si="290"/>
        <v/>
      </c>
      <c r="AT458" s="51" t="str">
        <f t="shared" si="291"/>
        <v/>
      </c>
      <c r="AU458" s="51" t="str">
        <f t="shared" si="292"/>
        <v/>
      </c>
      <c r="AV458" s="51" t="str">
        <f t="shared" si="293"/>
        <v/>
      </c>
      <c r="AW458" s="51" t="str">
        <f t="shared" si="294"/>
        <v/>
      </c>
      <c r="AX458" s="51" t="str">
        <f t="shared" si="295"/>
        <v/>
      </c>
      <c r="AY458" s="51" t="str">
        <f t="shared" si="296"/>
        <v/>
      </c>
      <c r="AZ458" s="51" t="str">
        <f t="shared" si="297"/>
        <v/>
      </c>
      <c r="BA458" s="51" t="str">
        <f t="shared" si="298"/>
        <v/>
      </c>
      <c r="BB458" s="51" t="str">
        <f t="shared" si="299"/>
        <v/>
      </c>
      <c r="BC458" s="51" t="str">
        <f t="shared" si="300"/>
        <v/>
      </c>
      <c r="BD458" s="51" t="str">
        <f t="shared" si="301"/>
        <v/>
      </c>
      <c r="BE458" s="51" t="str">
        <f t="shared" si="302"/>
        <v/>
      </c>
      <c r="BF458" s="51" t="str">
        <f t="shared" si="303"/>
        <v/>
      </c>
      <c r="BG458" s="51" t="str">
        <f t="shared" si="304"/>
        <v/>
      </c>
      <c r="BH458" s="51" t="b">
        <f t="shared" si="305"/>
        <v>0</v>
      </c>
      <c r="BI458" s="51" t="str">
        <f t="shared" si="306"/>
        <v/>
      </c>
      <c r="BJ458" s="51" t="str">
        <f t="shared" si="307"/>
        <v/>
      </c>
      <c r="BK458" s="51" t="b">
        <f t="shared" si="308"/>
        <v>0</v>
      </c>
      <c r="BL458" s="192"/>
    </row>
    <row r="459" spans="1:64" ht="13.5" thickBot="1" x14ac:dyDescent="0.25">
      <c r="A459" s="185" t="s">
        <v>1136</v>
      </c>
      <c r="B459" s="194" t="s">
        <v>695</v>
      </c>
      <c r="C459" s="194" t="s">
        <v>695</v>
      </c>
      <c r="D459" s="194" t="s">
        <v>695</v>
      </c>
      <c r="E459" s="193" t="s">
        <v>694</v>
      </c>
      <c r="F459" s="160" t="s">
        <v>20</v>
      </c>
      <c r="G459" s="161"/>
      <c r="H459" s="186" t="str">
        <f t="shared" si="266"/>
        <v>N/A</v>
      </c>
      <c r="I459" s="186" t="b">
        <f t="shared" si="267"/>
        <v>1</v>
      </c>
      <c r="J459" s="186" t="str">
        <f t="shared" si="268"/>
        <v>N/A</v>
      </c>
      <c r="K459" s="186" t="b">
        <f t="shared" si="269"/>
        <v>1</v>
      </c>
      <c r="L459" s="186" t="str">
        <f t="shared" si="270"/>
        <v>N/A</v>
      </c>
      <c r="M459" s="186" t="b">
        <f t="shared" si="271"/>
        <v>1</v>
      </c>
      <c r="N459" s="186" t="str">
        <f t="shared" si="272"/>
        <v>Used?</v>
      </c>
      <c r="O459" s="186" t="b">
        <f t="shared" si="273"/>
        <v>0</v>
      </c>
      <c r="P459" s="26" t="s">
        <v>696</v>
      </c>
      <c r="Q459" s="160" t="s">
        <v>20</v>
      </c>
      <c r="R459" s="160" t="s">
        <v>20</v>
      </c>
      <c r="S459" s="26" t="s">
        <v>697</v>
      </c>
      <c r="T459" s="165" t="str">
        <f t="shared" si="274"/>
        <v>Not Used</v>
      </c>
      <c r="U459" s="162"/>
      <c r="V459" s="55"/>
      <c r="W459" s="51" t="b">
        <f t="shared" si="275"/>
        <v>1</v>
      </c>
      <c r="X459" s="51" t="str">
        <f t="shared" si="276"/>
        <v>Not Used</v>
      </c>
      <c r="Y459" s="51" t="str">
        <f t="shared" si="277"/>
        <v>Not Used</v>
      </c>
      <c r="Z459" s="51" t="str">
        <f t="shared" si="278"/>
        <v>Not Used</v>
      </c>
      <c r="AA459" s="51" t="str">
        <f t="shared" si="278"/>
        <v>Not Used</v>
      </c>
      <c r="AB459" s="51" t="str">
        <f t="shared" si="279"/>
        <v>Not Used</v>
      </c>
      <c r="AC459" s="51" t="b">
        <f t="shared" si="280"/>
        <v>1</v>
      </c>
      <c r="AD459" s="51">
        <f>COUNTIF($X$5:$X$459, "Not Used")</f>
        <v>455</v>
      </c>
      <c r="AE459" s="51">
        <f>COUNTIF($X$5:$X$459, "TRUE")</f>
        <v>0</v>
      </c>
      <c r="AF459" s="51" t="b">
        <f t="shared" si="281"/>
        <v>1</v>
      </c>
      <c r="AI459" s="51" t="b">
        <f t="shared" si="282"/>
        <v>0</v>
      </c>
      <c r="AJ459" s="51" t="b">
        <f t="shared" si="283"/>
        <v>0</v>
      </c>
      <c r="AK459" s="51" t="b">
        <f t="shared" si="284"/>
        <v>0</v>
      </c>
      <c r="AL459" s="51" t="b">
        <f t="shared" si="285"/>
        <v>0</v>
      </c>
      <c r="AM459" s="51" t="b">
        <f t="shared" si="286"/>
        <v>0</v>
      </c>
      <c r="AN459" s="51"/>
      <c r="AO459" s="51" t="b">
        <f t="shared" si="287"/>
        <v>0</v>
      </c>
      <c r="AP459" s="51" t="str">
        <f t="shared" si="309"/>
        <v>Not in MMS</v>
      </c>
      <c r="AQ459" s="51" t="b">
        <f t="shared" si="288"/>
        <v>0</v>
      </c>
      <c r="AR459" s="51" t="b">
        <f t="shared" si="289"/>
        <v>0</v>
      </c>
      <c r="AS459" s="51" t="str">
        <f t="shared" si="290"/>
        <v/>
      </c>
      <c r="AT459" s="51" t="str">
        <f t="shared" si="291"/>
        <v/>
      </c>
      <c r="AU459" s="51" t="str">
        <f t="shared" si="292"/>
        <v/>
      </c>
      <c r="AV459" s="51" t="str">
        <f t="shared" si="293"/>
        <v/>
      </c>
      <c r="AW459" s="51" t="str">
        <f t="shared" si="294"/>
        <v/>
      </c>
      <c r="AX459" s="51" t="str">
        <f t="shared" si="295"/>
        <v/>
      </c>
      <c r="AY459" s="51" t="str">
        <f t="shared" si="296"/>
        <v/>
      </c>
      <c r="AZ459" s="51" t="str">
        <f t="shared" si="297"/>
        <v/>
      </c>
      <c r="BA459" s="51" t="str">
        <f t="shared" si="298"/>
        <v/>
      </c>
      <c r="BB459" s="51" t="str">
        <f t="shared" si="299"/>
        <v/>
      </c>
      <c r="BC459" s="51" t="str">
        <f t="shared" si="300"/>
        <v/>
      </c>
      <c r="BD459" s="51" t="str">
        <f t="shared" si="301"/>
        <v/>
      </c>
      <c r="BE459" s="51" t="str">
        <f t="shared" si="302"/>
        <v/>
      </c>
      <c r="BF459" s="51" t="str">
        <f t="shared" si="303"/>
        <v/>
      </c>
      <c r="BG459" s="51" t="str">
        <f t="shared" si="304"/>
        <v/>
      </c>
      <c r="BH459" s="51" t="b">
        <f t="shared" si="305"/>
        <v>0</v>
      </c>
      <c r="BI459" s="51" t="str">
        <f t="shared" si="306"/>
        <v/>
      </c>
      <c r="BJ459" s="51" t="str">
        <f t="shared" si="307"/>
        <v/>
      </c>
      <c r="BK459" s="51" t="b">
        <f t="shared" si="308"/>
        <v>0</v>
      </c>
      <c r="BL459" s="192"/>
    </row>
    <row r="460" spans="1:64" ht="13.5" thickBot="1" x14ac:dyDescent="0.25">
      <c r="A460" s="185" t="s">
        <v>1137</v>
      </c>
      <c r="B460" s="194" t="s">
        <v>695</v>
      </c>
      <c r="C460" s="194" t="s">
        <v>695</v>
      </c>
      <c r="D460" s="194" t="s">
        <v>695</v>
      </c>
      <c r="E460" s="193" t="s">
        <v>694</v>
      </c>
      <c r="F460" s="160" t="s">
        <v>20</v>
      </c>
      <c r="G460" s="161"/>
      <c r="H460" s="186" t="str">
        <f t="shared" si="266"/>
        <v>N/A</v>
      </c>
      <c r="I460" s="186" t="b">
        <f t="shared" si="267"/>
        <v>1</v>
      </c>
      <c r="J460" s="186" t="str">
        <f t="shared" si="268"/>
        <v>N/A</v>
      </c>
      <c r="K460" s="186" t="b">
        <f t="shared" si="269"/>
        <v>1</v>
      </c>
      <c r="L460" s="186" t="str">
        <f t="shared" si="270"/>
        <v>N/A</v>
      </c>
      <c r="M460" s="186" t="b">
        <f t="shared" si="271"/>
        <v>1</v>
      </c>
      <c r="N460" s="186" t="str">
        <f t="shared" si="272"/>
        <v>Used?</v>
      </c>
      <c r="O460" s="186" t="b">
        <f t="shared" si="273"/>
        <v>0</v>
      </c>
      <c r="P460" s="26" t="s">
        <v>696</v>
      </c>
      <c r="Q460" s="160" t="s">
        <v>20</v>
      </c>
      <c r="R460" s="160" t="s">
        <v>20</v>
      </c>
      <c r="S460" s="26" t="s">
        <v>697</v>
      </c>
      <c r="T460" s="165" t="str">
        <f t="shared" si="274"/>
        <v>Not Used</v>
      </c>
      <c r="U460" s="162"/>
      <c r="V460" s="55"/>
      <c r="W460" s="51" t="b">
        <f t="shared" si="275"/>
        <v>1</v>
      </c>
      <c r="X460" s="51" t="str">
        <f t="shared" si="276"/>
        <v>Not Used</v>
      </c>
      <c r="Y460" s="51" t="str">
        <f t="shared" si="277"/>
        <v>Not Used</v>
      </c>
      <c r="Z460" s="51" t="str">
        <f t="shared" si="278"/>
        <v>Not Used</v>
      </c>
      <c r="AA460" s="51" t="str">
        <f t="shared" si="278"/>
        <v>Not Used</v>
      </c>
      <c r="AB460" s="51" t="str">
        <f t="shared" si="279"/>
        <v>Not Used</v>
      </c>
      <c r="AC460" s="51" t="b">
        <f t="shared" si="280"/>
        <v>1</v>
      </c>
      <c r="AD460" s="51">
        <f>COUNTIF($X$5:$X$460, "Not Used")</f>
        <v>456</v>
      </c>
      <c r="AE460" s="51">
        <f>COUNTIF($X$5:$X$460, "TRUE")</f>
        <v>0</v>
      </c>
      <c r="AF460" s="51" t="b">
        <f t="shared" si="281"/>
        <v>1</v>
      </c>
      <c r="AI460" s="51" t="b">
        <f t="shared" si="282"/>
        <v>0</v>
      </c>
      <c r="AJ460" s="51" t="b">
        <f t="shared" si="283"/>
        <v>0</v>
      </c>
      <c r="AK460" s="51" t="b">
        <f t="shared" si="284"/>
        <v>0</v>
      </c>
      <c r="AL460" s="51" t="b">
        <f t="shared" si="285"/>
        <v>0</v>
      </c>
      <c r="AM460" s="51" t="b">
        <f t="shared" si="286"/>
        <v>0</v>
      </c>
      <c r="AN460" s="51"/>
      <c r="AO460" s="51" t="b">
        <f t="shared" si="287"/>
        <v>0</v>
      </c>
      <c r="AP460" s="51" t="str">
        <f t="shared" si="309"/>
        <v>Not in MMS</v>
      </c>
      <c r="AQ460" s="51" t="b">
        <f t="shared" si="288"/>
        <v>0</v>
      </c>
      <c r="AR460" s="51" t="b">
        <f t="shared" si="289"/>
        <v>0</v>
      </c>
      <c r="AS460" s="51" t="str">
        <f t="shared" si="290"/>
        <v/>
      </c>
      <c r="AT460" s="51" t="str">
        <f t="shared" si="291"/>
        <v/>
      </c>
      <c r="AU460" s="51" t="str">
        <f t="shared" si="292"/>
        <v/>
      </c>
      <c r="AV460" s="51" t="str">
        <f t="shared" si="293"/>
        <v/>
      </c>
      <c r="AW460" s="51" t="str">
        <f t="shared" si="294"/>
        <v/>
      </c>
      <c r="AX460" s="51" t="str">
        <f t="shared" si="295"/>
        <v/>
      </c>
      <c r="AY460" s="51" t="str">
        <f t="shared" si="296"/>
        <v/>
      </c>
      <c r="AZ460" s="51" t="str">
        <f t="shared" si="297"/>
        <v/>
      </c>
      <c r="BA460" s="51" t="str">
        <f t="shared" si="298"/>
        <v/>
      </c>
      <c r="BB460" s="51" t="str">
        <f t="shared" si="299"/>
        <v/>
      </c>
      <c r="BC460" s="51" t="str">
        <f t="shared" si="300"/>
        <v/>
      </c>
      <c r="BD460" s="51" t="str">
        <f t="shared" si="301"/>
        <v/>
      </c>
      <c r="BE460" s="51" t="str">
        <f t="shared" si="302"/>
        <v/>
      </c>
      <c r="BF460" s="51" t="str">
        <f t="shared" si="303"/>
        <v/>
      </c>
      <c r="BG460" s="51" t="str">
        <f t="shared" si="304"/>
        <v/>
      </c>
      <c r="BH460" s="51" t="b">
        <f t="shared" si="305"/>
        <v>0</v>
      </c>
      <c r="BI460" s="51" t="str">
        <f t="shared" si="306"/>
        <v/>
      </c>
      <c r="BJ460" s="51" t="str">
        <f t="shared" si="307"/>
        <v/>
      </c>
      <c r="BK460" s="51" t="b">
        <f t="shared" si="308"/>
        <v>0</v>
      </c>
      <c r="BL460" s="192"/>
    </row>
    <row r="461" spans="1:64" ht="13.5" thickBot="1" x14ac:dyDescent="0.25">
      <c r="A461" s="185" t="s">
        <v>1138</v>
      </c>
      <c r="B461" s="194" t="s">
        <v>695</v>
      </c>
      <c r="C461" s="194" t="s">
        <v>695</v>
      </c>
      <c r="D461" s="194" t="s">
        <v>695</v>
      </c>
      <c r="E461" s="193" t="s">
        <v>694</v>
      </c>
      <c r="F461" s="160" t="s">
        <v>20</v>
      </c>
      <c r="G461" s="161"/>
      <c r="H461" s="186" t="str">
        <f t="shared" si="266"/>
        <v>N/A</v>
      </c>
      <c r="I461" s="186" t="b">
        <f t="shared" si="267"/>
        <v>1</v>
      </c>
      <c r="J461" s="186" t="str">
        <f t="shared" si="268"/>
        <v>N/A</v>
      </c>
      <c r="K461" s="186" t="b">
        <f t="shared" si="269"/>
        <v>1</v>
      </c>
      <c r="L461" s="186" t="str">
        <f t="shared" si="270"/>
        <v>N/A</v>
      </c>
      <c r="M461" s="186" t="b">
        <f t="shared" si="271"/>
        <v>1</v>
      </c>
      <c r="N461" s="186" t="str">
        <f t="shared" si="272"/>
        <v>Used?</v>
      </c>
      <c r="O461" s="186" t="b">
        <f t="shared" si="273"/>
        <v>0</v>
      </c>
      <c r="P461" s="26" t="s">
        <v>696</v>
      </c>
      <c r="Q461" s="160" t="s">
        <v>20</v>
      </c>
      <c r="R461" s="160" t="s">
        <v>20</v>
      </c>
      <c r="S461" s="26" t="s">
        <v>697</v>
      </c>
      <c r="T461" s="165" t="str">
        <f t="shared" si="274"/>
        <v>Not Used</v>
      </c>
      <c r="U461" s="162"/>
      <c r="V461" s="55"/>
      <c r="W461" s="51" t="b">
        <f t="shared" si="275"/>
        <v>1</v>
      </c>
      <c r="X461" s="51" t="str">
        <f t="shared" si="276"/>
        <v>Not Used</v>
      </c>
      <c r="Y461" s="51" t="str">
        <f t="shared" si="277"/>
        <v>Not Used</v>
      </c>
      <c r="Z461" s="51" t="str">
        <f t="shared" si="278"/>
        <v>Not Used</v>
      </c>
      <c r="AA461" s="51" t="str">
        <f t="shared" si="278"/>
        <v>Not Used</v>
      </c>
      <c r="AB461" s="51" t="str">
        <f t="shared" si="279"/>
        <v>Not Used</v>
      </c>
      <c r="AC461" s="51" t="b">
        <f t="shared" si="280"/>
        <v>1</v>
      </c>
      <c r="AD461" s="51">
        <f>COUNTIF($X$5:$X$461, "Not Used")</f>
        <v>457</v>
      </c>
      <c r="AE461" s="51">
        <f>COUNTIF($X$5:$X$461, "TRUE")</f>
        <v>0</v>
      </c>
      <c r="AF461" s="51" t="b">
        <f t="shared" si="281"/>
        <v>1</v>
      </c>
      <c r="AI461" s="51" t="b">
        <f t="shared" si="282"/>
        <v>0</v>
      </c>
      <c r="AJ461" s="51" t="b">
        <f t="shared" si="283"/>
        <v>0</v>
      </c>
      <c r="AK461" s="51" t="b">
        <f t="shared" si="284"/>
        <v>0</v>
      </c>
      <c r="AL461" s="51" t="b">
        <f t="shared" si="285"/>
        <v>0</v>
      </c>
      <c r="AM461" s="51" t="b">
        <f t="shared" si="286"/>
        <v>0</v>
      </c>
      <c r="AN461" s="51"/>
      <c r="AO461" s="51" t="b">
        <f t="shared" si="287"/>
        <v>0</v>
      </c>
      <c r="AP461" s="51" t="str">
        <f t="shared" si="309"/>
        <v>Not in MMS</v>
      </c>
      <c r="AQ461" s="51" t="b">
        <f t="shared" si="288"/>
        <v>0</v>
      </c>
      <c r="AR461" s="51" t="b">
        <f t="shared" si="289"/>
        <v>0</v>
      </c>
      <c r="AS461" s="51" t="str">
        <f t="shared" si="290"/>
        <v/>
      </c>
      <c r="AT461" s="51" t="str">
        <f t="shared" si="291"/>
        <v/>
      </c>
      <c r="AU461" s="51" t="str">
        <f t="shared" si="292"/>
        <v/>
      </c>
      <c r="AV461" s="51" t="str">
        <f t="shared" si="293"/>
        <v/>
      </c>
      <c r="AW461" s="51" t="str">
        <f t="shared" si="294"/>
        <v/>
      </c>
      <c r="AX461" s="51" t="str">
        <f t="shared" si="295"/>
        <v/>
      </c>
      <c r="AY461" s="51" t="str">
        <f t="shared" si="296"/>
        <v/>
      </c>
      <c r="AZ461" s="51" t="str">
        <f t="shared" si="297"/>
        <v/>
      </c>
      <c r="BA461" s="51" t="str">
        <f t="shared" si="298"/>
        <v/>
      </c>
      <c r="BB461" s="51" t="str">
        <f t="shared" si="299"/>
        <v/>
      </c>
      <c r="BC461" s="51" t="str">
        <f t="shared" si="300"/>
        <v/>
      </c>
      <c r="BD461" s="51" t="str">
        <f t="shared" si="301"/>
        <v/>
      </c>
      <c r="BE461" s="51" t="str">
        <f t="shared" si="302"/>
        <v/>
      </c>
      <c r="BF461" s="51" t="str">
        <f t="shared" si="303"/>
        <v/>
      </c>
      <c r="BG461" s="51" t="str">
        <f t="shared" si="304"/>
        <v/>
      </c>
      <c r="BH461" s="51" t="b">
        <f t="shared" si="305"/>
        <v>0</v>
      </c>
      <c r="BI461" s="51" t="str">
        <f t="shared" si="306"/>
        <v/>
      </c>
      <c r="BJ461" s="51" t="str">
        <f t="shared" si="307"/>
        <v/>
      </c>
      <c r="BK461" s="51" t="b">
        <f t="shared" si="308"/>
        <v>0</v>
      </c>
      <c r="BL461" s="192"/>
    </row>
    <row r="462" spans="1:64" ht="13.5" thickBot="1" x14ac:dyDescent="0.25">
      <c r="A462" s="185" t="s">
        <v>1139</v>
      </c>
      <c r="B462" s="194" t="s">
        <v>695</v>
      </c>
      <c r="C462" s="194" t="s">
        <v>695</v>
      </c>
      <c r="D462" s="194" t="s">
        <v>695</v>
      </c>
      <c r="E462" s="193" t="s">
        <v>694</v>
      </c>
      <c r="F462" s="160" t="s">
        <v>20</v>
      </c>
      <c r="G462" s="161"/>
      <c r="H462" s="186" t="str">
        <f t="shared" si="266"/>
        <v>N/A</v>
      </c>
      <c r="I462" s="186" t="b">
        <f t="shared" si="267"/>
        <v>1</v>
      </c>
      <c r="J462" s="186" t="str">
        <f t="shared" si="268"/>
        <v>N/A</v>
      </c>
      <c r="K462" s="186" t="b">
        <f t="shared" si="269"/>
        <v>1</v>
      </c>
      <c r="L462" s="186" t="str">
        <f t="shared" si="270"/>
        <v>N/A</v>
      </c>
      <c r="M462" s="186" t="b">
        <f t="shared" si="271"/>
        <v>1</v>
      </c>
      <c r="N462" s="186" t="str">
        <f t="shared" si="272"/>
        <v>Used?</v>
      </c>
      <c r="O462" s="186" t="b">
        <f t="shared" si="273"/>
        <v>0</v>
      </c>
      <c r="P462" s="26" t="s">
        <v>696</v>
      </c>
      <c r="Q462" s="160" t="s">
        <v>20</v>
      </c>
      <c r="R462" s="160" t="s">
        <v>20</v>
      </c>
      <c r="S462" s="26" t="s">
        <v>697</v>
      </c>
      <c r="T462" s="165" t="str">
        <f t="shared" si="274"/>
        <v>Not Used</v>
      </c>
      <c r="U462" s="162"/>
      <c r="V462" s="55"/>
      <c r="W462" s="51" t="b">
        <f t="shared" si="275"/>
        <v>1</v>
      </c>
      <c r="X462" s="51" t="str">
        <f t="shared" si="276"/>
        <v>Not Used</v>
      </c>
      <c r="Y462" s="51" t="str">
        <f t="shared" si="277"/>
        <v>Not Used</v>
      </c>
      <c r="Z462" s="51" t="str">
        <f t="shared" si="278"/>
        <v>Not Used</v>
      </c>
      <c r="AA462" s="51" t="str">
        <f t="shared" si="278"/>
        <v>Not Used</v>
      </c>
      <c r="AB462" s="51" t="str">
        <f t="shared" si="279"/>
        <v>Not Used</v>
      </c>
      <c r="AC462" s="51" t="b">
        <f t="shared" si="280"/>
        <v>1</v>
      </c>
      <c r="AD462" s="51">
        <f>COUNTIF($X$5:$X$462, "Not Used")</f>
        <v>458</v>
      </c>
      <c r="AE462" s="51">
        <f>COUNTIF($X$5:$X$462, "TRUE")</f>
        <v>0</v>
      </c>
      <c r="AF462" s="51" t="b">
        <f t="shared" si="281"/>
        <v>1</v>
      </c>
      <c r="AI462" s="51" t="b">
        <f t="shared" si="282"/>
        <v>0</v>
      </c>
      <c r="AJ462" s="51" t="b">
        <f t="shared" si="283"/>
        <v>0</v>
      </c>
      <c r="AK462" s="51" t="b">
        <f t="shared" si="284"/>
        <v>0</v>
      </c>
      <c r="AL462" s="51" t="b">
        <f t="shared" si="285"/>
        <v>0</v>
      </c>
      <c r="AM462" s="51" t="b">
        <f t="shared" si="286"/>
        <v>0</v>
      </c>
      <c r="AN462" s="51"/>
      <c r="AO462" s="51" t="b">
        <f t="shared" si="287"/>
        <v>0</v>
      </c>
      <c r="AP462" s="51" t="str">
        <f t="shared" si="309"/>
        <v>Not in MMS</v>
      </c>
      <c r="AQ462" s="51" t="b">
        <f t="shared" si="288"/>
        <v>0</v>
      </c>
      <c r="AR462" s="51" t="b">
        <f t="shared" si="289"/>
        <v>0</v>
      </c>
      <c r="AS462" s="51" t="str">
        <f t="shared" si="290"/>
        <v/>
      </c>
      <c r="AT462" s="51" t="str">
        <f t="shared" si="291"/>
        <v/>
      </c>
      <c r="AU462" s="51" t="str">
        <f t="shared" si="292"/>
        <v/>
      </c>
      <c r="AV462" s="51" t="str">
        <f t="shared" si="293"/>
        <v/>
      </c>
      <c r="AW462" s="51" t="str">
        <f t="shared" si="294"/>
        <v/>
      </c>
      <c r="AX462" s="51" t="str">
        <f t="shared" si="295"/>
        <v/>
      </c>
      <c r="AY462" s="51" t="str">
        <f t="shared" si="296"/>
        <v/>
      </c>
      <c r="AZ462" s="51" t="str">
        <f t="shared" si="297"/>
        <v/>
      </c>
      <c r="BA462" s="51" t="str">
        <f t="shared" si="298"/>
        <v/>
      </c>
      <c r="BB462" s="51" t="str">
        <f t="shared" si="299"/>
        <v/>
      </c>
      <c r="BC462" s="51" t="str">
        <f t="shared" si="300"/>
        <v/>
      </c>
      <c r="BD462" s="51" t="str">
        <f t="shared" si="301"/>
        <v/>
      </c>
      <c r="BE462" s="51" t="str">
        <f t="shared" si="302"/>
        <v/>
      </c>
      <c r="BF462" s="51" t="str">
        <f t="shared" si="303"/>
        <v/>
      </c>
      <c r="BG462" s="51" t="str">
        <f t="shared" si="304"/>
        <v/>
      </c>
      <c r="BH462" s="51" t="b">
        <f t="shared" si="305"/>
        <v>0</v>
      </c>
      <c r="BI462" s="51" t="str">
        <f t="shared" si="306"/>
        <v/>
      </c>
      <c r="BJ462" s="51" t="str">
        <f t="shared" si="307"/>
        <v/>
      </c>
      <c r="BK462" s="51" t="b">
        <f t="shared" si="308"/>
        <v>0</v>
      </c>
      <c r="BL462" s="192"/>
    </row>
    <row r="463" spans="1:64" ht="13.5" thickBot="1" x14ac:dyDescent="0.25">
      <c r="A463" s="185" t="s">
        <v>1140</v>
      </c>
      <c r="B463" s="194" t="s">
        <v>695</v>
      </c>
      <c r="C463" s="194" t="s">
        <v>695</v>
      </c>
      <c r="D463" s="194" t="s">
        <v>695</v>
      </c>
      <c r="E463" s="193" t="s">
        <v>694</v>
      </c>
      <c r="F463" s="160" t="s">
        <v>20</v>
      </c>
      <c r="G463" s="161"/>
      <c r="H463" s="186" t="str">
        <f t="shared" si="266"/>
        <v>N/A</v>
      </c>
      <c r="I463" s="186" t="b">
        <f t="shared" si="267"/>
        <v>1</v>
      </c>
      <c r="J463" s="186" t="str">
        <f t="shared" si="268"/>
        <v>N/A</v>
      </c>
      <c r="K463" s="186" t="b">
        <f t="shared" si="269"/>
        <v>1</v>
      </c>
      <c r="L463" s="186" t="str">
        <f t="shared" si="270"/>
        <v>N/A</v>
      </c>
      <c r="M463" s="186" t="b">
        <f t="shared" si="271"/>
        <v>1</v>
      </c>
      <c r="N463" s="186" t="str">
        <f t="shared" si="272"/>
        <v>Used?</v>
      </c>
      <c r="O463" s="186" t="b">
        <f t="shared" si="273"/>
        <v>0</v>
      </c>
      <c r="P463" s="26" t="s">
        <v>696</v>
      </c>
      <c r="Q463" s="160" t="s">
        <v>20</v>
      </c>
      <c r="R463" s="160" t="s">
        <v>20</v>
      </c>
      <c r="S463" s="26" t="s">
        <v>697</v>
      </c>
      <c r="T463" s="165" t="str">
        <f t="shared" si="274"/>
        <v>Not Used</v>
      </c>
      <c r="U463" s="162"/>
      <c r="V463" s="55"/>
      <c r="W463" s="51" t="b">
        <f t="shared" si="275"/>
        <v>1</v>
      </c>
      <c r="X463" s="51" t="str">
        <f t="shared" si="276"/>
        <v>Not Used</v>
      </c>
      <c r="Y463" s="51" t="str">
        <f t="shared" si="277"/>
        <v>Not Used</v>
      </c>
      <c r="Z463" s="51" t="str">
        <f t="shared" si="278"/>
        <v>Not Used</v>
      </c>
      <c r="AA463" s="51" t="str">
        <f t="shared" si="278"/>
        <v>Not Used</v>
      </c>
      <c r="AB463" s="51" t="str">
        <f t="shared" si="279"/>
        <v>Not Used</v>
      </c>
      <c r="AC463" s="51" t="b">
        <f t="shared" si="280"/>
        <v>1</v>
      </c>
      <c r="AD463" s="51">
        <f>COUNTIF($X$5:$X$463, "Not Used")</f>
        <v>459</v>
      </c>
      <c r="AE463" s="51">
        <f>COUNTIF($X$5:$X$463, "TRUE")</f>
        <v>0</v>
      </c>
      <c r="AF463" s="51" t="b">
        <f t="shared" si="281"/>
        <v>1</v>
      </c>
      <c r="AI463" s="51" t="b">
        <f t="shared" si="282"/>
        <v>0</v>
      </c>
      <c r="AJ463" s="51" t="b">
        <f t="shared" si="283"/>
        <v>0</v>
      </c>
      <c r="AK463" s="51" t="b">
        <f t="shared" si="284"/>
        <v>0</v>
      </c>
      <c r="AL463" s="51" t="b">
        <f t="shared" si="285"/>
        <v>0</v>
      </c>
      <c r="AM463" s="51" t="b">
        <f t="shared" si="286"/>
        <v>0</v>
      </c>
      <c r="AN463" s="51"/>
      <c r="AO463" s="51" t="b">
        <f t="shared" si="287"/>
        <v>0</v>
      </c>
      <c r="AP463" s="51" t="str">
        <f t="shared" si="309"/>
        <v>Not in MMS</v>
      </c>
      <c r="AQ463" s="51" t="b">
        <f t="shared" si="288"/>
        <v>0</v>
      </c>
      <c r="AR463" s="51" t="b">
        <f t="shared" si="289"/>
        <v>0</v>
      </c>
      <c r="AS463" s="51" t="str">
        <f t="shared" si="290"/>
        <v/>
      </c>
      <c r="AT463" s="51" t="str">
        <f t="shared" si="291"/>
        <v/>
      </c>
      <c r="AU463" s="51" t="str">
        <f t="shared" si="292"/>
        <v/>
      </c>
      <c r="AV463" s="51" t="str">
        <f t="shared" si="293"/>
        <v/>
      </c>
      <c r="AW463" s="51" t="str">
        <f t="shared" si="294"/>
        <v/>
      </c>
      <c r="AX463" s="51" t="str">
        <f t="shared" si="295"/>
        <v/>
      </c>
      <c r="AY463" s="51" t="str">
        <f t="shared" si="296"/>
        <v/>
      </c>
      <c r="AZ463" s="51" t="str">
        <f t="shared" si="297"/>
        <v/>
      </c>
      <c r="BA463" s="51" t="str">
        <f t="shared" si="298"/>
        <v/>
      </c>
      <c r="BB463" s="51" t="str">
        <f t="shared" si="299"/>
        <v/>
      </c>
      <c r="BC463" s="51" t="str">
        <f t="shared" si="300"/>
        <v/>
      </c>
      <c r="BD463" s="51" t="str">
        <f t="shared" si="301"/>
        <v/>
      </c>
      <c r="BE463" s="51" t="str">
        <f t="shared" si="302"/>
        <v/>
      </c>
      <c r="BF463" s="51" t="str">
        <f t="shared" si="303"/>
        <v/>
      </c>
      <c r="BG463" s="51" t="str">
        <f t="shared" si="304"/>
        <v/>
      </c>
      <c r="BH463" s="51" t="b">
        <f t="shared" si="305"/>
        <v>0</v>
      </c>
      <c r="BI463" s="51" t="str">
        <f t="shared" si="306"/>
        <v/>
      </c>
      <c r="BJ463" s="51" t="str">
        <f t="shared" si="307"/>
        <v/>
      </c>
      <c r="BK463" s="51" t="b">
        <f t="shared" si="308"/>
        <v>0</v>
      </c>
      <c r="BL463" s="192"/>
    </row>
    <row r="464" spans="1:64" ht="13.5" thickBot="1" x14ac:dyDescent="0.25">
      <c r="A464" s="185" t="s">
        <v>1141</v>
      </c>
      <c r="B464" s="194" t="s">
        <v>695</v>
      </c>
      <c r="C464" s="194" t="s">
        <v>695</v>
      </c>
      <c r="D464" s="194" t="s">
        <v>695</v>
      </c>
      <c r="E464" s="193" t="s">
        <v>694</v>
      </c>
      <c r="F464" s="160" t="s">
        <v>20</v>
      </c>
      <c r="G464" s="161"/>
      <c r="H464" s="186" t="str">
        <f t="shared" si="266"/>
        <v>N/A</v>
      </c>
      <c r="I464" s="186" t="b">
        <f t="shared" si="267"/>
        <v>1</v>
      </c>
      <c r="J464" s="186" t="str">
        <f t="shared" si="268"/>
        <v>N/A</v>
      </c>
      <c r="K464" s="186" t="b">
        <f t="shared" si="269"/>
        <v>1</v>
      </c>
      <c r="L464" s="186" t="str">
        <f t="shared" si="270"/>
        <v>N/A</v>
      </c>
      <c r="M464" s="186" t="b">
        <f t="shared" si="271"/>
        <v>1</v>
      </c>
      <c r="N464" s="186" t="str">
        <f t="shared" si="272"/>
        <v>Used?</v>
      </c>
      <c r="O464" s="186" t="b">
        <f t="shared" si="273"/>
        <v>0</v>
      </c>
      <c r="P464" s="26" t="s">
        <v>696</v>
      </c>
      <c r="Q464" s="160" t="s">
        <v>20</v>
      </c>
      <c r="R464" s="160" t="s">
        <v>20</v>
      </c>
      <c r="S464" s="26" t="s">
        <v>697</v>
      </c>
      <c r="T464" s="165" t="str">
        <f t="shared" si="274"/>
        <v>Not Used</v>
      </c>
      <c r="U464" s="162"/>
      <c r="V464" s="55"/>
      <c r="W464" s="51" t="b">
        <f t="shared" si="275"/>
        <v>1</v>
      </c>
      <c r="X464" s="51" t="str">
        <f t="shared" si="276"/>
        <v>Not Used</v>
      </c>
      <c r="Y464" s="51" t="str">
        <f t="shared" si="277"/>
        <v>Not Used</v>
      </c>
      <c r="Z464" s="51" t="str">
        <f t="shared" si="278"/>
        <v>Not Used</v>
      </c>
      <c r="AA464" s="51" t="str">
        <f t="shared" si="278"/>
        <v>Not Used</v>
      </c>
      <c r="AB464" s="51" t="str">
        <f t="shared" si="279"/>
        <v>Not Used</v>
      </c>
      <c r="AC464" s="51" t="b">
        <f t="shared" si="280"/>
        <v>1</v>
      </c>
      <c r="AD464" s="51">
        <f>COUNTIF($X$5:$X$464, "Not Used")</f>
        <v>460</v>
      </c>
      <c r="AE464" s="51">
        <f>COUNTIF($X$5:$X$464, "TRUE")</f>
        <v>0</v>
      </c>
      <c r="AF464" s="51" t="b">
        <f t="shared" si="281"/>
        <v>1</v>
      </c>
      <c r="AI464" s="51" t="b">
        <f t="shared" si="282"/>
        <v>0</v>
      </c>
      <c r="AJ464" s="51" t="b">
        <f t="shared" si="283"/>
        <v>0</v>
      </c>
      <c r="AK464" s="51" t="b">
        <f t="shared" si="284"/>
        <v>0</v>
      </c>
      <c r="AL464" s="51" t="b">
        <f t="shared" si="285"/>
        <v>0</v>
      </c>
      <c r="AM464" s="51" t="b">
        <f t="shared" si="286"/>
        <v>0</v>
      </c>
      <c r="AN464" s="51"/>
      <c r="AO464" s="51" t="b">
        <f t="shared" si="287"/>
        <v>0</v>
      </c>
      <c r="AP464" s="51" t="str">
        <f t="shared" si="309"/>
        <v>Not in MMS</v>
      </c>
      <c r="AQ464" s="51" t="b">
        <f t="shared" si="288"/>
        <v>0</v>
      </c>
      <c r="AR464" s="51" t="b">
        <f t="shared" si="289"/>
        <v>0</v>
      </c>
      <c r="AS464" s="51" t="str">
        <f t="shared" si="290"/>
        <v/>
      </c>
      <c r="AT464" s="51" t="str">
        <f t="shared" si="291"/>
        <v/>
      </c>
      <c r="AU464" s="51" t="str">
        <f t="shared" si="292"/>
        <v/>
      </c>
      <c r="AV464" s="51" t="str">
        <f t="shared" si="293"/>
        <v/>
      </c>
      <c r="AW464" s="51" t="str">
        <f t="shared" si="294"/>
        <v/>
      </c>
      <c r="AX464" s="51" t="str">
        <f t="shared" si="295"/>
        <v/>
      </c>
      <c r="AY464" s="51" t="str">
        <f t="shared" si="296"/>
        <v/>
      </c>
      <c r="AZ464" s="51" t="str">
        <f t="shared" si="297"/>
        <v/>
      </c>
      <c r="BA464" s="51" t="str">
        <f t="shared" si="298"/>
        <v/>
      </c>
      <c r="BB464" s="51" t="str">
        <f t="shared" si="299"/>
        <v/>
      </c>
      <c r="BC464" s="51" t="str">
        <f t="shared" si="300"/>
        <v/>
      </c>
      <c r="BD464" s="51" t="str">
        <f t="shared" si="301"/>
        <v/>
      </c>
      <c r="BE464" s="51" t="str">
        <f t="shared" si="302"/>
        <v/>
      </c>
      <c r="BF464" s="51" t="str">
        <f t="shared" si="303"/>
        <v/>
      </c>
      <c r="BG464" s="51" t="str">
        <f t="shared" si="304"/>
        <v/>
      </c>
      <c r="BH464" s="51" t="b">
        <f t="shared" si="305"/>
        <v>0</v>
      </c>
      <c r="BI464" s="51" t="str">
        <f t="shared" si="306"/>
        <v/>
      </c>
      <c r="BJ464" s="51" t="str">
        <f t="shared" si="307"/>
        <v/>
      </c>
      <c r="BK464" s="51" t="b">
        <f t="shared" si="308"/>
        <v>0</v>
      </c>
      <c r="BL464" s="192"/>
    </row>
    <row r="465" spans="1:64" ht="13.5" thickBot="1" x14ac:dyDescent="0.25">
      <c r="A465" s="185" t="s">
        <v>1142</v>
      </c>
      <c r="B465" s="194" t="s">
        <v>695</v>
      </c>
      <c r="C465" s="194" t="s">
        <v>695</v>
      </c>
      <c r="D465" s="194" t="s">
        <v>695</v>
      </c>
      <c r="E465" s="193" t="s">
        <v>694</v>
      </c>
      <c r="F465" s="160" t="s">
        <v>20</v>
      </c>
      <c r="G465" s="161"/>
      <c r="H465" s="186" t="str">
        <f t="shared" si="266"/>
        <v>N/A</v>
      </c>
      <c r="I465" s="186" t="b">
        <f t="shared" si="267"/>
        <v>1</v>
      </c>
      <c r="J465" s="186" t="str">
        <f t="shared" si="268"/>
        <v>N/A</v>
      </c>
      <c r="K465" s="186" t="b">
        <f t="shared" si="269"/>
        <v>1</v>
      </c>
      <c r="L465" s="186" t="str">
        <f t="shared" si="270"/>
        <v>N/A</v>
      </c>
      <c r="M465" s="186" t="b">
        <f t="shared" si="271"/>
        <v>1</v>
      </c>
      <c r="N465" s="186" t="str">
        <f t="shared" si="272"/>
        <v>Used?</v>
      </c>
      <c r="O465" s="186" t="b">
        <f t="shared" si="273"/>
        <v>0</v>
      </c>
      <c r="P465" s="26" t="s">
        <v>696</v>
      </c>
      <c r="Q465" s="160" t="s">
        <v>20</v>
      </c>
      <c r="R465" s="160" t="s">
        <v>20</v>
      </c>
      <c r="S465" s="26" t="s">
        <v>697</v>
      </c>
      <c r="T465" s="165" t="str">
        <f t="shared" si="274"/>
        <v>Not Used</v>
      </c>
      <c r="U465" s="162"/>
      <c r="V465" s="55"/>
      <c r="W465" s="51" t="b">
        <f t="shared" si="275"/>
        <v>1</v>
      </c>
      <c r="X465" s="51" t="str">
        <f t="shared" si="276"/>
        <v>Not Used</v>
      </c>
      <c r="Y465" s="51" t="str">
        <f t="shared" si="277"/>
        <v>Not Used</v>
      </c>
      <c r="Z465" s="51" t="str">
        <f t="shared" si="278"/>
        <v>Not Used</v>
      </c>
      <c r="AA465" s="51" t="str">
        <f t="shared" si="278"/>
        <v>Not Used</v>
      </c>
      <c r="AB465" s="51" t="str">
        <f t="shared" si="279"/>
        <v>Not Used</v>
      </c>
      <c r="AC465" s="51" t="b">
        <f t="shared" si="280"/>
        <v>1</v>
      </c>
      <c r="AD465" s="51">
        <f>COUNTIF($X$5:$X$465, "Not Used")</f>
        <v>461</v>
      </c>
      <c r="AE465" s="51">
        <f>COUNTIF($X$5:$X$465, "TRUE")</f>
        <v>0</v>
      </c>
      <c r="AF465" s="51" t="b">
        <f t="shared" si="281"/>
        <v>1</v>
      </c>
      <c r="AI465" s="51" t="b">
        <f t="shared" si="282"/>
        <v>0</v>
      </c>
      <c r="AJ465" s="51" t="b">
        <f t="shared" si="283"/>
        <v>0</v>
      </c>
      <c r="AK465" s="51" t="b">
        <f t="shared" si="284"/>
        <v>0</v>
      </c>
      <c r="AL465" s="51" t="b">
        <f t="shared" si="285"/>
        <v>0</v>
      </c>
      <c r="AM465" s="51" t="b">
        <f t="shared" si="286"/>
        <v>0</v>
      </c>
      <c r="AN465" s="51"/>
      <c r="AO465" s="51" t="b">
        <f t="shared" si="287"/>
        <v>0</v>
      </c>
      <c r="AP465" s="51" t="str">
        <f t="shared" si="309"/>
        <v>Not in MMS</v>
      </c>
      <c r="AQ465" s="51" t="b">
        <f t="shared" si="288"/>
        <v>0</v>
      </c>
      <c r="AR465" s="51" t="b">
        <f t="shared" si="289"/>
        <v>0</v>
      </c>
      <c r="AS465" s="51" t="str">
        <f t="shared" si="290"/>
        <v/>
      </c>
      <c r="AT465" s="51" t="str">
        <f t="shared" si="291"/>
        <v/>
      </c>
      <c r="AU465" s="51" t="str">
        <f t="shared" si="292"/>
        <v/>
      </c>
      <c r="AV465" s="51" t="str">
        <f t="shared" si="293"/>
        <v/>
      </c>
      <c r="AW465" s="51" t="str">
        <f t="shared" si="294"/>
        <v/>
      </c>
      <c r="AX465" s="51" t="str">
        <f t="shared" si="295"/>
        <v/>
      </c>
      <c r="AY465" s="51" t="str">
        <f t="shared" si="296"/>
        <v/>
      </c>
      <c r="AZ465" s="51" t="str">
        <f t="shared" si="297"/>
        <v/>
      </c>
      <c r="BA465" s="51" t="str">
        <f t="shared" si="298"/>
        <v/>
      </c>
      <c r="BB465" s="51" t="str">
        <f t="shared" si="299"/>
        <v/>
      </c>
      <c r="BC465" s="51" t="str">
        <f t="shared" si="300"/>
        <v/>
      </c>
      <c r="BD465" s="51" t="str">
        <f t="shared" si="301"/>
        <v/>
      </c>
      <c r="BE465" s="51" t="str">
        <f t="shared" si="302"/>
        <v/>
      </c>
      <c r="BF465" s="51" t="str">
        <f t="shared" si="303"/>
        <v/>
      </c>
      <c r="BG465" s="51" t="str">
        <f t="shared" si="304"/>
        <v/>
      </c>
      <c r="BH465" s="51" t="b">
        <f t="shared" si="305"/>
        <v>0</v>
      </c>
      <c r="BI465" s="51" t="str">
        <f t="shared" si="306"/>
        <v/>
      </c>
      <c r="BJ465" s="51" t="str">
        <f t="shared" si="307"/>
        <v/>
      </c>
      <c r="BK465" s="51" t="b">
        <f t="shared" si="308"/>
        <v>0</v>
      </c>
      <c r="BL465" s="192"/>
    </row>
    <row r="466" spans="1:64" ht="13.5" thickBot="1" x14ac:dyDescent="0.25">
      <c r="A466" s="185" t="s">
        <v>1143</v>
      </c>
      <c r="B466" s="194" t="s">
        <v>695</v>
      </c>
      <c r="C466" s="194" t="s">
        <v>695</v>
      </c>
      <c r="D466" s="194" t="s">
        <v>695</v>
      </c>
      <c r="E466" s="193" t="s">
        <v>694</v>
      </c>
      <c r="F466" s="160" t="s">
        <v>20</v>
      </c>
      <c r="G466" s="161"/>
      <c r="H466" s="186" t="str">
        <f t="shared" si="266"/>
        <v>N/A</v>
      </c>
      <c r="I466" s="186" t="b">
        <f t="shared" si="267"/>
        <v>1</v>
      </c>
      <c r="J466" s="186" t="str">
        <f t="shared" si="268"/>
        <v>N/A</v>
      </c>
      <c r="K466" s="186" t="b">
        <f t="shared" si="269"/>
        <v>1</v>
      </c>
      <c r="L466" s="186" t="str">
        <f t="shared" si="270"/>
        <v>N/A</v>
      </c>
      <c r="M466" s="186" t="b">
        <f t="shared" si="271"/>
        <v>1</v>
      </c>
      <c r="N466" s="186" t="str">
        <f t="shared" si="272"/>
        <v>Used?</v>
      </c>
      <c r="O466" s="186" t="b">
        <f t="shared" si="273"/>
        <v>0</v>
      </c>
      <c r="P466" s="26" t="s">
        <v>696</v>
      </c>
      <c r="Q466" s="160" t="s">
        <v>20</v>
      </c>
      <c r="R466" s="160" t="s">
        <v>20</v>
      </c>
      <c r="S466" s="26" t="s">
        <v>697</v>
      </c>
      <c r="T466" s="165" t="str">
        <f t="shared" si="274"/>
        <v>Not Used</v>
      </c>
      <c r="U466" s="162"/>
      <c r="V466" s="55"/>
      <c r="W466" s="51" t="b">
        <f t="shared" si="275"/>
        <v>1</v>
      </c>
      <c r="X466" s="51" t="str">
        <f t="shared" si="276"/>
        <v>Not Used</v>
      </c>
      <c r="Y466" s="51" t="str">
        <f t="shared" si="277"/>
        <v>Not Used</v>
      </c>
      <c r="Z466" s="51" t="str">
        <f t="shared" si="278"/>
        <v>Not Used</v>
      </c>
      <c r="AA466" s="51" t="str">
        <f t="shared" si="278"/>
        <v>Not Used</v>
      </c>
      <c r="AB466" s="51" t="str">
        <f t="shared" si="279"/>
        <v>Not Used</v>
      </c>
      <c r="AC466" s="51" t="b">
        <f t="shared" si="280"/>
        <v>1</v>
      </c>
      <c r="AD466" s="51">
        <f>COUNTIF($X$5:$X$466, "Not Used")</f>
        <v>462</v>
      </c>
      <c r="AE466" s="51">
        <f>COUNTIF($X$5:$X$466, "TRUE")</f>
        <v>0</v>
      </c>
      <c r="AF466" s="51" t="b">
        <f t="shared" si="281"/>
        <v>1</v>
      </c>
      <c r="AI466" s="51" t="b">
        <f t="shared" si="282"/>
        <v>0</v>
      </c>
      <c r="AJ466" s="51" t="b">
        <f t="shared" si="283"/>
        <v>0</v>
      </c>
      <c r="AK466" s="51" t="b">
        <f t="shared" si="284"/>
        <v>0</v>
      </c>
      <c r="AL466" s="51" t="b">
        <f t="shared" si="285"/>
        <v>0</v>
      </c>
      <c r="AM466" s="51" t="b">
        <f t="shared" si="286"/>
        <v>0</v>
      </c>
      <c r="AN466" s="51"/>
      <c r="AO466" s="51" t="b">
        <f t="shared" si="287"/>
        <v>0</v>
      </c>
      <c r="AP466" s="51" t="str">
        <f t="shared" si="309"/>
        <v>Not in MMS</v>
      </c>
      <c r="AQ466" s="51" t="b">
        <f t="shared" si="288"/>
        <v>0</v>
      </c>
      <c r="AR466" s="51" t="b">
        <f t="shared" si="289"/>
        <v>0</v>
      </c>
      <c r="AS466" s="51" t="str">
        <f t="shared" si="290"/>
        <v/>
      </c>
      <c r="AT466" s="51" t="str">
        <f t="shared" si="291"/>
        <v/>
      </c>
      <c r="AU466" s="51" t="str">
        <f t="shared" si="292"/>
        <v/>
      </c>
      <c r="AV466" s="51" t="str">
        <f t="shared" si="293"/>
        <v/>
      </c>
      <c r="AW466" s="51" t="str">
        <f t="shared" si="294"/>
        <v/>
      </c>
      <c r="AX466" s="51" t="str">
        <f t="shared" si="295"/>
        <v/>
      </c>
      <c r="AY466" s="51" t="str">
        <f t="shared" si="296"/>
        <v/>
      </c>
      <c r="AZ466" s="51" t="str">
        <f t="shared" si="297"/>
        <v/>
      </c>
      <c r="BA466" s="51" t="str">
        <f t="shared" si="298"/>
        <v/>
      </c>
      <c r="BB466" s="51" t="str">
        <f t="shared" si="299"/>
        <v/>
      </c>
      <c r="BC466" s="51" t="str">
        <f t="shared" si="300"/>
        <v/>
      </c>
      <c r="BD466" s="51" t="str">
        <f t="shared" si="301"/>
        <v/>
      </c>
      <c r="BE466" s="51" t="str">
        <f t="shared" si="302"/>
        <v/>
      </c>
      <c r="BF466" s="51" t="str">
        <f t="shared" si="303"/>
        <v/>
      </c>
      <c r="BG466" s="51" t="str">
        <f t="shared" si="304"/>
        <v/>
      </c>
      <c r="BH466" s="51" t="b">
        <f t="shared" si="305"/>
        <v>0</v>
      </c>
      <c r="BI466" s="51" t="str">
        <f t="shared" si="306"/>
        <v/>
      </c>
      <c r="BJ466" s="51" t="str">
        <f t="shared" si="307"/>
        <v/>
      </c>
      <c r="BK466" s="51" t="b">
        <f t="shared" si="308"/>
        <v>0</v>
      </c>
      <c r="BL466" s="192"/>
    </row>
    <row r="467" spans="1:64" ht="13.5" thickBot="1" x14ac:dyDescent="0.25">
      <c r="A467" s="185" t="s">
        <v>1144</v>
      </c>
      <c r="B467" s="194" t="s">
        <v>695</v>
      </c>
      <c r="C467" s="194" t="s">
        <v>695</v>
      </c>
      <c r="D467" s="194" t="s">
        <v>695</v>
      </c>
      <c r="E467" s="193" t="s">
        <v>694</v>
      </c>
      <c r="F467" s="160" t="s">
        <v>20</v>
      </c>
      <c r="G467" s="161"/>
      <c r="H467" s="186" t="str">
        <f t="shared" ref="H467:H532" si="310">IF(B467="YES",(IF(F467="Yes",TRUE,(IF(F467="YES WITH MODIFICATION",(IF((NOT(ISBLANK(U467))),"Used with modification","Change Request?")),(IF(F467="N/A",(IF((NOT(ISBLANK(G467))),"Not Used","Rationale?")),(IF(F467="&lt;Select&gt;","Used?",FALSE)))))))),"N/A")</f>
        <v>N/A</v>
      </c>
      <c r="I467" s="186" t="b">
        <f t="shared" ref="I467:I532" si="311">IF(B467="YES",OR(IF(F467="YES",TRUE,FALSE),IF(AND(F467="YES WITH MODIFICATION",NOT(ISBLANK(U467))),TRUE,FALSE),(IF(F467="N/A",NOT(ISBLANK(G467))))),TRUE)</f>
        <v>1</v>
      </c>
      <c r="J467" s="186" t="str">
        <f t="shared" ref="J467:J532" si="312">IF(C467="YES",(IF(F467="YES",TRUE,(IF(F467="YES WITH MODIFICATION",(IF((NOT(ISBLANK(U467))),"Used with modification","Change Request?")),(IF(F467="N/A",(IF((NOT(ISBLANK(G467))),"Not Used","Rationale?")),(IF(F467="&lt;Select&gt;","Used?",FALSE)))))))),"N/A")</f>
        <v>N/A</v>
      </c>
      <c r="K467" s="186" t="b">
        <f t="shared" ref="K467:K532" si="313">IF(C467="YES",OR(IF(F467="YES",TRUE,FALSE),IF(AND(F467="YES WITH MODIFICATION",NOT(ISBLANK(U467))),TRUE,FALSE),(IF(F467="N/A",NOT(ISBLANK(G467))))),TRUE)</f>
        <v>1</v>
      </c>
      <c r="L467" s="186" t="str">
        <f t="shared" ref="L467:L532" si="314">IF(D467="YES",(IF(F467="YES",TRUE,(IF(F467="YES WITH MODIFICATION",(IF((NOT(ISBLANK(U467))),"Used with modification","Change Request?")),(IF(F467="N/A",(IF((NOT(ISBLANK(G467))),"Not Used","Rationale?")),(IF(F467="&lt;Select&gt;","Used?",FALSE)))))))),"N/A")</f>
        <v>N/A</v>
      </c>
      <c r="M467" s="186" t="b">
        <f t="shared" ref="M467:M532" si="315">IF(D467="YES",OR(IF(F467="YES",TRUE,FALSE),IF(AND(F467="YES WITH MODIFICATION",NOT(ISBLANK(U467))),TRUE,FALSE),(IF(F467="N/A",NOT(ISBLANK(G467))))),TRUE)</f>
        <v>1</v>
      </c>
      <c r="N467" s="186" t="str">
        <f t="shared" ref="N467:N532" si="316">IF(E467="YES",(IF(F467="YES",TRUE,(IF(F467="YES WITH MODIFICATION",(IF((NOT(ISBLANK(U467))),"Used with modification","Change Request?")),(IF(F467="N/A",(IF((NOT(ISBLANK(G467))),"Not Used","Rationale?")),(IF(F467="&lt;Select&gt;","Used?",FALSE)))))))),"N/A")</f>
        <v>Used?</v>
      </c>
      <c r="O467" s="186" t="b">
        <f t="shared" ref="O467:O532" si="317">IF(E467="YES",OR(IF(F467="YES",TRUE,FALSE),IF(AND(F467="YES WITH MODIFICATION",NOT(ISBLANK(U467))),TRUE,FALSE),(IF(F467="N/A",NOT(ISBLANK(G467))))),TRUE)</f>
        <v>0</v>
      </c>
      <c r="P467" s="26" t="s">
        <v>696</v>
      </c>
      <c r="Q467" s="160" t="s">
        <v>20</v>
      </c>
      <c r="R467" s="160" t="s">
        <v>20</v>
      </c>
      <c r="S467" s="26" t="s">
        <v>697</v>
      </c>
      <c r="T467" s="165" t="str">
        <f t="shared" ref="T467:T532" si="318">IF(NOT(OR(F467="Yes",F467="YES WITH MODIFICATION")),"Not Used",(AND(X467=Y467,X467=(OR(Z467=TRUE,AA467=TRUE)), X467=AB467, X467=AC467)))</f>
        <v>Not Used</v>
      </c>
      <c r="U467" s="162"/>
      <c r="V467" s="55"/>
      <c r="W467" s="51" t="b">
        <f t="shared" ref="W467:W532" si="319">IF(T467=TRUE,TRUE,(IF(T467="Not Used", TRUE,FALSE)))</f>
        <v>1</v>
      </c>
      <c r="X467" s="51" t="str">
        <f t="shared" ref="X467:X532" si="320">IF(OR(F467="YES",F467="YES WITH MODIFICATION"),TRUE,"Not Used")</f>
        <v>Not Used</v>
      </c>
      <c r="Y467" s="51" t="str">
        <f t="shared" ref="Y467:Y532" si="321">IF(OR(P467="SC §3.X.X.X", ISBLANK(P467)),"Not Used", TRUE)</f>
        <v>Not Used</v>
      </c>
      <c r="Z467" s="51" t="str">
        <f t="shared" ref="Z467:AA532" si="322">IF(OR(Q467="&lt;Select&gt;",(ISBLANK(Q467))),"Not Used",TRUE)</f>
        <v>Not Used</v>
      </c>
      <c r="AA467" s="51" t="str">
        <f t="shared" si="322"/>
        <v>Not Used</v>
      </c>
      <c r="AB467" s="51" t="str">
        <f t="shared" ref="AB467:AB532" si="323">IF(OR(S467="&lt;enter location here&gt;",(ISBLANK(S467))),"Not Used",TRUE)</f>
        <v>Not Used</v>
      </c>
      <c r="AC467" s="51" t="b">
        <f t="shared" ref="AC467:AC532" si="324">IF(F467="YES WITH MODIFICATION",IF(NOT(ISBLANK(U467)),TRUE,FALSE),TRUE)</f>
        <v>1</v>
      </c>
      <c r="AD467" s="51">
        <f>COUNTIF($X$5:$X$467, "Not Used")</f>
        <v>463</v>
      </c>
      <c r="AE467" s="51">
        <f>COUNTIF($X$5:$X$467, "TRUE")</f>
        <v>0</v>
      </c>
      <c r="AF467" s="51" t="b">
        <f t="shared" ref="AF467:AF532" si="325">IF(F467="&lt;Select&gt;", TRUE,FALSE)</f>
        <v>1</v>
      </c>
      <c r="AI467" s="51" t="b">
        <f t="shared" ref="AI467:AI532" si="326">IF(F467="N/A", TRUE, FALSE)</f>
        <v>0</v>
      </c>
      <c r="AJ467" s="51" t="b">
        <f t="shared" ref="AJ467:AJ532" si="327">IF(AI467=TRUE, IF(NOT(ISBLANK(G467)), TRUE, FALSE))</f>
        <v>0</v>
      </c>
      <c r="AK467" s="51" t="b">
        <f t="shared" ref="AK467:AK532" si="328">IF(F467="YES WITH MODIFICATION", TRUE, FALSE)</f>
        <v>0</v>
      </c>
      <c r="AL467" s="51" t="b">
        <f t="shared" ref="AL467:AL532" si="329">IF(ISBLANK(U467), FALSE, TRUE)</f>
        <v>0</v>
      </c>
      <c r="AM467" s="51" t="b">
        <f t="shared" ref="AM467:AM532" si="330">IF(AND(AK467=TRUE, AL467=TRUE), TRUE, FALSE)</f>
        <v>0</v>
      </c>
      <c r="AN467" s="51"/>
      <c r="AO467" s="51" t="b">
        <f t="shared" ref="AO467:AO532" si="331">IF(AND(F467="YES WITH MODIFICATION", NOT(ISBLANK(U467))), TRUE, FALSE)</f>
        <v>0</v>
      </c>
      <c r="AP467" s="51" t="str">
        <f t="shared" si="309"/>
        <v>Not in MMS</v>
      </c>
      <c r="AQ467" s="51" t="b">
        <f t="shared" ref="AQ467:AQ532" si="332">IF(S467="&lt;enter location here&gt;", FALSE, TRUE)</f>
        <v>0</v>
      </c>
      <c r="AR467" s="51" t="b">
        <f t="shared" ref="AR467:AR532" si="333">IF(F467="&lt;Select&gt;", FALSE, IF(T467=FALSE, FALSE, TRUE))</f>
        <v>0</v>
      </c>
      <c r="AS467" s="51" t="str">
        <f t="shared" ref="AS467:AS532" si="334">IF(ISNUMBER(SEARCH("Tier 1 Sub MMS",AP467)), IF(F467="&lt;Select&gt;", FALSE, IF(AND(F467="N/A", J467="Rationale?"), FALSE, TRUE)), "")</f>
        <v/>
      </c>
      <c r="AT467" s="51" t="str">
        <f t="shared" ref="AT467:AT532" si="335">IF(ISNUMBER(SEARCH("Tier 1 MMS",AP467)), IF(F467="&lt;Select&gt;", FALSE, IF(AND(F467="N/A", H467="Rationale?"), FALSE, TRUE)), "")</f>
        <v/>
      </c>
      <c r="AU467" s="51" t="str">
        <f t="shared" ref="AU467:AU532" si="336">IF(ISNUMBER(SEARCH("Tier 1 MMS",AP467)), IF(F467="&lt;Select&gt;", FALSE, IF(AND(F467="YES WITH MODIFICATION", H467="Change Request?"), FALSE, TRUE)), "")</f>
        <v/>
      </c>
      <c r="AV467" s="51" t="str">
        <f t="shared" ref="AV467:AV532" si="337">IF(ISNUMBER(SEARCH("Tier 1 MMS",AP467)), IF(AK467=TRUE, TRUE, ""),"")</f>
        <v/>
      </c>
      <c r="AW467" s="51" t="str">
        <f t="shared" ref="AW467:AW532" si="338">IF(ISNUMBER(SEARCH("Tier 1 MMS",AP467)), IF(AL467=TRUE, TRUE, ""),"")</f>
        <v/>
      </c>
      <c r="AX467" s="51" t="str">
        <f t="shared" ref="AX467:AX532" si="339">IF(ISNUMBER(SEARCH("Tier 1 MMS",AP467)), IF(AI467=TRUE, TRUE, ""),"")</f>
        <v/>
      </c>
      <c r="AY467" s="51" t="str">
        <f t="shared" ref="AY467:AY532" si="340">IF(ISNUMBER(SEARCH("Tier 1 MMS",AP467)), IF(AJ467=TRUE, TRUE, ""),"")</f>
        <v/>
      </c>
      <c r="AZ467" s="51" t="str">
        <f t="shared" ref="AZ467:AZ532" si="341">IF(ISNUMBER(SEARCH("Tier 1 Sub MMS",AP467)), IF(AK467=TRUE, TRUE, ""),"")</f>
        <v/>
      </c>
      <c r="BA467" s="51" t="str">
        <f t="shared" ref="BA467:BA532" si="342">IF(ISNUMBER(SEARCH("Tier 1 Sub MMS",AP467)), IF(AL467=TRUE, TRUE, ""),"")</f>
        <v/>
      </c>
      <c r="BB467" s="51" t="str">
        <f t="shared" ref="BB467:BB532" si="343">IF(ISNUMBER(SEARCH("Tier 1 Sub MMS",AP467)), IF(AI467=TRUE, TRUE, ""),"")</f>
        <v/>
      </c>
      <c r="BC467" s="51" t="str">
        <f t="shared" ref="BC467:BC532" si="344">IF(ISNUMBER(SEARCH("Tier 1 Sub MMS",AP467)), IF(AJ467=TRUE, TRUE, ""),"")</f>
        <v/>
      </c>
      <c r="BD467" s="51" t="str">
        <f t="shared" ref="BD467:BD532" si="345">IF(ISNUMBER(SEARCH("Tier 2 MMS",AP467)), IF(AK467=TRUE, TRUE, ""),"")</f>
        <v/>
      </c>
      <c r="BE467" s="51" t="str">
        <f t="shared" ref="BE467:BE532" si="346">IF(ISNUMBER(SEARCH("Tier 2 MMS",AP467)), IF(AL467=TRUE, TRUE, ""),"")</f>
        <v/>
      </c>
      <c r="BF467" s="51" t="str">
        <f t="shared" ref="BF467:BF532" si="347">IF(ISNUMBER(SEARCH("Tier 2 MMS",AP467)), IF(AI467=TRUE, TRUE, ""),"")</f>
        <v/>
      </c>
      <c r="BG467" s="51" t="str">
        <f t="shared" ref="BG467:BG532" si="348">IF(ISNUMBER(SEARCH("Tier 2 MMS",AP467)), IF(AJ467=TRUE, TRUE, ""),"")</f>
        <v/>
      </c>
      <c r="BH467" s="51" t="b">
        <f t="shared" ref="BH467:BH532" si="349" xml:space="preserve"> IF(OR(F467="&lt;Select&gt;", AQ467=FALSE), FALSE, TRUE)</f>
        <v>0</v>
      </c>
      <c r="BI467" s="51" t="str">
        <f t="shared" ref="BI467:BI532" si="350">IF(E467="YES", "", IF(E467="NO", IF(F467="N/A",TRUE,IF(F467="YES",FALSE))))</f>
        <v/>
      </c>
      <c r="BJ467" s="51" t="str">
        <f t="shared" ref="BJ467:BJ532" si="351">IF(E467="YES", "", IF(E467="NO", IF(AND(F467="N/A", NOT(ISBLANK(G467))), TRUE, IF(AND(F467="YES",AL467=TRUE),TRUE,FALSE))))</f>
        <v/>
      </c>
      <c r="BK467" s="51" t="b">
        <f t="shared" ref="BK467:BK532" si="352" xml:space="preserve"> IF(OR(F467="&lt;Select&gt;", T467=FALSE), FALSE, TRUE)</f>
        <v>0</v>
      </c>
      <c r="BL467" s="192"/>
    </row>
    <row r="468" spans="1:64" ht="13.5" thickBot="1" x14ac:dyDescent="0.25">
      <c r="A468" s="185" t="s">
        <v>1145</v>
      </c>
      <c r="B468" s="194" t="s">
        <v>695</v>
      </c>
      <c r="C468" s="194" t="s">
        <v>695</v>
      </c>
      <c r="D468" s="194" t="s">
        <v>695</v>
      </c>
      <c r="E468" s="193" t="s">
        <v>694</v>
      </c>
      <c r="F468" s="160" t="s">
        <v>20</v>
      </c>
      <c r="G468" s="161"/>
      <c r="H468" s="186" t="str">
        <f t="shared" si="310"/>
        <v>N/A</v>
      </c>
      <c r="I468" s="186" t="b">
        <f t="shared" si="311"/>
        <v>1</v>
      </c>
      <c r="J468" s="186" t="str">
        <f t="shared" si="312"/>
        <v>N/A</v>
      </c>
      <c r="K468" s="186" t="b">
        <f t="shared" si="313"/>
        <v>1</v>
      </c>
      <c r="L468" s="186" t="str">
        <f t="shared" si="314"/>
        <v>N/A</v>
      </c>
      <c r="M468" s="186" t="b">
        <f t="shared" si="315"/>
        <v>1</v>
      </c>
      <c r="N468" s="186" t="str">
        <f t="shared" si="316"/>
        <v>Used?</v>
      </c>
      <c r="O468" s="186" t="b">
        <f t="shared" si="317"/>
        <v>0</v>
      </c>
      <c r="P468" s="26" t="s">
        <v>696</v>
      </c>
      <c r="Q468" s="160" t="s">
        <v>20</v>
      </c>
      <c r="R468" s="160" t="s">
        <v>20</v>
      </c>
      <c r="S468" s="26" t="s">
        <v>697</v>
      </c>
      <c r="T468" s="165" t="str">
        <f t="shared" si="318"/>
        <v>Not Used</v>
      </c>
      <c r="U468" s="162"/>
      <c r="V468" s="55"/>
      <c r="W468" s="51" t="b">
        <f t="shared" si="319"/>
        <v>1</v>
      </c>
      <c r="X468" s="51" t="str">
        <f t="shared" si="320"/>
        <v>Not Used</v>
      </c>
      <c r="Y468" s="51" t="str">
        <f t="shared" si="321"/>
        <v>Not Used</v>
      </c>
      <c r="Z468" s="51" t="str">
        <f t="shared" si="322"/>
        <v>Not Used</v>
      </c>
      <c r="AA468" s="51" t="str">
        <f t="shared" si="322"/>
        <v>Not Used</v>
      </c>
      <c r="AB468" s="51" t="str">
        <f t="shared" si="323"/>
        <v>Not Used</v>
      </c>
      <c r="AC468" s="51" t="b">
        <f t="shared" si="324"/>
        <v>1</v>
      </c>
      <c r="AD468" s="51">
        <f>COUNTIF($X$5:$X$468, "Not Used")</f>
        <v>464</v>
      </c>
      <c r="AE468" s="51">
        <f>COUNTIF($X$5:$X$468, "TRUE")</f>
        <v>0</v>
      </c>
      <c r="AF468" s="51" t="b">
        <f t="shared" si="325"/>
        <v>1</v>
      </c>
      <c r="AI468" s="51" t="b">
        <f t="shared" si="326"/>
        <v>0</v>
      </c>
      <c r="AJ468" s="51" t="b">
        <f t="shared" si="327"/>
        <v>0</v>
      </c>
      <c r="AK468" s="51" t="b">
        <f t="shared" si="328"/>
        <v>0</v>
      </c>
      <c r="AL468" s="51" t="b">
        <f t="shared" si="329"/>
        <v>0</v>
      </c>
      <c r="AM468" s="51" t="b">
        <f t="shared" si="330"/>
        <v>0</v>
      </c>
      <c r="AN468" s="51"/>
      <c r="AO468" s="51" t="b">
        <f t="shared" si="331"/>
        <v>0</v>
      </c>
      <c r="AP468" s="51" t="str">
        <f t="shared" ref="AP468:AP533" si="353">IF(AND(B468="YES", C468="YES", D468="YES"), "Tier 1 MMS, Tier 1 Sub MMS, Tier 2 MMS", IF(AND(B468="YES", C468="YES"), "Tier 1 MMS, Tier 1 Sub MMS", IF(AND(B468="YES", D468="YES"), "Tier 1 MMS, Tier 2 MMS", IF(AND(C468="YES", D468="YES"), "Tier 1 Sub MMS, Tier 2 MMS", IF(B468="YES", "Tier 1 MMS", IF(C468="YES", "Tier 1 Sub MMS", IF(D468="YES", "Tier 2 MMS", "Not in MMS")))))))</f>
        <v>Not in MMS</v>
      </c>
      <c r="AQ468" s="51" t="b">
        <f t="shared" si="332"/>
        <v>0</v>
      </c>
      <c r="AR468" s="51" t="b">
        <f t="shared" si="333"/>
        <v>0</v>
      </c>
      <c r="AS468" s="51" t="str">
        <f t="shared" si="334"/>
        <v/>
      </c>
      <c r="AT468" s="51" t="str">
        <f t="shared" si="335"/>
        <v/>
      </c>
      <c r="AU468" s="51" t="str">
        <f t="shared" si="336"/>
        <v/>
      </c>
      <c r="AV468" s="51" t="str">
        <f t="shared" si="337"/>
        <v/>
      </c>
      <c r="AW468" s="51" t="str">
        <f t="shared" si="338"/>
        <v/>
      </c>
      <c r="AX468" s="51" t="str">
        <f t="shared" si="339"/>
        <v/>
      </c>
      <c r="AY468" s="51" t="str">
        <f t="shared" si="340"/>
        <v/>
      </c>
      <c r="AZ468" s="51" t="str">
        <f t="shared" si="341"/>
        <v/>
      </c>
      <c r="BA468" s="51" t="str">
        <f t="shared" si="342"/>
        <v/>
      </c>
      <c r="BB468" s="51" t="str">
        <f t="shared" si="343"/>
        <v/>
      </c>
      <c r="BC468" s="51" t="str">
        <f t="shared" si="344"/>
        <v/>
      </c>
      <c r="BD468" s="51" t="str">
        <f t="shared" si="345"/>
        <v/>
      </c>
      <c r="BE468" s="51" t="str">
        <f t="shared" si="346"/>
        <v/>
      </c>
      <c r="BF468" s="51" t="str">
        <f t="shared" si="347"/>
        <v/>
      </c>
      <c r="BG468" s="51" t="str">
        <f t="shared" si="348"/>
        <v/>
      </c>
      <c r="BH468" s="51" t="b">
        <f t="shared" si="349"/>
        <v>0</v>
      </c>
      <c r="BI468" s="51" t="str">
        <f t="shared" si="350"/>
        <v/>
      </c>
      <c r="BJ468" s="51" t="str">
        <f t="shared" si="351"/>
        <v/>
      </c>
      <c r="BK468" s="51" t="b">
        <f t="shared" si="352"/>
        <v>0</v>
      </c>
      <c r="BL468" s="192"/>
    </row>
    <row r="469" spans="1:64" ht="13.5" thickBot="1" x14ac:dyDescent="0.25">
      <c r="A469" s="185" t="s">
        <v>1146</v>
      </c>
      <c r="B469" s="194" t="s">
        <v>695</v>
      </c>
      <c r="C469" s="194" t="s">
        <v>695</v>
      </c>
      <c r="D469" s="194" t="s">
        <v>695</v>
      </c>
      <c r="E469" s="193" t="s">
        <v>694</v>
      </c>
      <c r="F469" s="160" t="s">
        <v>20</v>
      </c>
      <c r="G469" s="161"/>
      <c r="H469" s="186" t="str">
        <f t="shared" si="310"/>
        <v>N/A</v>
      </c>
      <c r="I469" s="186" t="b">
        <f t="shared" si="311"/>
        <v>1</v>
      </c>
      <c r="J469" s="186" t="str">
        <f t="shared" si="312"/>
        <v>N/A</v>
      </c>
      <c r="K469" s="186" t="b">
        <f t="shared" si="313"/>
        <v>1</v>
      </c>
      <c r="L469" s="186" t="str">
        <f t="shared" si="314"/>
        <v>N/A</v>
      </c>
      <c r="M469" s="186" t="b">
        <f t="shared" si="315"/>
        <v>1</v>
      </c>
      <c r="N469" s="186" t="str">
        <f t="shared" si="316"/>
        <v>Used?</v>
      </c>
      <c r="O469" s="186" t="b">
        <f t="shared" si="317"/>
        <v>0</v>
      </c>
      <c r="P469" s="26" t="s">
        <v>696</v>
      </c>
      <c r="Q469" s="160" t="s">
        <v>20</v>
      </c>
      <c r="R469" s="160" t="s">
        <v>20</v>
      </c>
      <c r="S469" s="26" t="s">
        <v>697</v>
      </c>
      <c r="T469" s="165" t="str">
        <f t="shared" si="318"/>
        <v>Not Used</v>
      </c>
      <c r="U469" s="162"/>
      <c r="V469" s="55"/>
      <c r="W469" s="51" t="b">
        <f t="shared" si="319"/>
        <v>1</v>
      </c>
      <c r="X469" s="51" t="str">
        <f t="shared" si="320"/>
        <v>Not Used</v>
      </c>
      <c r="Y469" s="51" t="str">
        <f t="shared" si="321"/>
        <v>Not Used</v>
      </c>
      <c r="Z469" s="51" t="str">
        <f t="shared" si="322"/>
        <v>Not Used</v>
      </c>
      <c r="AA469" s="51" t="str">
        <f t="shared" si="322"/>
        <v>Not Used</v>
      </c>
      <c r="AB469" s="51" t="str">
        <f t="shared" si="323"/>
        <v>Not Used</v>
      </c>
      <c r="AC469" s="51" t="b">
        <f t="shared" si="324"/>
        <v>1</v>
      </c>
      <c r="AD469" s="51">
        <f>COUNTIF($X$5:$X$469, "Not Used")</f>
        <v>465</v>
      </c>
      <c r="AE469" s="51">
        <f>COUNTIF($X$5:$X$469, "TRUE")</f>
        <v>0</v>
      </c>
      <c r="AF469" s="51" t="b">
        <f t="shared" si="325"/>
        <v>1</v>
      </c>
      <c r="AI469" s="51" t="b">
        <f t="shared" si="326"/>
        <v>0</v>
      </c>
      <c r="AJ469" s="51" t="b">
        <f t="shared" si="327"/>
        <v>0</v>
      </c>
      <c r="AK469" s="51" t="b">
        <f t="shared" si="328"/>
        <v>0</v>
      </c>
      <c r="AL469" s="51" t="b">
        <f t="shared" si="329"/>
        <v>0</v>
      </c>
      <c r="AM469" s="51" t="b">
        <f t="shared" si="330"/>
        <v>0</v>
      </c>
      <c r="AN469" s="51"/>
      <c r="AO469" s="51" t="b">
        <f t="shared" si="331"/>
        <v>0</v>
      </c>
      <c r="AP469" s="51" t="str">
        <f t="shared" si="353"/>
        <v>Not in MMS</v>
      </c>
      <c r="AQ469" s="51" t="b">
        <f t="shared" si="332"/>
        <v>0</v>
      </c>
      <c r="AR469" s="51" t="b">
        <f t="shared" si="333"/>
        <v>0</v>
      </c>
      <c r="AS469" s="51" t="str">
        <f t="shared" si="334"/>
        <v/>
      </c>
      <c r="AT469" s="51" t="str">
        <f t="shared" si="335"/>
        <v/>
      </c>
      <c r="AU469" s="51" t="str">
        <f t="shared" si="336"/>
        <v/>
      </c>
      <c r="AV469" s="51" t="str">
        <f t="shared" si="337"/>
        <v/>
      </c>
      <c r="AW469" s="51" t="str">
        <f t="shared" si="338"/>
        <v/>
      </c>
      <c r="AX469" s="51" t="str">
        <f t="shared" si="339"/>
        <v/>
      </c>
      <c r="AY469" s="51" t="str">
        <f t="shared" si="340"/>
        <v/>
      </c>
      <c r="AZ469" s="51" t="str">
        <f t="shared" si="341"/>
        <v/>
      </c>
      <c r="BA469" s="51" t="str">
        <f t="shared" si="342"/>
        <v/>
      </c>
      <c r="BB469" s="51" t="str">
        <f t="shared" si="343"/>
        <v/>
      </c>
      <c r="BC469" s="51" t="str">
        <f t="shared" si="344"/>
        <v/>
      </c>
      <c r="BD469" s="51" t="str">
        <f t="shared" si="345"/>
        <v/>
      </c>
      <c r="BE469" s="51" t="str">
        <f t="shared" si="346"/>
        <v/>
      </c>
      <c r="BF469" s="51" t="str">
        <f t="shared" si="347"/>
        <v/>
      </c>
      <c r="BG469" s="51" t="str">
        <f t="shared" si="348"/>
        <v/>
      </c>
      <c r="BH469" s="51" t="b">
        <f t="shared" si="349"/>
        <v>0</v>
      </c>
      <c r="BI469" s="51" t="str">
        <f t="shared" si="350"/>
        <v/>
      </c>
      <c r="BJ469" s="51" t="str">
        <f t="shared" si="351"/>
        <v/>
      </c>
      <c r="BK469" s="51" t="b">
        <f t="shared" si="352"/>
        <v>0</v>
      </c>
      <c r="BL469" s="192"/>
    </row>
    <row r="470" spans="1:64" ht="13.5" thickBot="1" x14ac:dyDescent="0.25">
      <c r="A470" s="185" t="s">
        <v>1147</v>
      </c>
      <c r="B470" s="194" t="s">
        <v>695</v>
      </c>
      <c r="C470" s="194" t="s">
        <v>695</v>
      </c>
      <c r="D470" s="194" t="s">
        <v>695</v>
      </c>
      <c r="E470" s="193" t="s">
        <v>694</v>
      </c>
      <c r="F470" s="160" t="s">
        <v>20</v>
      </c>
      <c r="G470" s="161"/>
      <c r="H470" s="186" t="str">
        <f t="shared" si="310"/>
        <v>N/A</v>
      </c>
      <c r="I470" s="186" t="b">
        <f t="shared" si="311"/>
        <v>1</v>
      </c>
      <c r="J470" s="186" t="str">
        <f t="shared" si="312"/>
        <v>N/A</v>
      </c>
      <c r="K470" s="186" t="b">
        <f t="shared" si="313"/>
        <v>1</v>
      </c>
      <c r="L470" s="186" t="str">
        <f t="shared" si="314"/>
        <v>N/A</v>
      </c>
      <c r="M470" s="186" t="b">
        <f t="shared" si="315"/>
        <v>1</v>
      </c>
      <c r="N470" s="186" t="str">
        <f t="shared" si="316"/>
        <v>Used?</v>
      </c>
      <c r="O470" s="186" t="b">
        <f t="shared" si="317"/>
        <v>0</v>
      </c>
      <c r="P470" s="26" t="s">
        <v>696</v>
      </c>
      <c r="Q470" s="160" t="s">
        <v>20</v>
      </c>
      <c r="R470" s="160" t="s">
        <v>20</v>
      </c>
      <c r="S470" s="26" t="s">
        <v>697</v>
      </c>
      <c r="T470" s="165" t="str">
        <f t="shared" si="318"/>
        <v>Not Used</v>
      </c>
      <c r="U470" s="162"/>
      <c r="V470" s="55"/>
      <c r="W470" s="51" t="b">
        <f t="shared" si="319"/>
        <v>1</v>
      </c>
      <c r="X470" s="51" t="str">
        <f t="shared" si="320"/>
        <v>Not Used</v>
      </c>
      <c r="Y470" s="51" t="str">
        <f t="shared" si="321"/>
        <v>Not Used</v>
      </c>
      <c r="Z470" s="51" t="str">
        <f t="shared" si="322"/>
        <v>Not Used</v>
      </c>
      <c r="AA470" s="51" t="str">
        <f t="shared" si="322"/>
        <v>Not Used</v>
      </c>
      <c r="AB470" s="51" t="str">
        <f t="shared" si="323"/>
        <v>Not Used</v>
      </c>
      <c r="AC470" s="51" t="b">
        <f t="shared" si="324"/>
        <v>1</v>
      </c>
      <c r="AD470" s="51">
        <f>COUNTIF($X$5:$X$470, "Not Used")</f>
        <v>466</v>
      </c>
      <c r="AE470" s="51">
        <f>COUNTIF($X$5:$X$470, "TRUE")</f>
        <v>0</v>
      </c>
      <c r="AF470" s="51" t="b">
        <f t="shared" si="325"/>
        <v>1</v>
      </c>
      <c r="AI470" s="51" t="b">
        <f t="shared" si="326"/>
        <v>0</v>
      </c>
      <c r="AJ470" s="51" t="b">
        <f t="shared" si="327"/>
        <v>0</v>
      </c>
      <c r="AK470" s="51" t="b">
        <f t="shared" si="328"/>
        <v>0</v>
      </c>
      <c r="AL470" s="51" t="b">
        <f t="shared" si="329"/>
        <v>0</v>
      </c>
      <c r="AM470" s="51" t="b">
        <f t="shared" si="330"/>
        <v>0</v>
      </c>
      <c r="AN470" s="51"/>
      <c r="AO470" s="51" t="b">
        <f t="shared" si="331"/>
        <v>0</v>
      </c>
      <c r="AP470" s="51" t="str">
        <f t="shared" si="353"/>
        <v>Not in MMS</v>
      </c>
      <c r="AQ470" s="51" t="b">
        <f t="shared" si="332"/>
        <v>0</v>
      </c>
      <c r="AR470" s="51" t="b">
        <f t="shared" si="333"/>
        <v>0</v>
      </c>
      <c r="AS470" s="51" t="str">
        <f t="shared" si="334"/>
        <v/>
      </c>
      <c r="AT470" s="51" t="str">
        <f t="shared" si="335"/>
        <v/>
      </c>
      <c r="AU470" s="51" t="str">
        <f t="shared" si="336"/>
        <v/>
      </c>
      <c r="AV470" s="51" t="str">
        <f t="shared" si="337"/>
        <v/>
      </c>
      <c r="AW470" s="51" t="str">
        <f t="shared" si="338"/>
        <v/>
      </c>
      <c r="AX470" s="51" t="str">
        <f t="shared" si="339"/>
        <v/>
      </c>
      <c r="AY470" s="51" t="str">
        <f t="shared" si="340"/>
        <v/>
      </c>
      <c r="AZ470" s="51" t="str">
        <f t="shared" si="341"/>
        <v/>
      </c>
      <c r="BA470" s="51" t="str">
        <f t="shared" si="342"/>
        <v/>
      </c>
      <c r="BB470" s="51" t="str">
        <f t="shared" si="343"/>
        <v/>
      </c>
      <c r="BC470" s="51" t="str">
        <f t="shared" si="344"/>
        <v/>
      </c>
      <c r="BD470" s="51" t="str">
        <f t="shared" si="345"/>
        <v/>
      </c>
      <c r="BE470" s="51" t="str">
        <f t="shared" si="346"/>
        <v/>
      </c>
      <c r="BF470" s="51" t="str">
        <f t="shared" si="347"/>
        <v/>
      </c>
      <c r="BG470" s="51" t="str">
        <f t="shared" si="348"/>
        <v/>
      </c>
      <c r="BH470" s="51" t="b">
        <f t="shared" si="349"/>
        <v>0</v>
      </c>
      <c r="BI470" s="51" t="str">
        <f t="shared" si="350"/>
        <v/>
      </c>
      <c r="BJ470" s="51" t="str">
        <f t="shared" si="351"/>
        <v/>
      </c>
      <c r="BK470" s="51" t="b">
        <f t="shared" si="352"/>
        <v>0</v>
      </c>
      <c r="BL470" s="192"/>
    </row>
    <row r="471" spans="1:64" ht="13.5" thickBot="1" x14ac:dyDescent="0.25">
      <c r="A471" s="185" t="s">
        <v>1148</v>
      </c>
      <c r="B471" s="194" t="s">
        <v>695</v>
      </c>
      <c r="C471" s="194" t="s">
        <v>695</v>
      </c>
      <c r="D471" s="194" t="s">
        <v>695</v>
      </c>
      <c r="E471" s="193" t="s">
        <v>694</v>
      </c>
      <c r="F471" s="160" t="s">
        <v>20</v>
      </c>
      <c r="G471" s="161"/>
      <c r="H471" s="186" t="str">
        <f t="shared" si="310"/>
        <v>N/A</v>
      </c>
      <c r="I471" s="186" t="b">
        <f t="shared" si="311"/>
        <v>1</v>
      </c>
      <c r="J471" s="186" t="str">
        <f t="shared" si="312"/>
        <v>N/A</v>
      </c>
      <c r="K471" s="186" t="b">
        <f t="shared" si="313"/>
        <v>1</v>
      </c>
      <c r="L471" s="186" t="str">
        <f t="shared" si="314"/>
        <v>N/A</v>
      </c>
      <c r="M471" s="186" t="b">
        <f t="shared" si="315"/>
        <v>1</v>
      </c>
      <c r="N471" s="186" t="str">
        <f t="shared" si="316"/>
        <v>Used?</v>
      </c>
      <c r="O471" s="186" t="b">
        <f t="shared" si="317"/>
        <v>0</v>
      </c>
      <c r="P471" s="26" t="s">
        <v>696</v>
      </c>
      <c r="Q471" s="160" t="s">
        <v>20</v>
      </c>
      <c r="R471" s="160" t="s">
        <v>20</v>
      </c>
      <c r="S471" s="26" t="s">
        <v>697</v>
      </c>
      <c r="T471" s="165" t="str">
        <f t="shared" si="318"/>
        <v>Not Used</v>
      </c>
      <c r="U471" s="162"/>
      <c r="V471" s="55"/>
      <c r="W471" s="51" t="b">
        <f t="shared" si="319"/>
        <v>1</v>
      </c>
      <c r="X471" s="51" t="str">
        <f t="shared" si="320"/>
        <v>Not Used</v>
      </c>
      <c r="Y471" s="51" t="str">
        <f t="shared" si="321"/>
        <v>Not Used</v>
      </c>
      <c r="Z471" s="51" t="str">
        <f t="shared" si="322"/>
        <v>Not Used</v>
      </c>
      <c r="AA471" s="51" t="str">
        <f t="shared" si="322"/>
        <v>Not Used</v>
      </c>
      <c r="AB471" s="51" t="str">
        <f t="shared" si="323"/>
        <v>Not Used</v>
      </c>
      <c r="AC471" s="51" t="b">
        <f t="shared" si="324"/>
        <v>1</v>
      </c>
      <c r="AD471" s="51">
        <f>COUNTIF($X$5:$X$471, "Not Used")</f>
        <v>467</v>
      </c>
      <c r="AE471" s="51">
        <f>COUNTIF($X$5:$X$471, "TRUE")</f>
        <v>0</v>
      </c>
      <c r="AF471" s="51" t="b">
        <f t="shared" si="325"/>
        <v>1</v>
      </c>
      <c r="AI471" s="51" t="b">
        <f t="shared" si="326"/>
        <v>0</v>
      </c>
      <c r="AJ471" s="51" t="b">
        <f t="shared" si="327"/>
        <v>0</v>
      </c>
      <c r="AK471" s="51" t="b">
        <f t="shared" si="328"/>
        <v>0</v>
      </c>
      <c r="AL471" s="51" t="b">
        <f t="shared" si="329"/>
        <v>0</v>
      </c>
      <c r="AM471" s="51" t="b">
        <f t="shared" si="330"/>
        <v>0</v>
      </c>
      <c r="AN471" s="51"/>
      <c r="AO471" s="51" t="b">
        <f t="shared" si="331"/>
        <v>0</v>
      </c>
      <c r="AP471" s="51" t="str">
        <f t="shared" si="353"/>
        <v>Not in MMS</v>
      </c>
      <c r="AQ471" s="51" t="b">
        <f t="shared" si="332"/>
        <v>0</v>
      </c>
      <c r="AR471" s="51" t="b">
        <f t="shared" si="333"/>
        <v>0</v>
      </c>
      <c r="AS471" s="51" t="str">
        <f t="shared" si="334"/>
        <v/>
      </c>
      <c r="AT471" s="51" t="str">
        <f t="shared" si="335"/>
        <v/>
      </c>
      <c r="AU471" s="51" t="str">
        <f t="shared" si="336"/>
        <v/>
      </c>
      <c r="AV471" s="51" t="str">
        <f t="shared" si="337"/>
        <v/>
      </c>
      <c r="AW471" s="51" t="str">
        <f t="shared" si="338"/>
        <v/>
      </c>
      <c r="AX471" s="51" t="str">
        <f t="shared" si="339"/>
        <v/>
      </c>
      <c r="AY471" s="51" t="str">
        <f t="shared" si="340"/>
        <v/>
      </c>
      <c r="AZ471" s="51" t="str">
        <f t="shared" si="341"/>
        <v/>
      </c>
      <c r="BA471" s="51" t="str">
        <f t="shared" si="342"/>
        <v/>
      </c>
      <c r="BB471" s="51" t="str">
        <f t="shared" si="343"/>
        <v/>
      </c>
      <c r="BC471" s="51" t="str">
        <f t="shared" si="344"/>
        <v/>
      </c>
      <c r="BD471" s="51" t="str">
        <f t="shared" si="345"/>
        <v/>
      </c>
      <c r="BE471" s="51" t="str">
        <f t="shared" si="346"/>
        <v/>
      </c>
      <c r="BF471" s="51" t="str">
        <f t="shared" si="347"/>
        <v/>
      </c>
      <c r="BG471" s="51" t="str">
        <f t="shared" si="348"/>
        <v/>
      </c>
      <c r="BH471" s="51" t="b">
        <f t="shared" si="349"/>
        <v>0</v>
      </c>
      <c r="BI471" s="51" t="str">
        <f t="shared" si="350"/>
        <v/>
      </c>
      <c r="BJ471" s="51" t="str">
        <f t="shared" si="351"/>
        <v/>
      </c>
      <c r="BK471" s="51" t="b">
        <f t="shared" si="352"/>
        <v>0</v>
      </c>
      <c r="BL471" s="192"/>
    </row>
    <row r="472" spans="1:64" ht="13.5" thickBot="1" x14ac:dyDescent="0.25">
      <c r="A472" s="185" t="s">
        <v>1149</v>
      </c>
      <c r="B472" s="194" t="s">
        <v>695</v>
      </c>
      <c r="C472" s="194" t="s">
        <v>695</v>
      </c>
      <c r="D472" s="194" t="s">
        <v>695</v>
      </c>
      <c r="E472" s="193" t="s">
        <v>694</v>
      </c>
      <c r="F472" s="160" t="s">
        <v>20</v>
      </c>
      <c r="G472" s="161"/>
      <c r="H472" s="186" t="str">
        <f t="shared" si="310"/>
        <v>N/A</v>
      </c>
      <c r="I472" s="186" t="b">
        <f t="shared" si="311"/>
        <v>1</v>
      </c>
      <c r="J472" s="186" t="str">
        <f t="shared" si="312"/>
        <v>N/A</v>
      </c>
      <c r="K472" s="186" t="b">
        <f t="shared" si="313"/>
        <v>1</v>
      </c>
      <c r="L472" s="186" t="str">
        <f t="shared" si="314"/>
        <v>N/A</v>
      </c>
      <c r="M472" s="186" t="b">
        <f t="shared" si="315"/>
        <v>1</v>
      </c>
      <c r="N472" s="186" t="str">
        <f t="shared" si="316"/>
        <v>Used?</v>
      </c>
      <c r="O472" s="186" t="b">
        <f t="shared" si="317"/>
        <v>0</v>
      </c>
      <c r="P472" s="26" t="s">
        <v>696</v>
      </c>
      <c r="Q472" s="160" t="s">
        <v>20</v>
      </c>
      <c r="R472" s="160" t="s">
        <v>20</v>
      </c>
      <c r="S472" s="26" t="s">
        <v>697</v>
      </c>
      <c r="T472" s="165" t="str">
        <f t="shared" si="318"/>
        <v>Not Used</v>
      </c>
      <c r="U472" s="162"/>
      <c r="V472" s="55"/>
      <c r="W472" s="51" t="b">
        <f t="shared" si="319"/>
        <v>1</v>
      </c>
      <c r="X472" s="51" t="str">
        <f t="shared" si="320"/>
        <v>Not Used</v>
      </c>
      <c r="Y472" s="51" t="str">
        <f t="shared" si="321"/>
        <v>Not Used</v>
      </c>
      <c r="Z472" s="51" t="str">
        <f t="shared" si="322"/>
        <v>Not Used</v>
      </c>
      <c r="AA472" s="51" t="str">
        <f t="shared" si="322"/>
        <v>Not Used</v>
      </c>
      <c r="AB472" s="51" t="str">
        <f t="shared" si="323"/>
        <v>Not Used</v>
      </c>
      <c r="AC472" s="51" t="b">
        <f t="shared" si="324"/>
        <v>1</v>
      </c>
      <c r="AD472" s="51">
        <f>COUNTIF($X$5:$X$472, "Not Used")</f>
        <v>468</v>
      </c>
      <c r="AE472" s="51">
        <f>COUNTIF($X$5:$X$472, "TRUE")</f>
        <v>0</v>
      </c>
      <c r="AF472" s="51" t="b">
        <f t="shared" si="325"/>
        <v>1</v>
      </c>
      <c r="AI472" s="51" t="b">
        <f t="shared" si="326"/>
        <v>0</v>
      </c>
      <c r="AJ472" s="51" t="b">
        <f t="shared" si="327"/>
        <v>0</v>
      </c>
      <c r="AK472" s="51" t="b">
        <f t="shared" si="328"/>
        <v>0</v>
      </c>
      <c r="AL472" s="51" t="b">
        <f t="shared" si="329"/>
        <v>0</v>
      </c>
      <c r="AM472" s="51" t="b">
        <f t="shared" si="330"/>
        <v>0</v>
      </c>
      <c r="AN472" s="51"/>
      <c r="AO472" s="51" t="b">
        <f t="shared" si="331"/>
        <v>0</v>
      </c>
      <c r="AP472" s="51" t="str">
        <f t="shared" si="353"/>
        <v>Not in MMS</v>
      </c>
      <c r="AQ472" s="51" t="b">
        <f t="shared" si="332"/>
        <v>0</v>
      </c>
      <c r="AR472" s="51" t="b">
        <f t="shared" si="333"/>
        <v>0</v>
      </c>
      <c r="AS472" s="51" t="str">
        <f t="shared" si="334"/>
        <v/>
      </c>
      <c r="AT472" s="51" t="str">
        <f t="shared" si="335"/>
        <v/>
      </c>
      <c r="AU472" s="51" t="str">
        <f t="shared" si="336"/>
        <v/>
      </c>
      <c r="AV472" s="51" t="str">
        <f t="shared" si="337"/>
        <v/>
      </c>
      <c r="AW472" s="51" t="str">
        <f t="shared" si="338"/>
        <v/>
      </c>
      <c r="AX472" s="51" t="str">
        <f t="shared" si="339"/>
        <v/>
      </c>
      <c r="AY472" s="51" t="str">
        <f t="shared" si="340"/>
        <v/>
      </c>
      <c r="AZ472" s="51" t="str">
        <f t="shared" si="341"/>
        <v/>
      </c>
      <c r="BA472" s="51" t="str">
        <f t="shared" si="342"/>
        <v/>
      </c>
      <c r="BB472" s="51" t="str">
        <f t="shared" si="343"/>
        <v/>
      </c>
      <c r="BC472" s="51" t="str">
        <f t="shared" si="344"/>
        <v/>
      </c>
      <c r="BD472" s="51" t="str">
        <f t="shared" si="345"/>
        <v/>
      </c>
      <c r="BE472" s="51" t="str">
        <f t="shared" si="346"/>
        <v/>
      </c>
      <c r="BF472" s="51" t="str">
        <f t="shared" si="347"/>
        <v/>
      </c>
      <c r="BG472" s="51" t="str">
        <f t="shared" si="348"/>
        <v/>
      </c>
      <c r="BH472" s="51" t="b">
        <f t="shared" si="349"/>
        <v>0</v>
      </c>
      <c r="BI472" s="51" t="str">
        <f t="shared" si="350"/>
        <v/>
      </c>
      <c r="BJ472" s="51" t="str">
        <f t="shared" si="351"/>
        <v/>
      </c>
      <c r="BK472" s="51" t="b">
        <f t="shared" si="352"/>
        <v>0</v>
      </c>
      <c r="BL472" s="192"/>
    </row>
    <row r="473" spans="1:64" ht="13.5" thickBot="1" x14ac:dyDescent="0.25">
      <c r="A473" s="185" t="s">
        <v>1150</v>
      </c>
      <c r="B473" s="194" t="s">
        <v>695</v>
      </c>
      <c r="C473" s="194" t="s">
        <v>695</v>
      </c>
      <c r="D473" s="194" t="s">
        <v>695</v>
      </c>
      <c r="E473" s="193" t="s">
        <v>694</v>
      </c>
      <c r="F473" s="160" t="s">
        <v>20</v>
      </c>
      <c r="G473" s="161"/>
      <c r="H473" s="186" t="str">
        <f t="shared" si="310"/>
        <v>N/A</v>
      </c>
      <c r="I473" s="186" t="b">
        <f t="shared" si="311"/>
        <v>1</v>
      </c>
      <c r="J473" s="186" t="str">
        <f t="shared" si="312"/>
        <v>N/A</v>
      </c>
      <c r="K473" s="186" t="b">
        <f t="shared" si="313"/>
        <v>1</v>
      </c>
      <c r="L473" s="186" t="str">
        <f t="shared" si="314"/>
        <v>N/A</v>
      </c>
      <c r="M473" s="186" t="b">
        <f t="shared" si="315"/>
        <v>1</v>
      </c>
      <c r="N473" s="186" t="str">
        <f t="shared" si="316"/>
        <v>Used?</v>
      </c>
      <c r="O473" s="186" t="b">
        <f t="shared" si="317"/>
        <v>0</v>
      </c>
      <c r="P473" s="26" t="s">
        <v>696</v>
      </c>
      <c r="Q473" s="160" t="s">
        <v>20</v>
      </c>
      <c r="R473" s="160" t="s">
        <v>20</v>
      </c>
      <c r="S473" s="26" t="s">
        <v>697</v>
      </c>
      <c r="T473" s="165" t="str">
        <f t="shared" si="318"/>
        <v>Not Used</v>
      </c>
      <c r="U473" s="162"/>
      <c r="V473" s="55"/>
      <c r="W473" s="51" t="b">
        <f t="shared" si="319"/>
        <v>1</v>
      </c>
      <c r="X473" s="51" t="str">
        <f t="shared" si="320"/>
        <v>Not Used</v>
      </c>
      <c r="Y473" s="51" t="str">
        <f t="shared" si="321"/>
        <v>Not Used</v>
      </c>
      <c r="Z473" s="51" t="str">
        <f t="shared" si="322"/>
        <v>Not Used</v>
      </c>
      <c r="AA473" s="51" t="str">
        <f t="shared" si="322"/>
        <v>Not Used</v>
      </c>
      <c r="AB473" s="51" t="str">
        <f t="shared" si="323"/>
        <v>Not Used</v>
      </c>
      <c r="AC473" s="51" t="b">
        <f t="shared" si="324"/>
        <v>1</v>
      </c>
      <c r="AD473" s="51">
        <f>COUNTIF($X$5:$X$473, "Not Used")</f>
        <v>469</v>
      </c>
      <c r="AE473" s="51">
        <f>COUNTIF($X$5:$X$473, "TRUE")</f>
        <v>0</v>
      </c>
      <c r="AF473" s="51" t="b">
        <f t="shared" si="325"/>
        <v>1</v>
      </c>
      <c r="AI473" s="51" t="b">
        <f t="shared" si="326"/>
        <v>0</v>
      </c>
      <c r="AJ473" s="51" t="b">
        <f t="shared" si="327"/>
        <v>0</v>
      </c>
      <c r="AK473" s="51" t="b">
        <f t="shared" si="328"/>
        <v>0</v>
      </c>
      <c r="AL473" s="51" t="b">
        <f t="shared" si="329"/>
        <v>0</v>
      </c>
      <c r="AM473" s="51" t="b">
        <f t="shared" si="330"/>
        <v>0</v>
      </c>
      <c r="AN473" s="51"/>
      <c r="AO473" s="51" t="b">
        <f t="shared" si="331"/>
        <v>0</v>
      </c>
      <c r="AP473" s="51" t="str">
        <f t="shared" si="353"/>
        <v>Not in MMS</v>
      </c>
      <c r="AQ473" s="51" t="b">
        <f t="shared" si="332"/>
        <v>0</v>
      </c>
      <c r="AR473" s="51" t="b">
        <f t="shared" si="333"/>
        <v>0</v>
      </c>
      <c r="AS473" s="51" t="str">
        <f t="shared" si="334"/>
        <v/>
      </c>
      <c r="AT473" s="51" t="str">
        <f t="shared" si="335"/>
        <v/>
      </c>
      <c r="AU473" s="51" t="str">
        <f t="shared" si="336"/>
        <v/>
      </c>
      <c r="AV473" s="51" t="str">
        <f t="shared" si="337"/>
        <v/>
      </c>
      <c r="AW473" s="51" t="str">
        <f t="shared" si="338"/>
        <v/>
      </c>
      <c r="AX473" s="51" t="str">
        <f t="shared" si="339"/>
        <v/>
      </c>
      <c r="AY473" s="51" t="str">
        <f t="shared" si="340"/>
        <v/>
      </c>
      <c r="AZ473" s="51" t="str">
        <f t="shared" si="341"/>
        <v/>
      </c>
      <c r="BA473" s="51" t="str">
        <f t="shared" si="342"/>
        <v/>
      </c>
      <c r="BB473" s="51" t="str">
        <f t="shared" si="343"/>
        <v/>
      </c>
      <c r="BC473" s="51" t="str">
        <f t="shared" si="344"/>
        <v/>
      </c>
      <c r="BD473" s="51" t="str">
        <f t="shared" si="345"/>
        <v/>
      </c>
      <c r="BE473" s="51" t="str">
        <f t="shared" si="346"/>
        <v/>
      </c>
      <c r="BF473" s="51" t="str">
        <f t="shared" si="347"/>
        <v/>
      </c>
      <c r="BG473" s="51" t="str">
        <f t="shared" si="348"/>
        <v/>
      </c>
      <c r="BH473" s="51" t="b">
        <f t="shared" si="349"/>
        <v>0</v>
      </c>
      <c r="BI473" s="51" t="str">
        <f t="shared" si="350"/>
        <v/>
      </c>
      <c r="BJ473" s="51" t="str">
        <f t="shared" si="351"/>
        <v/>
      </c>
      <c r="BK473" s="51" t="b">
        <f t="shared" si="352"/>
        <v>0</v>
      </c>
      <c r="BL473" s="192"/>
    </row>
    <row r="474" spans="1:64" ht="13.5" thickBot="1" x14ac:dyDescent="0.25">
      <c r="A474" s="185" t="s">
        <v>1151</v>
      </c>
      <c r="B474" s="194" t="s">
        <v>695</v>
      </c>
      <c r="C474" s="194" t="s">
        <v>695</v>
      </c>
      <c r="D474" s="194" t="s">
        <v>695</v>
      </c>
      <c r="E474" s="193" t="s">
        <v>694</v>
      </c>
      <c r="F474" s="160" t="s">
        <v>20</v>
      </c>
      <c r="G474" s="161"/>
      <c r="H474" s="186" t="str">
        <f t="shared" si="310"/>
        <v>N/A</v>
      </c>
      <c r="I474" s="186" t="b">
        <f t="shared" si="311"/>
        <v>1</v>
      </c>
      <c r="J474" s="186" t="str">
        <f t="shared" si="312"/>
        <v>N/A</v>
      </c>
      <c r="K474" s="186" t="b">
        <f t="shared" si="313"/>
        <v>1</v>
      </c>
      <c r="L474" s="186" t="str">
        <f t="shared" si="314"/>
        <v>N/A</v>
      </c>
      <c r="M474" s="186" t="b">
        <f t="shared" si="315"/>
        <v>1</v>
      </c>
      <c r="N474" s="186" t="str">
        <f t="shared" si="316"/>
        <v>Used?</v>
      </c>
      <c r="O474" s="186" t="b">
        <f t="shared" si="317"/>
        <v>0</v>
      </c>
      <c r="P474" s="26" t="s">
        <v>696</v>
      </c>
      <c r="Q474" s="160" t="s">
        <v>20</v>
      </c>
      <c r="R474" s="160" t="s">
        <v>20</v>
      </c>
      <c r="S474" s="26" t="s">
        <v>697</v>
      </c>
      <c r="T474" s="165" t="str">
        <f t="shared" si="318"/>
        <v>Not Used</v>
      </c>
      <c r="U474" s="162"/>
      <c r="V474" s="55"/>
      <c r="W474" s="51" t="b">
        <f t="shared" si="319"/>
        <v>1</v>
      </c>
      <c r="X474" s="51" t="str">
        <f t="shared" si="320"/>
        <v>Not Used</v>
      </c>
      <c r="Y474" s="51" t="str">
        <f t="shared" si="321"/>
        <v>Not Used</v>
      </c>
      <c r="Z474" s="51" t="str">
        <f t="shared" si="322"/>
        <v>Not Used</v>
      </c>
      <c r="AA474" s="51" t="str">
        <f t="shared" si="322"/>
        <v>Not Used</v>
      </c>
      <c r="AB474" s="51" t="str">
        <f t="shared" si="323"/>
        <v>Not Used</v>
      </c>
      <c r="AC474" s="51" t="b">
        <f t="shared" si="324"/>
        <v>1</v>
      </c>
      <c r="AD474" s="51">
        <f>COUNTIF($X$5:$X$474, "Not Used")</f>
        <v>470</v>
      </c>
      <c r="AE474" s="51">
        <f>COUNTIF($X$5:$X$474, "TRUE")</f>
        <v>0</v>
      </c>
      <c r="AF474" s="51" t="b">
        <f t="shared" si="325"/>
        <v>1</v>
      </c>
      <c r="AI474" s="51" t="b">
        <f t="shared" si="326"/>
        <v>0</v>
      </c>
      <c r="AJ474" s="51" t="b">
        <f t="shared" si="327"/>
        <v>0</v>
      </c>
      <c r="AK474" s="51" t="b">
        <f t="shared" si="328"/>
        <v>0</v>
      </c>
      <c r="AL474" s="51" t="b">
        <f t="shared" si="329"/>
        <v>0</v>
      </c>
      <c r="AM474" s="51" t="b">
        <f t="shared" si="330"/>
        <v>0</v>
      </c>
      <c r="AN474" s="51"/>
      <c r="AO474" s="51" t="b">
        <f t="shared" si="331"/>
        <v>0</v>
      </c>
      <c r="AP474" s="51" t="str">
        <f t="shared" si="353"/>
        <v>Not in MMS</v>
      </c>
      <c r="AQ474" s="51" t="b">
        <f t="shared" si="332"/>
        <v>0</v>
      </c>
      <c r="AR474" s="51" t="b">
        <f t="shared" si="333"/>
        <v>0</v>
      </c>
      <c r="AS474" s="51" t="str">
        <f t="shared" si="334"/>
        <v/>
      </c>
      <c r="AT474" s="51" t="str">
        <f t="shared" si="335"/>
        <v/>
      </c>
      <c r="AU474" s="51" t="str">
        <f t="shared" si="336"/>
        <v/>
      </c>
      <c r="AV474" s="51" t="str">
        <f t="shared" si="337"/>
        <v/>
      </c>
      <c r="AW474" s="51" t="str">
        <f t="shared" si="338"/>
        <v/>
      </c>
      <c r="AX474" s="51" t="str">
        <f t="shared" si="339"/>
        <v/>
      </c>
      <c r="AY474" s="51" t="str">
        <f t="shared" si="340"/>
        <v/>
      </c>
      <c r="AZ474" s="51" t="str">
        <f t="shared" si="341"/>
        <v/>
      </c>
      <c r="BA474" s="51" t="str">
        <f t="shared" si="342"/>
        <v/>
      </c>
      <c r="BB474" s="51" t="str">
        <f t="shared" si="343"/>
        <v/>
      </c>
      <c r="BC474" s="51" t="str">
        <f t="shared" si="344"/>
        <v/>
      </c>
      <c r="BD474" s="51" t="str">
        <f t="shared" si="345"/>
        <v/>
      </c>
      <c r="BE474" s="51" t="str">
        <f t="shared" si="346"/>
        <v/>
      </c>
      <c r="BF474" s="51" t="str">
        <f t="shared" si="347"/>
        <v/>
      </c>
      <c r="BG474" s="51" t="str">
        <f t="shared" si="348"/>
        <v/>
      </c>
      <c r="BH474" s="51" t="b">
        <f t="shared" si="349"/>
        <v>0</v>
      </c>
      <c r="BI474" s="51" t="str">
        <f t="shared" si="350"/>
        <v/>
      </c>
      <c r="BJ474" s="51" t="str">
        <f t="shared" si="351"/>
        <v/>
      </c>
      <c r="BK474" s="51" t="b">
        <f t="shared" si="352"/>
        <v>0</v>
      </c>
      <c r="BL474" s="192"/>
    </row>
    <row r="475" spans="1:64" ht="13.5" thickBot="1" x14ac:dyDescent="0.25">
      <c r="A475" s="185" t="s">
        <v>1152</v>
      </c>
      <c r="B475" s="194" t="s">
        <v>695</v>
      </c>
      <c r="C475" s="194" t="s">
        <v>695</v>
      </c>
      <c r="D475" s="194" t="s">
        <v>695</v>
      </c>
      <c r="E475" s="193" t="s">
        <v>694</v>
      </c>
      <c r="F475" s="160" t="s">
        <v>20</v>
      </c>
      <c r="G475" s="161"/>
      <c r="H475" s="186" t="str">
        <f t="shared" si="310"/>
        <v>N/A</v>
      </c>
      <c r="I475" s="186" t="b">
        <f t="shared" si="311"/>
        <v>1</v>
      </c>
      <c r="J475" s="186" t="str">
        <f t="shared" si="312"/>
        <v>N/A</v>
      </c>
      <c r="K475" s="186" t="b">
        <f t="shared" si="313"/>
        <v>1</v>
      </c>
      <c r="L475" s="186" t="str">
        <f t="shared" si="314"/>
        <v>N/A</v>
      </c>
      <c r="M475" s="186" t="b">
        <f t="shared" si="315"/>
        <v>1</v>
      </c>
      <c r="N475" s="186" t="str">
        <f t="shared" si="316"/>
        <v>Used?</v>
      </c>
      <c r="O475" s="186" t="b">
        <f t="shared" si="317"/>
        <v>0</v>
      </c>
      <c r="P475" s="26" t="s">
        <v>696</v>
      </c>
      <c r="Q475" s="160" t="s">
        <v>20</v>
      </c>
      <c r="R475" s="160" t="s">
        <v>20</v>
      </c>
      <c r="S475" s="26" t="s">
        <v>697</v>
      </c>
      <c r="T475" s="165" t="str">
        <f t="shared" si="318"/>
        <v>Not Used</v>
      </c>
      <c r="U475" s="162"/>
      <c r="V475" s="55"/>
      <c r="W475" s="51" t="b">
        <f t="shared" si="319"/>
        <v>1</v>
      </c>
      <c r="X475" s="51" t="str">
        <f t="shared" si="320"/>
        <v>Not Used</v>
      </c>
      <c r="Y475" s="51" t="str">
        <f t="shared" si="321"/>
        <v>Not Used</v>
      </c>
      <c r="Z475" s="51" t="str">
        <f t="shared" si="322"/>
        <v>Not Used</v>
      </c>
      <c r="AA475" s="51" t="str">
        <f t="shared" si="322"/>
        <v>Not Used</v>
      </c>
      <c r="AB475" s="51" t="str">
        <f t="shared" si="323"/>
        <v>Not Used</v>
      </c>
      <c r="AC475" s="51" t="b">
        <f t="shared" si="324"/>
        <v>1</v>
      </c>
      <c r="AD475" s="51">
        <f>COUNTIF($X$5:$X$475, "Not Used")</f>
        <v>471</v>
      </c>
      <c r="AE475" s="51">
        <f>COUNTIF($X$5:$X$475, "TRUE")</f>
        <v>0</v>
      </c>
      <c r="AF475" s="51" t="b">
        <f t="shared" si="325"/>
        <v>1</v>
      </c>
      <c r="AI475" s="51" t="b">
        <f t="shared" si="326"/>
        <v>0</v>
      </c>
      <c r="AJ475" s="51" t="b">
        <f t="shared" si="327"/>
        <v>0</v>
      </c>
      <c r="AK475" s="51" t="b">
        <f t="shared" si="328"/>
        <v>0</v>
      </c>
      <c r="AL475" s="51" t="b">
        <f t="shared" si="329"/>
        <v>0</v>
      </c>
      <c r="AM475" s="51" t="b">
        <f t="shared" si="330"/>
        <v>0</v>
      </c>
      <c r="AN475" s="51"/>
      <c r="AO475" s="51" t="b">
        <f t="shared" si="331"/>
        <v>0</v>
      </c>
      <c r="AP475" s="51" t="str">
        <f t="shared" si="353"/>
        <v>Not in MMS</v>
      </c>
      <c r="AQ475" s="51" t="b">
        <f t="shared" si="332"/>
        <v>0</v>
      </c>
      <c r="AR475" s="51" t="b">
        <f t="shared" si="333"/>
        <v>0</v>
      </c>
      <c r="AS475" s="51" t="str">
        <f t="shared" si="334"/>
        <v/>
      </c>
      <c r="AT475" s="51" t="str">
        <f t="shared" si="335"/>
        <v/>
      </c>
      <c r="AU475" s="51" t="str">
        <f t="shared" si="336"/>
        <v/>
      </c>
      <c r="AV475" s="51" t="str">
        <f t="shared" si="337"/>
        <v/>
      </c>
      <c r="AW475" s="51" t="str">
        <f t="shared" si="338"/>
        <v/>
      </c>
      <c r="AX475" s="51" t="str">
        <f t="shared" si="339"/>
        <v/>
      </c>
      <c r="AY475" s="51" t="str">
        <f t="shared" si="340"/>
        <v/>
      </c>
      <c r="AZ475" s="51" t="str">
        <f t="shared" si="341"/>
        <v/>
      </c>
      <c r="BA475" s="51" t="str">
        <f t="shared" si="342"/>
        <v/>
      </c>
      <c r="BB475" s="51" t="str">
        <f t="shared" si="343"/>
        <v/>
      </c>
      <c r="BC475" s="51" t="str">
        <f t="shared" si="344"/>
        <v/>
      </c>
      <c r="BD475" s="51" t="str">
        <f t="shared" si="345"/>
        <v/>
      </c>
      <c r="BE475" s="51" t="str">
        <f t="shared" si="346"/>
        <v/>
      </c>
      <c r="BF475" s="51" t="str">
        <f t="shared" si="347"/>
        <v/>
      </c>
      <c r="BG475" s="51" t="str">
        <f t="shared" si="348"/>
        <v/>
      </c>
      <c r="BH475" s="51" t="b">
        <f t="shared" si="349"/>
        <v>0</v>
      </c>
      <c r="BI475" s="51" t="str">
        <f t="shared" si="350"/>
        <v/>
      </c>
      <c r="BJ475" s="51" t="str">
        <f t="shared" si="351"/>
        <v/>
      </c>
      <c r="BK475" s="51" t="b">
        <f t="shared" si="352"/>
        <v>0</v>
      </c>
      <c r="BL475" s="192"/>
    </row>
    <row r="476" spans="1:64" ht="13.5" thickBot="1" x14ac:dyDescent="0.25">
      <c r="A476" s="185" t="s">
        <v>1153</v>
      </c>
      <c r="B476" s="194" t="s">
        <v>695</v>
      </c>
      <c r="C476" s="194" t="s">
        <v>695</v>
      </c>
      <c r="D476" s="194" t="s">
        <v>695</v>
      </c>
      <c r="E476" s="193" t="s">
        <v>694</v>
      </c>
      <c r="F476" s="160" t="s">
        <v>20</v>
      </c>
      <c r="G476" s="161"/>
      <c r="H476" s="186" t="str">
        <f t="shared" si="310"/>
        <v>N/A</v>
      </c>
      <c r="I476" s="186" t="b">
        <f t="shared" si="311"/>
        <v>1</v>
      </c>
      <c r="J476" s="186" t="str">
        <f t="shared" si="312"/>
        <v>N/A</v>
      </c>
      <c r="K476" s="186" t="b">
        <f t="shared" si="313"/>
        <v>1</v>
      </c>
      <c r="L476" s="186" t="str">
        <f t="shared" si="314"/>
        <v>N/A</v>
      </c>
      <c r="M476" s="186" t="b">
        <f t="shared" si="315"/>
        <v>1</v>
      </c>
      <c r="N476" s="186" t="str">
        <f t="shared" si="316"/>
        <v>Used?</v>
      </c>
      <c r="O476" s="186" t="b">
        <f t="shared" si="317"/>
        <v>0</v>
      </c>
      <c r="P476" s="26" t="s">
        <v>696</v>
      </c>
      <c r="Q476" s="160" t="s">
        <v>20</v>
      </c>
      <c r="R476" s="160" t="s">
        <v>20</v>
      </c>
      <c r="S476" s="26" t="s">
        <v>697</v>
      </c>
      <c r="T476" s="165" t="str">
        <f t="shared" si="318"/>
        <v>Not Used</v>
      </c>
      <c r="U476" s="162"/>
      <c r="V476" s="55"/>
      <c r="W476" s="51" t="b">
        <f t="shared" si="319"/>
        <v>1</v>
      </c>
      <c r="X476" s="51" t="str">
        <f t="shared" si="320"/>
        <v>Not Used</v>
      </c>
      <c r="Y476" s="51" t="str">
        <f t="shared" si="321"/>
        <v>Not Used</v>
      </c>
      <c r="Z476" s="51" t="str">
        <f t="shared" si="322"/>
        <v>Not Used</v>
      </c>
      <c r="AA476" s="51" t="str">
        <f t="shared" si="322"/>
        <v>Not Used</v>
      </c>
      <c r="AB476" s="51" t="str">
        <f t="shared" si="323"/>
        <v>Not Used</v>
      </c>
      <c r="AC476" s="51" t="b">
        <f t="shared" si="324"/>
        <v>1</v>
      </c>
      <c r="AD476" s="51">
        <f>COUNTIF($X$5:$X$476, "Not Used")</f>
        <v>472</v>
      </c>
      <c r="AE476" s="51">
        <f>COUNTIF($X$5:$X$476, "TRUE")</f>
        <v>0</v>
      </c>
      <c r="AF476" s="51" t="b">
        <f t="shared" si="325"/>
        <v>1</v>
      </c>
      <c r="AI476" s="51" t="b">
        <f t="shared" si="326"/>
        <v>0</v>
      </c>
      <c r="AJ476" s="51" t="b">
        <f t="shared" si="327"/>
        <v>0</v>
      </c>
      <c r="AK476" s="51" t="b">
        <f t="shared" si="328"/>
        <v>0</v>
      </c>
      <c r="AL476" s="51" t="b">
        <f t="shared" si="329"/>
        <v>0</v>
      </c>
      <c r="AM476" s="51" t="b">
        <f t="shared" si="330"/>
        <v>0</v>
      </c>
      <c r="AN476" s="51"/>
      <c r="AO476" s="51" t="b">
        <f t="shared" si="331"/>
        <v>0</v>
      </c>
      <c r="AP476" s="51" t="str">
        <f t="shared" si="353"/>
        <v>Not in MMS</v>
      </c>
      <c r="AQ476" s="51" t="b">
        <f t="shared" si="332"/>
        <v>0</v>
      </c>
      <c r="AR476" s="51" t="b">
        <f t="shared" si="333"/>
        <v>0</v>
      </c>
      <c r="AS476" s="51" t="str">
        <f t="shared" si="334"/>
        <v/>
      </c>
      <c r="AT476" s="51" t="str">
        <f t="shared" si="335"/>
        <v/>
      </c>
      <c r="AU476" s="51" t="str">
        <f t="shared" si="336"/>
        <v/>
      </c>
      <c r="AV476" s="51" t="str">
        <f t="shared" si="337"/>
        <v/>
      </c>
      <c r="AW476" s="51" t="str">
        <f t="shared" si="338"/>
        <v/>
      </c>
      <c r="AX476" s="51" t="str">
        <f t="shared" si="339"/>
        <v/>
      </c>
      <c r="AY476" s="51" t="str">
        <f t="shared" si="340"/>
        <v/>
      </c>
      <c r="AZ476" s="51" t="str">
        <f t="shared" si="341"/>
        <v/>
      </c>
      <c r="BA476" s="51" t="str">
        <f t="shared" si="342"/>
        <v/>
      </c>
      <c r="BB476" s="51" t="str">
        <f t="shared" si="343"/>
        <v/>
      </c>
      <c r="BC476" s="51" t="str">
        <f t="shared" si="344"/>
        <v/>
      </c>
      <c r="BD476" s="51" t="str">
        <f t="shared" si="345"/>
        <v/>
      </c>
      <c r="BE476" s="51" t="str">
        <f t="shared" si="346"/>
        <v/>
      </c>
      <c r="BF476" s="51" t="str">
        <f t="shared" si="347"/>
        <v/>
      </c>
      <c r="BG476" s="51" t="str">
        <f t="shared" si="348"/>
        <v/>
      </c>
      <c r="BH476" s="51" t="b">
        <f t="shared" si="349"/>
        <v>0</v>
      </c>
      <c r="BI476" s="51" t="str">
        <f t="shared" si="350"/>
        <v/>
      </c>
      <c r="BJ476" s="51" t="str">
        <f t="shared" si="351"/>
        <v/>
      </c>
      <c r="BK476" s="51" t="b">
        <f t="shared" si="352"/>
        <v>0</v>
      </c>
      <c r="BL476" s="192"/>
    </row>
    <row r="477" spans="1:64" ht="13.5" thickBot="1" x14ac:dyDescent="0.25">
      <c r="A477" s="185" t="s">
        <v>1154</v>
      </c>
      <c r="B477" s="194" t="s">
        <v>695</v>
      </c>
      <c r="C477" s="194" t="s">
        <v>695</v>
      </c>
      <c r="D477" s="194" t="s">
        <v>695</v>
      </c>
      <c r="E477" s="193" t="s">
        <v>694</v>
      </c>
      <c r="F477" s="160" t="s">
        <v>20</v>
      </c>
      <c r="G477" s="161"/>
      <c r="H477" s="186" t="str">
        <f t="shared" si="310"/>
        <v>N/A</v>
      </c>
      <c r="I477" s="186" t="b">
        <f t="shared" si="311"/>
        <v>1</v>
      </c>
      <c r="J477" s="186" t="str">
        <f t="shared" si="312"/>
        <v>N/A</v>
      </c>
      <c r="K477" s="186" t="b">
        <f t="shared" si="313"/>
        <v>1</v>
      </c>
      <c r="L477" s="186" t="str">
        <f t="shared" si="314"/>
        <v>N/A</v>
      </c>
      <c r="M477" s="186" t="b">
        <f t="shared" si="315"/>
        <v>1</v>
      </c>
      <c r="N477" s="186" t="str">
        <f t="shared" si="316"/>
        <v>Used?</v>
      </c>
      <c r="O477" s="186" t="b">
        <f t="shared" si="317"/>
        <v>0</v>
      </c>
      <c r="P477" s="26" t="s">
        <v>696</v>
      </c>
      <c r="Q477" s="160" t="s">
        <v>20</v>
      </c>
      <c r="R477" s="160" t="s">
        <v>20</v>
      </c>
      <c r="S477" s="26" t="s">
        <v>697</v>
      </c>
      <c r="T477" s="165" t="str">
        <f t="shared" si="318"/>
        <v>Not Used</v>
      </c>
      <c r="U477" s="162"/>
      <c r="V477" s="55"/>
      <c r="W477" s="51" t="b">
        <f t="shared" si="319"/>
        <v>1</v>
      </c>
      <c r="X477" s="51" t="str">
        <f t="shared" si="320"/>
        <v>Not Used</v>
      </c>
      <c r="Y477" s="51" t="str">
        <f t="shared" si="321"/>
        <v>Not Used</v>
      </c>
      <c r="Z477" s="51" t="str">
        <f t="shared" si="322"/>
        <v>Not Used</v>
      </c>
      <c r="AA477" s="51" t="str">
        <f t="shared" si="322"/>
        <v>Not Used</v>
      </c>
      <c r="AB477" s="51" t="str">
        <f t="shared" si="323"/>
        <v>Not Used</v>
      </c>
      <c r="AC477" s="51" t="b">
        <f t="shared" si="324"/>
        <v>1</v>
      </c>
      <c r="AD477" s="51">
        <f>COUNTIF($X$5:$X$477, "Not Used")</f>
        <v>473</v>
      </c>
      <c r="AE477" s="51">
        <f>COUNTIF($X$5:$X$477, "TRUE")</f>
        <v>0</v>
      </c>
      <c r="AF477" s="51" t="b">
        <f t="shared" si="325"/>
        <v>1</v>
      </c>
      <c r="AI477" s="51" t="b">
        <f t="shared" si="326"/>
        <v>0</v>
      </c>
      <c r="AJ477" s="51" t="b">
        <f t="shared" si="327"/>
        <v>0</v>
      </c>
      <c r="AK477" s="51" t="b">
        <f t="shared" si="328"/>
        <v>0</v>
      </c>
      <c r="AL477" s="51" t="b">
        <f t="shared" si="329"/>
        <v>0</v>
      </c>
      <c r="AM477" s="51" t="b">
        <f t="shared" si="330"/>
        <v>0</v>
      </c>
      <c r="AN477" s="51"/>
      <c r="AO477" s="51" t="b">
        <f t="shared" si="331"/>
        <v>0</v>
      </c>
      <c r="AP477" s="51" t="str">
        <f t="shared" si="353"/>
        <v>Not in MMS</v>
      </c>
      <c r="AQ477" s="51" t="b">
        <f t="shared" si="332"/>
        <v>0</v>
      </c>
      <c r="AR477" s="51" t="b">
        <f t="shared" si="333"/>
        <v>0</v>
      </c>
      <c r="AS477" s="51" t="str">
        <f t="shared" si="334"/>
        <v/>
      </c>
      <c r="AT477" s="51" t="str">
        <f t="shared" si="335"/>
        <v/>
      </c>
      <c r="AU477" s="51" t="str">
        <f t="shared" si="336"/>
        <v/>
      </c>
      <c r="AV477" s="51" t="str">
        <f t="shared" si="337"/>
        <v/>
      </c>
      <c r="AW477" s="51" t="str">
        <f t="shared" si="338"/>
        <v/>
      </c>
      <c r="AX477" s="51" t="str">
        <f t="shared" si="339"/>
        <v/>
      </c>
      <c r="AY477" s="51" t="str">
        <f t="shared" si="340"/>
        <v/>
      </c>
      <c r="AZ477" s="51" t="str">
        <f t="shared" si="341"/>
        <v/>
      </c>
      <c r="BA477" s="51" t="str">
        <f t="shared" si="342"/>
        <v/>
      </c>
      <c r="BB477" s="51" t="str">
        <f t="shared" si="343"/>
        <v/>
      </c>
      <c r="BC477" s="51" t="str">
        <f t="shared" si="344"/>
        <v/>
      </c>
      <c r="BD477" s="51" t="str">
        <f t="shared" si="345"/>
        <v/>
      </c>
      <c r="BE477" s="51" t="str">
        <f t="shared" si="346"/>
        <v/>
      </c>
      <c r="BF477" s="51" t="str">
        <f t="shared" si="347"/>
        <v/>
      </c>
      <c r="BG477" s="51" t="str">
        <f t="shared" si="348"/>
        <v/>
      </c>
      <c r="BH477" s="51" t="b">
        <f t="shared" si="349"/>
        <v>0</v>
      </c>
      <c r="BI477" s="51" t="str">
        <f t="shared" si="350"/>
        <v/>
      </c>
      <c r="BJ477" s="51" t="str">
        <f t="shared" si="351"/>
        <v/>
      </c>
      <c r="BK477" s="51" t="b">
        <f t="shared" si="352"/>
        <v>0</v>
      </c>
      <c r="BL477" s="192"/>
    </row>
    <row r="478" spans="1:64" ht="13.5" thickBot="1" x14ac:dyDescent="0.25">
      <c r="A478" s="185" t="s">
        <v>1155</v>
      </c>
      <c r="B478" s="194" t="s">
        <v>695</v>
      </c>
      <c r="C478" s="194" t="s">
        <v>695</v>
      </c>
      <c r="D478" s="194" t="s">
        <v>695</v>
      </c>
      <c r="E478" s="193" t="s">
        <v>694</v>
      </c>
      <c r="F478" s="160" t="s">
        <v>20</v>
      </c>
      <c r="G478" s="161"/>
      <c r="H478" s="186" t="str">
        <f t="shared" si="310"/>
        <v>N/A</v>
      </c>
      <c r="I478" s="186" t="b">
        <f t="shared" si="311"/>
        <v>1</v>
      </c>
      <c r="J478" s="186" t="str">
        <f t="shared" si="312"/>
        <v>N/A</v>
      </c>
      <c r="K478" s="186" t="b">
        <f t="shared" si="313"/>
        <v>1</v>
      </c>
      <c r="L478" s="186" t="str">
        <f t="shared" si="314"/>
        <v>N/A</v>
      </c>
      <c r="M478" s="186" t="b">
        <f t="shared" si="315"/>
        <v>1</v>
      </c>
      <c r="N478" s="186" t="str">
        <f t="shared" si="316"/>
        <v>Used?</v>
      </c>
      <c r="O478" s="186" t="b">
        <f t="shared" si="317"/>
        <v>0</v>
      </c>
      <c r="P478" s="26" t="s">
        <v>696</v>
      </c>
      <c r="Q478" s="160" t="s">
        <v>20</v>
      </c>
      <c r="R478" s="160" t="s">
        <v>20</v>
      </c>
      <c r="S478" s="26" t="s">
        <v>697</v>
      </c>
      <c r="T478" s="165" t="str">
        <f t="shared" si="318"/>
        <v>Not Used</v>
      </c>
      <c r="U478" s="162"/>
      <c r="V478" s="55"/>
      <c r="W478" s="51" t="b">
        <f t="shared" si="319"/>
        <v>1</v>
      </c>
      <c r="X478" s="51" t="str">
        <f t="shared" si="320"/>
        <v>Not Used</v>
      </c>
      <c r="Y478" s="51" t="str">
        <f t="shared" si="321"/>
        <v>Not Used</v>
      </c>
      <c r="Z478" s="51" t="str">
        <f t="shared" si="322"/>
        <v>Not Used</v>
      </c>
      <c r="AA478" s="51" t="str">
        <f t="shared" si="322"/>
        <v>Not Used</v>
      </c>
      <c r="AB478" s="51" t="str">
        <f t="shared" si="323"/>
        <v>Not Used</v>
      </c>
      <c r="AC478" s="51" t="b">
        <f t="shared" si="324"/>
        <v>1</v>
      </c>
      <c r="AD478" s="51">
        <f>COUNTIF($X$5:$X$478, "Not Used")</f>
        <v>474</v>
      </c>
      <c r="AE478" s="51">
        <f>COUNTIF($X$5:$X$478, "TRUE")</f>
        <v>0</v>
      </c>
      <c r="AF478" s="51" t="b">
        <f t="shared" si="325"/>
        <v>1</v>
      </c>
      <c r="AI478" s="51" t="b">
        <f t="shared" si="326"/>
        <v>0</v>
      </c>
      <c r="AJ478" s="51" t="b">
        <f t="shared" si="327"/>
        <v>0</v>
      </c>
      <c r="AK478" s="51" t="b">
        <f t="shared" si="328"/>
        <v>0</v>
      </c>
      <c r="AL478" s="51" t="b">
        <f t="shared" si="329"/>
        <v>0</v>
      </c>
      <c r="AM478" s="51" t="b">
        <f t="shared" si="330"/>
        <v>0</v>
      </c>
      <c r="AN478" s="51"/>
      <c r="AO478" s="51" t="b">
        <f t="shared" si="331"/>
        <v>0</v>
      </c>
      <c r="AP478" s="51" t="str">
        <f t="shared" si="353"/>
        <v>Not in MMS</v>
      </c>
      <c r="AQ478" s="51" t="b">
        <f t="shared" si="332"/>
        <v>0</v>
      </c>
      <c r="AR478" s="51" t="b">
        <f t="shared" si="333"/>
        <v>0</v>
      </c>
      <c r="AS478" s="51" t="str">
        <f t="shared" si="334"/>
        <v/>
      </c>
      <c r="AT478" s="51" t="str">
        <f t="shared" si="335"/>
        <v/>
      </c>
      <c r="AU478" s="51" t="str">
        <f t="shared" si="336"/>
        <v/>
      </c>
      <c r="AV478" s="51" t="str">
        <f t="shared" si="337"/>
        <v/>
      </c>
      <c r="AW478" s="51" t="str">
        <f t="shared" si="338"/>
        <v/>
      </c>
      <c r="AX478" s="51" t="str">
        <f t="shared" si="339"/>
        <v/>
      </c>
      <c r="AY478" s="51" t="str">
        <f t="shared" si="340"/>
        <v/>
      </c>
      <c r="AZ478" s="51" t="str">
        <f t="shared" si="341"/>
        <v/>
      </c>
      <c r="BA478" s="51" t="str">
        <f t="shared" si="342"/>
        <v/>
      </c>
      <c r="BB478" s="51" t="str">
        <f t="shared" si="343"/>
        <v/>
      </c>
      <c r="BC478" s="51" t="str">
        <f t="shared" si="344"/>
        <v/>
      </c>
      <c r="BD478" s="51" t="str">
        <f t="shared" si="345"/>
        <v/>
      </c>
      <c r="BE478" s="51" t="str">
        <f t="shared" si="346"/>
        <v/>
      </c>
      <c r="BF478" s="51" t="str">
        <f t="shared" si="347"/>
        <v/>
      </c>
      <c r="BG478" s="51" t="str">
        <f t="shared" si="348"/>
        <v/>
      </c>
      <c r="BH478" s="51" t="b">
        <f t="shared" si="349"/>
        <v>0</v>
      </c>
      <c r="BI478" s="51" t="str">
        <f t="shared" si="350"/>
        <v/>
      </c>
      <c r="BJ478" s="51" t="str">
        <f t="shared" si="351"/>
        <v/>
      </c>
      <c r="BK478" s="51" t="b">
        <f t="shared" si="352"/>
        <v>0</v>
      </c>
      <c r="BL478" s="192"/>
    </row>
    <row r="479" spans="1:64" ht="13.5" thickBot="1" x14ac:dyDescent="0.25">
      <c r="A479" s="185" t="s">
        <v>1156</v>
      </c>
      <c r="B479" s="194" t="s">
        <v>695</v>
      </c>
      <c r="C479" s="194" t="s">
        <v>695</v>
      </c>
      <c r="D479" s="194" t="s">
        <v>695</v>
      </c>
      <c r="E479" s="193" t="s">
        <v>694</v>
      </c>
      <c r="F479" s="160" t="s">
        <v>20</v>
      </c>
      <c r="G479" s="161"/>
      <c r="H479" s="186" t="str">
        <f t="shared" si="310"/>
        <v>N/A</v>
      </c>
      <c r="I479" s="186" t="b">
        <f t="shared" si="311"/>
        <v>1</v>
      </c>
      <c r="J479" s="186" t="str">
        <f t="shared" si="312"/>
        <v>N/A</v>
      </c>
      <c r="K479" s="186" t="b">
        <f t="shared" si="313"/>
        <v>1</v>
      </c>
      <c r="L479" s="186" t="str">
        <f t="shared" si="314"/>
        <v>N/A</v>
      </c>
      <c r="M479" s="186" t="b">
        <f t="shared" si="315"/>
        <v>1</v>
      </c>
      <c r="N479" s="186" t="str">
        <f t="shared" si="316"/>
        <v>Used?</v>
      </c>
      <c r="O479" s="186" t="b">
        <f t="shared" si="317"/>
        <v>0</v>
      </c>
      <c r="P479" s="26" t="s">
        <v>696</v>
      </c>
      <c r="Q479" s="160" t="s">
        <v>20</v>
      </c>
      <c r="R479" s="160" t="s">
        <v>20</v>
      </c>
      <c r="S479" s="26" t="s">
        <v>697</v>
      </c>
      <c r="T479" s="165" t="str">
        <f t="shared" si="318"/>
        <v>Not Used</v>
      </c>
      <c r="U479" s="162"/>
      <c r="V479" s="55"/>
      <c r="W479" s="51" t="b">
        <f t="shared" si="319"/>
        <v>1</v>
      </c>
      <c r="X479" s="51" t="str">
        <f t="shared" si="320"/>
        <v>Not Used</v>
      </c>
      <c r="Y479" s="51" t="str">
        <f t="shared" si="321"/>
        <v>Not Used</v>
      </c>
      <c r="Z479" s="51" t="str">
        <f t="shared" si="322"/>
        <v>Not Used</v>
      </c>
      <c r="AA479" s="51" t="str">
        <f t="shared" si="322"/>
        <v>Not Used</v>
      </c>
      <c r="AB479" s="51" t="str">
        <f t="shared" si="323"/>
        <v>Not Used</v>
      </c>
      <c r="AC479" s="51" t="b">
        <f t="shared" si="324"/>
        <v>1</v>
      </c>
      <c r="AD479" s="51">
        <f>COUNTIF($X$5:$X$479, "Not Used")</f>
        <v>475</v>
      </c>
      <c r="AE479" s="51">
        <f>COUNTIF($X$5:$X$479, "TRUE")</f>
        <v>0</v>
      </c>
      <c r="AF479" s="51" t="b">
        <f t="shared" si="325"/>
        <v>1</v>
      </c>
      <c r="AI479" s="51" t="b">
        <f t="shared" si="326"/>
        <v>0</v>
      </c>
      <c r="AJ479" s="51" t="b">
        <f t="shared" si="327"/>
        <v>0</v>
      </c>
      <c r="AK479" s="51" t="b">
        <f t="shared" si="328"/>
        <v>0</v>
      </c>
      <c r="AL479" s="51" t="b">
        <f t="shared" si="329"/>
        <v>0</v>
      </c>
      <c r="AM479" s="51" t="b">
        <f t="shared" si="330"/>
        <v>0</v>
      </c>
      <c r="AN479" s="51"/>
      <c r="AO479" s="51" t="b">
        <f t="shared" si="331"/>
        <v>0</v>
      </c>
      <c r="AP479" s="51" t="str">
        <f t="shared" si="353"/>
        <v>Not in MMS</v>
      </c>
      <c r="AQ479" s="51" t="b">
        <f t="shared" si="332"/>
        <v>0</v>
      </c>
      <c r="AR479" s="51" t="b">
        <f t="shared" si="333"/>
        <v>0</v>
      </c>
      <c r="AS479" s="51" t="str">
        <f t="shared" si="334"/>
        <v/>
      </c>
      <c r="AT479" s="51" t="str">
        <f t="shared" si="335"/>
        <v/>
      </c>
      <c r="AU479" s="51" t="str">
        <f t="shared" si="336"/>
        <v/>
      </c>
      <c r="AV479" s="51" t="str">
        <f t="shared" si="337"/>
        <v/>
      </c>
      <c r="AW479" s="51" t="str">
        <f t="shared" si="338"/>
        <v/>
      </c>
      <c r="AX479" s="51" t="str">
        <f t="shared" si="339"/>
        <v/>
      </c>
      <c r="AY479" s="51" t="str">
        <f t="shared" si="340"/>
        <v/>
      </c>
      <c r="AZ479" s="51" t="str">
        <f t="shared" si="341"/>
        <v/>
      </c>
      <c r="BA479" s="51" t="str">
        <f t="shared" si="342"/>
        <v/>
      </c>
      <c r="BB479" s="51" t="str">
        <f t="shared" si="343"/>
        <v/>
      </c>
      <c r="BC479" s="51" t="str">
        <f t="shared" si="344"/>
        <v/>
      </c>
      <c r="BD479" s="51" t="str">
        <f t="shared" si="345"/>
        <v/>
      </c>
      <c r="BE479" s="51" t="str">
        <f t="shared" si="346"/>
        <v/>
      </c>
      <c r="BF479" s="51" t="str">
        <f t="shared" si="347"/>
        <v/>
      </c>
      <c r="BG479" s="51" t="str">
        <f t="shared" si="348"/>
        <v/>
      </c>
      <c r="BH479" s="51" t="b">
        <f t="shared" si="349"/>
        <v>0</v>
      </c>
      <c r="BI479" s="51" t="str">
        <f t="shared" si="350"/>
        <v/>
      </c>
      <c r="BJ479" s="51" t="str">
        <f t="shared" si="351"/>
        <v/>
      </c>
      <c r="BK479" s="51" t="b">
        <f t="shared" si="352"/>
        <v>0</v>
      </c>
      <c r="BL479" s="192"/>
    </row>
    <row r="480" spans="1:64" ht="13.5" thickBot="1" x14ac:dyDescent="0.25">
      <c r="A480" s="185" t="s">
        <v>1157</v>
      </c>
      <c r="B480" s="194" t="s">
        <v>695</v>
      </c>
      <c r="C480" s="194" t="s">
        <v>695</v>
      </c>
      <c r="D480" s="194" t="s">
        <v>695</v>
      </c>
      <c r="E480" s="193" t="s">
        <v>694</v>
      </c>
      <c r="F480" s="160" t="s">
        <v>20</v>
      </c>
      <c r="G480" s="161"/>
      <c r="H480" s="186" t="str">
        <f t="shared" si="310"/>
        <v>N/A</v>
      </c>
      <c r="I480" s="186" t="b">
        <f t="shared" si="311"/>
        <v>1</v>
      </c>
      <c r="J480" s="186" t="str">
        <f t="shared" si="312"/>
        <v>N/A</v>
      </c>
      <c r="K480" s="186" t="b">
        <f t="shared" si="313"/>
        <v>1</v>
      </c>
      <c r="L480" s="186" t="str">
        <f t="shared" si="314"/>
        <v>N/A</v>
      </c>
      <c r="M480" s="186" t="b">
        <f t="shared" si="315"/>
        <v>1</v>
      </c>
      <c r="N480" s="186" t="str">
        <f t="shared" si="316"/>
        <v>Used?</v>
      </c>
      <c r="O480" s="186" t="b">
        <f t="shared" si="317"/>
        <v>0</v>
      </c>
      <c r="P480" s="26" t="s">
        <v>696</v>
      </c>
      <c r="Q480" s="160" t="s">
        <v>20</v>
      </c>
      <c r="R480" s="160" t="s">
        <v>20</v>
      </c>
      <c r="S480" s="26" t="s">
        <v>697</v>
      </c>
      <c r="T480" s="165" t="str">
        <f t="shared" si="318"/>
        <v>Not Used</v>
      </c>
      <c r="U480" s="162"/>
      <c r="V480" s="55"/>
      <c r="W480" s="51" t="b">
        <f t="shared" si="319"/>
        <v>1</v>
      </c>
      <c r="X480" s="51" t="str">
        <f t="shared" si="320"/>
        <v>Not Used</v>
      </c>
      <c r="Y480" s="51" t="str">
        <f t="shared" si="321"/>
        <v>Not Used</v>
      </c>
      <c r="Z480" s="51" t="str">
        <f t="shared" si="322"/>
        <v>Not Used</v>
      </c>
      <c r="AA480" s="51" t="str">
        <f t="shared" si="322"/>
        <v>Not Used</v>
      </c>
      <c r="AB480" s="51" t="str">
        <f t="shared" si="323"/>
        <v>Not Used</v>
      </c>
      <c r="AC480" s="51" t="b">
        <f t="shared" si="324"/>
        <v>1</v>
      </c>
      <c r="AD480" s="51">
        <f>COUNTIF($X$5:$X$480, "Not Used")</f>
        <v>476</v>
      </c>
      <c r="AE480" s="51">
        <f>COUNTIF($X$5:$X$480, "TRUE")</f>
        <v>0</v>
      </c>
      <c r="AF480" s="51" t="b">
        <f t="shared" si="325"/>
        <v>1</v>
      </c>
      <c r="AI480" s="51" t="b">
        <f t="shared" si="326"/>
        <v>0</v>
      </c>
      <c r="AJ480" s="51" t="b">
        <f t="shared" si="327"/>
        <v>0</v>
      </c>
      <c r="AK480" s="51" t="b">
        <f t="shared" si="328"/>
        <v>0</v>
      </c>
      <c r="AL480" s="51" t="b">
        <f t="shared" si="329"/>
        <v>0</v>
      </c>
      <c r="AM480" s="51" t="b">
        <f t="shared" si="330"/>
        <v>0</v>
      </c>
      <c r="AN480" s="51"/>
      <c r="AO480" s="51" t="b">
        <f t="shared" si="331"/>
        <v>0</v>
      </c>
      <c r="AP480" s="51" t="str">
        <f t="shared" si="353"/>
        <v>Not in MMS</v>
      </c>
      <c r="AQ480" s="51" t="b">
        <f t="shared" si="332"/>
        <v>0</v>
      </c>
      <c r="AR480" s="51" t="b">
        <f t="shared" si="333"/>
        <v>0</v>
      </c>
      <c r="AS480" s="51" t="str">
        <f t="shared" si="334"/>
        <v/>
      </c>
      <c r="AT480" s="51" t="str">
        <f t="shared" si="335"/>
        <v/>
      </c>
      <c r="AU480" s="51" t="str">
        <f t="shared" si="336"/>
        <v/>
      </c>
      <c r="AV480" s="51" t="str">
        <f t="shared" si="337"/>
        <v/>
      </c>
      <c r="AW480" s="51" t="str">
        <f t="shared" si="338"/>
        <v/>
      </c>
      <c r="AX480" s="51" t="str">
        <f t="shared" si="339"/>
        <v/>
      </c>
      <c r="AY480" s="51" t="str">
        <f t="shared" si="340"/>
        <v/>
      </c>
      <c r="AZ480" s="51" t="str">
        <f t="shared" si="341"/>
        <v/>
      </c>
      <c r="BA480" s="51" t="str">
        <f t="shared" si="342"/>
        <v/>
      </c>
      <c r="BB480" s="51" t="str">
        <f t="shared" si="343"/>
        <v/>
      </c>
      <c r="BC480" s="51" t="str">
        <f t="shared" si="344"/>
        <v/>
      </c>
      <c r="BD480" s="51" t="str">
        <f t="shared" si="345"/>
        <v/>
      </c>
      <c r="BE480" s="51" t="str">
        <f t="shared" si="346"/>
        <v/>
      </c>
      <c r="BF480" s="51" t="str">
        <f t="shared" si="347"/>
        <v/>
      </c>
      <c r="BG480" s="51" t="str">
        <f t="shared" si="348"/>
        <v/>
      </c>
      <c r="BH480" s="51" t="b">
        <f t="shared" si="349"/>
        <v>0</v>
      </c>
      <c r="BI480" s="51" t="str">
        <f t="shared" si="350"/>
        <v/>
      </c>
      <c r="BJ480" s="51" t="str">
        <f t="shared" si="351"/>
        <v/>
      </c>
      <c r="BK480" s="51" t="b">
        <f t="shared" si="352"/>
        <v>0</v>
      </c>
      <c r="BL480" s="192"/>
    </row>
    <row r="481" spans="1:64" ht="13.5" thickBot="1" x14ac:dyDescent="0.25">
      <c r="A481" s="185" t="s">
        <v>1158</v>
      </c>
      <c r="B481" s="194" t="s">
        <v>695</v>
      </c>
      <c r="C481" s="194" t="s">
        <v>695</v>
      </c>
      <c r="D481" s="194" t="s">
        <v>695</v>
      </c>
      <c r="E481" s="193" t="s">
        <v>694</v>
      </c>
      <c r="F481" s="160" t="s">
        <v>20</v>
      </c>
      <c r="G481" s="161"/>
      <c r="H481" s="186" t="str">
        <f t="shared" si="310"/>
        <v>N/A</v>
      </c>
      <c r="I481" s="186" t="b">
        <f t="shared" si="311"/>
        <v>1</v>
      </c>
      <c r="J481" s="186" t="str">
        <f t="shared" si="312"/>
        <v>N/A</v>
      </c>
      <c r="K481" s="186" t="b">
        <f t="shared" si="313"/>
        <v>1</v>
      </c>
      <c r="L481" s="186" t="str">
        <f t="shared" si="314"/>
        <v>N/A</v>
      </c>
      <c r="M481" s="186" t="b">
        <f t="shared" si="315"/>
        <v>1</v>
      </c>
      <c r="N481" s="186" t="str">
        <f t="shared" si="316"/>
        <v>Used?</v>
      </c>
      <c r="O481" s="186" t="b">
        <f t="shared" si="317"/>
        <v>0</v>
      </c>
      <c r="P481" s="26" t="s">
        <v>696</v>
      </c>
      <c r="Q481" s="160" t="s">
        <v>20</v>
      </c>
      <c r="R481" s="160" t="s">
        <v>20</v>
      </c>
      <c r="S481" s="26" t="s">
        <v>697</v>
      </c>
      <c r="T481" s="165" t="str">
        <f t="shared" si="318"/>
        <v>Not Used</v>
      </c>
      <c r="U481" s="162"/>
      <c r="V481" s="55"/>
      <c r="W481" s="51" t="b">
        <f t="shared" si="319"/>
        <v>1</v>
      </c>
      <c r="X481" s="51" t="str">
        <f t="shared" si="320"/>
        <v>Not Used</v>
      </c>
      <c r="Y481" s="51" t="str">
        <f t="shared" si="321"/>
        <v>Not Used</v>
      </c>
      <c r="Z481" s="51" t="str">
        <f t="shared" si="322"/>
        <v>Not Used</v>
      </c>
      <c r="AA481" s="51" t="str">
        <f t="shared" si="322"/>
        <v>Not Used</v>
      </c>
      <c r="AB481" s="51" t="str">
        <f t="shared" si="323"/>
        <v>Not Used</v>
      </c>
      <c r="AC481" s="51" t="b">
        <f t="shared" si="324"/>
        <v>1</v>
      </c>
      <c r="AD481" s="51">
        <f>COUNTIF($X$5:$X$481, "Not Used")</f>
        <v>477</v>
      </c>
      <c r="AE481" s="51">
        <f>COUNTIF($X$5:$X$481, "TRUE")</f>
        <v>0</v>
      </c>
      <c r="AF481" s="51" t="b">
        <f t="shared" si="325"/>
        <v>1</v>
      </c>
      <c r="AI481" s="51" t="b">
        <f t="shared" si="326"/>
        <v>0</v>
      </c>
      <c r="AJ481" s="51" t="b">
        <f t="shared" si="327"/>
        <v>0</v>
      </c>
      <c r="AK481" s="51" t="b">
        <f t="shared" si="328"/>
        <v>0</v>
      </c>
      <c r="AL481" s="51" t="b">
        <f t="shared" si="329"/>
        <v>0</v>
      </c>
      <c r="AM481" s="51" t="b">
        <f t="shared" si="330"/>
        <v>0</v>
      </c>
      <c r="AN481" s="51"/>
      <c r="AO481" s="51" t="b">
        <f t="shared" si="331"/>
        <v>0</v>
      </c>
      <c r="AP481" s="51" t="str">
        <f t="shared" si="353"/>
        <v>Not in MMS</v>
      </c>
      <c r="AQ481" s="51" t="b">
        <f t="shared" si="332"/>
        <v>0</v>
      </c>
      <c r="AR481" s="51" t="b">
        <f t="shared" si="333"/>
        <v>0</v>
      </c>
      <c r="AS481" s="51" t="str">
        <f t="shared" si="334"/>
        <v/>
      </c>
      <c r="AT481" s="51" t="str">
        <f t="shared" si="335"/>
        <v/>
      </c>
      <c r="AU481" s="51" t="str">
        <f t="shared" si="336"/>
        <v/>
      </c>
      <c r="AV481" s="51" t="str">
        <f t="shared" si="337"/>
        <v/>
      </c>
      <c r="AW481" s="51" t="str">
        <f t="shared" si="338"/>
        <v/>
      </c>
      <c r="AX481" s="51" t="str">
        <f t="shared" si="339"/>
        <v/>
      </c>
      <c r="AY481" s="51" t="str">
        <f t="shared" si="340"/>
        <v/>
      </c>
      <c r="AZ481" s="51" t="str">
        <f t="shared" si="341"/>
        <v/>
      </c>
      <c r="BA481" s="51" t="str">
        <f t="shared" si="342"/>
        <v/>
      </c>
      <c r="BB481" s="51" t="str">
        <f t="shared" si="343"/>
        <v/>
      </c>
      <c r="BC481" s="51" t="str">
        <f t="shared" si="344"/>
        <v/>
      </c>
      <c r="BD481" s="51" t="str">
        <f t="shared" si="345"/>
        <v/>
      </c>
      <c r="BE481" s="51" t="str">
        <f t="shared" si="346"/>
        <v/>
      </c>
      <c r="BF481" s="51" t="str">
        <f t="shared" si="347"/>
        <v/>
      </c>
      <c r="BG481" s="51" t="str">
        <f t="shared" si="348"/>
        <v/>
      </c>
      <c r="BH481" s="51" t="b">
        <f t="shared" si="349"/>
        <v>0</v>
      </c>
      <c r="BI481" s="51" t="str">
        <f t="shared" si="350"/>
        <v/>
      </c>
      <c r="BJ481" s="51" t="str">
        <f t="shared" si="351"/>
        <v/>
      </c>
      <c r="BK481" s="51" t="b">
        <f t="shared" si="352"/>
        <v>0</v>
      </c>
      <c r="BL481" s="192"/>
    </row>
    <row r="482" spans="1:64" ht="13.5" thickBot="1" x14ac:dyDescent="0.25">
      <c r="A482" s="185" t="s">
        <v>1159</v>
      </c>
      <c r="B482" s="194" t="s">
        <v>695</v>
      </c>
      <c r="C482" s="194" t="s">
        <v>695</v>
      </c>
      <c r="D482" s="194" t="s">
        <v>695</v>
      </c>
      <c r="E482" s="193" t="s">
        <v>694</v>
      </c>
      <c r="F482" s="160" t="s">
        <v>20</v>
      </c>
      <c r="G482" s="161"/>
      <c r="H482" s="186" t="str">
        <f t="shared" si="310"/>
        <v>N/A</v>
      </c>
      <c r="I482" s="186" t="b">
        <f t="shared" si="311"/>
        <v>1</v>
      </c>
      <c r="J482" s="186" t="str">
        <f t="shared" si="312"/>
        <v>N/A</v>
      </c>
      <c r="K482" s="186" t="b">
        <f t="shared" si="313"/>
        <v>1</v>
      </c>
      <c r="L482" s="186" t="str">
        <f t="shared" si="314"/>
        <v>N/A</v>
      </c>
      <c r="M482" s="186" t="b">
        <f t="shared" si="315"/>
        <v>1</v>
      </c>
      <c r="N482" s="186" t="str">
        <f t="shared" si="316"/>
        <v>Used?</v>
      </c>
      <c r="O482" s="186" t="b">
        <f t="shared" si="317"/>
        <v>0</v>
      </c>
      <c r="P482" s="26" t="s">
        <v>696</v>
      </c>
      <c r="Q482" s="160" t="s">
        <v>20</v>
      </c>
      <c r="R482" s="160" t="s">
        <v>20</v>
      </c>
      <c r="S482" s="26" t="s">
        <v>697</v>
      </c>
      <c r="T482" s="165" t="str">
        <f t="shared" si="318"/>
        <v>Not Used</v>
      </c>
      <c r="U482" s="162"/>
      <c r="V482" s="55"/>
      <c r="W482" s="51" t="b">
        <f t="shared" si="319"/>
        <v>1</v>
      </c>
      <c r="X482" s="51" t="str">
        <f t="shared" si="320"/>
        <v>Not Used</v>
      </c>
      <c r="Y482" s="51" t="str">
        <f t="shared" si="321"/>
        <v>Not Used</v>
      </c>
      <c r="Z482" s="51" t="str">
        <f t="shared" si="322"/>
        <v>Not Used</v>
      </c>
      <c r="AA482" s="51" t="str">
        <f t="shared" si="322"/>
        <v>Not Used</v>
      </c>
      <c r="AB482" s="51" t="str">
        <f t="shared" si="323"/>
        <v>Not Used</v>
      </c>
      <c r="AC482" s="51" t="b">
        <f t="shared" si="324"/>
        <v>1</v>
      </c>
      <c r="AD482" s="51">
        <f>COUNTIF($X$5:$X$482, "Not Used")</f>
        <v>478</v>
      </c>
      <c r="AE482" s="51">
        <f>COUNTIF($X$5:$X$482, "TRUE")</f>
        <v>0</v>
      </c>
      <c r="AF482" s="51" t="b">
        <f t="shared" si="325"/>
        <v>1</v>
      </c>
      <c r="AI482" s="51" t="b">
        <f t="shared" si="326"/>
        <v>0</v>
      </c>
      <c r="AJ482" s="51" t="b">
        <f t="shared" si="327"/>
        <v>0</v>
      </c>
      <c r="AK482" s="51" t="b">
        <f t="shared" si="328"/>
        <v>0</v>
      </c>
      <c r="AL482" s="51" t="b">
        <f t="shared" si="329"/>
        <v>0</v>
      </c>
      <c r="AM482" s="51" t="b">
        <f t="shared" si="330"/>
        <v>0</v>
      </c>
      <c r="AN482" s="51"/>
      <c r="AO482" s="51" t="b">
        <f t="shared" si="331"/>
        <v>0</v>
      </c>
      <c r="AP482" s="51" t="str">
        <f t="shared" si="353"/>
        <v>Not in MMS</v>
      </c>
      <c r="AQ482" s="51" t="b">
        <f t="shared" si="332"/>
        <v>0</v>
      </c>
      <c r="AR482" s="51" t="b">
        <f t="shared" si="333"/>
        <v>0</v>
      </c>
      <c r="AS482" s="51" t="str">
        <f t="shared" si="334"/>
        <v/>
      </c>
      <c r="AT482" s="51" t="str">
        <f t="shared" si="335"/>
        <v/>
      </c>
      <c r="AU482" s="51" t="str">
        <f t="shared" si="336"/>
        <v/>
      </c>
      <c r="AV482" s="51" t="str">
        <f t="shared" si="337"/>
        <v/>
      </c>
      <c r="AW482" s="51" t="str">
        <f t="shared" si="338"/>
        <v/>
      </c>
      <c r="AX482" s="51" t="str">
        <f t="shared" si="339"/>
        <v/>
      </c>
      <c r="AY482" s="51" t="str">
        <f t="shared" si="340"/>
        <v/>
      </c>
      <c r="AZ482" s="51" t="str">
        <f t="shared" si="341"/>
        <v/>
      </c>
      <c r="BA482" s="51" t="str">
        <f t="shared" si="342"/>
        <v/>
      </c>
      <c r="BB482" s="51" t="str">
        <f t="shared" si="343"/>
        <v/>
      </c>
      <c r="BC482" s="51" t="str">
        <f t="shared" si="344"/>
        <v/>
      </c>
      <c r="BD482" s="51" t="str">
        <f t="shared" si="345"/>
        <v/>
      </c>
      <c r="BE482" s="51" t="str">
        <f t="shared" si="346"/>
        <v/>
      </c>
      <c r="BF482" s="51" t="str">
        <f t="shared" si="347"/>
        <v/>
      </c>
      <c r="BG482" s="51" t="str">
        <f t="shared" si="348"/>
        <v/>
      </c>
      <c r="BH482" s="51" t="b">
        <f t="shared" si="349"/>
        <v>0</v>
      </c>
      <c r="BI482" s="51" t="str">
        <f t="shared" si="350"/>
        <v/>
      </c>
      <c r="BJ482" s="51" t="str">
        <f t="shared" si="351"/>
        <v/>
      </c>
      <c r="BK482" s="51" t="b">
        <f t="shared" si="352"/>
        <v>0</v>
      </c>
      <c r="BL482" s="192"/>
    </row>
    <row r="483" spans="1:64" ht="13.5" thickBot="1" x14ac:dyDescent="0.25">
      <c r="A483" s="185" t="s">
        <v>1160</v>
      </c>
      <c r="B483" s="194" t="s">
        <v>695</v>
      </c>
      <c r="C483" s="194" t="s">
        <v>695</v>
      </c>
      <c r="D483" s="194" t="s">
        <v>695</v>
      </c>
      <c r="E483" s="193" t="s">
        <v>694</v>
      </c>
      <c r="F483" s="160" t="s">
        <v>20</v>
      </c>
      <c r="G483" s="161"/>
      <c r="H483" s="186" t="str">
        <f t="shared" si="310"/>
        <v>N/A</v>
      </c>
      <c r="I483" s="186" t="b">
        <f t="shared" si="311"/>
        <v>1</v>
      </c>
      <c r="J483" s="186" t="str">
        <f t="shared" si="312"/>
        <v>N/A</v>
      </c>
      <c r="K483" s="186" t="b">
        <f t="shared" si="313"/>
        <v>1</v>
      </c>
      <c r="L483" s="186" t="str">
        <f t="shared" si="314"/>
        <v>N/A</v>
      </c>
      <c r="M483" s="186" t="b">
        <f t="shared" si="315"/>
        <v>1</v>
      </c>
      <c r="N483" s="186" t="str">
        <f t="shared" si="316"/>
        <v>Used?</v>
      </c>
      <c r="O483" s="186" t="b">
        <f t="shared" si="317"/>
        <v>0</v>
      </c>
      <c r="P483" s="26" t="s">
        <v>696</v>
      </c>
      <c r="Q483" s="160" t="s">
        <v>20</v>
      </c>
      <c r="R483" s="160" t="s">
        <v>20</v>
      </c>
      <c r="S483" s="26" t="s">
        <v>697</v>
      </c>
      <c r="T483" s="165" t="str">
        <f t="shared" si="318"/>
        <v>Not Used</v>
      </c>
      <c r="U483" s="162"/>
      <c r="V483" s="55"/>
      <c r="W483" s="51" t="b">
        <f t="shared" si="319"/>
        <v>1</v>
      </c>
      <c r="X483" s="51" t="str">
        <f t="shared" si="320"/>
        <v>Not Used</v>
      </c>
      <c r="Y483" s="51" t="str">
        <f t="shared" si="321"/>
        <v>Not Used</v>
      </c>
      <c r="Z483" s="51" t="str">
        <f t="shared" si="322"/>
        <v>Not Used</v>
      </c>
      <c r="AA483" s="51" t="str">
        <f t="shared" si="322"/>
        <v>Not Used</v>
      </c>
      <c r="AB483" s="51" t="str">
        <f t="shared" si="323"/>
        <v>Not Used</v>
      </c>
      <c r="AC483" s="51" t="b">
        <f t="shared" si="324"/>
        <v>1</v>
      </c>
      <c r="AD483" s="51">
        <f>COUNTIF($X$5:$X$483, "Not Used")</f>
        <v>479</v>
      </c>
      <c r="AE483" s="51">
        <f>COUNTIF($X$5:$X$483, "TRUE")</f>
        <v>0</v>
      </c>
      <c r="AF483" s="51" t="b">
        <f t="shared" si="325"/>
        <v>1</v>
      </c>
      <c r="AI483" s="51" t="b">
        <f t="shared" si="326"/>
        <v>0</v>
      </c>
      <c r="AJ483" s="51" t="b">
        <f t="shared" si="327"/>
        <v>0</v>
      </c>
      <c r="AK483" s="51" t="b">
        <f t="shared" si="328"/>
        <v>0</v>
      </c>
      <c r="AL483" s="51" t="b">
        <f t="shared" si="329"/>
        <v>0</v>
      </c>
      <c r="AM483" s="51" t="b">
        <f t="shared" si="330"/>
        <v>0</v>
      </c>
      <c r="AN483" s="51"/>
      <c r="AO483" s="51" t="b">
        <f t="shared" si="331"/>
        <v>0</v>
      </c>
      <c r="AP483" s="51" t="str">
        <f t="shared" si="353"/>
        <v>Not in MMS</v>
      </c>
      <c r="AQ483" s="51" t="b">
        <f t="shared" si="332"/>
        <v>0</v>
      </c>
      <c r="AR483" s="51" t="b">
        <f t="shared" si="333"/>
        <v>0</v>
      </c>
      <c r="AS483" s="51" t="str">
        <f t="shared" si="334"/>
        <v/>
      </c>
      <c r="AT483" s="51" t="str">
        <f t="shared" si="335"/>
        <v/>
      </c>
      <c r="AU483" s="51" t="str">
        <f t="shared" si="336"/>
        <v/>
      </c>
      <c r="AV483" s="51" t="str">
        <f t="shared" si="337"/>
        <v/>
      </c>
      <c r="AW483" s="51" t="str">
        <f t="shared" si="338"/>
        <v/>
      </c>
      <c r="AX483" s="51" t="str">
        <f t="shared" si="339"/>
        <v/>
      </c>
      <c r="AY483" s="51" t="str">
        <f t="shared" si="340"/>
        <v/>
      </c>
      <c r="AZ483" s="51" t="str">
        <f t="shared" si="341"/>
        <v/>
      </c>
      <c r="BA483" s="51" t="str">
        <f t="shared" si="342"/>
        <v/>
      </c>
      <c r="BB483" s="51" t="str">
        <f t="shared" si="343"/>
        <v/>
      </c>
      <c r="BC483" s="51" t="str">
        <f t="shared" si="344"/>
        <v/>
      </c>
      <c r="BD483" s="51" t="str">
        <f t="shared" si="345"/>
        <v/>
      </c>
      <c r="BE483" s="51" t="str">
        <f t="shared" si="346"/>
        <v/>
      </c>
      <c r="BF483" s="51" t="str">
        <f t="shared" si="347"/>
        <v/>
      </c>
      <c r="BG483" s="51" t="str">
        <f t="shared" si="348"/>
        <v/>
      </c>
      <c r="BH483" s="51" t="b">
        <f t="shared" si="349"/>
        <v>0</v>
      </c>
      <c r="BI483" s="51" t="str">
        <f t="shared" si="350"/>
        <v/>
      </c>
      <c r="BJ483" s="51" t="str">
        <f t="shared" si="351"/>
        <v/>
      </c>
      <c r="BK483" s="51" t="b">
        <f t="shared" si="352"/>
        <v>0</v>
      </c>
      <c r="BL483" s="192"/>
    </row>
    <row r="484" spans="1:64" ht="13.5" thickBot="1" x14ac:dyDescent="0.25">
      <c r="A484" s="185" t="s">
        <v>1161</v>
      </c>
      <c r="B484" s="194" t="s">
        <v>695</v>
      </c>
      <c r="C484" s="194" t="s">
        <v>695</v>
      </c>
      <c r="D484" s="194" t="s">
        <v>695</v>
      </c>
      <c r="E484" s="193" t="s">
        <v>694</v>
      </c>
      <c r="F484" s="160" t="s">
        <v>20</v>
      </c>
      <c r="G484" s="161"/>
      <c r="H484" s="186" t="str">
        <f t="shared" si="310"/>
        <v>N/A</v>
      </c>
      <c r="I484" s="186" t="b">
        <f t="shared" si="311"/>
        <v>1</v>
      </c>
      <c r="J484" s="186" t="str">
        <f t="shared" si="312"/>
        <v>N/A</v>
      </c>
      <c r="K484" s="186" t="b">
        <f t="shared" si="313"/>
        <v>1</v>
      </c>
      <c r="L484" s="186" t="str">
        <f t="shared" si="314"/>
        <v>N/A</v>
      </c>
      <c r="M484" s="186" t="b">
        <f t="shared" si="315"/>
        <v>1</v>
      </c>
      <c r="N484" s="186" t="str">
        <f t="shared" si="316"/>
        <v>Used?</v>
      </c>
      <c r="O484" s="186" t="b">
        <f t="shared" si="317"/>
        <v>0</v>
      </c>
      <c r="P484" s="26" t="s">
        <v>696</v>
      </c>
      <c r="Q484" s="160" t="s">
        <v>20</v>
      </c>
      <c r="R484" s="160" t="s">
        <v>20</v>
      </c>
      <c r="S484" s="26" t="s">
        <v>697</v>
      </c>
      <c r="T484" s="165" t="str">
        <f t="shared" si="318"/>
        <v>Not Used</v>
      </c>
      <c r="U484" s="162"/>
      <c r="V484" s="55"/>
      <c r="W484" s="51" t="b">
        <f t="shared" si="319"/>
        <v>1</v>
      </c>
      <c r="X484" s="51" t="str">
        <f t="shared" si="320"/>
        <v>Not Used</v>
      </c>
      <c r="Y484" s="51" t="str">
        <f t="shared" si="321"/>
        <v>Not Used</v>
      </c>
      <c r="Z484" s="51" t="str">
        <f t="shared" si="322"/>
        <v>Not Used</v>
      </c>
      <c r="AA484" s="51" t="str">
        <f t="shared" si="322"/>
        <v>Not Used</v>
      </c>
      <c r="AB484" s="51" t="str">
        <f t="shared" si="323"/>
        <v>Not Used</v>
      </c>
      <c r="AC484" s="51" t="b">
        <f t="shared" si="324"/>
        <v>1</v>
      </c>
      <c r="AD484" s="51">
        <f>COUNTIF($X$5:$X$484, "Not Used")</f>
        <v>480</v>
      </c>
      <c r="AE484" s="51">
        <f>COUNTIF($X$5:$X$484, "TRUE")</f>
        <v>0</v>
      </c>
      <c r="AF484" s="51" t="b">
        <f t="shared" si="325"/>
        <v>1</v>
      </c>
      <c r="AI484" s="51" t="b">
        <f t="shared" si="326"/>
        <v>0</v>
      </c>
      <c r="AJ484" s="51" t="b">
        <f t="shared" si="327"/>
        <v>0</v>
      </c>
      <c r="AK484" s="51" t="b">
        <f t="shared" si="328"/>
        <v>0</v>
      </c>
      <c r="AL484" s="51" t="b">
        <f t="shared" si="329"/>
        <v>0</v>
      </c>
      <c r="AM484" s="51" t="b">
        <f t="shared" si="330"/>
        <v>0</v>
      </c>
      <c r="AN484" s="51"/>
      <c r="AO484" s="51" t="b">
        <f t="shared" si="331"/>
        <v>0</v>
      </c>
      <c r="AP484" s="51" t="str">
        <f t="shared" si="353"/>
        <v>Not in MMS</v>
      </c>
      <c r="AQ484" s="51" t="b">
        <f t="shared" si="332"/>
        <v>0</v>
      </c>
      <c r="AR484" s="51" t="b">
        <f t="shared" si="333"/>
        <v>0</v>
      </c>
      <c r="AS484" s="51" t="str">
        <f t="shared" si="334"/>
        <v/>
      </c>
      <c r="AT484" s="51" t="str">
        <f t="shared" si="335"/>
        <v/>
      </c>
      <c r="AU484" s="51" t="str">
        <f t="shared" si="336"/>
        <v/>
      </c>
      <c r="AV484" s="51" t="str">
        <f t="shared" si="337"/>
        <v/>
      </c>
      <c r="AW484" s="51" t="str">
        <f t="shared" si="338"/>
        <v/>
      </c>
      <c r="AX484" s="51" t="str">
        <f t="shared" si="339"/>
        <v/>
      </c>
      <c r="AY484" s="51" t="str">
        <f t="shared" si="340"/>
        <v/>
      </c>
      <c r="AZ484" s="51" t="str">
        <f t="shared" si="341"/>
        <v/>
      </c>
      <c r="BA484" s="51" t="str">
        <f t="shared" si="342"/>
        <v/>
      </c>
      <c r="BB484" s="51" t="str">
        <f t="shared" si="343"/>
        <v/>
      </c>
      <c r="BC484" s="51" t="str">
        <f t="shared" si="344"/>
        <v/>
      </c>
      <c r="BD484" s="51" t="str">
        <f t="shared" si="345"/>
        <v/>
      </c>
      <c r="BE484" s="51" t="str">
        <f t="shared" si="346"/>
        <v/>
      </c>
      <c r="BF484" s="51" t="str">
        <f t="shared" si="347"/>
        <v/>
      </c>
      <c r="BG484" s="51" t="str">
        <f t="shared" si="348"/>
        <v/>
      </c>
      <c r="BH484" s="51" t="b">
        <f t="shared" si="349"/>
        <v>0</v>
      </c>
      <c r="BI484" s="51" t="str">
        <f t="shared" si="350"/>
        <v/>
      </c>
      <c r="BJ484" s="51" t="str">
        <f t="shared" si="351"/>
        <v/>
      </c>
      <c r="BK484" s="51" t="b">
        <f t="shared" si="352"/>
        <v>0</v>
      </c>
      <c r="BL484" s="192"/>
    </row>
    <row r="485" spans="1:64" ht="13.5" thickBot="1" x14ac:dyDescent="0.25">
      <c r="A485" s="185" t="s">
        <v>1162</v>
      </c>
      <c r="B485" s="194" t="s">
        <v>695</v>
      </c>
      <c r="C485" s="194" t="s">
        <v>695</v>
      </c>
      <c r="D485" s="194" t="s">
        <v>695</v>
      </c>
      <c r="E485" s="193" t="s">
        <v>694</v>
      </c>
      <c r="F485" s="160" t="s">
        <v>20</v>
      </c>
      <c r="G485" s="161"/>
      <c r="H485" s="186" t="str">
        <f t="shared" si="310"/>
        <v>N/A</v>
      </c>
      <c r="I485" s="186" t="b">
        <f t="shared" si="311"/>
        <v>1</v>
      </c>
      <c r="J485" s="186" t="str">
        <f t="shared" si="312"/>
        <v>N/A</v>
      </c>
      <c r="K485" s="186" t="b">
        <f t="shared" si="313"/>
        <v>1</v>
      </c>
      <c r="L485" s="186" t="str">
        <f t="shared" si="314"/>
        <v>N/A</v>
      </c>
      <c r="M485" s="186" t="b">
        <f t="shared" si="315"/>
        <v>1</v>
      </c>
      <c r="N485" s="186" t="str">
        <f t="shared" si="316"/>
        <v>Used?</v>
      </c>
      <c r="O485" s="186" t="b">
        <f t="shared" si="317"/>
        <v>0</v>
      </c>
      <c r="P485" s="26" t="s">
        <v>696</v>
      </c>
      <c r="Q485" s="160" t="s">
        <v>20</v>
      </c>
      <c r="R485" s="160" t="s">
        <v>20</v>
      </c>
      <c r="S485" s="26" t="s">
        <v>697</v>
      </c>
      <c r="T485" s="165" t="str">
        <f t="shared" si="318"/>
        <v>Not Used</v>
      </c>
      <c r="U485" s="162"/>
      <c r="V485" s="55"/>
      <c r="W485" s="51" t="b">
        <f t="shared" si="319"/>
        <v>1</v>
      </c>
      <c r="X485" s="51" t="str">
        <f t="shared" si="320"/>
        <v>Not Used</v>
      </c>
      <c r="Y485" s="51" t="str">
        <f t="shared" si="321"/>
        <v>Not Used</v>
      </c>
      <c r="Z485" s="51" t="str">
        <f t="shared" si="322"/>
        <v>Not Used</v>
      </c>
      <c r="AA485" s="51" t="str">
        <f t="shared" si="322"/>
        <v>Not Used</v>
      </c>
      <c r="AB485" s="51" t="str">
        <f t="shared" si="323"/>
        <v>Not Used</v>
      </c>
      <c r="AC485" s="51" t="b">
        <f t="shared" si="324"/>
        <v>1</v>
      </c>
      <c r="AD485" s="51">
        <f>COUNTIF($X$5:$X$485, "Not Used")</f>
        <v>481</v>
      </c>
      <c r="AE485" s="51">
        <f>COUNTIF($X$5:$X$485, "TRUE")</f>
        <v>0</v>
      </c>
      <c r="AF485" s="51" t="b">
        <f t="shared" si="325"/>
        <v>1</v>
      </c>
      <c r="AI485" s="51" t="b">
        <f t="shared" si="326"/>
        <v>0</v>
      </c>
      <c r="AJ485" s="51" t="b">
        <f t="shared" si="327"/>
        <v>0</v>
      </c>
      <c r="AK485" s="51" t="b">
        <f t="shared" si="328"/>
        <v>0</v>
      </c>
      <c r="AL485" s="51" t="b">
        <f t="shared" si="329"/>
        <v>0</v>
      </c>
      <c r="AM485" s="51" t="b">
        <f t="shared" si="330"/>
        <v>0</v>
      </c>
      <c r="AN485" s="51"/>
      <c r="AO485" s="51" t="b">
        <f t="shared" si="331"/>
        <v>0</v>
      </c>
      <c r="AP485" s="51" t="str">
        <f t="shared" si="353"/>
        <v>Not in MMS</v>
      </c>
      <c r="AQ485" s="51" t="b">
        <f t="shared" si="332"/>
        <v>0</v>
      </c>
      <c r="AR485" s="51" t="b">
        <f t="shared" si="333"/>
        <v>0</v>
      </c>
      <c r="AS485" s="51" t="str">
        <f t="shared" si="334"/>
        <v/>
      </c>
      <c r="AT485" s="51" t="str">
        <f t="shared" si="335"/>
        <v/>
      </c>
      <c r="AU485" s="51" t="str">
        <f t="shared" si="336"/>
        <v/>
      </c>
      <c r="AV485" s="51" t="str">
        <f t="shared" si="337"/>
        <v/>
      </c>
      <c r="AW485" s="51" t="str">
        <f t="shared" si="338"/>
        <v/>
      </c>
      <c r="AX485" s="51" t="str">
        <f t="shared" si="339"/>
        <v/>
      </c>
      <c r="AY485" s="51" t="str">
        <f t="shared" si="340"/>
        <v/>
      </c>
      <c r="AZ485" s="51" t="str">
        <f t="shared" si="341"/>
        <v/>
      </c>
      <c r="BA485" s="51" t="str">
        <f t="shared" si="342"/>
        <v/>
      </c>
      <c r="BB485" s="51" t="str">
        <f t="shared" si="343"/>
        <v/>
      </c>
      <c r="BC485" s="51" t="str">
        <f t="shared" si="344"/>
        <v/>
      </c>
      <c r="BD485" s="51" t="str">
        <f t="shared" si="345"/>
        <v/>
      </c>
      <c r="BE485" s="51" t="str">
        <f t="shared" si="346"/>
        <v/>
      </c>
      <c r="BF485" s="51" t="str">
        <f t="shared" si="347"/>
        <v/>
      </c>
      <c r="BG485" s="51" t="str">
        <f t="shared" si="348"/>
        <v/>
      </c>
      <c r="BH485" s="51" t="b">
        <f t="shared" si="349"/>
        <v>0</v>
      </c>
      <c r="BI485" s="51" t="str">
        <f t="shared" si="350"/>
        <v/>
      </c>
      <c r="BJ485" s="51" t="str">
        <f t="shared" si="351"/>
        <v/>
      </c>
      <c r="BK485" s="51" t="b">
        <f t="shared" si="352"/>
        <v>0</v>
      </c>
      <c r="BL485" s="192"/>
    </row>
    <row r="486" spans="1:64" ht="13.5" thickBot="1" x14ac:dyDescent="0.25">
      <c r="A486" s="185" t="s">
        <v>1163</v>
      </c>
      <c r="B486" s="194" t="s">
        <v>695</v>
      </c>
      <c r="C486" s="194" t="s">
        <v>695</v>
      </c>
      <c r="D486" s="194" t="s">
        <v>695</v>
      </c>
      <c r="E486" s="193" t="s">
        <v>694</v>
      </c>
      <c r="F486" s="160" t="s">
        <v>20</v>
      </c>
      <c r="G486" s="161"/>
      <c r="H486" s="186" t="str">
        <f t="shared" si="310"/>
        <v>N/A</v>
      </c>
      <c r="I486" s="186" t="b">
        <f t="shared" si="311"/>
        <v>1</v>
      </c>
      <c r="J486" s="186" t="str">
        <f t="shared" si="312"/>
        <v>N/A</v>
      </c>
      <c r="K486" s="186" t="b">
        <f t="shared" si="313"/>
        <v>1</v>
      </c>
      <c r="L486" s="186" t="str">
        <f t="shared" si="314"/>
        <v>N/A</v>
      </c>
      <c r="M486" s="186" t="b">
        <f t="shared" si="315"/>
        <v>1</v>
      </c>
      <c r="N486" s="186" t="str">
        <f t="shared" si="316"/>
        <v>Used?</v>
      </c>
      <c r="O486" s="186" t="b">
        <f t="shared" si="317"/>
        <v>0</v>
      </c>
      <c r="P486" s="26" t="s">
        <v>696</v>
      </c>
      <c r="Q486" s="160" t="s">
        <v>20</v>
      </c>
      <c r="R486" s="160" t="s">
        <v>20</v>
      </c>
      <c r="S486" s="26" t="s">
        <v>697</v>
      </c>
      <c r="T486" s="165" t="str">
        <f t="shared" si="318"/>
        <v>Not Used</v>
      </c>
      <c r="U486" s="162"/>
      <c r="V486" s="55"/>
      <c r="W486" s="51" t="b">
        <f t="shared" si="319"/>
        <v>1</v>
      </c>
      <c r="X486" s="51" t="str">
        <f t="shared" si="320"/>
        <v>Not Used</v>
      </c>
      <c r="Y486" s="51" t="str">
        <f t="shared" si="321"/>
        <v>Not Used</v>
      </c>
      <c r="Z486" s="51" t="str">
        <f t="shared" si="322"/>
        <v>Not Used</v>
      </c>
      <c r="AA486" s="51" t="str">
        <f t="shared" si="322"/>
        <v>Not Used</v>
      </c>
      <c r="AB486" s="51" t="str">
        <f t="shared" si="323"/>
        <v>Not Used</v>
      </c>
      <c r="AC486" s="51" t="b">
        <f t="shared" si="324"/>
        <v>1</v>
      </c>
      <c r="AD486" s="51">
        <f>COUNTIF($X$5:$X$486, "Not Used")</f>
        <v>482</v>
      </c>
      <c r="AE486" s="51">
        <f>COUNTIF($X$5:$X$486, "TRUE")</f>
        <v>0</v>
      </c>
      <c r="AF486" s="51" t="b">
        <f t="shared" si="325"/>
        <v>1</v>
      </c>
      <c r="AI486" s="51" t="b">
        <f t="shared" si="326"/>
        <v>0</v>
      </c>
      <c r="AJ486" s="51" t="b">
        <f t="shared" si="327"/>
        <v>0</v>
      </c>
      <c r="AK486" s="51" t="b">
        <f t="shared" si="328"/>
        <v>0</v>
      </c>
      <c r="AL486" s="51" t="b">
        <f t="shared" si="329"/>
        <v>0</v>
      </c>
      <c r="AM486" s="51" t="b">
        <f t="shared" si="330"/>
        <v>0</v>
      </c>
      <c r="AN486" s="51"/>
      <c r="AO486" s="51" t="b">
        <f t="shared" si="331"/>
        <v>0</v>
      </c>
      <c r="AP486" s="51" t="str">
        <f t="shared" si="353"/>
        <v>Not in MMS</v>
      </c>
      <c r="AQ486" s="51" t="b">
        <f t="shared" si="332"/>
        <v>0</v>
      </c>
      <c r="AR486" s="51" t="b">
        <f t="shared" si="333"/>
        <v>0</v>
      </c>
      <c r="AS486" s="51" t="str">
        <f t="shared" si="334"/>
        <v/>
      </c>
      <c r="AT486" s="51" t="str">
        <f t="shared" si="335"/>
        <v/>
      </c>
      <c r="AU486" s="51" t="str">
        <f t="shared" si="336"/>
        <v/>
      </c>
      <c r="AV486" s="51" t="str">
        <f t="shared" si="337"/>
        <v/>
      </c>
      <c r="AW486" s="51" t="str">
        <f t="shared" si="338"/>
        <v/>
      </c>
      <c r="AX486" s="51" t="str">
        <f t="shared" si="339"/>
        <v/>
      </c>
      <c r="AY486" s="51" t="str">
        <f t="shared" si="340"/>
        <v/>
      </c>
      <c r="AZ486" s="51" t="str">
        <f t="shared" si="341"/>
        <v/>
      </c>
      <c r="BA486" s="51" t="str">
        <f t="shared" si="342"/>
        <v/>
      </c>
      <c r="BB486" s="51" t="str">
        <f t="shared" si="343"/>
        <v/>
      </c>
      <c r="BC486" s="51" t="str">
        <f t="shared" si="344"/>
        <v/>
      </c>
      <c r="BD486" s="51" t="str">
        <f t="shared" si="345"/>
        <v/>
      </c>
      <c r="BE486" s="51" t="str">
        <f t="shared" si="346"/>
        <v/>
      </c>
      <c r="BF486" s="51" t="str">
        <f t="shared" si="347"/>
        <v/>
      </c>
      <c r="BG486" s="51" t="str">
        <f t="shared" si="348"/>
        <v/>
      </c>
      <c r="BH486" s="51" t="b">
        <f t="shared" si="349"/>
        <v>0</v>
      </c>
      <c r="BI486" s="51" t="str">
        <f t="shared" si="350"/>
        <v/>
      </c>
      <c r="BJ486" s="51" t="str">
        <f t="shared" si="351"/>
        <v/>
      </c>
      <c r="BK486" s="51" t="b">
        <f t="shared" si="352"/>
        <v>0</v>
      </c>
      <c r="BL486" s="192"/>
    </row>
    <row r="487" spans="1:64" ht="13.5" thickBot="1" x14ac:dyDescent="0.25">
      <c r="A487" s="185" t="s">
        <v>1164</v>
      </c>
      <c r="B487" s="194" t="s">
        <v>695</v>
      </c>
      <c r="C487" s="194" t="s">
        <v>695</v>
      </c>
      <c r="D487" s="194" t="s">
        <v>695</v>
      </c>
      <c r="E487" s="193" t="s">
        <v>694</v>
      </c>
      <c r="F487" s="160" t="s">
        <v>20</v>
      </c>
      <c r="G487" s="161"/>
      <c r="H487" s="186" t="str">
        <f t="shared" si="310"/>
        <v>N/A</v>
      </c>
      <c r="I487" s="186" t="b">
        <f t="shared" si="311"/>
        <v>1</v>
      </c>
      <c r="J487" s="186" t="str">
        <f t="shared" si="312"/>
        <v>N/A</v>
      </c>
      <c r="K487" s="186" t="b">
        <f t="shared" si="313"/>
        <v>1</v>
      </c>
      <c r="L487" s="186" t="str">
        <f t="shared" si="314"/>
        <v>N/A</v>
      </c>
      <c r="M487" s="186" t="b">
        <f t="shared" si="315"/>
        <v>1</v>
      </c>
      <c r="N487" s="186" t="str">
        <f t="shared" si="316"/>
        <v>Used?</v>
      </c>
      <c r="O487" s="186" t="b">
        <f t="shared" si="317"/>
        <v>0</v>
      </c>
      <c r="P487" s="26" t="s">
        <v>696</v>
      </c>
      <c r="Q487" s="160" t="s">
        <v>20</v>
      </c>
      <c r="R487" s="160" t="s">
        <v>20</v>
      </c>
      <c r="S487" s="26" t="s">
        <v>697</v>
      </c>
      <c r="T487" s="165" t="str">
        <f t="shared" si="318"/>
        <v>Not Used</v>
      </c>
      <c r="U487" s="162"/>
      <c r="V487" s="55"/>
      <c r="W487" s="51" t="b">
        <f t="shared" si="319"/>
        <v>1</v>
      </c>
      <c r="X487" s="51" t="str">
        <f t="shared" si="320"/>
        <v>Not Used</v>
      </c>
      <c r="Y487" s="51" t="str">
        <f t="shared" si="321"/>
        <v>Not Used</v>
      </c>
      <c r="Z487" s="51" t="str">
        <f t="shared" si="322"/>
        <v>Not Used</v>
      </c>
      <c r="AA487" s="51" t="str">
        <f t="shared" si="322"/>
        <v>Not Used</v>
      </c>
      <c r="AB487" s="51" t="str">
        <f t="shared" si="323"/>
        <v>Not Used</v>
      </c>
      <c r="AC487" s="51" t="b">
        <f t="shared" si="324"/>
        <v>1</v>
      </c>
      <c r="AD487" s="51">
        <f>COUNTIF($X$5:$X$487, "Not Used")</f>
        <v>483</v>
      </c>
      <c r="AE487" s="51">
        <f>COUNTIF($X$5:$X$487, "TRUE")</f>
        <v>0</v>
      </c>
      <c r="AF487" s="51" t="b">
        <f t="shared" si="325"/>
        <v>1</v>
      </c>
      <c r="AI487" s="51" t="b">
        <f t="shared" si="326"/>
        <v>0</v>
      </c>
      <c r="AJ487" s="51" t="b">
        <f t="shared" si="327"/>
        <v>0</v>
      </c>
      <c r="AK487" s="51" t="b">
        <f t="shared" si="328"/>
        <v>0</v>
      </c>
      <c r="AL487" s="51" t="b">
        <f t="shared" si="329"/>
        <v>0</v>
      </c>
      <c r="AM487" s="51" t="b">
        <f t="shared" si="330"/>
        <v>0</v>
      </c>
      <c r="AN487" s="51"/>
      <c r="AO487" s="51" t="b">
        <f t="shared" si="331"/>
        <v>0</v>
      </c>
      <c r="AP487" s="51" t="str">
        <f t="shared" si="353"/>
        <v>Not in MMS</v>
      </c>
      <c r="AQ487" s="51" t="b">
        <f t="shared" si="332"/>
        <v>0</v>
      </c>
      <c r="AR487" s="51" t="b">
        <f t="shared" si="333"/>
        <v>0</v>
      </c>
      <c r="AS487" s="51" t="str">
        <f t="shared" si="334"/>
        <v/>
      </c>
      <c r="AT487" s="51" t="str">
        <f t="shared" si="335"/>
        <v/>
      </c>
      <c r="AU487" s="51" t="str">
        <f t="shared" si="336"/>
        <v/>
      </c>
      <c r="AV487" s="51" t="str">
        <f t="shared" si="337"/>
        <v/>
      </c>
      <c r="AW487" s="51" t="str">
        <f t="shared" si="338"/>
        <v/>
      </c>
      <c r="AX487" s="51" t="str">
        <f t="shared" si="339"/>
        <v/>
      </c>
      <c r="AY487" s="51" t="str">
        <f t="shared" si="340"/>
        <v/>
      </c>
      <c r="AZ487" s="51" t="str">
        <f t="shared" si="341"/>
        <v/>
      </c>
      <c r="BA487" s="51" t="str">
        <f t="shared" si="342"/>
        <v/>
      </c>
      <c r="BB487" s="51" t="str">
        <f t="shared" si="343"/>
        <v/>
      </c>
      <c r="BC487" s="51" t="str">
        <f t="shared" si="344"/>
        <v/>
      </c>
      <c r="BD487" s="51" t="str">
        <f t="shared" si="345"/>
        <v/>
      </c>
      <c r="BE487" s="51" t="str">
        <f t="shared" si="346"/>
        <v/>
      </c>
      <c r="BF487" s="51" t="str">
        <f t="shared" si="347"/>
        <v/>
      </c>
      <c r="BG487" s="51" t="str">
        <f t="shared" si="348"/>
        <v/>
      </c>
      <c r="BH487" s="51" t="b">
        <f t="shared" si="349"/>
        <v>0</v>
      </c>
      <c r="BI487" s="51" t="str">
        <f t="shared" si="350"/>
        <v/>
      </c>
      <c r="BJ487" s="51" t="str">
        <f t="shared" si="351"/>
        <v/>
      </c>
      <c r="BK487" s="51" t="b">
        <f t="shared" si="352"/>
        <v>0</v>
      </c>
      <c r="BL487" s="192"/>
    </row>
    <row r="488" spans="1:64" ht="13.5" thickBot="1" x14ac:dyDescent="0.25">
      <c r="A488" s="185" t="s">
        <v>1165</v>
      </c>
      <c r="B488" s="194" t="s">
        <v>695</v>
      </c>
      <c r="C488" s="194" t="s">
        <v>695</v>
      </c>
      <c r="D488" s="194" t="s">
        <v>695</v>
      </c>
      <c r="E488" s="193" t="s">
        <v>694</v>
      </c>
      <c r="F488" s="160" t="s">
        <v>20</v>
      </c>
      <c r="G488" s="161"/>
      <c r="H488" s="186" t="str">
        <f t="shared" si="310"/>
        <v>N/A</v>
      </c>
      <c r="I488" s="186" t="b">
        <f t="shared" si="311"/>
        <v>1</v>
      </c>
      <c r="J488" s="186" t="str">
        <f t="shared" si="312"/>
        <v>N/A</v>
      </c>
      <c r="K488" s="186" t="b">
        <f t="shared" si="313"/>
        <v>1</v>
      </c>
      <c r="L488" s="186" t="str">
        <f t="shared" si="314"/>
        <v>N/A</v>
      </c>
      <c r="M488" s="186" t="b">
        <f t="shared" si="315"/>
        <v>1</v>
      </c>
      <c r="N488" s="186" t="str">
        <f t="shared" si="316"/>
        <v>Used?</v>
      </c>
      <c r="O488" s="186" t="b">
        <f t="shared" si="317"/>
        <v>0</v>
      </c>
      <c r="P488" s="26" t="s">
        <v>696</v>
      </c>
      <c r="Q488" s="160" t="s">
        <v>20</v>
      </c>
      <c r="R488" s="160" t="s">
        <v>20</v>
      </c>
      <c r="S488" s="26" t="s">
        <v>697</v>
      </c>
      <c r="T488" s="165" t="str">
        <f t="shared" si="318"/>
        <v>Not Used</v>
      </c>
      <c r="U488" s="162"/>
      <c r="V488" s="55"/>
      <c r="W488" s="51" t="b">
        <f t="shared" si="319"/>
        <v>1</v>
      </c>
      <c r="X488" s="51" t="str">
        <f t="shared" si="320"/>
        <v>Not Used</v>
      </c>
      <c r="Y488" s="51" t="str">
        <f t="shared" si="321"/>
        <v>Not Used</v>
      </c>
      <c r="Z488" s="51" t="str">
        <f t="shared" si="322"/>
        <v>Not Used</v>
      </c>
      <c r="AA488" s="51" t="str">
        <f t="shared" si="322"/>
        <v>Not Used</v>
      </c>
      <c r="AB488" s="51" t="str">
        <f t="shared" si="323"/>
        <v>Not Used</v>
      </c>
      <c r="AC488" s="51" t="b">
        <f t="shared" si="324"/>
        <v>1</v>
      </c>
      <c r="AD488" s="51">
        <f>COUNTIF($X$5:$X$488, "Not Used")</f>
        <v>484</v>
      </c>
      <c r="AE488" s="51">
        <f>COUNTIF($X$5:$X$488, "TRUE")</f>
        <v>0</v>
      </c>
      <c r="AF488" s="51" t="b">
        <f t="shared" si="325"/>
        <v>1</v>
      </c>
      <c r="AI488" s="51" t="b">
        <f t="shared" si="326"/>
        <v>0</v>
      </c>
      <c r="AJ488" s="51" t="b">
        <f t="shared" si="327"/>
        <v>0</v>
      </c>
      <c r="AK488" s="51" t="b">
        <f t="shared" si="328"/>
        <v>0</v>
      </c>
      <c r="AL488" s="51" t="b">
        <f t="shared" si="329"/>
        <v>0</v>
      </c>
      <c r="AM488" s="51" t="b">
        <f t="shared" si="330"/>
        <v>0</v>
      </c>
      <c r="AN488" s="51"/>
      <c r="AO488" s="51" t="b">
        <f t="shared" si="331"/>
        <v>0</v>
      </c>
      <c r="AP488" s="51" t="str">
        <f t="shared" si="353"/>
        <v>Not in MMS</v>
      </c>
      <c r="AQ488" s="51" t="b">
        <f t="shared" si="332"/>
        <v>0</v>
      </c>
      <c r="AR488" s="51" t="b">
        <f t="shared" si="333"/>
        <v>0</v>
      </c>
      <c r="AS488" s="51" t="str">
        <f t="shared" si="334"/>
        <v/>
      </c>
      <c r="AT488" s="51" t="str">
        <f t="shared" si="335"/>
        <v/>
      </c>
      <c r="AU488" s="51" t="str">
        <f t="shared" si="336"/>
        <v/>
      </c>
      <c r="AV488" s="51" t="str">
        <f t="shared" si="337"/>
        <v/>
      </c>
      <c r="AW488" s="51" t="str">
        <f t="shared" si="338"/>
        <v/>
      </c>
      <c r="AX488" s="51" t="str">
        <f t="shared" si="339"/>
        <v/>
      </c>
      <c r="AY488" s="51" t="str">
        <f t="shared" si="340"/>
        <v/>
      </c>
      <c r="AZ488" s="51" t="str">
        <f t="shared" si="341"/>
        <v/>
      </c>
      <c r="BA488" s="51" t="str">
        <f t="shared" si="342"/>
        <v/>
      </c>
      <c r="BB488" s="51" t="str">
        <f t="shared" si="343"/>
        <v/>
      </c>
      <c r="BC488" s="51" t="str">
        <f t="shared" si="344"/>
        <v/>
      </c>
      <c r="BD488" s="51" t="str">
        <f t="shared" si="345"/>
        <v/>
      </c>
      <c r="BE488" s="51" t="str">
        <f t="shared" si="346"/>
        <v/>
      </c>
      <c r="BF488" s="51" t="str">
        <f t="shared" si="347"/>
        <v/>
      </c>
      <c r="BG488" s="51" t="str">
        <f t="shared" si="348"/>
        <v/>
      </c>
      <c r="BH488" s="51" t="b">
        <f t="shared" si="349"/>
        <v>0</v>
      </c>
      <c r="BI488" s="51" t="str">
        <f t="shared" si="350"/>
        <v/>
      </c>
      <c r="BJ488" s="51" t="str">
        <f t="shared" si="351"/>
        <v/>
      </c>
      <c r="BK488" s="51" t="b">
        <f t="shared" si="352"/>
        <v>0</v>
      </c>
      <c r="BL488" s="192"/>
    </row>
    <row r="489" spans="1:64" ht="13.5" thickBot="1" x14ac:dyDescent="0.25">
      <c r="A489" s="185" t="s">
        <v>1166</v>
      </c>
      <c r="B489" s="194" t="s">
        <v>695</v>
      </c>
      <c r="C489" s="194" t="s">
        <v>695</v>
      </c>
      <c r="D489" s="194" t="s">
        <v>695</v>
      </c>
      <c r="E489" s="193" t="s">
        <v>694</v>
      </c>
      <c r="F489" s="160" t="s">
        <v>20</v>
      </c>
      <c r="G489" s="161"/>
      <c r="H489" s="186" t="str">
        <f t="shared" si="310"/>
        <v>N/A</v>
      </c>
      <c r="I489" s="186" t="b">
        <f t="shared" si="311"/>
        <v>1</v>
      </c>
      <c r="J489" s="186" t="str">
        <f t="shared" si="312"/>
        <v>N/A</v>
      </c>
      <c r="K489" s="186" t="b">
        <f t="shared" si="313"/>
        <v>1</v>
      </c>
      <c r="L489" s="186" t="str">
        <f t="shared" si="314"/>
        <v>N/A</v>
      </c>
      <c r="M489" s="186" t="b">
        <f t="shared" si="315"/>
        <v>1</v>
      </c>
      <c r="N489" s="186" t="str">
        <f t="shared" si="316"/>
        <v>Used?</v>
      </c>
      <c r="O489" s="186" t="b">
        <f t="shared" si="317"/>
        <v>0</v>
      </c>
      <c r="P489" s="26" t="s">
        <v>696</v>
      </c>
      <c r="Q489" s="160" t="s">
        <v>20</v>
      </c>
      <c r="R489" s="160" t="s">
        <v>20</v>
      </c>
      <c r="S489" s="26" t="s">
        <v>697</v>
      </c>
      <c r="T489" s="165" t="str">
        <f t="shared" si="318"/>
        <v>Not Used</v>
      </c>
      <c r="U489" s="162"/>
      <c r="V489" s="55"/>
      <c r="W489" s="51" t="b">
        <f t="shared" si="319"/>
        <v>1</v>
      </c>
      <c r="X489" s="51" t="str">
        <f t="shared" si="320"/>
        <v>Not Used</v>
      </c>
      <c r="Y489" s="51" t="str">
        <f t="shared" si="321"/>
        <v>Not Used</v>
      </c>
      <c r="Z489" s="51" t="str">
        <f t="shared" si="322"/>
        <v>Not Used</v>
      </c>
      <c r="AA489" s="51" t="str">
        <f t="shared" si="322"/>
        <v>Not Used</v>
      </c>
      <c r="AB489" s="51" t="str">
        <f t="shared" si="323"/>
        <v>Not Used</v>
      </c>
      <c r="AC489" s="51" t="b">
        <f t="shared" si="324"/>
        <v>1</v>
      </c>
      <c r="AD489" s="51">
        <f>COUNTIF($X$5:$X$489, "Not Used")</f>
        <v>485</v>
      </c>
      <c r="AE489" s="51">
        <f>COUNTIF($X$5:$X$489, "TRUE")</f>
        <v>0</v>
      </c>
      <c r="AF489" s="51" t="b">
        <f t="shared" si="325"/>
        <v>1</v>
      </c>
      <c r="AI489" s="51" t="b">
        <f t="shared" si="326"/>
        <v>0</v>
      </c>
      <c r="AJ489" s="51" t="b">
        <f t="shared" si="327"/>
        <v>0</v>
      </c>
      <c r="AK489" s="51" t="b">
        <f t="shared" si="328"/>
        <v>0</v>
      </c>
      <c r="AL489" s="51" t="b">
        <f t="shared" si="329"/>
        <v>0</v>
      </c>
      <c r="AM489" s="51" t="b">
        <f t="shared" si="330"/>
        <v>0</v>
      </c>
      <c r="AN489" s="51"/>
      <c r="AO489" s="51" t="b">
        <f t="shared" si="331"/>
        <v>0</v>
      </c>
      <c r="AP489" s="51" t="str">
        <f t="shared" si="353"/>
        <v>Not in MMS</v>
      </c>
      <c r="AQ489" s="51" t="b">
        <f t="shared" si="332"/>
        <v>0</v>
      </c>
      <c r="AR489" s="51" t="b">
        <f t="shared" si="333"/>
        <v>0</v>
      </c>
      <c r="AS489" s="51" t="str">
        <f t="shared" si="334"/>
        <v/>
      </c>
      <c r="AT489" s="51" t="str">
        <f t="shared" si="335"/>
        <v/>
      </c>
      <c r="AU489" s="51" t="str">
        <f t="shared" si="336"/>
        <v/>
      </c>
      <c r="AV489" s="51" t="str">
        <f t="shared" si="337"/>
        <v/>
      </c>
      <c r="AW489" s="51" t="str">
        <f t="shared" si="338"/>
        <v/>
      </c>
      <c r="AX489" s="51" t="str">
        <f t="shared" si="339"/>
        <v/>
      </c>
      <c r="AY489" s="51" t="str">
        <f t="shared" si="340"/>
        <v/>
      </c>
      <c r="AZ489" s="51" t="str">
        <f t="shared" si="341"/>
        <v/>
      </c>
      <c r="BA489" s="51" t="str">
        <f t="shared" si="342"/>
        <v/>
      </c>
      <c r="BB489" s="51" t="str">
        <f t="shared" si="343"/>
        <v/>
      </c>
      <c r="BC489" s="51" t="str">
        <f t="shared" si="344"/>
        <v/>
      </c>
      <c r="BD489" s="51" t="str">
        <f t="shared" si="345"/>
        <v/>
      </c>
      <c r="BE489" s="51" t="str">
        <f t="shared" si="346"/>
        <v/>
      </c>
      <c r="BF489" s="51" t="str">
        <f t="shared" si="347"/>
        <v/>
      </c>
      <c r="BG489" s="51" t="str">
        <f t="shared" si="348"/>
        <v/>
      </c>
      <c r="BH489" s="51" t="b">
        <f t="shared" si="349"/>
        <v>0</v>
      </c>
      <c r="BI489" s="51" t="str">
        <f t="shared" si="350"/>
        <v/>
      </c>
      <c r="BJ489" s="51" t="str">
        <f t="shared" si="351"/>
        <v/>
      </c>
      <c r="BK489" s="51" t="b">
        <f t="shared" si="352"/>
        <v>0</v>
      </c>
      <c r="BL489" s="192"/>
    </row>
    <row r="490" spans="1:64" ht="13.5" thickBot="1" x14ac:dyDescent="0.25">
      <c r="A490" s="185" t="s">
        <v>1167</v>
      </c>
      <c r="B490" s="194" t="s">
        <v>695</v>
      </c>
      <c r="C490" s="194" t="s">
        <v>695</v>
      </c>
      <c r="D490" s="194" t="s">
        <v>695</v>
      </c>
      <c r="E490" s="193" t="s">
        <v>694</v>
      </c>
      <c r="F490" s="160" t="s">
        <v>20</v>
      </c>
      <c r="G490" s="161"/>
      <c r="H490" s="186" t="str">
        <f t="shared" si="310"/>
        <v>N/A</v>
      </c>
      <c r="I490" s="186" t="b">
        <f t="shared" si="311"/>
        <v>1</v>
      </c>
      <c r="J490" s="186" t="str">
        <f t="shared" si="312"/>
        <v>N/A</v>
      </c>
      <c r="K490" s="186" t="b">
        <f t="shared" si="313"/>
        <v>1</v>
      </c>
      <c r="L490" s="186" t="str">
        <f t="shared" si="314"/>
        <v>N/A</v>
      </c>
      <c r="M490" s="186" t="b">
        <f t="shared" si="315"/>
        <v>1</v>
      </c>
      <c r="N490" s="186" t="str">
        <f t="shared" si="316"/>
        <v>Used?</v>
      </c>
      <c r="O490" s="186" t="b">
        <f t="shared" si="317"/>
        <v>0</v>
      </c>
      <c r="P490" s="26" t="s">
        <v>696</v>
      </c>
      <c r="Q490" s="160" t="s">
        <v>20</v>
      </c>
      <c r="R490" s="160" t="s">
        <v>20</v>
      </c>
      <c r="S490" s="26" t="s">
        <v>697</v>
      </c>
      <c r="T490" s="165" t="str">
        <f t="shared" si="318"/>
        <v>Not Used</v>
      </c>
      <c r="U490" s="162"/>
      <c r="V490" s="55"/>
      <c r="W490" s="51" t="b">
        <f t="shared" si="319"/>
        <v>1</v>
      </c>
      <c r="X490" s="51" t="str">
        <f t="shared" si="320"/>
        <v>Not Used</v>
      </c>
      <c r="Y490" s="51" t="str">
        <f t="shared" si="321"/>
        <v>Not Used</v>
      </c>
      <c r="Z490" s="51" t="str">
        <f t="shared" si="322"/>
        <v>Not Used</v>
      </c>
      <c r="AA490" s="51" t="str">
        <f t="shared" si="322"/>
        <v>Not Used</v>
      </c>
      <c r="AB490" s="51" t="str">
        <f t="shared" si="323"/>
        <v>Not Used</v>
      </c>
      <c r="AC490" s="51" t="b">
        <f t="shared" si="324"/>
        <v>1</v>
      </c>
      <c r="AD490" s="51">
        <f>COUNTIF($X$5:$X$490, "Not Used")</f>
        <v>486</v>
      </c>
      <c r="AE490" s="51">
        <f>COUNTIF($X$5:$X$490, "TRUE")</f>
        <v>0</v>
      </c>
      <c r="AF490" s="51" t="b">
        <f t="shared" si="325"/>
        <v>1</v>
      </c>
      <c r="AI490" s="51" t="b">
        <f t="shared" si="326"/>
        <v>0</v>
      </c>
      <c r="AJ490" s="51" t="b">
        <f t="shared" si="327"/>
        <v>0</v>
      </c>
      <c r="AK490" s="51" t="b">
        <f t="shared" si="328"/>
        <v>0</v>
      </c>
      <c r="AL490" s="51" t="b">
        <f t="shared" si="329"/>
        <v>0</v>
      </c>
      <c r="AM490" s="51" t="b">
        <f t="shared" si="330"/>
        <v>0</v>
      </c>
      <c r="AN490" s="51"/>
      <c r="AO490" s="51" t="b">
        <f t="shared" si="331"/>
        <v>0</v>
      </c>
      <c r="AP490" s="51" t="str">
        <f t="shared" si="353"/>
        <v>Not in MMS</v>
      </c>
      <c r="AQ490" s="51" t="b">
        <f t="shared" si="332"/>
        <v>0</v>
      </c>
      <c r="AR490" s="51" t="b">
        <f t="shared" si="333"/>
        <v>0</v>
      </c>
      <c r="AS490" s="51" t="str">
        <f t="shared" si="334"/>
        <v/>
      </c>
      <c r="AT490" s="51" t="str">
        <f t="shared" si="335"/>
        <v/>
      </c>
      <c r="AU490" s="51" t="str">
        <f t="shared" si="336"/>
        <v/>
      </c>
      <c r="AV490" s="51" t="str">
        <f t="shared" si="337"/>
        <v/>
      </c>
      <c r="AW490" s="51" t="str">
        <f t="shared" si="338"/>
        <v/>
      </c>
      <c r="AX490" s="51" t="str">
        <f t="shared" si="339"/>
        <v/>
      </c>
      <c r="AY490" s="51" t="str">
        <f t="shared" si="340"/>
        <v/>
      </c>
      <c r="AZ490" s="51" t="str">
        <f t="shared" si="341"/>
        <v/>
      </c>
      <c r="BA490" s="51" t="str">
        <f t="shared" si="342"/>
        <v/>
      </c>
      <c r="BB490" s="51" t="str">
        <f t="shared" si="343"/>
        <v/>
      </c>
      <c r="BC490" s="51" t="str">
        <f t="shared" si="344"/>
        <v/>
      </c>
      <c r="BD490" s="51" t="str">
        <f t="shared" si="345"/>
        <v/>
      </c>
      <c r="BE490" s="51" t="str">
        <f t="shared" si="346"/>
        <v/>
      </c>
      <c r="BF490" s="51" t="str">
        <f t="shared" si="347"/>
        <v/>
      </c>
      <c r="BG490" s="51" t="str">
        <f t="shared" si="348"/>
        <v/>
      </c>
      <c r="BH490" s="51" t="b">
        <f t="shared" si="349"/>
        <v>0</v>
      </c>
      <c r="BI490" s="51" t="str">
        <f t="shared" si="350"/>
        <v/>
      </c>
      <c r="BJ490" s="51" t="str">
        <f t="shared" si="351"/>
        <v/>
      </c>
      <c r="BK490" s="51" t="b">
        <f t="shared" si="352"/>
        <v>0</v>
      </c>
      <c r="BL490" s="192"/>
    </row>
    <row r="491" spans="1:64" ht="13.5" thickBot="1" x14ac:dyDescent="0.25">
      <c r="A491" s="185" t="s">
        <v>1168</v>
      </c>
      <c r="B491" s="194" t="s">
        <v>695</v>
      </c>
      <c r="C491" s="194" t="s">
        <v>695</v>
      </c>
      <c r="D491" s="194" t="s">
        <v>695</v>
      </c>
      <c r="E491" s="193" t="s">
        <v>694</v>
      </c>
      <c r="F491" s="160" t="s">
        <v>20</v>
      </c>
      <c r="G491" s="161"/>
      <c r="H491" s="186" t="str">
        <f t="shared" si="310"/>
        <v>N/A</v>
      </c>
      <c r="I491" s="186" t="b">
        <f t="shared" si="311"/>
        <v>1</v>
      </c>
      <c r="J491" s="186" t="str">
        <f t="shared" si="312"/>
        <v>N/A</v>
      </c>
      <c r="K491" s="186" t="b">
        <f t="shared" si="313"/>
        <v>1</v>
      </c>
      <c r="L491" s="186" t="str">
        <f t="shared" si="314"/>
        <v>N/A</v>
      </c>
      <c r="M491" s="186" t="b">
        <f t="shared" si="315"/>
        <v>1</v>
      </c>
      <c r="N491" s="186" t="str">
        <f t="shared" si="316"/>
        <v>Used?</v>
      </c>
      <c r="O491" s="186" t="b">
        <f t="shared" si="317"/>
        <v>0</v>
      </c>
      <c r="P491" s="26" t="s">
        <v>696</v>
      </c>
      <c r="Q491" s="160" t="s">
        <v>20</v>
      </c>
      <c r="R491" s="160" t="s">
        <v>20</v>
      </c>
      <c r="S491" s="26" t="s">
        <v>697</v>
      </c>
      <c r="T491" s="165" t="str">
        <f t="shared" si="318"/>
        <v>Not Used</v>
      </c>
      <c r="U491" s="162"/>
      <c r="V491" s="55"/>
      <c r="W491" s="51" t="b">
        <f t="shared" si="319"/>
        <v>1</v>
      </c>
      <c r="X491" s="51" t="str">
        <f t="shared" si="320"/>
        <v>Not Used</v>
      </c>
      <c r="Y491" s="51" t="str">
        <f t="shared" si="321"/>
        <v>Not Used</v>
      </c>
      <c r="Z491" s="51" t="str">
        <f t="shared" si="322"/>
        <v>Not Used</v>
      </c>
      <c r="AA491" s="51" t="str">
        <f t="shared" si="322"/>
        <v>Not Used</v>
      </c>
      <c r="AB491" s="51" t="str">
        <f t="shared" si="323"/>
        <v>Not Used</v>
      </c>
      <c r="AC491" s="51" t="b">
        <f t="shared" si="324"/>
        <v>1</v>
      </c>
      <c r="AD491" s="51">
        <f>COUNTIF($X$5:$X$491, "Not Used")</f>
        <v>487</v>
      </c>
      <c r="AE491" s="51">
        <f>COUNTIF($X$5:$X$491, "TRUE")</f>
        <v>0</v>
      </c>
      <c r="AF491" s="51" t="b">
        <f t="shared" si="325"/>
        <v>1</v>
      </c>
      <c r="AI491" s="51" t="b">
        <f t="shared" si="326"/>
        <v>0</v>
      </c>
      <c r="AJ491" s="51" t="b">
        <f t="shared" si="327"/>
        <v>0</v>
      </c>
      <c r="AK491" s="51" t="b">
        <f t="shared" si="328"/>
        <v>0</v>
      </c>
      <c r="AL491" s="51" t="b">
        <f t="shared" si="329"/>
        <v>0</v>
      </c>
      <c r="AM491" s="51" t="b">
        <f t="shared" si="330"/>
        <v>0</v>
      </c>
      <c r="AN491" s="51"/>
      <c r="AO491" s="51" t="b">
        <f t="shared" si="331"/>
        <v>0</v>
      </c>
      <c r="AP491" s="51" t="str">
        <f t="shared" si="353"/>
        <v>Not in MMS</v>
      </c>
      <c r="AQ491" s="51" t="b">
        <f t="shared" si="332"/>
        <v>0</v>
      </c>
      <c r="AR491" s="51" t="b">
        <f t="shared" si="333"/>
        <v>0</v>
      </c>
      <c r="AS491" s="51" t="str">
        <f t="shared" si="334"/>
        <v/>
      </c>
      <c r="AT491" s="51" t="str">
        <f t="shared" si="335"/>
        <v/>
      </c>
      <c r="AU491" s="51" t="str">
        <f t="shared" si="336"/>
        <v/>
      </c>
      <c r="AV491" s="51" t="str">
        <f t="shared" si="337"/>
        <v/>
      </c>
      <c r="AW491" s="51" t="str">
        <f t="shared" si="338"/>
        <v/>
      </c>
      <c r="AX491" s="51" t="str">
        <f t="shared" si="339"/>
        <v/>
      </c>
      <c r="AY491" s="51" t="str">
        <f t="shared" si="340"/>
        <v/>
      </c>
      <c r="AZ491" s="51" t="str">
        <f t="shared" si="341"/>
        <v/>
      </c>
      <c r="BA491" s="51" t="str">
        <f t="shared" si="342"/>
        <v/>
      </c>
      <c r="BB491" s="51" t="str">
        <f t="shared" si="343"/>
        <v/>
      </c>
      <c r="BC491" s="51" t="str">
        <f t="shared" si="344"/>
        <v/>
      </c>
      <c r="BD491" s="51" t="str">
        <f t="shared" si="345"/>
        <v/>
      </c>
      <c r="BE491" s="51" t="str">
        <f t="shared" si="346"/>
        <v/>
      </c>
      <c r="BF491" s="51" t="str">
        <f t="shared" si="347"/>
        <v/>
      </c>
      <c r="BG491" s="51" t="str">
        <f t="shared" si="348"/>
        <v/>
      </c>
      <c r="BH491" s="51" t="b">
        <f t="shared" si="349"/>
        <v>0</v>
      </c>
      <c r="BI491" s="51" t="str">
        <f t="shared" si="350"/>
        <v/>
      </c>
      <c r="BJ491" s="51" t="str">
        <f t="shared" si="351"/>
        <v/>
      </c>
      <c r="BK491" s="51" t="b">
        <f t="shared" si="352"/>
        <v>0</v>
      </c>
      <c r="BL491" s="192"/>
    </row>
    <row r="492" spans="1:64" ht="13.5" thickBot="1" x14ac:dyDescent="0.25">
      <c r="A492" s="185" t="s">
        <v>1169</v>
      </c>
      <c r="B492" s="194" t="s">
        <v>695</v>
      </c>
      <c r="C492" s="194" t="s">
        <v>695</v>
      </c>
      <c r="D492" s="194" t="s">
        <v>695</v>
      </c>
      <c r="E492" s="193" t="s">
        <v>694</v>
      </c>
      <c r="F492" s="160" t="s">
        <v>20</v>
      </c>
      <c r="G492" s="161"/>
      <c r="H492" s="186" t="str">
        <f t="shared" si="310"/>
        <v>N/A</v>
      </c>
      <c r="I492" s="186" t="b">
        <f t="shared" si="311"/>
        <v>1</v>
      </c>
      <c r="J492" s="186" t="str">
        <f t="shared" si="312"/>
        <v>N/A</v>
      </c>
      <c r="K492" s="186" t="b">
        <f t="shared" si="313"/>
        <v>1</v>
      </c>
      <c r="L492" s="186" t="str">
        <f t="shared" si="314"/>
        <v>N/A</v>
      </c>
      <c r="M492" s="186" t="b">
        <f t="shared" si="315"/>
        <v>1</v>
      </c>
      <c r="N492" s="186" t="str">
        <f t="shared" si="316"/>
        <v>Used?</v>
      </c>
      <c r="O492" s="186" t="b">
        <f t="shared" si="317"/>
        <v>0</v>
      </c>
      <c r="P492" s="26" t="s">
        <v>696</v>
      </c>
      <c r="Q492" s="160" t="s">
        <v>20</v>
      </c>
      <c r="R492" s="160" t="s">
        <v>20</v>
      </c>
      <c r="S492" s="26" t="s">
        <v>697</v>
      </c>
      <c r="T492" s="165" t="str">
        <f t="shared" si="318"/>
        <v>Not Used</v>
      </c>
      <c r="U492" s="162"/>
      <c r="V492" s="55"/>
      <c r="W492" s="51" t="b">
        <f t="shared" si="319"/>
        <v>1</v>
      </c>
      <c r="X492" s="51" t="str">
        <f t="shared" si="320"/>
        <v>Not Used</v>
      </c>
      <c r="Y492" s="51" t="str">
        <f t="shared" si="321"/>
        <v>Not Used</v>
      </c>
      <c r="Z492" s="51" t="str">
        <f t="shared" si="322"/>
        <v>Not Used</v>
      </c>
      <c r="AA492" s="51" t="str">
        <f t="shared" si="322"/>
        <v>Not Used</v>
      </c>
      <c r="AB492" s="51" t="str">
        <f t="shared" si="323"/>
        <v>Not Used</v>
      </c>
      <c r="AC492" s="51" t="b">
        <f t="shared" si="324"/>
        <v>1</v>
      </c>
      <c r="AD492" s="51">
        <f>COUNTIF($X$5:$X$492, "Not Used")</f>
        <v>488</v>
      </c>
      <c r="AE492" s="51">
        <f>COUNTIF($X$5:$X$492, "TRUE")</f>
        <v>0</v>
      </c>
      <c r="AF492" s="51" t="b">
        <f t="shared" si="325"/>
        <v>1</v>
      </c>
      <c r="AI492" s="51" t="b">
        <f t="shared" si="326"/>
        <v>0</v>
      </c>
      <c r="AJ492" s="51" t="b">
        <f t="shared" si="327"/>
        <v>0</v>
      </c>
      <c r="AK492" s="51" t="b">
        <f t="shared" si="328"/>
        <v>0</v>
      </c>
      <c r="AL492" s="51" t="b">
        <f t="shared" si="329"/>
        <v>0</v>
      </c>
      <c r="AM492" s="51" t="b">
        <f t="shared" si="330"/>
        <v>0</v>
      </c>
      <c r="AN492" s="51"/>
      <c r="AO492" s="51" t="b">
        <f t="shared" si="331"/>
        <v>0</v>
      </c>
      <c r="AP492" s="51" t="str">
        <f t="shared" si="353"/>
        <v>Not in MMS</v>
      </c>
      <c r="AQ492" s="51" t="b">
        <f t="shared" si="332"/>
        <v>0</v>
      </c>
      <c r="AR492" s="51" t="b">
        <f t="shared" si="333"/>
        <v>0</v>
      </c>
      <c r="AS492" s="51" t="str">
        <f t="shared" si="334"/>
        <v/>
      </c>
      <c r="AT492" s="51" t="str">
        <f t="shared" si="335"/>
        <v/>
      </c>
      <c r="AU492" s="51" t="str">
        <f t="shared" si="336"/>
        <v/>
      </c>
      <c r="AV492" s="51" t="str">
        <f t="shared" si="337"/>
        <v/>
      </c>
      <c r="AW492" s="51" t="str">
        <f t="shared" si="338"/>
        <v/>
      </c>
      <c r="AX492" s="51" t="str">
        <f t="shared" si="339"/>
        <v/>
      </c>
      <c r="AY492" s="51" t="str">
        <f t="shared" si="340"/>
        <v/>
      </c>
      <c r="AZ492" s="51" t="str">
        <f t="shared" si="341"/>
        <v/>
      </c>
      <c r="BA492" s="51" t="str">
        <f t="shared" si="342"/>
        <v/>
      </c>
      <c r="BB492" s="51" t="str">
        <f t="shared" si="343"/>
        <v/>
      </c>
      <c r="BC492" s="51" t="str">
        <f t="shared" si="344"/>
        <v/>
      </c>
      <c r="BD492" s="51" t="str">
        <f t="shared" si="345"/>
        <v/>
      </c>
      <c r="BE492" s="51" t="str">
        <f t="shared" si="346"/>
        <v/>
      </c>
      <c r="BF492" s="51" t="str">
        <f t="shared" si="347"/>
        <v/>
      </c>
      <c r="BG492" s="51" t="str">
        <f t="shared" si="348"/>
        <v/>
      </c>
      <c r="BH492" s="51" t="b">
        <f t="shared" si="349"/>
        <v>0</v>
      </c>
      <c r="BI492" s="51" t="str">
        <f t="shared" si="350"/>
        <v/>
      </c>
      <c r="BJ492" s="51" t="str">
        <f t="shared" si="351"/>
        <v/>
      </c>
      <c r="BK492" s="51" t="b">
        <f t="shared" si="352"/>
        <v>0</v>
      </c>
      <c r="BL492" s="192"/>
    </row>
    <row r="493" spans="1:64" ht="13.5" thickBot="1" x14ac:dyDescent="0.25">
      <c r="A493" s="185" t="s">
        <v>1170</v>
      </c>
      <c r="B493" s="194" t="s">
        <v>695</v>
      </c>
      <c r="C493" s="194" t="s">
        <v>695</v>
      </c>
      <c r="D493" s="194" t="s">
        <v>695</v>
      </c>
      <c r="E493" s="193" t="s">
        <v>694</v>
      </c>
      <c r="F493" s="160" t="s">
        <v>20</v>
      </c>
      <c r="G493" s="161"/>
      <c r="H493" s="186" t="str">
        <f t="shared" si="310"/>
        <v>N/A</v>
      </c>
      <c r="I493" s="186" t="b">
        <f t="shared" si="311"/>
        <v>1</v>
      </c>
      <c r="J493" s="186" t="str">
        <f t="shared" si="312"/>
        <v>N/A</v>
      </c>
      <c r="K493" s="186" t="b">
        <f t="shared" si="313"/>
        <v>1</v>
      </c>
      <c r="L493" s="186" t="str">
        <f t="shared" si="314"/>
        <v>N/A</v>
      </c>
      <c r="M493" s="186" t="b">
        <f t="shared" si="315"/>
        <v>1</v>
      </c>
      <c r="N493" s="186" t="str">
        <f t="shared" si="316"/>
        <v>Used?</v>
      </c>
      <c r="O493" s="186" t="b">
        <f t="shared" si="317"/>
        <v>0</v>
      </c>
      <c r="P493" s="26" t="s">
        <v>696</v>
      </c>
      <c r="Q493" s="160" t="s">
        <v>20</v>
      </c>
      <c r="R493" s="160" t="s">
        <v>20</v>
      </c>
      <c r="S493" s="26" t="s">
        <v>697</v>
      </c>
      <c r="T493" s="165" t="str">
        <f t="shared" si="318"/>
        <v>Not Used</v>
      </c>
      <c r="U493" s="162"/>
      <c r="V493" s="55"/>
      <c r="W493" s="51" t="b">
        <f t="shared" si="319"/>
        <v>1</v>
      </c>
      <c r="X493" s="51" t="str">
        <f t="shared" si="320"/>
        <v>Not Used</v>
      </c>
      <c r="Y493" s="51" t="str">
        <f t="shared" si="321"/>
        <v>Not Used</v>
      </c>
      <c r="Z493" s="51" t="str">
        <f t="shared" si="322"/>
        <v>Not Used</v>
      </c>
      <c r="AA493" s="51" t="str">
        <f t="shared" si="322"/>
        <v>Not Used</v>
      </c>
      <c r="AB493" s="51" t="str">
        <f t="shared" si="323"/>
        <v>Not Used</v>
      </c>
      <c r="AC493" s="51" t="b">
        <f t="shared" si="324"/>
        <v>1</v>
      </c>
      <c r="AD493" s="51">
        <f>COUNTIF($X$5:$X$493, "Not Used")</f>
        <v>489</v>
      </c>
      <c r="AE493" s="51">
        <f>COUNTIF($X$5:$X$493, "TRUE")</f>
        <v>0</v>
      </c>
      <c r="AF493" s="51" t="b">
        <f t="shared" si="325"/>
        <v>1</v>
      </c>
      <c r="AI493" s="51" t="b">
        <f t="shared" si="326"/>
        <v>0</v>
      </c>
      <c r="AJ493" s="51" t="b">
        <f t="shared" si="327"/>
        <v>0</v>
      </c>
      <c r="AK493" s="51" t="b">
        <f t="shared" si="328"/>
        <v>0</v>
      </c>
      <c r="AL493" s="51" t="b">
        <f t="shared" si="329"/>
        <v>0</v>
      </c>
      <c r="AM493" s="51" t="b">
        <f t="shared" si="330"/>
        <v>0</v>
      </c>
      <c r="AN493" s="51"/>
      <c r="AO493" s="51" t="b">
        <f t="shared" si="331"/>
        <v>0</v>
      </c>
      <c r="AP493" s="51" t="str">
        <f t="shared" si="353"/>
        <v>Not in MMS</v>
      </c>
      <c r="AQ493" s="51" t="b">
        <f t="shared" si="332"/>
        <v>0</v>
      </c>
      <c r="AR493" s="51" t="b">
        <f t="shared" si="333"/>
        <v>0</v>
      </c>
      <c r="AS493" s="51" t="str">
        <f t="shared" si="334"/>
        <v/>
      </c>
      <c r="AT493" s="51" t="str">
        <f t="shared" si="335"/>
        <v/>
      </c>
      <c r="AU493" s="51" t="str">
        <f t="shared" si="336"/>
        <v/>
      </c>
      <c r="AV493" s="51" t="str">
        <f t="shared" si="337"/>
        <v/>
      </c>
      <c r="AW493" s="51" t="str">
        <f t="shared" si="338"/>
        <v/>
      </c>
      <c r="AX493" s="51" t="str">
        <f t="shared" si="339"/>
        <v/>
      </c>
      <c r="AY493" s="51" t="str">
        <f t="shared" si="340"/>
        <v/>
      </c>
      <c r="AZ493" s="51" t="str">
        <f t="shared" si="341"/>
        <v/>
      </c>
      <c r="BA493" s="51" t="str">
        <f t="shared" si="342"/>
        <v/>
      </c>
      <c r="BB493" s="51" t="str">
        <f t="shared" si="343"/>
        <v/>
      </c>
      <c r="BC493" s="51" t="str">
        <f t="shared" si="344"/>
        <v/>
      </c>
      <c r="BD493" s="51" t="str">
        <f t="shared" si="345"/>
        <v/>
      </c>
      <c r="BE493" s="51" t="str">
        <f t="shared" si="346"/>
        <v/>
      </c>
      <c r="BF493" s="51" t="str">
        <f t="shared" si="347"/>
        <v/>
      </c>
      <c r="BG493" s="51" t="str">
        <f t="shared" si="348"/>
        <v/>
      </c>
      <c r="BH493" s="51" t="b">
        <f t="shared" si="349"/>
        <v>0</v>
      </c>
      <c r="BI493" s="51" t="str">
        <f t="shared" si="350"/>
        <v/>
      </c>
      <c r="BJ493" s="51" t="str">
        <f t="shared" si="351"/>
        <v/>
      </c>
      <c r="BK493" s="51" t="b">
        <f t="shared" si="352"/>
        <v>0</v>
      </c>
      <c r="BL493" s="192"/>
    </row>
    <row r="494" spans="1:64" ht="13.5" thickBot="1" x14ac:dyDescent="0.25">
      <c r="A494" s="185" t="s">
        <v>1171</v>
      </c>
      <c r="B494" s="194" t="s">
        <v>695</v>
      </c>
      <c r="C494" s="194" t="s">
        <v>695</v>
      </c>
      <c r="D494" s="194" t="s">
        <v>695</v>
      </c>
      <c r="E494" s="193" t="s">
        <v>694</v>
      </c>
      <c r="F494" s="160" t="s">
        <v>20</v>
      </c>
      <c r="G494" s="161"/>
      <c r="H494" s="186" t="str">
        <f t="shared" si="310"/>
        <v>N/A</v>
      </c>
      <c r="I494" s="186" t="b">
        <f t="shared" si="311"/>
        <v>1</v>
      </c>
      <c r="J494" s="186" t="str">
        <f t="shared" si="312"/>
        <v>N/A</v>
      </c>
      <c r="K494" s="186" t="b">
        <f t="shared" si="313"/>
        <v>1</v>
      </c>
      <c r="L494" s="186" t="str">
        <f t="shared" si="314"/>
        <v>N/A</v>
      </c>
      <c r="M494" s="186" t="b">
        <f t="shared" si="315"/>
        <v>1</v>
      </c>
      <c r="N494" s="186" t="str">
        <f t="shared" si="316"/>
        <v>Used?</v>
      </c>
      <c r="O494" s="186" t="b">
        <f t="shared" si="317"/>
        <v>0</v>
      </c>
      <c r="P494" s="26" t="s">
        <v>696</v>
      </c>
      <c r="Q494" s="160" t="s">
        <v>20</v>
      </c>
      <c r="R494" s="160" t="s">
        <v>20</v>
      </c>
      <c r="S494" s="26" t="s">
        <v>697</v>
      </c>
      <c r="T494" s="165" t="str">
        <f t="shared" si="318"/>
        <v>Not Used</v>
      </c>
      <c r="U494" s="162"/>
      <c r="V494" s="55"/>
      <c r="W494" s="51" t="b">
        <f t="shared" si="319"/>
        <v>1</v>
      </c>
      <c r="X494" s="51" t="str">
        <f t="shared" si="320"/>
        <v>Not Used</v>
      </c>
      <c r="Y494" s="51" t="str">
        <f t="shared" si="321"/>
        <v>Not Used</v>
      </c>
      <c r="Z494" s="51" t="str">
        <f t="shared" si="322"/>
        <v>Not Used</v>
      </c>
      <c r="AA494" s="51" t="str">
        <f t="shared" si="322"/>
        <v>Not Used</v>
      </c>
      <c r="AB494" s="51" t="str">
        <f t="shared" si="323"/>
        <v>Not Used</v>
      </c>
      <c r="AC494" s="51" t="b">
        <f t="shared" si="324"/>
        <v>1</v>
      </c>
      <c r="AD494" s="51">
        <f>COUNTIF($X$5:$X$494, "Not Used")</f>
        <v>490</v>
      </c>
      <c r="AE494" s="51">
        <f>COUNTIF($X$5:$X$494, "TRUE")</f>
        <v>0</v>
      </c>
      <c r="AF494" s="51" t="b">
        <f t="shared" si="325"/>
        <v>1</v>
      </c>
      <c r="AI494" s="51" t="b">
        <f t="shared" si="326"/>
        <v>0</v>
      </c>
      <c r="AJ494" s="51" t="b">
        <f t="shared" si="327"/>
        <v>0</v>
      </c>
      <c r="AK494" s="51" t="b">
        <f t="shared" si="328"/>
        <v>0</v>
      </c>
      <c r="AL494" s="51" t="b">
        <f t="shared" si="329"/>
        <v>0</v>
      </c>
      <c r="AM494" s="51" t="b">
        <f t="shared" si="330"/>
        <v>0</v>
      </c>
      <c r="AN494" s="51"/>
      <c r="AO494" s="51" t="b">
        <f t="shared" si="331"/>
        <v>0</v>
      </c>
      <c r="AP494" s="51" t="str">
        <f t="shared" si="353"/>
        <v>Not in MMS</v>
      </c>
      <c r="AQ494" s="51" t="b">
        <f t="shared" si="332"/>
        <v>0</v>
      </c>
      <c r="AR494" s="51" t="b">
        <f t="shared" si="333"/>
        <v>0</v>
      </c>
      <c r="AS494" s="51" t="str">
        <f t="shared" si="334"/>
        <v/>
      </c>
      <c r="AT494" s="51" t="str">
        <f t="shared" si="335"/>
        <v/>
      </c>
      <c r="AU494" s="51" t="str">
        <f t="shared" si="336"/>
        <v/>
      </c>
      <c r="AV494" s="51" t="str">
        <f t="shared" si="337"/>
        <v/>
      </c>
      <c r="AW494" s="51" t="str">
        <f t="shared" si="338"/>
        <v/>
      </c>
      <c r="AX494" s="51" t="str">
        <f t="shared" si="339"/>
        <v/>
      </c>
      <c r="AY494" s="51" t="str">
        <f t="shared" si="340"/>
        <v/>
      </c>
      <c r="AZ494" s="51" t="str">
        <f t="shared" si="341"/>
        <v/>
      </c>
      <c r="BA494" s="51" t="str">
        <f t="shared" si="342"/>
        <v/>
      </c>
      <c r="BB494" s="51" t="str">
        <f t="shared" si="343"/>
        <v/>
      </c>
      <c r="BC494" s="51" t="str">
        <f t="shared" si="344"/>
        <v/>
      </c>
      <c r="BD494" s="51" t="str">
        <f t="shared" si="345"/>
        <v/>
      </c>
      <c r="BE494" s="51" t="str">
        <f t="shared" si="346"/>
        <v/>
      </c>
      <c r="BF494" s="51" t="str">
        <f t="shared" si="347"/>
        <v/>
      </c>
      <c r="BG494" s="51" t="str">
        <f t="shared" si="348"/>
        <v/>
      </c>
      <c r="BH494" s="51" t="b">
        <f t="shared" si="349"/>
        <v>0</v>
      </c>
      <c r="BI494" s="51" t="str">
        <f t="shared" si="350"/>
        <v/>
      </c>
      <c r="BJ494" s="51" t="str">
        <f t="shared" si="351"/>
        <v/>
      </c>
      <c r="BK494" s="51" t="b">
        <f t="shared" si="352"/>
        <v>0</v>
      </c>
      <c r="BL494" s="192"/>
    </row>
    <row r="495" spans="1:64" ht="13.5" thickBot="1" x14ac:dyDescent="0.25">
      <c r="A495" s="185" t="s">
        <v>1172</v>
      </c>
      <c r="B495" s="194" t="s">
        <v>695</v>
      </c>
      <c r="C495" s="194" t="s">
        <v>695</v>
      </c>
      <c r="D495" s="194" t="s">
        <v>695</v>
      </c>
      <c r="E495" s="193" t="s">
        <v>694</v>
      </c>
      <c r="F495" s="160" t="s">
        <v>20</v>
      </c>
      <c r="G495" s="161"/>
      <c r="H495" s="186" t="str">
        <f t="shared" si="310"/>
        <v>N/A</v>
      </c>
      <c r="I495" s="186" t="b">
        <f t="shared" si="311"/>
        <v>1</v>
      </c>
      <c r="J495" s="186" t="str">
        <f t="shared" si="312"/>
        <v>N/A</v>
      </c>
      <c r="K495" s="186" t="b">
        <f t="shared" si="313"/>
        <v>1</v>
      </c>
      <c r="L495" s="186" t="str">
        <f t="shared" si="314"/>
        <v>N/A</v>
      </c>
      <c r="M495" s="186" t="b">
        <f t="shared" si="315"/>
        <v>1</v>
      </c>
      <c r="N495" s="186" t="str">
        <f t="shared" si="316"/>
        <v>Used?</v>
      </c>
      <c r="O495" s="186" t="b">
        <f t="shared" si="317"/>
        <v>0</v>
      </c>
      <c r="P495" s="26" t="s">
        <v>696</v>
      </c>
      <c r="Q495" s="160" t="s">
        <v>20</v>
      </c>
      <c r="R495" s="160" t="s">
        <v>20</v>
      </c>
      <c r="S495" s="26" t="s">
        <v>697</v>
      </c>
      <c r="T495" s="165" t="str">
        <f t="shared" si="318"/>
        <v>Not Used</v>
      </c>
      <c r="U495" s="162"/>
      <c r="V495" s="55"/>
      <c r="W495" s="51" t="b">
        <f t="shared" si="319"/>
        <v>1</v>
      </c>
      <c r="X495" s="51" t="str">
        <f t="shared" si="320"/>
        <v>Not Used</v>
      </c>
      <c r="Y495" s="51" t="str">
        <f t="shared" si="321"/>
        <v>Not Used</v>
      </c>
      <c r="Z495" s="51" t="str">
        <f t="shared" si="322"/>
        <v>Not Used</v>
      </c>
      <c r="AA495" s="51" t="str">
        <f t="shared" si="322"/>
        <v>Not Used</v>
      </c>
      <c r="AB495" s="51" t="str">
        <f t="shared" si="323"/>
        <v>Not Used</v>
      </c>
      <c r="AC495" s="51" t="b">
        <f t="shared" si="324"/>
        <v>1</v>
      </c>
      <c r="AD495" s="51">
        <f>COUNTIF($X$5:$X$495, "Not Used")</f>
        <v>491</v>
      </c>
      <c r="AE495" s="51">
        <f>COUNTIF($X$5:$X$495, "TRUE")</f>
        <v>0</v>
      </c>
      <c r="AF495" s="51" t="b">
        <f t="shared" si="325"/>
        <v>1</v>
      </c>
      <c r="AI495" s="51" t="b">
        <f t="shared" si="326"/>
        <v>0</v>
      </c>
      <c r="AJ495" s="51" t="b">
        <f t="shared" si="327"/>
        <v>0</v>
      </c>
      <c r="AK495" s="51" t="b">
        <f t="shared" si="328"/>
        <v>0</v>
      </c>
      <c r="AL495" s="51" t="b">
        <f t="shared" si="329"/>
        <v>0</v>
      </c>
      <c r="AM495" s="51" t="b">
        <f t="shared" si="330"/>
        <v>0</v>
      </c>
      <c r="AN495" s="51"/>
      <c r="AO495" s="51" t="b">
        <f t="shared" si="331"/>
        <v>0</v>
      </c>
      <c r="AP495" s="51" t="str">
        <f t="shared" si="353"/>
        <v>Not in MMS</v>
      </c>
      <c r="AQ495" s="51" t="b">
        <f t="shared" si="332"/>
        <v>0</v>
      </c>
      <c r="AR495" s="51" t="b">
        <f t="shared" si="333"/>
        <v>0</v>
      </c>
      <c r="AS495" s="51" t="str">
        <f t="shared" si="334"/>
        <v/>
      </c>
      <c r="AT495" s="51" t="str">
        <f t="shared" si="335"/>
        <v/>
      </c>
      <c r="AU495" s="51" t="str">
        <f t="shared" si="336"/>
        <v/>
      </c>
      <c r="AV495" s="51" t="str">
        <f t="shared" si="337"/>
        <v/>
      </c>
      <c r="AW495" s="51" t="str">
        <f t="shared" si="338"/>
        <v/>
      </c>
      <c r="AX495" s="51" t="str">
        <f t="shared" si="339"/>
        <v/>
      </c>
      <c r="AY495" s="51" t="str">
        <f t="shared" si="340"/>
        <v/>
      </c>
      <c r="AZ495" s="51" t="str">
        <f t="shared" si="341"/>
        <v/>
      </c>
      <c r="BA495" s="51" t="str">
        <f t="shared" si="342"/>
        <v/>
      </c>
      <c r="BB495" s="51" t="str">
        <f t="shared" si="343"/>
        <v/>
      </c>
      <c r="BC495" s="51" t="str">
        <f t="shared" si="344"/>
        <v/>
      </c>
      <c r="BD495" s="51" t="str">
        <f t="shared" si="345"/>
        <v/>
      </c>
      <c r="BE495" s="51" t="str">
        <f t="shared" si="346"/>
        <v/>
      </c>
      <c r="BF495" s="51" t="str">
        <f t="shared" si="347"/>
        <v/>
      </c>
      <c r="BG495" s="51" t="str">
        <f t="shared" si="348"/>
        <v/>
      </c>
      <c r="BH495" s="51" t="b">
        <f t="shared" si="349"/>
        <v>0</v>
      </c>
      <c r="BI495" s="51" t="str">
        <f t="shared" si="350"/>
        <v/>
      </c>
      <c r="BJ495" s="51" t="str">
        <f t="shared" si="351"/>
        <v/>
      </c>
      <c r="BK495" s="51" t="b">
        <f t="shared" si="352"/>
        <v>0</v>
      </c>
      <c r="BL495" s="192"/>
    </row>
    <row r="496" spans="1:64" ht="13.5" thickBot="1" x14ac:dyDescent="0.25">
      <c r="A496" s="185" t="s">
        <v>1173</v>
      </c>
      <c r="B496" s="194" t="s">
        <v>695</v>
      </c>
      <c r="C496" s="194" t="s">
        <v>695</v>
      </c>
      <c r="D496" s="194" t="s">
        <v>695</v>
      </c>
      <c r="E496" s="193" t="s">
        <v>694</v>
      </c>
      <c r="F496" s="160" t="s">
        <v>20</v>
      </c>
      <c r="G496" s="161"/>
      <c r="H496" s="186" t="str">
        <f t="shared" si="310"/>
        <v>N/A</v>
      </c>
      <c r="I496" s="186" t="b">
        <f t="shared" si="311"/>
        <v>1</v>
      </c>
      <c r="J496" s="186" t="str">
        <f t="shared" si="312"/>
        <v>N/A</v>
      </c>
      <c r="K496" s="186" t="b">
        <f t="shared" si="313"/>
        <v>1</v>
      </c>
      <c r="L496" s="186" t="str">
        <f t="shared" si="314"/>
        <v>N/A</v>
      </c>
      <c r="M496" s="186" t="b">
        <f t="shared" si="315"/>
        <v>1</v>
      </c>
      <c r="N496" s="186" t="str">
        <f t="shared" si="316"/>
        <v>Used?</v>
      </c>
      <c r="O496" s="186" t="b">
        <f t="shared" si="317"/>
        <v>0</v>
      </c>
      <c r="P496" s="26" t="s">
        <v>696</v>
      </c>
      <c r="Q496" s="160" t="s">
        <v>20</v>
      </c>
      <c r="R496" s="160" t="s">
        <v>20</v>
      </c>
      <c r="S496" s="26" t="s">
        <v>697</v>
      </c>
      <c r="T496" s="165" t="str">
        <f t="shared" si="318"/>
        <v>Not Used</v>
      </c>
      <c r="U496" s="162"/>
      <c r="V496" s="55"/>
      <c r="W496" s="51" t="b">
        <f t="shared" si="319"/>
        <v>1</v>
      </c>
      <c r="X496" s="51" t="str">
        <f t="shared" si="320"/>
        <v>Not Used</v>
      </c>
      <c r="Y496" s="51" t="str">
        <f t="shared" si="321"/>
        <v>Not Used</v>
      </c>
      <c r="Z496" s="51" t="str">
        <f t="shared" si="322"/>
        <v>Not Used</v>
      </c>
      <c r="AA496" s="51" t="str">
        <f t="shared" si="322"/>
        <v>Not Used</v>
      </c>
      <c r="AB496" s="51" t="str">
        <f t="shared" si="323"/>
        <v>Not Used</v>
      </c>
      <c r="AC496" s="51" t="b">
        <f t="shared" si="324"/>
        <v>1</v>
      </c>
      <c r="AD496" s="51">
        <f>COUNTIF($X$5:$X$496, "Not Used")</f>
        <v>492</v>
      </c>
      <c r="AE496" s="51">
        <f>COUNTIF($X$5:$X$496, "TRUE")</f>
        <v>0</v>
      </c>
      <c r="AF496" s="51" t="b">
        <f t="shared" si="325"/>
        <v>1</v>
      </c>
      <c r="AI496" s="51" t="b">
        <f t="shared" si="326"/>
        <v>0</v>
      </c>
      <c r="AJ496" s="51" t="b">
        <f t="shared" si="327"/>
        <v>0</v>
      </c>
      <c r="AK496" s="51" t="b">
        <f t="shared" si="328"/>
        <v>0</v>
      </c>
      <c r="AL496" s="51" t="b">
        <f t="shared" si="329"/>
        <v>0</v>
      </c>
      <c r="AM496" s="51" t="b">
        <f t="shared" si="330"/>
        <v>0</v>
      </c>
      <c r="AN496" s="51"/>
      <c r="AO496" s="51" t="b">
        <f t="shared" si="331"/>
        <v>0</v>
      </c>
      <c r="AP496" s="51" t="str">
        <f t="shared" si="353"/>
        <v>Not in MMS</v>
      </c>
      <c r="AQ496" s="51" t="b">
        <f t="shared" si="332"/>
        <v>0</v>
      </c>
      <c r="AR496" s="51" t="b">
        <f t="shared" si="333"/>
        <v>0</v>
      </c>
      <c r="AS496" s="51" t="str">
        <f t="shared" si="334"/>
        <v/>
      </c>
      <c r="AT496" s="51" t="str">
        <f t="shared" si="335"/>
        <v/>
      </c>
      <c r="AU496" s="51" t="str">
        <f t="shared" si="336"/>
        <v/>
      </c>
      <c r="AV496" s="51" t="str">
        <f t="shared" si="337"/>
        <v/>
      </c>
      <c r="AW496" s="51" t="str">
        <f t="shared" si="338"/>
        <v/>
      </c>
      <c r="AX496" s="51" t="str">
        <f t="shared" si="339"/>
        <v/>
      </c>
      <c r="AY496" s="51" t="str">
        <f t="shared" si="340"/>
        <v/>
      </c>
      <c r="AZ496" s="51" t="str">
        <f t="shared" si="341"/>
        <v/>
      </c>
      <c r="BA496" s="51" t="str">
        <f t="shared" si="342"/>
        <v/>
      </c>
      <c r="BB496" s="51" t="str">
        <f t="shared" si="343"/>
        <v/>
      </c>
      <c r="BC496" s="51" t="str">
        <f t="shared" si="344"/>
        <v/>
      </c>
      <c r="BD496" s="51" t="str">
        <f t="shared" si="345"/>
        <v/>
      </c>
      <c r="BE496" s="51" t="str">
        <f t="shared" si="346"/>
        <v/>
      </c>
      <c r="BF496" s="51" t="str">
        <f t="shared" si="347"/>
        <v/>
      </c>
      <c r="BG496" s="51" t="str">
        <f t="shared" si="348"/>
        <v/>
      </c>
      <c r="BH496" s="51" t="b">
        <f t="shared" si="349"/>
        <v>0</v>
      </c>
      <c r="BI496" s="51" t="str">
        <f t="shared" si="350"/>
        <v/>
      </c>
      <c r="BJ496" s="51" t="str">
        <f t="shared" si="351"/>
        <v/>
      </c>
      <c r="BK496" s="51" t="b">
        <f t="shared" si="352"/>
        <v>0</v>
      </c>
      <c r="BL496" s="192"/>
    </row>
    <row r="497" spans="1:64" ht="13.5" thickBot="1" x14ac:dyDescent="0.25">
      <c r="A497" s="185" t="s">
        <v>1174</v>
      </c>
      <c r="B497" s="194" t="s">
        <v>695</v>
      </c>
      <c r="C497" s="194" t="s">
        <v>695</v>
      </c>
      <c r="D497" s="194" t="s">
        <v>695</v>
      </c>
      <c r="E497" s="193" t="s">
        <v>694</v>
      </c>
      <c r="F497" s="160" t="s">
        <v>20</v>
      </c>
      <c r="G497" s="161"/>
      <c r="H497" s="186" t="str">
        <f t="shared" si="310"/>
        <v>N/A</v>
      </c>
      <c r="I497" s="186" t="b">
        <f t="shared" si="311"/>
        <v>1</v>
      </c>
      <c r="J497" s="186" t="str">
        <f t="shared" si="312"/>
        <v>N/A</v>
      </c>
      <c r="K497" s="186" t="b">
        <f t="shared" si="313"/>
        <v>1</v>
      </c>
      <c r="L497" s="186" t="str">
        <f t="shared" si="314"/>
        <v>N/A</v>
      </c>
      <c r="M497" s="186" t="b">
        <f t="shared" si="315"/>
        <v>1</v>
      </c>
      <c r="N497" s="186" t="str">
        <f t="shared" si="316"/>
        <v>Used?</v>
      </c>
      <c r="O497" s="186" t="b">
        <f t="shared" si="317"/>
        <v>0</v>
      </c>
      <c r="P497" s="26" t="s">
        <v>696</v>
      </c>
      <c r="Q497" s="160" t="s">
        <v>20</v>
      </c>
      <c r="R497" s="160" t="s">
        <v>20</v>
      </c>
      <c r="S497" s="26" t="s">
        <v>697</v>
      </c>
      <c r="T497" s="165" t="str">
        <f t="shared" si="318"/>
        <v>Not Used</v>
      </c>
      <c r="U497" s="162"/>
      <c r="V497" s="55"/>
      <c r="W497" s="51" t="b">
        <f t="shared" si="319"/>
        <v>1</v>
      </c>
      <c r="X497" s="51" t="str">
        <f t="shared" si="320"/>
        <v>Not Used</v>
      </c>
      <c r="Y497" s="51" t="str">
        <f t="shared" si="321"/>
        <v>Not Used</v>
      </c>
      <c r="Z497" s="51" t="str">
        <f t="shared" si="322"/>
        <v>Not Used</v>
      </c>
      <c r="AA497" s="51" t="str">
        <f t="shared" si="322"/>
        <v>Not Used</v>
      </c>
      <c r="AB497" s="51" t="str">
        <f t="shared" si="323"/>
        <v>Not Used</v>
      </c>
      <c r="AC497" s="51" t="b">
        <f t="shared" si="324"/>
        <v>1</v>
      </c>
      <c r="AD497" s="51">
        <f>COUNTIF($X$5:$X$497, "Not Used")</f>
        <v>493</v>
      </c>
      <c r="AE497" s="51">
        <f>COUNTIF($X$5:$X$497, "TRUE")</f>
        <v>0</v>
      </c>
      <c r="AF497" s="51" t="b">
        <f t="shared" si="325"/>
        <v>1</v>
      </c>
      <c r="AI497" s="51" t="b">
        <f t="shared" si="326"/>
        <v>0</v>
      </c>
      <c r="AJ497" s="51" t="b">
        <f t="shared" si="327"/>
        <v>0</v>
      </c>
      <c r="AK497" s="51" t="b">
        <f t="shared" si="328"/>
        <v>0</v>
      </c>
      <c r="AL497" s="51" t="b">
        <f t="shared" si="329"/>
        <v>0</v>
      </c>
      <c r="AM497" s="51" t="b">
        <f t="shared" si="330"/>
        <v>0</v>
      </c>
      <c r="AN497" s="51"/>
      <c r="AO497" s="51" t="b">
        <f t="shared" si="331"/>
        <v>0</v>
      </c>
      <c r="AP497" s="51" t="str">
        <f t="shared" si="353"/>
        <v>Not in MMS</v>
      </c>
      <c r="AQ497" s="51" t="b">
        <f t="shared" si="332"/>
        <v>0</v>
      </c>
      <c r="AR497" s="51" t="b">
        <f t="shared" si="333"/>
        <v>0</v>
      </c>
      <c r="AS497" s="51" t="str">
        <f t="shared" si="334"/>
        <v/>
      </c>
      <c r="AT497" s="51" t="str">
        <f t="shared" si="335"/>
        <v/>
      </c>
      <c r="AU497" s="51" t="str">
        <f t="shared" si="336"/>
        <v/>
      </c>
      <c r="AV497" s="51" t="str">
        <f t="shared" si="337"/>
        <v/>
      </c>
      <c r="AW497" s="51" t="str">
        <f t="shared" si="338"/>
        <v/>
      </c>
      <c r="AX497" s="51" t="str">
        <f t="shared" si="339"/>
        <v/>
      </c>
      <c r="AY497" s="51" t="str">
        <f t="shared" si="340"/>
        <v/>
      </c>
      <c r="AZ497" s="51" t="str">
        <f t="shared" si="341"/>
        <v/>
      </c>
      <c r="BA497" s="51" t="str">
        <f t="shared" si="342"/>
        <v/>
      </c>
      <c r="BB497" s="51" t="str">
        <f t="shared" si="343"/>
        <v/>
      </c>
      <c r="BC497" s="51" t="str">
        <f t="shared" si="344"/>
        <v/>
      </c>
      <c r="BD497" s="51" t="str">
        <f t="shared" si="345"/>
        <v/>
      </c>
      <c r="BE497" s="51" t="str">
        <f t="shared" si="346"/>
        <v/>
      </c>
      <c r="BF497" s="51" t="str">
        <f t="shared" si="347"/>
        <v/>
      </c>
      <c r="BG497" s="51" t="str">
        <f t="shared" si="348"/>
        <v/>
      </c>
      <c r="BH497" s="51" t="b">
        <f t="shared" si="349"/>
        <v>0</v>
      </c>
      <c r="BI497" s="51" t="str">
        <f t="shared" si="350"/>
        <v/>
      </c>
      <c r="BJ497" s="51" t="str">
        <f t="shared" si="351"/>
        <v/>
      </c>
      <c r="BK497" s="51" t="b">
        <f t="shared" si="352"/>
        <v>0</v>
      </c>
      <c r="BL497" s="192"/>
    </row>
    <row r="498" spans="1:64" ht="13.5" thickBot="1" x14ac:dyDescent="0.25">
      <c r="A498" s="185" t="s">
        <v>1175</v>
      </c>
      <c r="B498" s="194" t="s">
        <v>695</v>
      </c>
      <c r="C498" s="194" t="s">
        <v>695</v>
      </c>
      <c r="D498" s="194" t="s">
        <v>695</v>
      </c>
      <c r="E498" s="193" t="s">
        <v>694</v>
      </c>
      <c r="F498" s="160" t="s">
        <v>20</v>
      </c>
      <c r="G498" s="161"/>
      <c r="H498" s="186" t="str">
        <f t="shared" si="310"/>
        <v>N/A</v>
      </c>
      <c r="I498" s="186" t="b">
        <f t="shared" si="311"/>
        <v>1</v>
      </c>
      <c r="J498" s="186" t="str">
        <f t="shared" si="312"/>
        <v>N/A</v>
      </c>
      <c r="K498" s="186" t="b">
        <f t="shared" si="313"/>
        <v>1</v>
      </c>
      <c r="L498" s="186" t="str">
        <f t="shared" si="314"/>
        <v>N/A</v>
      </c>
      <c r="M498" s="186" t="b">
        <f t="shared" si="315"/>
        <v>1</v>
      </c>
      <c r="N498" s="186" t="str">
        <f t="shared" si="316"/>
        <v>Used?</v>
      </c>
      <c r="O498" s="186" t="b">
        <f t="shared" si="317"/>
        <v>0</v>
      </c>
      <c r="P498" s="26" t="s">
        <v>696</v>
      </c>
      <c r="Q498" s="160" t="s">
        <v>20</v>
      </c>
      <c r="R498" s="160" t="s">
        <v>20</v>
      </c>
      <c r="S498" s="26" t="s">
        <v>697</v>
      </c>
      <c r="T498" s="165" t="str">
        <f t="shared" si="318"/>
        <v>Not Used</v>
      </c>
      <c r="U498" s="162"/>
      <c r="V498" s="55"/>
      <c r="W498" s="51" t="b">
        <f t="shared" si="319"/>
        <v>1</v>
      </c>
      <c r="X498" s="51" t="str">
        <f t="shared" si="320"/>
        <v>Not Used</v>
      </c>
      <c r="Y498" s="51" t="str">
        <f t="shared" si="321"/>
        <v>Not Used</v>
      </c>
      <c r="Z498" s="51" t="str">
        <f t="shared" si="322"/>
        <v>Not Used</v>
      </c>
      <c r="AA498" s="51" t="str">
        <f t="shared" si="322"/>
        <v>Not Used</v>
      </c>
      <c r="AB498" s="51" t="str">
        <f t="shared" si="323"/>
        <v>Not Used</v>
      </c>
      <c r="AC498" s="51" t="b">
        <f t="shared" si="324"/>
        <v>1</v>
      </c>
      <c r="AD498" s="51">
        <f>COUNTIF($X$5:$X$498, "Not Used")</f>
        <v>494</v>
      </c>
      <c r="AE498" s="51">
        <f>COUNTIF($X$5:$X$498, "TRUE")</f>
        <v>0</v>
      </c>
      <c r="AF498" s="51" t="b">
        <f t="shared" si="325"/>
        <v>1</v>
      </c>
      <c r="AI498" s="51" t="b">
        <f t="shared" si="326"/>
        <v>0</v>
      </c>
      <c r="AJ498" s="51" t="b">
        <f t="shared" si="327"/>
        <v>0</v>
      </c>
      <c r="AK498" s="51" t="b">
        <f t="shared" si="328"/>
        <v>0</v>
      </c>
      <c r="AL498" s="51" t="b">
        <f t="shared" si="329"/>
        <v>0</v>
      </c>
      <c r="AM498" s="51" t="b">
        <f t="shared" si="330"/>
        <v>0</v>
      </c>
      <c r="AN498" s="51"/>
      <c r="AO498" s="51" t="b">
        <f t="shared" si="331"/>
        <v>0</v>
      </c>
      <c r="AP498" s="51" t="str">
        <f t="shared" si="353"/>
        <v>Not in MMS</v>
      </c>
      <c r="AQ498" s="51" t="b">
        <f t="shared" si="332"/>
        <v>0</v>
      </c>
      <c r="AR498" s="51" t="b">
        <f t="shared" si="333"/>
        <v>0</v>
      </c>
      <c r="AS498" s="51" t="str">
        <f t="shared" si="334"/>
        <v/>
      </c>
      <c r="AT498" s="51" t="str">
        <f t="shared" si="335"/>
        <v/>
      </c>
      <c r="AU498" s="51" t="str">
        <f t="shared" si="336"/>
        <v/>
      </c>
      <c r="AV498" s="51" t="str">
        <f t="shared" si="337"/>
        <v/>
      </c>
      <c r="AW498" s="51" t="str">
        <f t="shared" si="338"/>
        <v/>
      </c>
      <c r="AX498" s="51" t="str">
        <f t="shared" si="339"/>
        <v/>
      </c>
      <c r="AY498" s="51" t="str">
        <f t="shared" si="340"/>
        <v/>
      </c>
      <c r="AZ498" s="51" t="str">
        <f t="shared" si="341"/>
        <v/>
      </c>
      <c r="BA498" s="51" t="str">
        <f t="shared" si="342"/>
        <v/>
      </c>
      <c r="BB498" s="51" t="str">
        <f t="shared" si="343"/>
        <v/>
      </c>
      <c r="BC498" s="51" t="str">
        <f t="shared" si="344"/>
        <v/>
      </c>
      <c r="BD498" s="51" t="str">
        <f t="shared" si="345"/>
        <v/>
      </c>
      <c r="BE498" s="51" t="str">
        <f t="shared" si="346"/>
        <v/>
      </c>
      <c r="BF498" s="51" t="str">
        <f t="shared" si="347"/>
        <v/>
      </c>
      <c r="BG498" s="51" t="str">
        <f t="shared" si="348"/>
        <v/>
      </c>
      <c r="BH498" s="51" t="b">
        <f t="shared" si="349"/>
        <v>0</v>
      </c>
      <c r="BI498" s="51" t="str">
        <f t="shared" si="350"/>
        <v/>
      </c>
      <c r="BJ498" s="51" t="str">
        <f t="shared" si="351"/>
        <v/>
      </c>
      <c r="BK498" s="51" t="b">
        <f t="shared" si="352"/>
        <v>0</v>
      </c>
      <c r="BL498" s="192"/>
    </row>
    <row r="499" spans="1:64" ht="13.5" thickBot="1" x14ac:dyDescent="0.25">
      <c r="A499" s="185" t="s">
        <v>1176</v>
      </c>
      <c r="B499" s="194" t="s">
        <v>695</v>
      </c>
      <c r="C499" s="194" t="s">
        <v>695</v>
      </c>
      <c r="D499" s="194" t="s">
        <v>695</v>
      </c>
      <c r="E499" s="193" t="s">
        <v>694</v>
      </c>
      <c r="F499" s="160" t="s">
        <v>20</v>
      </c>
      <c r="G499" s="161"/>
      <c r="H499" s="186" t="str">
        <f t="shared" si="310"/>
        <v>N/A</v>
      </c>
      <c r="I499" s="186" t="b">
        <f t="shared" si="311"/>
        <v>1</v>
      </c>
      <c r="J499" s="186" t="str">
        <f t="shared" si="312"/>
        <v>N/A</v>
      </c>
      <c r="K499" s="186" t="b">
        <f t="shared" si="313"/>
        <v>1</v>
      </c>
      <c r="L499" s="186" t="str">
        <f t="shared" si="314"/>
        <v>N/A</v>
      </c>
      <c r="M499" s="186" t="b">
        <f t="shared" si="315"/>
        <v>1</v>
      </c>
      <c r="N499" s="186" t="str">
        <f t="shared" si="316"/>
        <v>Used?</v>
      </c>
      <c r="O499" s="186" t="b">
        <f t="shared" si="317"/>
        <v>0</v>
      </c>
      <c r="P499" s="26" t="s">
        <v>696</v>
      </c>
      <c r="Q499" s="160" t="s">
        <v>20</v>
      </c>
      <c r="R499" s="160" t="s">
        <v>20</v>
      </c>
      <c r="S499" s="26" t="s">
        <v>697</v>
      </c>
      <c r="T499" s="165" t="str">
        <f t="shared" si="318"/>
        <v>Not Used</v>
      </c>
      <c r="U499" s="162"/>
      <c r="V499" s="55"/>
      <c r="W499" s="51" t="b">
        <f t="shared" si="319"/>
        <v>1</v>
      </c>
      <c r="X499" s="51" t="str">
        <f t="shared" si="320"/>
        <v>Not Used</v>
      </c>
      <c r="Y499" s="51" t="str">
        <f t="shared" si="321"/>
        <v>Not Used</v>
      </c>
      <c r="Z499" s="51" t="str">
        <f t="shared" si="322"/>
        <v>Not Used</v>
      </c>
      <c r="AA499" s="51" t="str">
        <f t="shared" si="322"/>
        <v>Not Used</v>
      </c>
      <c r="AB499" s="51" t="str">
        <f t="shared" si="323"/>
        <v>Not Used</v>
      </c>
      <c r="AC499" s="51" t="b">
        <f t="shared" si="324"/>
        <v>1</v>
      </c>
      <c r="AD499" s="51">
        <f>COUNTIF($X$5:$X$499, "Not Used")</f>
        <v>495</v>
      </c>
      <c r="AE499" s="51">
        <f>COUNTIF($X$5:$X$499, "TRUE")</f>
        <v>0</v>
      </c>
      <c r="AF499" s="51" t="b">
        <f t="shared" si="325"/>
        <v>1</v>
      </c>
      <c r="AI499" s="51" t="b">
        <f t="shared" si="326"/>
        <v>0</v>
      </c>
      <c r="AJ499" s="51" t="b">
        <f t="shared" si="327"/>
        <v>0</v>
      </c>
      <c r="AK499" s="51" t="b">
        <f t="shared" si="328"/>
        <v>0</v>
      </c>
      <c r="AL499" s="51" t="b">
        <f t="shared" si="329"/>
        <v>0</v>
      </c>
      <c r="AM499" s="51" t="b">
        <f t="shared" si="330"/>
        <v>0</v>
      </c>
      <c r="AN499" s="51"/>
      <c r="AO499" s="51" t="b">
        <f t="shared" si="331"/>
        <v>0</v>
      </c>
      <c r="AP499" s="51" t="str">
        <f t="shared" si="353"/>
        <v>Not in MMS</v>
      </c>
      <c r="AQ499" s="51" t="b">
        <f t="shared" si="332"/>
        <v>0</v>
      </c>
      <c r="AR499" s="51" t="b">
        <f t="shared" si="333"/>
        <v>0</v>
      </c>
      <c r="AS499" s="51" t="str">
        <f t="shared" si="334"/>
        <v/>
      </c>
      <c r="AT499" s="51" t="str">
        <f t="shared" si="335"/>
        <v/>
      </c>
      <c r="AU499" s="51" t="str">
        <f t="shared" si="336"/>
        <v/>
      </c>
      <c r="AV499" s="51" t="str">
        <f t="shared" si="337"/>
        <v/>
      </c>
      <c r="AW499" s="51" t="str">
        <f t="shared" si="338"/>
        <v/>
      </c>
      <c r="AX499" s="51" t="str">
        <f t="shared" si="339"/>
        <v/>
      </c>
      <c r="AY499" s="51" t="str">
        <f t="shared" si="340"/>
        <v/>
      </c>
      <c r="AZ499" s="51" t="str">
        <f t="shared" si="341"/>
        <v/>
      </c>
      <c r="BA499" s="51" t="str">
        <f t="shared" si="342"/>
        <v/>
      </c>
      <c r="BB499" s="51" t="str">
        <f t="shared" si="343"/>
        <v/>
      </c>
      <c r="BC499" s="51" t="str">
        <f t="shared" si="344"/>
        <v/>
      </c>
      <c r="BD499" s="51" t="str">
        <f t="shared" si="345"/>
        <v/>
      </c>
      <c r="BE499" s="51" t="str">
        <f t="shared" si="346"/>
        <v/>
      </c>
      <c r="BF499" s="51" t="str">
        <f t="shared" si="347"/>
        <v/>
      </c>
      <c r="BG499" s="51" t="str">
        <f t="shared" si="348"/>
        <v/>
      </c>
      <c r="BH499" s="51" t="b">
        <f t="shared" si="349"/>
        <v>0</v>
      </c>
      <c r="BI499" s="51" t="str">
        <f t="shared" si="350"/>
        <v/>
      </c>
      <c r="BJ499" s="51" t="str">
        <f t="shared" si="351"/>
        <v/>
      </c>
      <c r="BK499" s="51" t="b">
        <f t="shared" si="352"/>
        <v>0</v>
      </c>
      <c r="BL499" s="192"/>
    </row>
    <row r="500" spans="1:64" ht="13.5" thickBot="1" x14ac:dyDescent="0.25">
      <c r="A500" s="185" t="s">
        <v>1177</v>
      </c>
      <c r="B500" s="194" t="s">
        <v>695</v>
      </c>
      <c r="C500" s="194" t="s">
        <v>695</v>
      </c>
      <c r="D500" s="194" t="s">
        <v>695</v>
      </c>
      <c r="E500" s="193" t="s">
        <v>694</v>
      </c>
      <c r="F500" s="160" t="s">
        <v>20</v>
      </c>
      <c r="G500" s="161"/>
      <c r="H500" s="186" t="str">
        <f t="shared" si="310"/>
        <v>N/A</v>
      </c>
      <c r="I500" s="186" t="b">
        <f t="shared" si="311"/>
        <v>1</v>
      </c>
      <c r="J500" s="186" t="str">
        <f t="shared" si="312"/>
        <v>N/A</v>
      </c>
      <c r="K500" s="186" t="b">
        <f t="shared" si="313"/>
        <v>1</v>
      </c>
      <c r="L500" s="186" t="str">
        <f t="shared" si="314"/>
        <v>N/A</v>
      </c>
      <c r="M500" s="186" t="b">
        <f t="shared" si="315"/>
        <v>1</v>
      </c>
      <c r="N500" s="186" t="str">
        <f t="shared" si="316"/>
        <v>Used?</v>
      </c>
      <c r="O500" s="186" t="b">
        <f t="shared" si="317"/>
        <v>0</v>
      </c>
      <c r="P500" s="26" t="s">
        <v>696</v>
      </c>
      <c r="Q500" s="160" t="s">
        <v>20</v>
      </c>
      <c r="R500" s="160" t="s">
        <v>20</v>
      </c>
      <c r="S500" s="26" t="s">
        <v>697</v>
      </c>
      <c r="T500" s="165" t="str">
        <f t="shared" si="318"/>
        <v>Not Used</v>
      </c>
      <c r="U500" s="162"/>
      <c r="V500" s="55"/>
      <c r="W500" s="51" t="b">
        <f t="shared" si="319"/>
        <v>1</v>
      </c>
      <c r="X500" s="51" t="str">
        <f t="shared" si="320"/>
        <v>Not Used</v>
      </c>
      <c r="Y500" s="51" t="str">
        <f t="shared" si="321"/>
        <v>Not Used</v>
      </c>
      <c r="Z500" s="51" t="str">
        <f t="shared" si="322"/>
        <v>Not Used</v>
      </c>
      <c r="AA500" s="51" t="str">
        <f t="shared" si="322"/>
        <v>Not Used</v>
      </c>
      <c r="AB500" s="51" t="str">
        <f t="shared" si="323"/>
        <v>Not Used</v>
      </c>
      <c r="AC500" s="51" t="b">
        <f t="shared" si="324"/>
        <v>1</v>
      </c>
      <c r="AD500" s="51">
        <f>COUNTIF($X$5:$X$500, "Not Used")</f>
        <v>496</v>
      </c>
      <c r="AE500" s="51">
        <f>COUNTIF($X$5:$X$500, "TRUE")</f>
        <v>0</v>
      </c>
      <c r="AF500" s="51" t="b">
        <f t="shared" si="325"/>
        <v>1</v>
      </c>
      <c r="AI500" s="51" t="b">
        <f t="shared" si="326"/>
        <v>0</v>
      </c>
      <c r="AJ500" s="51" t="b">
        <f t="shared" si="327"/>
        <v>0</v>
      </c>
      <c r="AK500" s="51" t="b">
        <f t="shared" si="328"/>
        <v>0</v>
      </c>
      <c r="AL500" s="51" t="b">
        <f t="shared" si="329"/>
        <v>0</v>
      </c>
      <c r="AM500" s="51" t="b">
        <f t="shared" si="330"/>
        <v>0</v>
      </c>
      <c r="AN500" s="51"/>
      <c r="AO500" s="51" t="b">
        <f t="shared" si="331"/>
        <v>0</v>
      </c>
      <c r="AP500" s="51" t="str">
        <f t="shared" si="353"/>
        <v>Not in MMS</v>
      </c>
      <c r="AQ500" s="51" t="b">
        <f t="shared" si="332"/>
        <v>0</v>
      </c>
      <c r="AR500" s="51" t="b">
        <f t="shared" si="333"/>
        <v>0</v>
      </c>
      <c r="AS500" s="51" t="str">
        <f t="shared" si="334"/>
        <v/>
      </c>
      <c r="AT500" s="51" t="str">
        <f t="shared" si="335"/>
        <v/>
      </c>
      <c r="AU500" s="51" t="str">
        <f t="shared" si="336"/>
        <v/>
      </c>
      <c r="AV500" s="51" t="str">
        <f t="shared" si="337"/>
        <v/>
      </c>
      <c r="AW500" s="51" t="str">
        <f t="shared" si="338"/>
        <v/>
      </c>
      <c r="AX500" s="51" t="str">
        <f t="shared" si="339"/>
        <v/>
      </c>
      <c r="AY500" s="51" t="str">
        <f t="shared" si="340"/>
        <v/>
      </c>
      <c r="AZ500" s="51" t="str">
        <f t="shared" si="341"/>
        <v/>
      </c>
      <c r="BA500" s="51" t="str">
        <f t="shared" si="342"/>
        <v/>
      </c>
      <c r="BB500" s="51" t="str">
        <f t="shared" si="343"/>
        <v/>
      </c>
      <c r="BC500" s="51" t="str">
        <f t="shared" si="344"/>
        <v/>
      </c>
      <c r="BD500" s="51" t="str">
        <f t="shared" si="345"/>
        <v/>
      </c>
      <c r="BE500" s="51" t="str">
        <f t="shared" si="346"/>
        <v/>
      </c>
      <c r="BF500" s="51" t="str">
        <f t="shared" si="347"/>
        <v/>
      </c>
      <c r="BG500" s="51" t="str">
        <f t="shared" si="348"/>
        <v/>
      </c>
      <c r="BH500" s="51" t="b">
        <f t="shared" si="349"/>
        <v>0</v>
      </c>
      <c r="BI500" s="51" t="str">
        <f t="shared" si="350"/>
        <v/>
      </c>
      <c r="BJ500" s="51" t="str">
        <f t="shared" si="351"/>
        <v/>
      </c>
      <c r="BK500" s="51" t="b">
        <f t="shared" si="352"/>
        <v>0</v>
      </c>
      <c r="BL500" s="192"/>
    </row>
    <row r="501" spans="1:64" ht="13.5" thickBot="1" x14ac:dyDescent="0.25">
      <c r="A501" s="185" t="s">
        <v>1178</v>
      </c>
      <c r="B501" s="194" t="s">
        <v>695</v>
      </c>
      <c r="C501" s="194" t="s">
        <v>695</v>
      </c>
      <c r="D501" s="194" t="s">
        <v>695</v>
      </c>
      <c r="E501" s="193" t="s">
        <v>694</v>
      </c>
      <c r="F501" s="160" t="s">
        <v>20</v>
      </c>
      <c r="G501" s="161"/>
      <c r="H501" s="186" t="str">
        <f t="shared" si="310"/>
        <v>N/A</v>
      </c>
      <c r="I501" s="186" t="b">
        <f t="shared" si="311"/>
        <v>1</v>
      </c>
      <c r="J501" s="186" t="str">
        <f t="shared" si="312"/>
        <v>N/A</v>
      </c>
      <c r="K501" s="186" t="b">
        <f t="shared" si="313"/>
        <v>1</v>
      </c>
      <c r="L501" s="186" t="str">
        <f t="shared" si="314"/>
        <v>N/A</v>
      </c>
      <c r="M501" s="186" t="b">
        <f t="shared" si="315"/>
        <v>1</v>
      </c>
      <c r="N501" s="186" t="str">
        <f t="shared" si="316"/>
        <v>Used?</v>
      </c>
      <c r="O501" s="186" t="b">
        <f t="shared" si="317"/>
        <v>0</v>
      </c>
      <c r="P501" s="26" t="s">
        <v>696</v>
      </c>
      <c r="Q501" s="160" t="s">
        <v>20</v>
      </c>
      <c r="R501" s="160" t="s">
        <v>20</v>
      </c>
      <c r="S501" s="26" t="s">
        <v>697</v>
      </c>
      <c r="T501" s="165" t="str">
        <f t="shared" si="318"/>
        <v>Not Used</v>
      </c>
      <c r="U501" s="162"/>
      <c r="V501" s="55"/>
      <c r="W501" s="51" t="b">
        <f t="shared" si="319"/>
        <v>1</v>
      </c>
      <c r="X501" s="51" t="str">
        <f t="shared" si="320"/>
        <v>Not Used</v>
      </c>
      <c r="Y501" s="51" t="str">
        <f t="shared" si="321"/>
        <v>Not Used</v>
      </c>
      <c r="Z501" s="51" t="str">
        <f t="shared" si="322"/>
        <v>Not Used</v>
      </c>
      <c r="AA501" s="51" t="str">
        <f t="shared" si="322"/>
        <v>Not Used</v>
      </c>
      <c r="AB501" s="51" t="str">
        <f t="shared" si="323"/>
        <v>Not Used</v>
      </c>
      <c r="AC501" s="51" t="b">
        <f t="shared" si="324"/>
        <v>1</v>
      </c>
      <c r="AD501" s="51">
        <f>COUNTIF($X$5:$X$501, "Not Used")</f>
        <v>497</v>
      </c>
      <c r="AE501" s="51">
        <f>COUNTIF($X$5:$X$501, "TRUE")</f>
        <v>0</v>
      </c>
      <c r="AF501" s="51" t="b">
        <f t="shared" si="325"/>
        <v>1</v>
      </c>
      <c r="AI501" s="51" t="b">
        <f t="shared" si="326"/>
        <v>0</v>
      </c>
      <c r="AJ501" s="51" t="b">
        <f t="shared" si="327"/>
        <v>0</v>
      </c>
      <c r="AK501" s="51" t="b">
        <f t="shared" si="328"/>
        <v>0</v>
      </c>
      <c r="AL501" s="51" t="b">
        <f t="shared" si="329"/>
        <v>0</v>
      </c>
      <c r="AM501" s="51" t="b">
        <f t="shared" si="330"/>
        <v>0</v>
      </c>
      <c r="AN501" s="51"/>
      <c r="AO501" s="51" t="b">
        <f t="shared" si="331"/>
        <v>0</v>
      </c>
      <c r="AP501" s="51" t="str">
        <f t="shared" si="353"/>
        <v>Not in MMS</v>
      </c>
      <c r="AQ501" s="51" t="b">
        <f t="shared" si="332"/>
        <v>0</v>
      </c>
      <c r="AR501" s="51" t="b">
        <f t="shared" si="333"/>
        <v>0</v>
      </c>
      <c r="AS501" s="51" t="str">
        <f t="shared" si="334"/>
        <v/>
      </c>
      <c r="AT501" s="51" t="str">
        <f t="shared" si="335"/>
        <v/>
      </c>
      <c r="AU501" s="51" t="str">
        <f t="shared" si="336"/>
        <v/>
      </c>
      <c r="AV501" s="51" t="str">
        <f t="shared" si="337"/>
        <v/>
      </c>
      <c r="AW501" s="51" t="str">
        <f t="shared" si="338"/>
        <v/>
      </c>
      <c r="AX501" s="51" t="str">
        <f t="shared" si="339"/>
        <v/>
      </c>
      <c r="AY501" s="51" t="str">
        <f t="shared" si="340"/>
        <v/>
      </c>
      <c r="AZ501" s="51" t="str">
        <f t="shared" si="341"/>
        <v/>
      </c>
      <c r="BA501" s="51" t="str">
        <f t="shared" si="342"/>
        <v/>
      </c>
      <c r="BB501" s="51" t="str">
        <f t="shared" si="343"/>
        <v/>
      </c>
      <c r="BC501" s="51" t="str">
        <f t="shared" si="344"/>
        <v/>
      </c>
      <c r="BD501" s="51" t="str">
        <f t="shared" si="345"/>
        <v/>
      </c>
      <c r="BE501" s="51" t="str">
        <f t="shared" si="346"/>
        <v/>
      </c>
      <c r="BF501" s="51" t="str">
        <f t="shared" si="347"/>
        <v/>
      </c>
      <c r="BG501" s="51" t="str">
        <f t="shared" si="348"/>
        <v/>
      </c>
      <c r="BH501" s="51" t="b">
        <f t="shared" si="349"/>
        <v>0</v>
      </c>
      <c r="BI501" s="51" t="str">
        <f t="shared" si="350"/>
        <v/>
      </c>
      <c r="BJ501" s="51" t="str">
        <f t="shared" si="351"/>
        <v/>
      </c>
      <c r="BK501" s="51" t="b">
        <f t="shared" si="352"/>
        <v>0</v>
      </c>
      <c r="BL501" s="192"/>
    </row>
    <row r="502" spans="1:64" ht="13.5" thickBot="1" x14ac:dyDescent="0.25">
      <c r="A502" s="185" t="s">
        <v>1179</v>
      </c>
      <c r="B502" s="194" t="s">
        <v>695</v>
      </c>
      <c r="C502" s="194" t="s">
        <v>695</v>
      </c>
      <c r="D502" s="194" t="s">
        <v>695</v>
      </c>
      <c r="E502" s="193" t="s">
        <v>694</v>
      </c>
      <c r="F502" s="160" t="s">
        <v>20</v>
      </c>
      <c r="G502" s="161"/>
      <c r="H502" s="186" t="str">
        <f t="shared" si="310"/>
        <v>N/A</v>
      </c>
      <c r="I502" s="186" t="b">
        <f t="shared" si="311"/>
        <v>1</v>
      </c>
      <c r="J502" s="186" t="str">
        <f t="shared" si="312"/>
        <v>N/A</v>
      </c>
      <c r="K502" s="186" t="b">
        <f t="shared" si="313"/>
        <v>1</v>
      </c>
      <c r="L502" s="186" t="str">
        <f t="shared" si="314"/>
        <v>N/A</v>
      </c>
      <c r="M502" s="186" t="b">
        <f t="shared" si="315"/>
        <v>1</v>
      </c>
      <c r="N502" s="186" t="str">
        <f t="shared" si="316"/>
        <v>Used?</v>
      </c>
      <c r="O502" s="186" t="b">
        <f t="shared" si="317"/>
        <v>0</v>
      </c>
      <c r="P502" s="26" t="s">
        <v>696</v>
      </c>
      <c r="Q502" s="160" t="s">
        <v>20</v>
      </c>
      <c r="R502" s="160" t="s">
        <v>20</v>
      </c>
      <c r="S502" s="26" t="s">
        <v>697</v>
      </c>
      <c r="T502" s="165" t="str">
        <f t="shared" si="318"/>
        <v>Not Used</v>
      </c>
      <c r="U502" s="162"/>
      <c r="V502" s="55"/>
      <c r="W502" s="51" t="b">
        <f t="shared" si="319"/>
        <v>1</v>
      </c>
      <c r="X502" s="51" t="str">
        <f t="shared" si="320"/>
        <v>Not Used</v>
      </c>
      <c r="Y502" s="51" t="str">
        <f t="shared" si="321"/>
        <v>Not Used</v>
      </c>
      <c r="Z502" s="51" t="str">
        <f t="shared" si="322"/>
        <v>Not Used</v>
      </c>
      <c r="AA502" s="51" t="str">
        <f t="shared" si="322"/>
        <v>Not Used</v>
      </c>
      <c r="AB502" s="51" t="str">
        <f t="shared" si="323"/>
        <v>Not Used</v>
      </c>
      <c r="AC502" s="51" t="b">
        <f t="shared" si="324"/>
        <v>1</v>
      </c>
      <c r="AD502" s="51">
        <f>COUNTIF($X$5:$X$502, "Not Used")</f>
        <v>498</v>
      </c>
      <c r="AE502" s="51">
        <f>COUNTIF($X$5:$X$502, "TRUE")</f>
        <v>0</v>
      </c>
      <c r="AF502" s="51" t="b">
        <f t="shared" si="325"/>
        <v>1</v>
      </c>
      <c r="AI502" s="51" t="b">
        <f t="shared" si="326"/>
        <v>0</v>
      </c>
      <c r="AJ502" s="51" t="b">
        <f t="shared" si="327"/>
        <v>0</v>
      </c>
      <c r="AK502" s="51" t="b">
        <f t="shared" si="328"/>
        <v>0</v>
      </c>
      <c r="AL502" s="51" t="b">
        <f t="shared" si="329"/>
        <v>0</v>
      </c>
      <c r="AM502" s="51" t="b">
        <f t="shared" si="330"/>
        <v>0</v>
      </c>
      <c r="AN502" s="51"/>
      <c r="AO502" s="51" t="b">
        <f t="shared" si="331"/>
        <v>0</v>
      </c>
      <c r="AP502" s="51" t="str">
        <f t="shared" si="353"/>
        <v>Not in MMS</v>
      </c>
      <c r="AQ502" s="51" t="b">
        <f t="shared" si="332"/>
        <v>0</v>
      </c>
      <c r="AR502" s="51" t="b">
        <f t="shared" si="333"/>
        <v>0</v>
      </c>
      <c r="AS502" s="51" t="str">
        <f t="shared" si="334"/>
        <v/>
      </c>
      <c r="AT502" s="51" t="str">
        <f t="shared" si="335"/>
        <v/>
      </c>
      <c r="AU502" s="51" t="str">
        <f t="shared" si="336"/>
        <v/>
      </c>
      <c r="AV502" s="51" t="str">
        <f t="shared" si="337"/>
        <v/>
      </c>
      <c r="AW502" s="51" t="str">
        <f t="shared" si="338"/>
        <v/>
      </c>
      <c r="AX502" s="51" t="str">
        <f t="shared" si="339"/>
        <v/>
      </c>
      <c r="AY502" s="51" t="str">
        <f t="shared" si="340"/>
        <v/>
      </c>
      <c r="AZ502" s="51" t="str">
        <f t="shared" si="341"/>
        <v/>
      </c>
      <c r="BA502" s="51" t="str">
        <f t="shared" si="342"/>
        <v/>
      </c>
      <c r="BB502" s="51" t="str">
        <f t="shared" si="343"/>
        <v/>
      </c>
      <c r="BC502" s="51" t="str">
        <f t="shared" si="344"/>
        <v/>
      </c>
      <c r="BD502" s="51" t="str">
        <f t="shared" si="345"/>
        <v/>
      </c>
      <c r="BE502" s="51" t="str">
        <f t="shared" si="346"/>
        <v/>
      </c>
      <c r="BF502" s="51" t="str">
        <f t="shared" si="347"/>
        <v/>
      </c>
      <c r="BG502" s="51" t="str">
        <f t="shared" si="348"/>
        <v/>
      </c>
      <c r="BH502" s="51" t="b">
        <f t="shared" si="349"/>
        <v>0</v>
      </c>
      <c r="BI502" s="51" t="str">
        <f t="shared" si="350"/>
        <v/>
      </c>
      <c r="BJ502" s="51" t="str">
        <f t="shared" si="351"/>
        <v/>
      </c>
      <c r="BK502" s="51" t="b">
        <f t="shared" si="352"/>
        <v>0</v>
      </c>
      <c r="BL502" s="192"/>
    </row>
    <row r="503" spans="1:64" ht="13.5" thickBot="1" x14ac:dyDescent="0.25">
      <c r="A503" s="185" t="s">
        <v>1906</v>
      </c>
      <c r="B503" s="194" t="s">
        <v>695</v>
      </c>
      <c r="C503" s="194" t="s">
        <v>695</v>
      </c>
      <c r="D503" s="194" t="s">
        <v>695</v>
      </c>
      <c r="E503" s="193" t="s">
        <v>694</v>
      </c>
      <c r="F503" s="160" t="s">
        <v>20</v>
      </c>
      <c r="G503" s="161"/>
      <c r="H503" s="186" t="str">
        <f t="shared" si="310"/>
        <v>N/A</v>
      </c>
      <c r="I503" s="186" t="b">
        <f t="shared" si="311"/>
        <v>1</v>
      </c>
      <c r="J503" s="186" t="str">
        <f t="shared" si="312"/>
        <v>N/A</v>
      </c>
      <c r="K503" s="186" t="b">
        <f t="shared" si="313"/>
        <v>1</v>
      </c>
      <c r="L503" s="186" t="str">
        <f t="shared" si="314"/>
        <v>N/A</v>
      </c>
      <c r="M503" s="186" t="b">
        <f t="shared" si="315"/>
        <v>1</v>
      </c>
      <c r="N503" s="186" t="str">
        <f t="shared" si="316"/>
        <v>Used?</v>
      </c>
      <c r="O503" s="186" t="b">
        <f t="shared" si="317"/>
        <v>0</v>
      </c>
      <c r="P503" s="26" t="s">
        <v>696</v>
      </c>
      <c r="Q503" s="160" t="s">
        <v>20</v>
      </c>
      <c r="R503" s="160" t="s">
        <v>20</v>
      </c>
      <c r="S503" s="26" t="s">
        <v>697</v>
      </c>
      <c r="T503" s="165" t="str">
        <f t="shared" si="318"/>
        <v>Not Used</v>
      </c>
      <c r="U503" s="162"/>
      <c r="V503" s="55"/>
      <c r="W503" s="51" t="b">
        <f t="shared" si="319"/>
        <v>1</v>
      </c>
      <c r="X503" s="51" t="str">
        <f t="shared" si="320"/>
        <v>Not Used</v>
      </c>
      <c r="Y503" s="51" t="str">
        <f t="shared" si="321"/>
        <v>Not Used</v>
      </c>
      <c r="Z503" s="51" t="str">
        <f t="shared" si="322"/>
        <v>Not Used</v>
      </c>
      <c r="AA503" s="51" t="str">
        <f t="shared" si="322"/>
        <v>Not Used</v>
      </c>
      <c r="AB503" s="51" t="str">
        <f t="shared" si="323"/>
        <v>Not Used</v>
      </c>
      <c r="AC503" s="51" t="b">
        <f t="shared" si="324"/>
        <v>1</v>
      </c>
      <c r="AD503" s="51">
        <f>COUNTIF($X$5:$X$505, "Not Used")</f>
        <v>501</v>
      </c>
      <c r="AE503" s="51">
        <f>COUNTIF($X$5:$X$505, "TRUE")</f>
        <v>0</v>
      </c>
      <c r="AF503" s="51" t="b">
        <f t="shared" si="325"/>
        <v>1</v>
      </c>
      <c r="AI503" s="51" t="b">
        <f t="shared" si="326"/>
        <v>0</v>
      </c>
      <c r="AJ503" s="51" t="b">
        <f t="shared" si="327"/>
        <v>0</v>
      </c>
      <c r="AK503" s="51" t="b">
        <f t="shared" si="328"/>
        <v>0</v>
      </c>
      <c r="AL503" s="51" t="b">
        <f t="shared" si="329"/>
        <v>0</v>
      </c>
      <c r="AM503" s="51" t="b">
        <f t="shared" si="330"/>
        <v>0</v>
      </c>
      <c r="AN503" s="51"/>
      <c r="AO503" s="51" t="b">
        <f t="shared" si="331"/>
        <v>0</v>
      </c>
      <c r="AP503" s="51" t="str">
        <f t="shared" si="353"/>
        <v>Not in MMS</v>
      </c>
      <c r="AQ503" s="51" t="b">
        <f t="shared" si="332"/>
        <v>0</v>
      </c>
      <c r="AR503" s="51" t="b">
        <f t="shared" si="333"/>
        <v>0</v>
      </c>
      <c r="AS503" s="51" t="str">
        <f t="shared" si="334"/>
        <v/>
      </c>
      <c r="AT503" s="51" t="str">
        <f t="shared" si="335"/>
        <v/>
      </c>
      <c r="AU503" s="51" t="str">
        <f t="shared" si="336"/>
        <v/>
      </c>
      <c r="AV503" s="51" t="str">
        <f t="shared" si="337"/>
        <v/>
      </c>
      <c r="AW503" s="51" t="str">
        <f t="shared" si="338"/>
        <v/>
      </c>
      <c r="AX503" s="51" t="str">
        <f t="shared" si="339"/>
        <v/>
      </c>
      <c r="AY503" s="51" t="str">
        <f t="shared" si="340"/>
        <v/>
      </c>
      <c r="AZ503" s="51" t="str">
        <f t="shared" si="341"/>
        <v/>
      </c>
      <c r="BA503" s="51" t="str">
        <f t="shared" si="342"/>
        <v/>
      </c>
      <c r="BB503" s="51" t="str">
        <f t="shared" si="343"/>
        <v/>
      </c>
      <c r="BC503" s="51" t="str">
        <f t="shared" si="344"/>
        <v/>
      </c>
      <c r="BD503" s="51" t="str">
        <f t="shared" si="345"/>
        <v/>
      </c>
      <c r="BE503" s="51" t="str">
        <f t="shared" si="346"/>
        <v/>
      </c>
      <c r="BF503" s="51" t="str">
        <f t="shared" si="347"/>
        <v/>
      </c>
      <c r="BG503" s="51" t="str">
        <f t="shared" si="348"/>
        <v/>
      </c>
      <c r="BH503" s="51" t="b">
        <f t="shared" si="349"/>
        <v>0</v>
      </c>
      <c r="BI503" s="51" t="str">
        <f t="shared" si="350"/>
        <v/>
      </c>
      <c r="BJ503" s="51" t="str">
        <f t="shared" si="351"/>
        <v/>
      </c>
      <c r="BK503" s="51" t="b">
        <f t="shared" si="352"/>
        <v>0</v>
      </c>
      <c r="BL503" s="192"/>
    </row>
    <row r="504" spans="1:64" ht="13.5" thickBot="1" x14ac:dyDescent="0.25">
      <c r="A504" s="185" t="s">
        <v>1907</v>
      </c>
      <c r="B504" s="194" t="s">
        <v>695</v>
      </c>
      <c r="C504" s="194" t="s">
        <v>695</v>
      </c>
      <c r="D504" s="194" t="s">
        <v>695</v>
      </c>
      <c r="E504" s="193" t="s">
        <v>694</v>
      </c>
      <c r="F504" s="160" t="s">
        <v>20</v>
      </c>
      <c r="G504" s="161"/>
      <c r="H504" s="186" t="str">
        <f t="shared" si="310"/>
        <v>N/A</v>
      </c>
      <c r="I504" s="186" t="b">
        <f t="shared" si="311"/>
        <v>1</v>
      </c>
      <c r="J504" s="186" t="str">
        <f t="shared" si="312"/>
        <v>N/A</v>
      </c>
      <c r="K504" s="186" t="b">
        <f t="shared" si="313"/>
        <v>1</v>
      </c>
      <c r="L504" s="186" t="str">
        <f t="shared" si="314"/>
        <v>N/A</v>
      </c>
      <c r="M504" s="186" t="b">
        <f t="shared" si="315"/>
        <v>1</v>
      </c>
      <c r="N504" s="186" t="str">
        <f t="shared" si="316"/>
        <v>Used?</v>
      </c>
      <c r="O504" s="186" t="b">
        <f t="shared" si="317"/>
        <v>0</v>
      </c>
      <c r="P504" s="26" t="s">
        <v>696</v>
      </c>
      <c r="Q504" s="160" t="s">
        <v>20</v>
      </c>
      <c r="R504" s="160" t="s">
        <v>20</v>
      </c>
      <c r="S504" s="26" t="s">
        <v>697</v>
      </c>
      <c r="T504" s="165" t="str">
        <f t="shared" si="318"/>
        <v>Not Used</v>
      </c>
      <c r="U504" s="162"/>
      <c r="V504" s="55"/>
      <c r="W504" s="51" t="b">
        <f t="shared" si="319"/>
        <v>1</v>
      </c>
      <c r="X504" s="51" t="str">
        <f t="shared" si="320"/>
        <v>Not Used</v>
      </c>
      <c r="Y504" s="51" t="str">
        <f t="shared" si="321"/>
        <v>Not Used</v>
      </c>
      <c r="Z504" s="51" t="str">
        <f t="shared" si="322"/>
        <v>Not Used</v>
      </c>
      <c r="AA504" s="51" t="str">
        <f t="shared" si="322"/>
        <v>Not Used</v>
      </c>
      <c r="AB504" s="51" t="str">
        <f t="shared" si="323"/>
        <v>Not Used</v>
      </c>
      <c r="AC504" s="51" t="b">
        <f t="shared" si="324"/>
        <v>1</v>
      </c>
      <c r="AD504" s="51">
        <f>COUNTIF($X$5:$X$505, "Not Used")</f>
        <v>501</v>
      </c>
      <c r="AE504" s="51">
        <f>COUNTIF($X$5:$X$505, "TRUE")</f>
        <v>0</v>
      </c>
      <c r="AF504" s="51" t="b">
        <f t="shared" si="325"/>
        <v>1</v>
      </c>
      <c r="AI504" s="51" t="b">
        <f t="shared" si="326"/>
        <v>0</v>
      </c>
      <c r="AJ504" s="51" t="b">
        <f t="shared" si="327"/>
        <v>0</v>
      </c>
      <c r="AK504" s="51" t="b">
        <f t="shared" si="328"/>
        <v>0</v>
      </c>
      <c r="AL504" s="51" t="b">
        <f t="shared" si="329"/>
        <v>0</v>
      </c>
      <c r="AM504" s="51" t="b">
        <f t="shared" si="330"/>
        <v>0</v>
      </c>
      <c r="AN504" s="51"/>
      <c r="AO504" s="51" t="b">
        <f t="shared" si="331"/>
        <v>0</v>
      </c>
      <c r="AP504" s="51" t="str">
        <f t="shared" si="353"/>
        <v>Not in MMS</v>
      </c>
      <c r="AQ504" s="51" t="b">
        <f t="shared" si="332"/>
        <v>0</v>
      </c>
      <c r="AR504" s="51" t="b">
        <f t="shared" si="333"/>
        <v>0</v>
      </c>
      <c r="AS504" s="51" t="str">
        <f t="shared" si="334"/>
        <v/>
      </c>
      <c r="AT504" s="51" t="str">
        <f t="shared" si="335"/>
        <v/>
      </c>
      <c r="AU504" s="51" t="str">
        <f t="shared" si="336"/>
        <v/>
      </c>
      <c r="AV504" s="51" t="str">
        <f t="shared" si="337"/>
        <v/>
      </c>
      <c r="AW504" s="51" t="str">
        <f t="shared" si="338"/>
        <v/>
      </c>
      <c r="AX504" s="51" t="str">
        <f t="shared" si="339"/>
        <v/>
      </c>
      <c r="AY504" s="51" t="str">
        <f t="shared" si="340"/>
        <v/>
      </c>
      <c r="AZ504" s="51" t="str">
        <f t="shared" si="341"/>
        <v/>
      </c>
      <c r="BA504" s="51" t="str">
        <f t="shared" si="342"/>
        <v/>
      </c>
      <c r="BB504" s="51" t="str">
        <f t="shared" si="343"/>
        <v/>
      </c>
      <c r="BC504" s="51" t="str">
        <f t="shared" si="344"/>
        <v/>
      </c>
      <c r="BD504" s="51" t="str">
        <f t="shared" si="345"/>
        <v/>
      </c>
      <c r="BE504" s="51" t="str">
        <f t="shared" si="346"/>
        <v/>
      </c>
      <c r="BF504" s="51" t="str">
        <f t="shared" si="347"/>
        <v/>
      </c>
      <c r="BG504" s="51" t="str">
        <f t="shared" si="348"/>
        <v/>
      </c>
      <c r="BH504" s="51" t="b">
        <f t="shared" si="349"/>
        <v>0</v>
      </c>
      <c r="BI504" s="51" t="str">
        <f t="shared" si="350"/>
        <v/>
      </c>
      <c r="BJ504" s="51" t="str">
        <f t="shared" si="351"/>
        <v/>
      </c>
      <c r="BK504" s="51" t="b">
        <f t="shared" si="352"/>
        <v>0</v>
      </c>
      <c r="BL504" s="192"/>
    </row>
    <row r="505" spans="1:64" ht="13.5" thickBot="1" x14ac:dyDescent="0.25">
      <c r="A505" s="185" t="s">
        <v>1180</v>
      </c>
      <c r="B505" s="194" t="s">
        <v>695</v>
      </c>
      <c r="C505" s="194" t="s">
        <v>695</v>
      </c>
      <c r="D505" s="194" t="s">
        <v>695</v>
      </c>
      <c r="E505" s="193" t="s">
        <v>694</v>
      </c>
      <c r="F505" s="160" t="s">
        <v>20</v>
      </c>
      <c r="G505" s="161"/>
      <c r="H505" s="186" t="str">
        <f t="shared" si="310"/>
        <v>N/A</v>
      </c>
      <c r="I505" s="186" t="b">
        <f t="shared" si="311"/>
        <v>1</v>
      </c>
      <c r="J505" s="186" t="str">
        <f t="shared" si="312"/>
        <v>N/A</v>
      </c>
      <c r="K505" s="186" t="b">
        <f t="shared" si="313"/>
        <v>1</v>
      </c>
      <c r="L505" s="186" t="str">
        <f t="shared" si="314"/>
        <v>N/A</v>
      </c>
      <c r="M505" s="186" t="b">
        <f t="shared" si="315"/>
        <v>1</v>
      </c>
      <c r="N505" s="186" t="str">
        <f t="shared" si="316"/>
        <v>Used?</v>
      </c>
      <c r="O505" s="186" t="b">
        <f t="shared" si="317"/>
        <v>0</v>
      </c>
      <c r="P505" s="26" t="s">
        <v>696</v>
      </c>
      <c r="Q505" s="160" t="s">
        <v>20</v>
      </c>
      <c r="R505" s="160" t="s">
        <v>20</v>
      </c>
      <c r="S505" s="26" t="s">
        <v>697</v>
      </c>
      <c r="T505" s="165" t="str">
        <f t="shared" si="318"/>
        <v>Not Used</v>
      </c>
      <c r="U505" s="162"/>
      <c r="V505" s="55"/>
      <c r="W505" s="51" t="b">
        <f t="shared" si="319"/>
        <v>1</v>
      </c>
      <c r="X505" s="51" t="str">
        <f t="shared" si="320"/>
        <v>Not Used</v>
      </c>
      <c r="Y505" s="51" t="str">
        <f t="shared" si="321"/>
        <v>Not Used</v>
      </c>
      <c r="Z505" s="51" t="str">
        <f t="shared" si="322"/>
        <v>Not Used</v>
      </c>
      <c r="AA505" s="51" t="str">
        <f t="shared" si="322"/>
        <v>Not Used</v>
      </c>
      <c r="AB505" s="51" t="str">
        <f t="shared" si="323"/>
        <v>Not Used</v>
      </c>
      <c r="AC505" s="51" t="b">
        <f t="shared" si="324"/>
        <v>1</v>
      </c>
      <c r="AD505" s="51">
        <f>COUNTIF($X$5:$X$505, "Not Used")</f>
        <v>501</v>
      </c>
      <c r="AE505" s="51">
        <f>COUNTIF($X$5:$X$505, "TRUE")</f>
        <v>0</v>
      </c>
      <c r="AF505" s="51" t="b">
        <f t="shared" si="325"/>
        <v>1</v>
      </c>
      <c r="AI505" s="51" t="b">
        <f t="shared" si="326"/>
        <v>0</v>
      </c>
      <c r="AJ505" s="51" t="b">
        <f t="shared" si="327"/>
        <v>0</v>
      </c>
      <c r="AK505" s="51" t="b">
        <f t="shared" si="328"/>
        <v>0</v>
      </c>
      <c r="AL505" s="51" t="b">
        <f t="shared" si="329"/>
        <v>0</v>
      </c>
      <c r="AM505" s="51" t="b">
        <f t="shared" si="330"/>
        <v>0</v>
      </c>
      <c r="AN505" s="51"/>
      <c r="AO505" s="51" t="b">
        <f t="shared" si="331"/>
        <v>0</v>
      </c>
      <c r="AP505" s="51" t="str">
        <f t="shared" si="353"/>
        <v>Not in MMS</v>
      </c>
      <c r="AQ505" s="51" t="b">
        <f t="shared" si="332"/>
        <v>0</v>
      </c>
      <c r="AR505" s="51" t="b">
        <f t="shared" si="333"/>
        <v>0</v>
      </c>
      <c r="AS505" s="51" t="str">
        <f t="shared" si="334"/>
        <v/>
      </c>
      <c r="AT505" s="51" t="str">
        <f t="shared" si="335"/>
        <v/>
      </c>
      <c r="AU505" s="51" t="str">
        <f t="shared" si="336"/>
        <v/>
      </c>
      <c r="AV505" s="51" t="str">
        <f t="shared" si="337"/>
        <v/>
      </c>
      <c r="AW505" s="51" t="str">
        <f t="shared" si="338"/>
        <v/>
      </c>
      <c r="AX505" s="51" t="str">
        <f t="shared" si="339"/>
        <v/>
      </c>
      <c r="AY505" s="51" t="str">
        <f t="shared" si="340"/>
        <v/>
      </c>
      <c r="AZ505" s="51" t="str">
        <f t="shared" si="341"/>
        <v/>
      </c>
      <c r="BA505" s="51" t="str">
        <f t="shared" si="342"/>
        <v/>
      </c>
      <c r="BB505" s="51" t="str">
        <f t="shared" si="343"/>
        <v/>
      </c>
      <c r="BC505" s="51" t="str">
        <f t="shared" si="344"/>
        <v/>
      </c>
      <c r="BD505" s="51" t="str">
        <f t="shared" si="345"/>
        <v/>
      </c>
      <c r="BE505" s="51" t="str">
        <f t="shared" si="346"/>
        <v/>
      </c>
      <c r="BF505" s="51" t="str">
        <f t="shared" si="347"/>
        <v/>
      </c>
      <c r="BG505" s="51" t="str">
        <f t="shared" si="348"/>
        <v/>
      </c>
      <c r="BH505" s="51" t="b">
        <f t="shared" si="349"/>
        <v>0</v>
      </c>
      <c r="BI505" s="51" t="str">
        <f t="shared" si="350"/>
        <v/>
      </c>
      <c r="BJ505" s="51" t="str">
        <f t="shared" si="351"/>
        <v/>
      </c>
      <c r="BK505" s="51" t="b">
        <f t="shared" si="352"/>
        <v>0</v>
      </c>
      <c r="BL505" s="192"/>
    </row>
    <row r="506" spans="1:64" ht="13.5" thickBot="1" x14ac:dyDescent="0.25">
      <c r="A506" s="185" t="s">
        <v>1181</v>
      </c>
      <c r="B506" s="194" t="s">
        <v>695</v>
      </c>
      <c r="C506" s="194" t="s">
        <v>695</v>
      </c>
      <c r="D506" s="194" t="s">
        <v>695</v>
      </c>
      <c r="E506" s="193" t="s">
        <v>694</v>
      </c>
      <c r="F506" s="160" t="s">
        <v>20</v>
      </c>
      <c r="G506" s="161"/>
      <c r="H506" s="186" t="str">
        <f t="shared" si="310"/>
        <v>N/A</v>
      </c>
      <c r="I506" s="186" t="b">
        <f t="shared" si="311"/>
        <v>1</v>
      </c>
      <c r="J506" s="186" t="str">
        <f t="shared" si="312"/>
        <v>N/A</v>
      </c>
      <c r="K506" s="186" t="b">
        <f t="shared" si="313"/>
        <v>1</v>
      </c>
      <c r="L506" s="186" t="str">
        <f t="shared" si="314"/>
        <v>N/A</v>
      </c>
      <c r="M506" s="186" t="b">
        <f t="shared" si="315"/>
        <v>1</v>
      </c>
      <c r="N506" s="186" t="str">
        <f t="shared" si="316"/>
        <v>Used?</v>
      </c>
      <c r="O506" s="186" t="b">
        <f t="shared" si="317"/>
        <v>0</v>
      </c>
      <c r="P506" s="26" t="s">
        <v>696</v>
      </c>
      <c r="Q506" s="160" t="s">
        <v>20</v>
      </c>
      <c r="R506" s="160" t="s">
        <v>20</v>
      </c>
      <c r="S506" s="26" t="s">
        <v>697</v>
      </c>
      <c r="T506" s="165" t="str">
        <f t="shared" si="318"/>
        <v>Not Used</v>
      </c>
      <c r="U506" s="162"/>
      <c r="V506" s="55"/>
      <c r="W506" s="51" t="b">
        <f t="shared" si="319"/>
        <v>1</v>
      </c>
      <c r="X506" s="51" t="str">
        <f t="shared" si="320"/>
        <v>Not Used</v>
      </c>
      <c r="Y506" s="51" t="str">
        <f t="shared" si="321"/>
        <v>Not Used</v>
      </c>
      <c r="Z506" s="51" t="str">
        <f t="shared" si="322"/>
        <v>Not Used</v>
      </c>
      <c r="AA506" s="51" t="str">
        <f t="shared" si="322"/>
        <v>Not Used</v>
      </c>
      <c r="AB506" s="51" t="str">
        <f t="shared" si="323"/>
        <v>Not Used</v>
      </c>
      <c r="AC506" s="51" t="b">
        <f t="shared" si="324"/>
        <v>1</v>
      </c>
      <c r="AD506" s="51">
        <f>COUNTIF($X$5:$X$506, "Not Used")</f>
        <v>502</v>
      </c>
      <c r="AE506" s="51">
        <f>COUNTIF($X$5:$X$506, "TRUE")</f>
        <v>0</v>
      </c>
      <c r="AF506" s="51" t="b">
        <f t="shared" si="325"/>
        <v>1</v>
      </c>
      <c r="AI506" s="51" t="b">
        <f t="shared" si="326"/>
        <v>0</v>
      </c>
      <c r="AJ506" s="51" t="b">
        <f t="shared" si="327"/>
        <v>0</v>
      </c>
      <c r="AK506" s="51" t="b">
        <f t="shared" si="328"/>
        <v>0</v>
      </c>
      <c r="AL506" s="51" t="b">
        <f t="shared" si="329"/>
        <v>0</v>
      </c>
      <c r="AM506" s="51" t="b">
        <f t="shared" si="330"/>
        <v>0</v>
      </c>
      <c r="AN506" s="51"/>
      <c r="AO506" s="51" t="b">
        <f t="shared" si="331"/>
        <v>0</v>
      </c>
      <c r="AP506" s="51" t="str">
        <f t="shared" si="353"/>
        <v>Not in MMS</v>
      </c>
      <c r="AQ506" s="51" t="b">
        <f t="shared" si="332"/>
        <v>0</v>
      </c>
      <c r="AR506" s="51" t="b">
        <f t="shared" si="333"/>
        <v>0</v>
      </c>
      <c r="AS506" s="51" t="str">
        <f t="shared" si="334"/>
        <v/>
      </c>
      <c r="AT506" s="51" t="str">
        <f t="shared" si="335"/>
        <v/>
      </c>
      <c r="AU506" s="51" t="str">
        <f t="shared" si="336"/>
        <v/>
      </c>
      <c r="AV506" s="51" t="str">
        <f t="shared" si="337"/>
        <v/>
      </c>
      <c r="AW506" s="51" t="str">
        <f t="shared" si="338"/>
        <v/>
      </c>
      <c r="AX506" s="51" t="str">
        <f t="shared" si="339"/>
        <v/>
      </c>
      <c r="AY506" s="51" t="str">
        <f t="shared" si="340"/>
        <v/>
      </c>
      <c r="AZ506" s="51" t="str">
        <f t="shared" si="341"/>
        <v/>
      </c>
      <c r="BA506" s="51" t="str">
        <f t="shared" si="342"/>
        <v/>
      </c>
      <c r="BB506" s="51" t="str">
        <f t="shared" si="343"/>
        <v/>
      </c>
      <c r="BC506" s="51" t="str">
        <f t="shared" si="344"/>
        <v/>
      </c>
      <c r="BD506" s="51" t="str">
        <f t="shared" si="345"/>
        <v/>
      </c>
      <c r="BE506" s="51" t="str">
        <f t="shared" si="346"/>
        <v/>
      </c>
      <c r="BF506" s="51" t="str">
        <f t="shared" si="347"/>
        <v/>
      </c>
      <c r="BG506" s="51" t="str">
        <f t="shared" si="348"/>
        <v/>
      </c>
      <c r="BH506" s="51" t="b">
        <f t="shared" si="349"/>
        <v>0</v>
      </c>
      <c r="BI506" s="51" t="str">
        <f t="shared" si="350"/>
        <v/>
      </c>
      <c r="BJ506" s="51" t="str">
        <f t="shared" si="351"/>
        <v/>
      </c>
      <c r="BK506" s="51" t="b">
        <f t="shared" si="352"/>
        <v>0</v>
      </c>
      <c r="BL506" s="192"/>
    </row>
    <row r="507" spans="1:64" ht="13.5" thickBot="1" x14ac:dyDescent="0.25">
      <c r="A507" s="185" t="s">
        <v>1182</v>
      </c>
      <c r="B507" s="194" t="s">
        <v>695</v>
      </c>
      <c r="C507" s="194" t="s">
        <v>695</v>
      </c>
      <c r="D507" s="194" t="s">
        <v>695</v>
      </c>
      <c r="E507" s="193" t="s">
        <v>694</v>
      </c>
      <c r="F507" s="160" t="s">
        <v>20</v>
      </c>
      <c r="G507" s="161"/>
      <c r="H507" s="186" t="str">
        <f t="shared" si="310"/>
        <v>N/A</v>
      </c>
      <c r="I507" s="186" t="b">
        <f t="shared" si="311"/>
        <v>1</v>
      </c>
      <c r="J507" s="186" t="str">
        <f t="shared" si="312"/>
        <v>N/A</v>
      </c>
      <c r="K507" s="186" t="b">
        <f t="shared" si="313"/>
        <v>1</v>
      </c>
      <c r="L507" s="186" t="str">
        <f t="shared" si="314"/>
        <v>N/A</v>
      </c>
      <c r="M507" s="186" t="b">
        <f t="shared" si="315"/>
        <v>1</v>
      </c>
      <c r="N507" s="186" t="str">
        <f t="shared" si="316"/>
        <v>Used?</v>
      </c>
      <c r="O507" s="186" t="b">
        <f t="shared" si="317"/>
        <v>0</v>
      </c>
      <c r="P507" s="26" t="s">
        <v>696</v>
      </c>
      <c r="Q507" s="160" t="s">
        <v>20</v>
      </c>
      <c r="R507" s="160" t="s">
        <v>20</v>
      </c>
      <c r="S507" s="26" t="s">
        <v>697</v>
      </c>
      <c r="T507" s="165" t="str">
        <f t="shared" si="318"/>
        <v>Not Used</v>
      </c>
      <c r="U507" s="162"/>
      <c r="V507" s="55"/>
      <c r="W507" s="51" t="b">
        <f t="shared" si="319"/>
        <v>1</v>
      </c>
      <c r="X507" s="51" t="str">
        <f t="shared" si="320"/>
        <v>Not Used</v>
      </c>
      <c r="Y507" s="51" t="str">
        <f t="shared" si="321"/>
        <v>Not Used</v>
      </c>
      <c r="Z507" s="51" t="str">
        <f t="shared" si="322"/>
        <v>Not Used</v>
      </c>
      <c r="AA507" s="51" t="str">
        <f t="shared" si="322"/>
        <v>Not Used</v>
      </c>
      <c r="AB507" s="51" t="str">
        <f t="shared" si="323"/>
        <v>Not Used</v>
      </c>
      <c r="AC507" s="51" t="b">
        <f t="shared" si="324"/>
        <v>1</v>
      </c>
      <c r="AD507" s="51">
        <f>COUNTIF($X$5:$X$507, "Not Used")</f>
        <v>503</v>
      </c>
      <c r="AE507" s="51">
        <f>COUNTIF($X$5:$X$507, "TRUE")</f>
        <v>0</v>
      </c>
      <c r="AF507" s="51" t="b">
        <f t="shared" si="325"/>
        <v>1</v>
      </c>
      <c r="AI507" s="51" t="b">
        <f t="shared" si="326"/>
        <v>0</v>
      </c>
      <c r="AJ507" s="51" t="b">
        <f t="shared" si="327"/>
        <v>0</v>
      </c>
      <c r="AK507" s="51" t="b">
        <f t="shared" si="328"/>
        <v>0</v>
      </c>
      <c r="AL507" s="51" t="b">
        <f t="shared" si="329"/>
        <v>0</v>
      </c>
      <c r="AM507" s="51" t="b">
        <f t="shared" si="330"/>
        <v>0</v>
      </c>
      <c r="AN507" s="51"/>
      <c r="AO507" s="51" t="b">
        <f t="shared" si="331"/>
        <v>0</v>
      </c>
      <c r="AP507" s="51" t="str">
        <f t="shared" si="353"/>
        <v>Not in MMS</v>
      </c>
      <c r="AQ507" s="51" t="b">
        <f t="shared" si="332"/>
        <v>0</v>
      </c>
      <c r="AR507" s="51" t="b">
        <f t="shared" si="333"/>
        <v>0</v>
      </c>
      <c r="AS507" s="51" t="str">
        <f t="shared" si="334"/>
        <v/>
      </c>
      <c r="AT507" s="51" t="str">
        <f t="shared" si="335"/>
        <v/>
      </c>
      <c r="AU507" s="51" t="str">
        <f t="shared" si="336"/>
        <v/>
      </c>
      <c r="AV507" s="51" t="str">
        <f t="shared" si="337"/>
        <v/>
      </c>
      <c r="AW507" s="51" t="str">
        <f t="shared" si="338"/>
        <v/>
      </c>
      <c r="AX507" s="51" t="str">
        <f t="shared" si="339"/>
        <v/>
      </c>
      <c r="AY507" s="51" t="str">
        <f t="shared" si="340"/>
        <v/>
      </c>
      <c r="AZ507" s="51" t="str">
        <f t="shared" si="341"/>
        <v/>
      </c>
      <c r="BA507" s="51" t="str">
        <f t="shared" si="342"/>
        <v/>
      </c>
      <c r="BB507" s="51" t="str">
        <f t="shared" si="343"/>
        <v/>
      </c>
      <c r="BC507" s="51" t="str">
        <f t="shared" si="344"/>
        <v/>
      </c>
      <c r="BD507" s="51" t="str">
        <f t="shared" si="345"/>
        <v/>
      </c>
      <c r="BE507" s="51" t="str">
        <f t="shared" si="346"/>
        <v/>
      </c>
      <c r="BF507" s="51" t="str">
        <f t="shared" si="347"/>
        <v/>
      </c>
      <c r="BG507" s="51" t="str">
        <f t="shared" si="348"/>
        <v/>
      </c>
      <c r="BH507" s="51" t="b">
        <f t="shared" si="349"/>
        <v>0</v>
      </c>
      <c r="BI507" s="51" t="str">
        <f t="shared" si="350"/>
        <v/>
      </c>
      <c r="BJ507" s="51" t="str">
        <f t="shared" si="351"/>
        <v/>
      </c>
      <c r="BK507" s="51" t="b">
        <f t="shared" si="352"/>
        <v>0</v>
      </c>
      <c r="BL507" s="192"/>
    </row>
    <row r="508" spans="1:64" ht="13.5" thickBot="1" x14ac:dyDescent="0.25">
      <c r="A508" s="185" t="s">
        <v>1183</v>
      </c>
      <c r="B508" s="194" t="s">
        <v>695</v>
      </c>
      <c r="C508" s="194" t="s">
        <v>695</v>
      </c>
      <c r="D508" s="194" t="s">
        <v>695</v>
      </c>
      <c r="E508" s="193" t="s">
        <v>694</v>
      </c>
      <c r="F508" s="160" t="s">
        <v>20</v>
      </c>
      <c r="G508" s="161"/>
      <c r="H508" s="186" t="str">
        <f t="shared" si="310"/>
        <v>N/A</v>
      </c>
      <c r="I508" s="186" t="b">
        <f t="shared" si="311"/>
        <v>1</v>
      </c>
      <c r="J508" s="186" t="str">
        <f t="shared" si="312"/>
        <v>N/A</v>
      </c>
      <c r="K508" s="186" t="b">
        <f t="shared" si="313"/>
        <v>1</v>
      </c>
      <c r="L508" s="186" t="str">
        <f t="shared" si="314"/>
        <v>N/A</v>
      </c>
      <c r="M508" s="186" t="b">
        <f t="shared" si="315"/>
        <v>1</v>
      </c>
      <c r="N508" s="186" t="str">
        <f t="shared" si="316"/>
        <v>Used?</v>
      </c>
      <c r="O508" s="186" t="b">
        <f t="shared" si="317"/>
        <v>0</v>
      </c>
      <c r="P508" s="26" t="s">
        <v>696</v>
      </c>
      <c r="Q508" s="160" t="s">
        <v>20</v>
      </c>
      <c r="R508" s="160" t="s">
        <v>20</v>
      </c>
      <c r="S508" s="26" t="s">
        <v>697</v>
      </c>
      <c r="T508" s="165" t="str">
        <f t="shared" si="318"/>
        <v>Not Used</v>
      </c>
      <c r="U508" s="162"/>
      <c r="V508" s="55"/>
      <c r="W508" s="51" t="b">
        <f t="shared" si="319"/>
        <v>1</v>
      </c>
      <c r="X508" s="51" t="str">
        <f t="shared" si="320"/>
        <v>Not Used</v>
      </c>
      <c r="Y508" s="51" t="str">
        <f t="shared" si="321"/>
        <v>Not Used</v>
      </c>
      <c r="Z508" s="51" t="str">
        <f t="shared" si="322"/>
        <v>Not Used</v>
      </c>
      <c r="AA508" s="51" t="str">
        <f t="shared" si="322"/>
        <v>Not Used</v>
      </c>
      <c r="AB508" s="51" t="str">
        <f t="shared" si="323"/>
        <v>Not Used</v>
      </c>
      <c r="AC508" s="51" t="b">
        <f t="shared" si="324"/>
        <v>1</v>
      </c>
      <c r="AD508" s="51">
        <f>COUNTIF($X$5:$X$508, "Not Used")</f>
        <v>504</v>
      </c>
      <c r="AE508" s="51">
        <f>COUNTIF($X$5:$X$508, "TRUE")</f>
        <v>0</v>
      </c>
      <c r="AF508" s="51" t="b">
        <f t="shared" si="325"/>
        <v>1</v>
      </c>
      <c r="AI508" s="51" t="b">
        <f t="shared" si="326"/>
        <v>0</v>
      </c>
      <c r="AJ508" s="51" t="b">
        <f t="shared" si="327"/>
        <v>0</v>
      </c>
      <c r="AK508" s="51" t="b">
        <f t="shared" si="328"/>
        <v>0</v>
      </c>
      <c r="AL508" s="51" t="b">
        <f t="shared" si="329"/>
        <v>0</v>
      </c>
      <c r="AM508" s="51" t="b">
        <f t="shared" si="330"/>
        <v>0</v>
      </c>
      <c r="AN508" s="51"/>
      <c r="AO508" s="51" t="b">
        <f t="shared" si="331"/>
        <v>0</v>
      </c>
      <c r="AP508" s="51" t="str">
        <f t="shared" si="353"/>
        <v>Not in MMS</v>
      </c>
      <c r="AQ508" s="51" t="b">
        <f t="shared" si="332"/>
        <v>0</v>
      </c>
      <c r="AR508" s="51" t="b">
        <f t="shared" si="333"/>
        <v>0</v>
      </c>
      <c r="AS508" s="51" t="str">
        <f t="shared" si="334"/>
        <v/>
      </c>
      <c r="AT508" s="51" t="str">
        <f t="shared" si="335"/>
        <v/>
      </c>
      <c r="AU508" s="51" t="str">
        <f t="shared" si="336"/>
        <v/>
      </c>
      <c r="AV508" s="51" t="str">
        <f t="shared" si="337"/>
        <v/>
      </c>
      <c r="AW508" s="51" t="str">
        <f t="shared" si="338"/>
        <v/>
      </c>
      <c r="AX508" s="51" t="str">
        <f t="shared" si="339"/>
        <v/>
      </c>
      <c r="AY508" s="51" t="str">
        <f t="shared" si="340"/>
        <v/>
      </c>
      <c r="AZ508" s="51" t="str">
        <f t="shared" si="341"/>
        <v/>
      </c>
      <c r="BA508" s="51" t="str">
        <f t="shared" si="342"/>
        <v/>
      </c>
      <c r="BB508" s="51" t="str">
        <f t="shared" si="343"/>
        <v/>
      </c>
      <c r="BC508" s="51" t="str">
        <f t="shared" si="344"/>
        <v/>
      </c>
      <c r="BD508" s="51" t="str">
        <f t="shared" si="345"/>
        <v/>
      </c>
      <c r="BE508" s="51" t="str">
        <f t="shared" si="346"/>
        <v/>
      </c>
      <c r="BF508" s="51" t="str">
        <f t="shared" si="347"/>
        <v/>
      </c>
      <c r="BG508" s="51" t="str">
        <f t="shared" si="348"/>
        <v/>
      </c>
      <c r="BH508" s="51" t="b">
        <f t="shared" si="349"/>
        <v>0</v>
      </c>
      <c r="BI508" s="51" t="str">
        <f t="shared" si="350"/>
        <v/>
      </c>
      <c r="BJ508" s="51" t="str">
        <f t="shared" si="351"/>
        <v/>
      </c>
      <c r="BK508" s="51" t="b">
        <f t="shared" si="352"/>
        <v>0</v>
      </c>
      <c r="BL508" s="192"/>
    </row>
    <row r="509" spans="1:64" ht="13.5" thickBot="1" x14ac:dyDescent="0.25">
      <c r="A509" s="185" t="s">
        <v>1184</v>
      </c>
      <c r="B509" s="194" t="s">
        <v>695</v>
      </c>
      <c r="C509" s="194" t="s">
        <v>695</v>
      </c>
      <c r="D509" s="194" t="s">
        <v>695</v>
      </c>
      <c r="E509" s="193" t="s">
        <v>694</v>
      </c>
      <c r="F509" s="160" t="s">
        <v>20</v>
      </c>
      <c r="G509" s="161"/>
      <c r="H509" s="186" t="str">
        <f t="shared" si="310"/>
        <v>N/A</v>
      </c>
      <c r="I509" s="186" t="b">
        <f t="shared" si="311"/>
        <v>1</v>
      </c>
      <c r="J509" s="186" t="str">
        <f t="shared" si="312"/>
        <v>N/A</v>
      </c>
      <c r="K509" s="186" t="b">
        <f t="shared" si="313"/>
        <v>1</v>
      </c>
      <c r="L509" s="186" t="str">
        <f t="shared" si="314"/>
        <v>N/A</v>
      </c>
      <c r="M509" s="186" t="b">
        <f t="shared" si="315"/>
        <v>1</v>
      </c>
      <c r="N509" s="186" t="str">
        <f t="shared" si="316"/>
        <v>Used?</v>
      </c>
      <c r="O509" s="186" t="b">
        <f t="shared" si="317"/>
        <v>0</v>
      </c>
      <c r="P509" s="26" t="s">
        <v>696</v>
      </c>
      <c r="Q509" s="160" t="s">
        <v>20</v>
      </c>
      <c r="R509" s="160" t="s">
        <v>20</v>
      </c>
      <c r="S509" s="26" t="s">
        <v>697</v>
      </c>
      <c r="T509" s="165" t="str">
        <f t="shared" si="318"/>
        <v>Not Used</v>
      </c>
      <c r="U509" s="162"/>
      <c r="V509" s="55"/>
      <c r="W509" s="51" t="b">
        <f t="shared" si="319"/>
        <v>1</v>
      </c>
      <c r="X509" s="51" t="str">
        <f t="shared" si="320"/>
        <v>Not Used</v>
      </c>
      <c r="Y509" s="51" t="str">
        <f t="shared" si="321"/>
        <v>Not Used</v>
      </c>
      <c r="Z509" s="51" t="str">
        <f t="shared" si="322"/>
        <v>Not Used</v>
      </c>
      <c r="AA509" s="51" t="str">
        <f t="shared" si="322"/>
        <v>Not Used</v>
      </c>
      <c r="AB509" s="51" t="str">
        <f t="shared" si="323"/>
        <v>Not Used</v>
      </c>
      <c r="AC509" s="51" t="b">
        <f t="shared" si="324"/>
        <v>1</v>
      </c>
      <c r="AD509" s="51">
        <f>COUNTIF($X$5:$X$509, "Not Used")</f>
        <v>505</v>
      </c>
      <c r="AE509" s="51">
        <f>COUNTIF($X$5:$X$509, "TRUE")</f>
        <v>0</v>
      </c>
      <c r="AF509" s="51" t="b">
        <f t="shared" si="325"/>
        <v>1</v>
      </c>
      <c r="AI509" s="51" t="b">
        <f t="shared" si="326"/>
        <v>0</v>
      </c>
      <c r="AJ509" s="51" t="b">
        <f t="shared" si="327"/>
        <v>0</v>
      </c>
      <c r="AK509" s="51" t="b">
        <f t="shared" si="328"/>
        <v>0</v>
      </c>
      <c r="AL509" s="51" t="b">
        <f t="shared" si="329"/>
        <v>0</v>
      </c>
      <c r="AM509" s="51" t="b">
        <f t="shared" si="330"/>
        <v>0</v>
      </c>
      <c r="AN509" s="51"/>
      <c r="AO509" s="51" t="b">
        <f t="shared" si="331"/>
        <v>0</v>
      </c>
      <c r="AP509" s="51" t="str">
        <f t="shared" si="353"/>
        <v>Not in MMS</v>
      </c>
      <c r="AQ509" s="51" t="b">
        <f t="shared" si="332"/>
        <v>0</v>
      </c>
      <c r="AR509" s="51" t="b">
        <f t="shared" si="333"/>
        <v>0</v>
      </c>
      <c r="AS509" s="51" t="str">
        <f t="shared" si="334"/>
        <v/>
      </c>
      <c r="AT509" s="51" t="str">
        <f t="shared" si="335"/>
        <v/>
      </c>
      <c r="AU509" s="51" t="str">
        <f t="shared" si="336"/>
        <v/>
      </c>
      <c r="AV509" s="51" t="str">
        <f t="shared" si="337"/>
        <v/>
      </c>
      <c r="AW509" s="51" t="str">
        <f t="shared" si="338"/>
        <v/>
      </c>
      <c r="AX509" s="51" t="str">
        <f t="shared" si="339"/>
        <v/>
      </c>
      <c r="AY509" s="51" t="str">
        <f t="shared" si="340"/>
        <v/>
      </c>
      <c r="AZ509" s="51" t="str">
        <f t="shared" si="341"/>
        <v/>
      </c>
      <c r="BA509" s="51" t="str">
        <f t="shared" si="342"/>
        <v/>
      </c>
      <c r="BB509" s="51" t="str">
        <f t="shared" si="343"/>
        <v/>
      </c>
      <c r="BC509" s="51" t="str">
        <f t="shared" si="344"/>
        <v/>
      </c>
      <c r="BD509" s="51" t="str">
        <f t="shared" si="345"/>
        <v/>
      </c>
      <c r="BE509" s="51" t="str">
        <f t="shared" si="346"/>
        <v/>
      </c>
      <c r="BF509" s="51" t="str">
        <f t="shared" si="347"/>
        <v/>
      </c>
      <c r="BG509" s="51" t="str">
        <f t="shared" si="348"/>
        <v/>
      </c>
      <c r="BH509" s="51" t="b">
        <f t="shared" si="349"/>
        <v>0</v>
      </c>
      <c r="BI509" s="51" t="str">
        <f t="shared" si="350"/>
        <v/>
      </c>
      <c r="BJ509" s="51" t="str">
        <f t="shared" si="351"/>
        <v/>
      </c>
      <c r="BK509" s="51" t="b">
        <f t="shared" si="352"/>
        <v>0</v>
      </c>
      <c r="BL509" s="192"/>
    </row>
    <row r="510" spans="1:64" ht="13.5" thickBot="1" x14ac:dyDescent="0.25">
      <c r="A510" s="185" t="s">
        <v>1185</v>
      </c>
      <c r="B510" s="194" t="s">
        <v>695</v>
      </c>
      <c r="C510" s="194" t="s">
        <v>695</v>
      </c>
      <c r="D510" s="194" t="s">
        <v>695</v>
      </c>
      <c r="E510" s="193" t="s">
        <v>694</v>
      </c>
      <c r="F510" s="160" t="s">
        <v>20</v>
      </c>
      <c r="G510" s="161"/>
      <c r="H510" s="186" t="str">
        <f t="shared" si="310"/>
        <v>N/A</v>
      </c>
      <c r="I510" s="186" t="b">
        <f t="shared" si="311"/>
        <v>1</v>
      </c>
      <c r="J510" s="186" t="str">
        <f t="shared" si="312"/>
        <v>N/A</v>
      </c>
      <c r="K510" s="186" t="b">
        <f t="shared" si="313"/>
        <v>1</v>
      </c>
      <c r="L510" s="186" t="str">
        <f t="shared" si="314"/>
        <v>N/A</v>
      </c>
      <c r="M510" s="186" t="b">
        <f t="shared" si="315"/>
        <v>1</v>
      </c>
      <c r="N510" s="186" t="str">
        <f t="shared" si="316"/>
        <v>Used?</v>
      </c>
      <c r="O510" s="186" t="b">
        <f t="shared" si="317"/>
        <v>0</v>
      </c>
      <c r="P510" s="26" t="s">
        <v>696</v>
      </c>
      <c r="Q510" s="160" t="s">
        <v>20</v>
      </c>
      <c r="R510" s="160" t="s">
        <v>20</v>
      </c>
      <c r="S510" s="26" t="s">
        <v>697</v>
      </c>
      <c r="T510" s="165" t="str">
        <f t="shared" si="318"/>
        <v>Not Used</v>
      </c>
      <c r="U510" s="162"/>
      <c r="V510" s="55"/>
      <c r="W510" s="51" t="b">
        <f t="shared" si="319"/>
        <v>1</v>
      </c>
      <c r="X510" s="51" t="str">
        <f t="shared" si="320"/>
        <v>Not Used</v>
      </c>
      <c r="Y510" s="51" t="str">
        <f t="shared" si="321"/>
        <v>Not Used</v>
      </c>
      <c r="Z510" s="51" t="str">
        <f t="shared" si="322"/>
        <v>Not Used</v>
      </c>
      <c r="AA510" s="51" t="str">
        <f t="shared" si="322"/>
        <v>Not Used</v>
      </c>
      <c r="AB510" s="51" t="str">
        <f t="shared" si="323"/>
        <v>Not Used</v>
      </c>
      <c r="AC510" s="51" t="b">
        <f t="shared" si="324"/>
        <v>1</v>
      </c>
      <c r="AD510" s="51">
        <f>COUNTIF($X$5:$X$510, "Not Used")</f>
        <v>506</v>
      </c>
      <c r="AE510" s="51">
        <f>COUNTIF($X$5:$X$510, "TRUE")</f>
        <v>0</v>
      </c>
      <c r="AF510" s="51" t="b">
        <f t="shared" si="325"/>
        <v>1</v>
      </c>
      <c r="AI510" s="51" t="b">
        <f t="shared" si="326"/>
        <v>0</v>
      </c>
      <c r="AJ510" s="51" t="b">
        <f t="shared" si="327"/>
        <v>0</v>
      </c>
      <c r="AK510" s="51" t="b">
        <f t="shared" si="328"/>
        <v>0</v>
      </c>
      <c r="AL510" s="51" t="b">
        <f t="shared" si="329"/>
        <v>0</v>
      </c>
      <c r="AM510" s="51" t="b">
        <f t="shared" si="330"/>
        <v>0</v>
      </c>
      <c r="AN510" s="51"/>
      <c r="AO510" s="51" t="b">
        <f t="shared" si="331"/>
        <v>0</v>
      </c>
      <c r="AP510" s="51" t="str">
        <f t="shared" si="353"/>
        <v>Not in MMS</v>
      </c>
      <c r="AQ510" s="51" t="b">
        <f t="shared" si="332"/>
        <v>0</v>
      </c>
      <c r="AR510" s="51" t="b">
        <f t="shared" si="333"/>
        <v>0</v>
      </c>
      <c r="AS510" s="51" t="str">
        <f t="shared" si="334"/>
        <v/>
      </c>
      <c r="AT510" s="51" t="str">
        <f t="shared" si="335"/>
        <v/>
      </c>
      <c r="AU510" s="51" t="str">
        <f t="shared" si="336"/>
        <v/>
      </c>
      <c r="AV510" s="51" t="str">
        <f t="shared" si="337"/>
        <v/>
      </c>
      <c r="AW510" s="51" t="str">
        <f t="shared" si="338"/>
        <v/>
      </c>
      <c r="AX510" s="51" t="str">
        <f t="shared" si="339"/>
        <v/>
      </c>
      <c r="AY510" s="51" t="str">
        <f t="shared" si="340"/>
        <v/>
      </c>
      <c r="AZ510" s="51" t="str">
        <f t="shared" si="341"/>
        <v/>
      </c>
      <c r="BA510" s="51" t="str">
        <f t="shared" si="342"/>
        <v/>
      </c>
      <c r="BB510" s="51" t="str">
        <f t="shared" si="343"/>
        <v/>
      </c>
      <c r="BC510" s="51" t="str">
        <f t="shared" si="344"/>
        <v/>
      </c>
      <c r="BD510" s="51" t="str">
        <f t="shared" si="345"/>
        <v/>
      </c>
      <c r="BE510" s="51" t="str">
        <f t="shared" si="346"/>
        <v/>
      </c>
      <c r="BF510" s="51" t="str">
        <f t="shared" si="347"/>
        <v/>
      </c>
      <c r="BG510" s="51" t="str">
        <f t="shared" si="348"/>
        <v/>
      </c>
      <c r="BH510" s="51" t="b">
        <f t="shared" si="349"/>
        <v>0</v>
      </c>
      <c r="BI510" s="51" t="str">
        <f t="shared" si="350"/>
        <v/>
      </c>
      <c r="BJ510" s="51" t="str">
        <f t="shared" si="351"/>
        <v/>
      </c>
      <c r="BK510" s="51" t="b">
        <f t="shared" si="352"/>
        <v>0</v>
      </c>
      <c r="BL510" s="192"/>
    </row>
    <row r="511" spans="1:64" ht="13.5" thickBot="1" x14ac:dyDescent="0.25">
      <c r="A511" s="185" t="s">
        <v>1186</v>
      </c>
      <c r="B511" s="194" t="s">
        <v>695</v>
      </c>
      <c r="C511" s="194" t="s">
        <v>695</v>
      </c>
      <c r="D511" s="194" t="s">
        <v>695</v>
      </c>
      <c r="E511" s="193" t="s">
        <v>694</v>
      </c>
      <c r="F511" s="160" t="s">
        <v>20</v>
      </c>
      <c r="G511" s="161"/>
      <c r="H511" s="186" t="str">
        <f t="shared" si="310"/>
        <v>N/A</v>
      </c>
      <c r="I511" s="186" t="b">
        <f t="shared" si="311"/>
        <v>1</v>
      </c>
      <c r="J511" s="186" t="str">
        <f t="shared" si="312"/>
        <v>N/A</v>
      </c>
      <c r="K511" s="186" t="b">
        <f t="shared" si="313"/>
        <v>1</v>
      </c>
      <c r="L511" s="186" t="str">
        <f t="shared" si="314"/>
        <v>N/A</v>
      </c>
      <c r="M511" s="186" t="b">
        <f t="shared" si="315"/>
        <v>1</v>
      </c>
      <c r="N511" s="186" t="str">
        <f t="shared" si="316"/>
        <v>Used?</v>
      </c>
      <c r="O511" s="186" t="b">
        <f t="shared" si="317"/>
        <v>0</v>
      </c>
      <c r="P511" s="26" t="s">
        <v>696</v>
      </c>
      <c r="Q511" s="160" t="s">
        <v>20</v>
      </c>
      <c r="R511" s="160" t="s">
        <v>20</v>
      </c>
      <c r="S511" s="26" t="s">
        <v>697</v>
      </c>
      <c r="T511" s="165" t="str">
        <f t="shared" si="318"/>
        <v>Not Used</v>
      </c>
      <c r="U511" s="162"/>
      <c r="V511" s="55"/>
      <c r="W511" s="51" t="b">
        <f t="shared" si="319"/>
        <v>1</v>
      </c>
      <c r="X511" s="51" t="str">
        <f t="shared" si="320"/>
        <v>Not Used</v>
      </c>
      <c r="Y511" s="51" t="str">
        <f t="shared" si="321"/>
        <v>Not Used</v>
      </c>
      <c r="Z511" s="51" t="str">
        <f t="shared" si="322"/>
        <v>Not Used</v>
      </c>
      <c r="AA511" s="51" t="str">
        <f t="shared" si="322"/>
        <v>Not Used</v>
      </c>
      <c r="AB511" s="51" t="str">
        <f t="shared" si="323"/>
        <v>Not Used</v>
      </c>
      <c r="AC511" s="51" t="b">
        <f t="shared" si="324"/>
        <v>1</v>
      </c>
      <c r="AD511" s="51">
        <f>COUNTIF($X$5:$X$511, "Not Used")</f>
        <v>507</v>
      </c>
      <c r="AE511" s="51">
        <f>COUNTIF($X$5:$X$511, "TRUE")</f>
        <v>0</v>
      </c>
      <c r="AF511" s="51" t="b">
        <f t="shared" si="325"/>
        <v>1</v>
      </c>
      <c r="AI511" s="51" t="b">
        <f t="shared" si="326"/>
        <v>0</v>
      </c>
      <c r="AJ511" s="51" t="b">
        <f t="shared" si="327"/>
        <v>0</v>
      </c>
      <c r="AK511" s="51" t="b">
        <f t="shared" si="328"/>
        <v>0</v>
      </c>
      <c r="AL511" s="51" t="b">
        <f t="shared" si="329"/>
        <v>0</v>
      </c>
      <c r="AM511" s="51" t="b">
        <f t="shared" si="330"/>
        <v>0</v>
      </c>
      <c r="AN511" s="51"/>
      <c r="AO511" s="51" t="b">
        <f t="shared" si="331"/>
        <v>0</v>
      </c>
      <c r="AP511" s="51" t="str">
        <f t="shared" si="353"/>
        <v>Not in MMS</v>
      </c>
      <c r="AQ511" s="51" t="b">
        <f t="shared" si="332"/>
        <v>0</v>
      </c>
      <c r="AR511" s="51" t="b">
        <f t="shared" si="333"/>
        <v>0</v>
      </c>
      <c r="AS511" s="51" t="str">
        <f t="shared" si="334"/>
        <v/>
      </c>
      <c r="AT511" s="51" t="str">
        <f t="shared" si="335"/>
        <v/>
      </c>
      <c r="AU511" s="51" t="str">
        <f t="shared" si="336"/>
        <v/>
      </c>
      <c r="AV511" s="51" t="str">
        <f t="shared" si="337"/>
        <v/>
      </c>
      <c r="AW511" s="51" t="str">
        <f t="shared" si="338"/>
        <v/>
      </c>
      <c r="AX511" s="51" t="str">
        <f t="shared" si="339"/>
        <v/>
      </c>
      <c r="AY511" s="51" t="str">
        <f t="shared" si="340"/>
        <v/>
      </c>
      <c r="AZ511" s="51" t="str">
        <f t="shared" si="341"/>
        <v/>
      </c>
      <c r="BA511" s="51" t="str">
        <f t="shared" si="342"/>
        <v/>
      </c>
      <c r="BB511" s="51" t="str">
        <f t="shared" si="343"/>
        <v/>
      </c>
      <c r="BC511" s="51" t="str">
        <f t="shared" si="344"/>
        <v/>
      </c>
      <c r="BD511" s="51" t="str">
        <f t="shared" si="345"/>
        <v/>
      </c>
      <c r="BE511" s="51" t="str">
        <f t="shared" si="346"/>
        <v/>
      </c>
      <c r="BF511" s="51" t="str">
        <f t="shared" si="347"/>
        <v/>
      </c>
      <c r="BG511" s="51" t="str">
        <f t="shared" si="348"/>
        <v/>
      </c>
      <c r="BH511" s="51" t="b">
        <f t="shared" si="349"/>
        <v>0</v>
      </c>
      <c r="BI511" s="51" t="str">
        <f t="shared" si="350"/>
        <v/>
      </c>
      <c r="BJ511" s="51" t="str">
        <f t="shared" si="351"/>
        <v/>
      </c>
      <c r="BK511" s="51" t="b">
        <f t="shared" si="352"/>
        <v>0</v>
      </c>
      <c r="BL511" s="192"/>
    </row>
    <row r="512" spans="1:64" ht="13.5" thickBot="1" x14ac:dyDescent="0.25">
      <c r="A512" s="185" t="s">
        <v>1187</v>
      </c>
      <c r="B512" s="194" t="s">
        <v>695</v>
      </c>
      <c r="C512" s="194" t="s">
        <v>695</v>
      </c>
      <c r="D512" s="194" t="s">
        <v>695</v>
      </c>
      <c r="E512" s="193" t="s">
        <v>694</v>
      </c>
      <c r="F512" s="160" t="s">
        <v>20</v>
      </c>
      <c r="G512" s="161"/>
      <c r="H512" s="186" t="str">
        <f t="shared" si="310"/>
        <v>N/A</v>
      </c>
      <c r="I512" s="186" t="b">
        <f t="shared" si="311"/>
        <v>1</v>
      </c>
      <c r="J512" s="186" t="str">
        <f t="shared" si="312"/>
        <v>N/A</v>
      </c>
      <c r="K512" s="186" t="b">
        <f t="shared" si="313"/>
        <v>1</v>
      </c>
      <c r="L512" s="186" t="str">
        <f t="shared" si="314"/>
        <v>N/A</v>
      </c>
      <c r="M512" s="186" t="b">
        <f t="shared" si="315"/>
        <v>1</v>
      </c>
      <c r="N512" s="186" t="str">
        <f t="shared" si="316"/>
        <v>Used?</v>
      </c>
      <c r="O512" s="186" t="b">
        <f t="shared" si="317"/>
        <v>0</v>
      </c>
      <c r="P512" s="26" t="s">
        <v>696</v>
      </c>
      <c r="Q512" s="160" t="s">
        <v>20</v>
      </c>
      <c r="R512" s="160" t="s">
        <v>20</v>
      </c>
      <c r="S512" s="26" t="s">
        <v>697</v>
      </c>
      <c r="T512" s="165" t="str">
        <f t="shared" si="318"/>
        <v>Not Used</v>
      </c>
      <c r="U512" s="162"/>
      <c r="V512" s="55"/>
      <c r="W512" s="51" t="b">
        <f t="shared" si="319"/>
        <v>1</v>
      </c>
      <c r="X512" s="51" t="str">
        <f t="shared" si="320"/>
        <v>Not Used</v>
      </c>
      <c r="Y512" s="51" t="str">
        <f t="shared" si="321"/>
        <v>Not Used</v>
      </c>
      <c r="Z512" s="51" t="str">
        <f t="shared" si="322"/>
        <v>Not Used</v>
      </c>
      <c r="AA512" s="51" t="str">
        <f t="shared" si="322"/>
        <v>Not Used</v>
      </c>
      <c r="AB512" s="51" t="str">
        <f t="shared" si="323"/>
        <v>Not Used</v>
      </c>
      <c r="AC512" s="51" t="b">
        <f t="shared" si="324"/>
        <v>1</v>
      </c>
      <c r="AD512" s="51">
        <f>COUNTIF($X$5:$X$512, "Not Used")</f>
        <v>508</v>
      </c>
      <c r="AE512" s="51">
        <f>COUNTIF($X$5:$X$512, "TRUE")</f>
        <v>0</v>
      </c>
      <c r="AF512" s="51" t="b">
        <f t="shared" si="325"/>
        <v>1</v>
      </c>
      <c r="AI512" s="51" t="b">
        <f t="shared" si="326"/>
        <v>0</v>
      </c>
      <c r="AJ512" s="51" t="b">
        <f t="shared" si="327"/>
        <v>0</v>
      </c>
      <c r="AK512" s="51" t="b">
        <f t="shared" si="328"/>
        <v>0</v>
      </c>
      <c r="AL512" s="51" t="b">
        <f t="shared" si="329"/>
        <v>0</v>
      </c>
      <c r="AM512" s="51" t="b">
        <f t="shared" si="330"/>
        <v>0</v>
      </c>
      <c r="AN512" s="51"/>
      <c r="AO512" s="51" t="b">
        <f t="shared" si="331"/>
        <v>0</v>
      </c>
      <c r="AP512" s="51" t="str">
        <f t="shared" si="353"/>
        <v>Not in MMS</v>
      </c>
      <c r="AQ512" s="51" t="b">
        <f t="shared" si="332"/>
        <v>0</v>
      </c>
      <c r="AR512" s="51" t="b">
        <f t="shared" si="333"/>
        <v>0</v>
      </c>
      <c r="AS512" s="51" t="str">
        <f t="shared" si="334"/>
        <v/>
      </c>
      <c r="AT512" s="51" t="str">
        <f t="shared" si="335"/>
        <v/>
      </c>
      <c r="AU512" s="51" t="str">
        <f t="shared" si="336"/>
        <v/>
      </c>
      <c r="AV512" s="51" t="str">
        <f t="shared" si="337"/>
        <v/>
      </c>
      <c r="AW512" s="51" t="str">
        <f t="shared" si="338"/>
        <v/>
      </c>
      <c r="AX512" s="51" t="str">
        <f t="shared" si="339"/>
        <v/>
      </c>
      <c r="AY512" s="51" t="str">
        <f t="shared" si="340"/>
        <v/>
      </c>
      <c r="AZ512" s="51" t="str">
        <f t="shared" si="341"/>
        <v/>
      </c>
      <c r="BA512" s="51" t="str">
        <f t="shared" si="342"/>
        <v/>
      </c>
      <c r="BB512" s="51" t="str">
        <f t="shared" si="343"/>
        <v/>
      </c>
      <c r="BC512" s="51" t="str">
        <f t="shared" si="344"/>
        <v/>
      </c>
      <c r="BD512" s="51" t="str">
        <f t="shared" si="345"/>
        <v/>
      </c>
      <c r="BE512" s="51" t="str">
        <f t="shared" si="346"/>
        <v/>
      </c>
      <c r="BF512" s="51" t="str">
        <f t="shared" si="347"/>
        <v/>
      </c>
      <c r="BG512" s="51" t="str">
        <f t="shared" si="348"/>
        <v/>
      </c>
      <c r="BH512" s="51" t="b">
        <f t="shared" si="349"/>
        <v>0</v>
      </c>
      <c r="BI512" s="51" t="str">
        <f t="shared" si="350"/>
        <v/>
      </c>
      <c r="BJ512" s="51" t="str">
        <f t="shared" si="351"/>
        <v/>
      </c>
      <c r="BK512" s="51" t="b">
        <f t="shared" si="352"/>
        <v>0</v>
      </c>
      <c r="BL512" s="192"/>
    </row>
    <row r="513" spans="1:64" ht="13.5" thickBot="1" x14ac:dyDescent="0.25">
      <c r="A513" s="185" t="s">
        <v>1188</v>
      </c>
      <c r="B513" s="194" t="s">
        <v>695</v>
      </c>
      <c r="C513" s="194" t="s">
        <v>695</v>
      </c>
      <c r="D513" s="194" t="s">
        <v>695</v>
      </c>
      <c r="E513" s="193" t="s">
        <v>694</v>
      </c>
      <c r="F513" s="160" t="s">
        <v>20</v>
      </c>
      <c r="G513" s="161"/>
      <c r="H513" s="186" t="str">
        <f t="shared" si="310"/>
        <v>N/A</v>
      </c>
      <c r="I513" s="186" t="b">
        <f t="shared" si="311"/>
        <v>1</v>
      </c>
      <c r="J513" s="186" t="str">
        <f t="shared" si="312"/>
        <v>N/A</v>
      </c>
      <c r="K513" s="186" t="b">
        <f t="shared" si="313"/>
        <v>1</v>
      </c>
      <c r="L513" s="186" t="str">
        <f t="shared" si="314"/>
        <v>N/A</v>
      </c>
      <c r="M513" s="186" t="b">
        <f t="shared" si="315"/>
        <v>1</v>
      </c>
      <c r="N513" s="186" t="str">
        <f t="shared" si="316"/>
        <v>Used?</v>
      </c>
      <c r="O513" s="186" t="b">
        <f t="shared" si="317"/>
        <v>0</v>
      </c>
      <c r="P513" s="26" t="s">
        <v>696</v>
      </c>
      <c r="Q513" s="160" t="s">
        <v>20</v>
      </c>
      <c r="R513" s="160" t="s">
        <v>20</v>
      </c>
      <c r="S513" s="26" t="s">
        <v>697</v>
      </c>
      <c r="T513" s="165" t="str">
        <f t="shared" si="318"/>
        <v>Not Used</v>
      </c>
      <c r="U513" s="162"/>
      <c r="V513" s="55"/>
      <c r="W513" s="51" t="b">
        <f t="shared" si="319"/>
        <v>1</v>
      </c>
      <c r="X513" s="51" t="str">
        <f t="shared" si="320"/>
        <v>Not Used</v>
      </c>
      <c r="Y513" s="51" t="str">
        <f t="shared" si="321"/>
        <v>Not Used</v>
      </c>
      <c r="Z513" s="51" t="str">
        <f t="shared" si="322"/>
        <v>Not Used</v>
      </c>
      <c r="AA513" s="51" t="str">
        <f t="shared" si="322"/>
        <v>Not Used</v>
      </c>
      <c r="AB513" s="51" t="str">
        <f t="shared" si="323"/>
        <v>Not Used</v>
      </c>
      <c r="AC513" s="51" t="b">
        <f t="shared" si="324"/>
        <v>1</v>
      </c>
      <c r="AD513" s="51">
        <f>COUNTIF($X$5:$X$513, "Not Used")</f>
        <v>509</v>
      </c>
      <c r="AE513" s="51">
        <f>COUNTIF($X$5:$X$513, "TRUE")</f>
        <v>0</v>
      </c>
      <c r="AF513" s="51" t="b">
        <f t="shared" si="325"/>
        <v>1</v>
      </c>
      <c r="AI513" s="51" t="b">
        <f t="shared" si="326"/>
        <v>0</v>
      </c>
      <c r="AJ513" s="51" t="b">
        <f t="shared" si="327"/>
        <v>0</v>
      </c>
      <c r="AK513" s="51" t="b">
        <f t="shared" si="328"/>
        <v>0</v>
      </c>
      <c r="AL513" s="51" t="b">
        <f t="shared" si="329"/>
        <v>0</v>
      </c>
      <c r="AM513" s="51" t="b">
        <f t="shared" si="330"/>
        <v>0</v>
      </c>
      <c r="AN513" s="51"/>
      <c r="AO513" s="51" t="b">
        <f t="shared" si="331"/>
        <v>0</v>
      </c>
      <c r="AP513" s="51" t="str">
        <f t="shared" si="353"/>
        <v>Not in MMS</v>
      </c>
      <c r="AQ513" s="51" t="b">
        <f t="shared" si="332"/>
        <v>0</v>
      </c>
      <c r="AR513" s="51" t="b">
        <f t="shared" si="333"/>
        <v>0</v>
      </c>
      <c r="AS513" s="51" t="str">
        <f t="shared" si="334"/>
        <v/>
      </c>
      <c r="AT513" s="51" t="str">
        <f t="shared" si="335"/>
        <v/>
      </c>
      <c r="AU513" s="51" t="str">
        <f t="shared" si="336"/>
        <v/>
      </c>
      <c r="AV513" s="51" t="str">
        <f t="shared" si="337"/>
        <v/>
      </c>
      <c r="AW513" s="51" t="str">
        <f t="shared" si="338"/>
        <v/>
      </c>
      <c r="AX513" s="51" t="str">
        <f t="shared" si="339"/>
        <v/>
      </c>
      <c r="AY513" s="51" t="str">
        <f t="shared" si="340"/>
        <v/>
      </c>
      <c r="AZ513" s="51" t="str">
        <f t="shared" si="341"/>
        <v/>
      </c>
      <c r="BA513" s="51" t="str">
        <f t="shared" si="342"/>
        <v/>
      </c>
      <c r="BB513" s="51" t="str">
        <f t="shared" si="343"/>
        <v/>
      </c>
      <c r="BC513" s="51" t="str">
        <f t="shared" si="344"/>
        <v/>
      </c>
      <c r="BD513" s="51" t="str">
        <f t="shared" si="345"/>
        <v/>
      </c>
      <c r="BE513" s="51" t="str">
        <f t="shared" si="346"/>
        <v/>
      </c>
      <c r="BF513" s="51" t="str">
        <f t="shared" si="347"/>
        <v/>
      </c>
      <c r="BG513" s="51" t="str">
        <f t="shared" si="348"/>
        <v/>
      </c>
      <c r="BH513" s="51" t="b">
        <f t="shared" si="349"/>
        <v>0</v>
      </c>
      <c r="BI513" s="51" t="str">
        <f t="shared" si="350"/>
        <v/>
      </c>
      <c r="BJ513" s="51" t="str">
        <f t="shared" si="351"/>
        <v/>
      </c>
      <c r="BK513" s="51" t="b">
        <f t="shared" si="352"/>
        <v>0</v>
      </c>
      <c r="BL513" s="192"/>
    </row>
    <row r="514" spans="1:64" ht="13.5" thickBot="1" x14ac:dyDescent="0.25">
      <c r="A514" s="185" t="s">
        <v>1189</v>
      </c>
      <c r="B514" s="194" t="s">
        <v>695</v>
      </c>
      <c r="C514" s="194" t="s">
        <v>695</v>
      </c>
      <c r="D514" s="194" t="s">
        <v>695</v>
      </c>
      <c r="E514" s="193" t="s">
        <v>694</v>
      </c>
      <c r="F514" s="160" t="s">
        <v>20</v>
      </c>
      <c r="G514" s="161"/>
      <c r="H514" s="186" t="str">
        <f t="shared" si="310"/>
        <v>N/A</v>
      </c>
      <c r="I514" s="186" t="b">
        <f t="shared" si="311"/>
        <v>1</v>
      </c>
      <c r="J514" s="186" t="str">
        <f t="shared" si="312"/>
        <v>N/A</v>
      </c>
      <c r="K514" s="186" t="b">
        <f t="shared" si="313"/>
        <v>1</v>
      </c>
      <c r="L514" s="186" t="str">
        <f t="shared" si="314"/>
        <v>N/A</v>
      </c>
      <c r="M514" s="186" t="b">
        <f t="shared" si="315"/>
        <v>1</v>
      </c>
      <c r="N514" s="186" t="str">
        <f t="shared" si="316"/>
        <v>Used?</v>
      </c>
      <c r="O514" s="186" t="b">
        <f t="shared" si="317"/>
        <v>0</v>
      </c>
      <c r="P514" s="26" t="s">
        <v>696</v>
      </c>
      <c r="Q514" s="160" t="s">
        <v>20</v>
      </c>
      <c r="R514" s="160" t="s">
        <v>20</v>
      </c>
      <c r="S514" s="26" t="s">
        <v>697</v>
      </c>
      <c r="T514" s="165" t="str">
        <f t="shared" si="318"/>
        <v>Not Used</v>
      </c>
      <c r="U514" s="162"/>
      <c r="V514" s="55"/>
      <c r="W514" s="51" t="b">
        <f t="shared" si="319"/>
        <v>1</v>
      </c>
      <c r="X514" s="51" t="str">
        <f t="shared" si="320"/>
        <v>Not Used</v>
      </c>
      <c r="Y514" s="51" t="str">
        <f t="shared" si="321"/>
        <v>Not Used</v>
      </c>
      <c r="Z514" s="51" t="str">
        <f t="shared" si="322"/>
        <v>Not Used</v>
      </c>
      <c r="AA514" s="51" t="str">
        <f t="shared" si="322"/>
        <v>Not Used</v>
      </c>
      <c r="AB514" s="51" t="str">
        <f t="shared" si="323"/>
        <v>Not Used</v>
      </c>
      <c r="AC514" s="51" t="b">
        <f t="shared" si="324"/>
        <v>1</v>
      </c>
      <c r="AD514" s="51">
        <f>COUNTIF($X$5:$X$514, "Not Used")</f>
        <v>510</v>
      </c>
      <c r="AE514" s="51">
        <f>COUNTIF($X$5:$X$514, "TRUE")</f>
        <v>0</v>
      </c>
      <c r="AF514" s="51" t="b">
        <f t="shared" si="325"/>
        <v>1</v>
      </c>
      <c r="AI514" s="51" t="b">
        <f t="shared" si="326"/>
        <v>0</v>
      </c>
      <c r="AJ514" s="51" t="b">
        <f t="shared" si="327"/>
        <v>0</v>
      </c>
      <c r="AK514" s="51" t="b">
        <f t="shared" si="328"/>
        <v>0</v>
      </c>
      <c r="AL514" s="51" t="b">
        <f t="shared" si="329"/>
        <v>0</v>
      </c>
      <c r="AM514" s="51" t="b">
        <f t="shared" si="330"/>
        <v>0</v>
      </c>
      <c r="AN514" s="51"/>
      <c r="AO514" s="51" t="b">
        <f t="shared" si="331"/>
        <v>0</v>
      </c>
      <c r="AP514" s="51" t="str">
        <f t="shared" si="353"/>
        <v>Not in MMS</v>
      </c>
      <c r="AQ514" s="51" t="b">
        <f t="shared" si="332"/>
        <v>0</v>
      </c>
      <c r="AR514" s="51" t="b">
        <f t="shared" si="333"/>
        <v>0</v>
      </c>
      <c r="AS514" s="51" t="str">
        <f t="shared" si="334"/>
        <v/>
      </c>
      <c r="AT514" s="51" t="str">
        <f t="shared" si="335"/>
        <v/>
      </c>
      <c r="AU514" s="51" t="str">
        <f t="shared" si="336"/>
        <v/>
      </c>
      <c r="AV514" s="51" t="str">
        <f t="shared" si="337"/>
        <v/>
      </c>
      <c r="AW514" s="51" t="str">
        <f t="shared" si="338"/>
        <v/>
      </c>
      <c r="AX514" s="51" t="str">
        <f t="shared" si="339"/>
        <v/>
      </c>
      <c r="AY514" s="51" t="str">
        <f t="shared" si="340"/>
        <v/>
      </c>
      <c r="AZ514" s="51" t="str">
        <f t="shared" si="341"/>
        <v/>
      </c>
      <c r="BA514" s="51" t="str">
        <f t="shared" si="342"/>
        <v/>
      </c>
      <c r="BB514" s="51" t="str">
        <f t="shared" si="343"/>
        <v/>
      </c>
      <c r="BC514" s="51" t="str">
        <f t="shared" si="344"/>
        <v/>
      </c>
      <c r="BD514" s="51" t="str">
        <f t="shared" si="345"/>
        <v/>
      </c>
      <c r="BE514" s="51" t="str">
        <f t="shared" si="346"/>
        <v/>
      </c>
      <c r="BF514" s="51" t="str">
        <f t="shared" si="347"/>
        <v/>
      </c>
      <c r="BG514" s="51" t="str">
        <f t="shared" si="348"/>
        <v/>
      </c>
      <c r="BH514" s="51" t="b">
        <f t="shared" si="349"/>
        <v>0</v>
      </c>
      <c r="BI514" s="51" t="str">
        <f t="shared" si="350"/>
        <v/>
      </c>
      <c r="BJ514" s="51" t="str">
        <f t="shared" si="351"/>
        <v/>
      </c>
      <c r="BK514" s="51" t="b">
        <f t="shared" si="352"/>
        <v>0</v>
      </c>
      <c r="BL514" s="192"/>
    </row>
    <row r="515" spans="1:64" ht="13.5" thickBot="1" x14ac:dyDescent="0.25">
      <c r="A515" s="185" t="s">
        <v>1190</v>
      </c>
      <c r="B515" s="194" t="s">
        <v>695</v>
      </c>
      <c r="C515" s="194" t="s">
        <v>695</v>
      </c>
      <c r="D515" s="194" t="s">
        <v>695</v>
      </c>
      <c r="E515" s="193" t="s">
        <v>694</v>
      </c>
      <c r="F515" s="160" t="s">
        <v>20</v>
      </c>
      <c r="G515" s="161"/>
      <c r="H515" s="186" t="str">
        <f t="shared" si="310"/>
        <v>N/A</v>
      </c>
      <c r="I515" s="186" t="b">
        <f t="shared" si="311"/>
        <v>1</v>
      </c>
      <c r="J515" s="186" t="str">
        <f t="shared" si="312"/>
        <v>N/A</v>
      </c>
      <c r="K515" s="186" t="b">
        <f t="shared" si="313"/>
        <v>1</v>
      </c>
      <c r="L515" s="186" t="str">
        <f t="shared" si="314"/>
        <v>N/A</v>
      </c>
      <c r="M515" s="186" t="b">
        <f t="shared" si="315"/>
        <v>1</v>
      </c>
      <c r="N515" s="186" t="str">
        <f t="shared" si="316"/>
        <v>Used?</v>
      </c>
      <c r="O515" s="186" t="b">
        <f t="shared" si="317"/>
        <v>0</v>
      </c>
      <c r="P515" s="26" t="s">
        <v>696</v>
      </c>
      <c r="Q515" s="160" t="s">
        <v>20</v>
      </c>
      <c r="R515" s="160" t="s">
        <v>20</v>
      </c>
      <c r="S515" s="26" t="s">
        <v>697</v>
      </c>
      <c r="T515" s="165" t="str">
        <f t="shared" si="318"/>
        <v>Not Used</v>
      </c>
      <c r="U515" s="162"/>
      <c r="V515" s="55"/>
      <c r="W515" s="51" t="b">
        <f t="shared" si="319"/>
        <v>1</v>
      </c>
      <c r="X515" s="51" t="str">
        <f t="shared" si="320"/>
        <v>Not Used</v>
      </c>
      <c r="Y515" s="51" t="str">
        <f t="shared" si="321"/>
        <v>Not Used</v>
      </c>
      <c r="Z515" s="51" t="str">
        <f t="shared" si="322"/>
        <v>Not Used</v>
      </c>
      <c r="AA515" s="51" t="str">
        <f t="shared" si="322"/>
        <v>Not Used</v>
      </c>
      <c r="AB515" s="51" t="str">
        <f t="shared" si="323"/>
        <v>Not Used</v>
      </c>
      <c r="AC515" s="51" t="b">
        <f t="shared" si="324"/>
        <v>1</v>
      </c>
      <c r="AD515" s="51">
        <f>COUNTIF($X$5:$X$515, "Not Used")</f>
        <v>511</v>
      </c>
      <c r="AE515" s="51">
        <f>COUNTIF($X$5:$X$515, "TRUE")</f>
        <v>0</v>
      </c>
      <c r="AF515" s="51" t="b">
        <f t="shared" si="325"/>
        <v>1</v>
      </c>
      <c r="AI515" s="51" t="b">
        <f t="shared" si="326"/>
        <v>0</v>
      </c>
      <c r="AJ515" s="51" t="b">
        <f t="shared" si="327"/>
        <v>0</v>
      </c>
      <c r="AK515" s="51" t="b">
        <f t="shared" si="328"/>
        <v>0</v>
      </c>
      <c r="AL515" s="51" t="b">
        <f t="shared" si="329"/>
        <v>0</v>
      </c>
      <c r="AM515" s="51" t="b">
        <f t="shared" si="330"/>
        <v>0</v>
      </c>
      <c r="AN515" s="51"/>
      <c r="AO515" s="51" t="b">
        <f t="shared" si="331"/>
        <v>0</v>
      </c>
      <c r="AP515" s="51" t="str">
        <f t="shared" si="353"/>
        <v>Not in MMS</v>
      </c>
      <c r="AQ515" s="51" t="b">
        <f t="shared" si="332"/>
        <v>0</v>
      </c>
      <c r="AR515" s="51" t="b">
        <f t="shared" si="333"/>
        <v>0</v>
      </c>
      <c r="AS515" s="51" t="str">
        <f t="shared" si="334"/>
        <v/>
      </c>
      <c r="AT515" s="51" t="str">
        <f t="shared" si="335"/>
        <v/>
      </c>
      <c r="AU515" s="51" t="str">
        <f t="shared" si="336"/>
        <v/>
      </c>
      <c r="AV515" s="51" t="str">
        <f t="shared" si="337"/>
        <v/>
      </c>
      <c r="AW515" s="51" t="str">
        <f t="shared" si="338"/>
        <v/>
      </c>
      <c r="AX515" s="51" t="str">
        <f t="shared" si="339"/>
        <v/>
      </c>
      <c r="AY515" s="51" t="str">
        <f t="shared" si="340"/>
        <v/>
      </c>
      <c r="AZ515" s="51" t="str">
        <f t="shared" si="341"/>
        <v/>
      </c>
      <c r="BA515" s="51" t="str">
        <f t="shared" si="342"/>
        <v/>
      </c>
      <c r="BB515" s="51" t="str">
        <f t="shared" si="343"/>
        <v/>
      </c>
      <c r="BC515" s="51" t="str">
        <f t="shared" si="344"/>
        <v/>
      </c>
      <c r="BD515" s="51" t="str">
        <f t="shared" si="345"/>
        <v/>
      </c>
      <c r="BE515" s="51" t="str">
        <f t="shared" si="346"/>
        <v/>
      </c>
      <c r="BF515" s="51" t="str">
        <f t="shared" si="347"/>
        <v/>
      </c>
      <c r="BG515" s="51" t="str">
        <f t="shared" si="348"/>
        <v/>
      </c>
      <c r="BH515" s="51" t="b">
        <f t="shared" si="349"/>
        <v>0</v>
      </c>
      <c r="BI515" s="51" t="str">
        <f t="shared" si="350"/>
        <v/>
      </c>
      <c r="BJ515" s="51" t="str">
        <f t="shared" si="351"/>
        <v/>
      </c>
      <c r="BK515" s="51" t="b">
        <f t="shared" si="352"/>
        <v>0</v>
      </c>
      <c r="BL515" s="192"/>
    </row>
    <row r="516" spans="1:64" ht="13.5" thickBot="1" x14ac:dyDescent="0.25">
      <c r="A516" s="185" t="s">
        <v>1191</v>
      </c>
      <c r="B516" s="194" t="s">
        <v>695</v>
      </c>
      <c r="C516" s="194" t="s">
        <v>695</v>
      </c>
      <c r="D516" s="194" t="s">
        <v>695</v>
      </c>
      <c r="E516" s="193" t="s">
        <v>694</v>
      </c>
      <c r="F516" s="160" t="s">
        <v>20</v>
      </c>
      <c r="G516" s="161"/>
      <c r="H516" s="186" t="str">
        <f t="shared" si="310"/>
        <v>N/A</v>
      </c>
      <c r="I516" s="186" t="b">
        <f t="shared" si="311"/>
        <v>1</v>
      </c>
      <c r="J516" s="186" t="str">
        <f t="shared" si="312"/>
        <v>N/A</v>
      </c>
      <c r="K516" s="186" t="b">
        <f t="shared" si="313"/>
        <v>1</v>
      </c>
      <c r="L516" s="186" t="str">
        <f t="shared" si="314"/>
        <v>N/A</v>
      </c>
      <c r="M516" s="186" t="b">
        <f t="shared" si="315"/>
        <v>1</v>
      </c>
      <c r="N516" s="186" t="str">
        <f t="shared" si="316"/>
        <v>Used?</v>
      </c>
      <c r="O516" s="186" t="b">
        <f t="shared" si="317"/>
        <v>0</v>
      </c>
      <c r="P516" s="26" t="s">
        <v>696</v>
      </c>
      <c r="Q516" s="160" t="s">
        <v>20</v>
      </c>
      <c r="R516" s="160" t="s">
        <v>20</v>
      </c>
      <c r="S516" s="26" t="s">
        <v>697</v>
      </c>
      <c r="T516" s="165" t="str">
        <f t="shared" si="318"/>
        <v>Not Used</v>
      </c>
      <c r="U516" s="162"/>
      <c r="V516" s="55"/>
      <c r="W516" s="51" t="b">
        <f t="shared" si="319"/>
        <v>1</v>
      </c>
      <c r="X516" s="51" t="str">
        <f t="shared" si="320"/>
        <v>Not Used</v>
      </c>
      <c r="Y516" s="51" t="str">
        <f t="shared" si="321"/>
        <v>Not Used</v>
      </c>
      <c r="Z516" s="51" t="str">
        <f t="shared" si="322"/>
        <v>Not Used</v>
      </c>
      <c r="AA516" s="51" t="str">
        <f t="shared" si="322"/>
        <v>Not Used</v>
      </c>
      <c r="AB516" s="51" t="str">
        <f t="shared" si="323"/>
        <v>Not Used</v>
      </c>
      <c r="AC516" s="51" t="b">
        <f t="shared" si="324"/>
        <v>1</v>
      </c>
      <c r="AD516" s="51">
        <f>COUNTIF($X$5:$X$516, "Not Used")</f>
        <v>512</v>
      </c>
      <c r="AE516" s="51">
        <f>COUNTIF($X$5:$X$516, "TRUE")</f>
        <v>0</v>
      </c>
      <c r="AF516" s="51" t="b">
        <f t="shared" si="325"/>
        <v>1</v>
      </c>
      <c r="AI516" s="51" t="b">
        <f t="shared" si="326"/>
        <v>0</v>
      </c>
      <c r="AJ516" s="51" t="b">
        <f t="shared" si="327"/>
        <v>0</v>
      </c>
      <c r="AK516" s="51" t="b">
        <f t="shared" si="328"/>
        <v>0</v>
      </c>
      <c r="AL516" s="51" t="b">
        <f t="shared" si="329"/>
        <v>0</v>
      </c>
      <c r="AM516" s="51" t="b">
        <f t="shared" si="330"/>
        <v>0</v>
      </c>
      <c r="AN516" s="51"/>
      <c r="AO516" s="51" t="b">
        <f t="shared" si="331"/>
        <v>0</v>
      </c>
      <c r="AP516" s="51" t="str">
        <f t="shared" si="353"/>
        <v>Not in MMS</v>
      </c>
      <c r="AQ516" s="51" t="b">
        <f t="shared" si="332"/>
        <v>0</v>
      </c>
      <c r="AR516" s="51" t="b">
        <f t="shared" si="333"/>
        <v>0</v>
      </c>
      <c r="AS516" s="51" t="str">
        <f t="shared" si="334"/>
        <v/>
      </c>
      <c r="AT516" s="51" t="str">
        <f t="shared" si="335"/>
        <v/>
      </c>
      <c r="AU516" s="51" t="str">
        <f t="shared" si="336"/>
        <v/>
      </c>
      <c r="AV516" s="51" t="str">
        <f t="shared" si="337"/>
        <v/>
      </c>
      <c r="AW516" s="51" t="str">
        <f t="shared" si="338"/>
        <v/>
      </c>
      <c r="AX516" s="51" t="str">
        <f t="shared" si="339"/>
        <v/>
      </c>
      <c r="AY516" s="51" t="str">
        <f t="shared" si="340"/>
        <v/>
      </c>
      <c r="AZ516" s="51" t="str">
        <f t="shared" si="341"/>
        <v/>
      </c>
      <c r="BA516" s="51" t="str">
        <f t="shared" si="342"/>
        <v/>
      </c>
      <c r="BB516" s="51" t="str">
        <f t="shared" si="343"/>
        <v/>
      </c>
      <c r="BC516" s="51" t="str">
        <f t="shared" si="344"/>
        <v/>
      </c>
      <c r="BD516" s="51" t="str">
        <f t="shared" si="345"/>
        <v/>
      </c>
      <c r="BE516" s="51" t="str">
        <f t="shared" si="346"/>
        <v/>
      </c>
      <c r="BF516" s="51" t="str">
        <f t="shared" si="347"/>
        <v/>
      </c>
      <c r="BG516" s="51" t="str">
        <f t="shared" si="348"/>
        <v/>
      </c>
      <c r="BH516" s="51" t="b">
        <f t="shared" si="349"/>
        <v>0</v>
      </c>
      <c r="BI516" s="51" t="str">
        <f t="shared" si="350"/>
        <v/>
      </c>
      <c r="BJ516" s="51" t="str">
        <f t="shared" si="351"/>
        <v/>
      </c>
      <c r="BK516" s="51" t="b">
        <f t="shared" si="352"/>
        <v>0</v>
      </c>
      <c r="BL516" s="192"/>
    </row>
    <row r="517" spans="1:64" ht="13.5" thickBot="1" x14ac:dyDescent="0.25">
      <c r="A517" s="185" t="s">
        <v>1192</v>
      </c>
      <c r="B517" s="194" t="s">
        <v>695</v>
      </c>
      <c r="C517" s="194" t="s">
        <v>695</v>
      </c>
      <c r="D517" s="194" t="s">
        <v>695</v>
      </c>
      <c r="E517" s="193" t="s">
        <v>694</v>
      </c>
      <c r="F517" s="160" t="s">
        <v>20</v>
      </c>
      <c r="G517" s="161"/>
      <c r="H517" s="186" t="str">
        <f t="shared" si="310"/>
        <v>N/A</v>
      </c>
      <c r="I517" s="186" t="b">
        <f t="shared" si="311"/>
        <v>1</v>
      </c>
      <c r="J517" s="186" t="str">
        <f t="shared" si="312"/>
        <v>N/A</v>
      </c>
      <c r="K517" s="186" t="b">
        <f t="shared" si="313"/>
        <v>1</v>
      </c>
      <c r="L517" s="186" t="str">
        <f t="shared" si="314"/>
        <v>N/A</v>
      </c>
      <c r="M517" s="186" t="b">
        <f t="shared" si="315"/>
        <v>1</v>
      </c>
      <c r="N517" s="186" t="str">
        <f t="shared" si="316"/>
        <v>Used?</v>
      </c>
      <c r="O517" s="186" t="b">
        <f t="shared" si="317"/>
        <v>0</v>
      </c>
      <c r="P517" s="26" t="s">
        <v>696</v>
      </c>
      <c r="Q517" s="160" t="s">
        <v>20</v>
      </c>
      <c r="R517" s="160" t="s">
        <v>20</v>
      </c>
      <c r="S517" s="26" t="s">
        <v>697</v>
      </c>
      <c r="T517" s="165" t="str">
        <f t="shared" si="318"/>
        <v>Not Used</v>
      </c>
      <c r="U517" s="162"/>
      <c r="V517" s="55"/>
      <c r="W517" s="51" t="b">
        <f t="shared" si="319"/>
        <v>1</v>
      </c>
      <c r="X517" s="51" t="str">
        <f t="shared" si="320"/>
        <v>Not Used</v>
      </c>
      <c r="Y517" s="51" t="str">
        <f t="shared" si="321"/>
        <v>Not Used</v>
      </c>
      <c r="Z517" s="51" t="str">
        <f t="shared" si="322"/>
        <v>Not Used</v>
      </c>
      <c r="AA517" s="51" t="str">
        <f t="shared" si="322"/>
        <v>Not Used</v>
      </c>
      <c r="AB517" s="51" t="str">
        <f t="shared" si="323"/>
        <v>Not Used</v>
      </c>
      <c r="AC517" s="51" t="b">
        <f t="shared" si="324"/>
        <v>1</v>
      </c>
      <c r="AD517" s="51">
        <f>COUNTIF($X$5:$X$517, "Not Used")</f>
        <v>513</v>
      </c>
      <c r="AE517" s="51">
        <f>COUNTIF($X$5:$X$517, "TRUE")</f>
        <v>0</v>
      </c>
      <c r="AF517" s="51" t="b">
        <f t="shared" si="325"/>
        <v>1</v>
      </c>
      <c r="AI517" s="51" t="b">
        <f t="shared" si="326"/>
        <v>0</v>
      </c>
      <c r="AJ517" s="51" t="b">
        <f t="shared" si="327"/>
        <v>0</v>
      </c>
      <c r="AK517" s="51" t="b">
        <f t="shared" si="328"/>
        <v>0</v>
      </c>
      <c r="AL517" s="51" t="b">
        <f t="shared" si="329"/>
        <v>0</v>
      </c>
      <c r="AM517" s="51" t="b">
        <f t="shared" si="330"/>
        <v>0</v>
      </c>
      <c r="AN517" s="51"/>
      <c r="AO517" s="51" t="b">
        <f t="shared" si="331"/>
        <v>0</v>
      </c>
      <c r="AP517" s="51" t="str">
        <f t="shared" si="353"/>
        <v>Not in MMS</v>
      </c>
      <c r="AQ517" s="51" t="b">
        <f t="shared" si="332"/>
        <v>0</v>
      </c>
      <c r="AR517" s="51" t="b">
        <f t="shared" si="333"/>
        <v>0</v>
      </c>
      <c r="AS517" s="51" t="str">
        <f t="shared" si="334"/>
        <v/>
      </c>
      <c r="AT517" s="51" t="str">
        <f t="shared" si="335"/>
        <v/>
      </c>
      <c r="AU517" s="51" t="str">
        <f t="shared" si="336"/>
        <v/>
      </c>
      <c r="AV517" s="51" t="str">
        <f t="shared" si="337"/>
        <v/>
      </c>
      <c r="AW517" s="51" t="str">
        <f t="shared" si="338"/>
        <v/>
      </c>
      <c r="AX517" s="51" t="str">
        <f t="shared" si="339"/>
        <v/>
      </c>
      <c r="AY517" s="51" t="str">
        <f t="shared" si="340"/>
        <v/>
      </c>
      <c r="AZ517" s="51" t="str">
        <f t="shared" si="341"/>
        <v/>
      </c>
      <c r="BA517" s="51" t="str">
        <f t="shared" si="342"/>
        <v/>
      </c>
      <c r="BB517" s="51" t="str">
        <f t="shared" si="343"/>
        <v/>
      </c>
      <c r="BC517" s="51" t="str">
        <f t="shared" si="344"/>
        <v/>
      </c>
      <c r="BD517" s="51" t="str">
        <f t="shared" si="345"/>
        <v/>
      </c>
      <c r="BE517" s="51" t="str">
        <f t="shared" si="346"/>
        <v/>
      </c>
      <c r="BF517" s="51" t="str">
        <f t="shared" si="347"/>
        <v/>
      </c>
      <c r="BG517" s="51" t="str">
        <f t="shared" si="348"/>
        <v/>
      </c>
      <c r="BH517" s="51" t="b">
        <f t="shared" si="349"/>
        <v>0</v>
      </c>
      <c r="BI517" s="51" t="str">
        <f t="shared" si="350"/>
        <v/>
      </c>
      <c r="BJ517" s="51" t="str">
        <f t="shared" si="351"/>
        <v/>
      </c>
      <c r="BK517" s="51" t="b">
        <f t="shared" si="352"/>
        <v>0</v>
      </c>
      <c r="BL517" s="192"/>
    </row>
    <row r="518" spans="1:64" ht="13.5" thickBot="1" x14ac:dyDescent="0.25">
      <c r="A518" s="185" t="s">
        <v>1193</v>
      </c>
      <c r="B518" s="194" t="s">
        <v>695</v>
      </c>
      <c r="C518" s="194" t="s">
        <v>695</v>
      </c>
      <c r="D518" s="194" t="s">
        <v>695</v>
      </c>
      <c r="E518" s="193" t="s">
        <v>694</v>
      </c>
      <c r="F518" s="160" t="s">
        <v>20</v>
      </c>
      <c r="G518" s="161"/>
      <c r="H518" s="186" t="str">
        <f t="shared" si="310"/>
        <v>N/A</v>
      </c>
      <c r="I518" s="186" t="b">
        <f t="shared" si="311"/>
        <v>1</v>
      </c>
      <c r="J518" s="186" t="str">
        <f t="shared" si="312"/>
        <v>N/A</v>
      </c>
      <c r="K518" s="186" t="b">
        <f t="shared" si="313"/>
        <v>1</v>
      </c>
      <c r="L518" s="186" t="str">
        <f t="shared" si="314"/>
        <v>N/A</v>
      </c>
      <c r="M518" s="186" t="b">
        <f t="shared" si="315"/>
        <v>1</v>
      </c>
      <c r="N518" s="186" t="str">
        <f t="shared" si="316"/>
        <v>Used?</v>
      </c>
      <c r="O518" s="186" t="b">
        <f t="shared" si="317"/>
        <v>0</v>
      </c>
      <c r="P518" s="26" t="s">
        <v>696</v>
      </c>
      <c r="Q518" s="160" t="s">
        <v>20</v>
      </c>
      <c r="R518" s="160" t="s">
        <v>20</v>
      </c>
      <c r="S518" s="26" t="s">
        <v>697</v>
      </c>
      <c r="T518" s="165" t="str">
        <f t="shared" si="318"/>
        <v>Not Used</v>
      </c>
      <c r="U518" s="162"/>
      <c r="V518" s="55"/>
      <c r="W518" s="51" t="b">
        <f t="shared" si="319"/>
        <v>1</v>
      </c>
      <c r="X518" s="51" t="str">
        <f t="shared" si="320"/>
        <v>Not Used</v>
      </c>
      <c r="Y518" s="51" t="str">
        <f t="shared" si="321"/>
        <v>Not Used</v>
      </c>
      <c r="Z518" s="51" t="str">
        <f t="shared" si="322"/>
        <v>Not Used</v>
      </c>
      <c r="AA518" s="51" t="str">
        <f t="shared" si="322"/>
        <v>Not Used</v>
      </c>
      <c r="AB518" s="51" t="str">
        <f t="shared" si="323"/>
        <v>Not Used</v>
      </c>
      <c r="AC518" s="51" t="b">
        <f t="shared" si="324"/>
        <v>1</v>
      </c>
      <c r="AD518" s="51">
        <f>COUNTIF($X$5:$X$518, "Not Used")</f>
        <v>514</v>
      </c>
      <c r="AE518" s="51">
        <f>COUNTIF($X$5:$X$518, "TRUE")</f>
        <v>0</v>
      </c>
      <c r="AF518" s="51" t="b">
        <f t="shared" si="325"/>
        <v>1</v>
      </c>
      <c r="AI518" s="51" t="b">
        <f t="shared" si="326"/>
        <v>0</v>
      </c>
      <c r="AJ518" s="51" t="b">
        <f t="shared" si="327"/>
        <v>0</v>
      </c>
      <c r="AK518" s="51" t="b">
        <f t="shared" si="328"/>
        <v>0</v>
      </c>
      <c r="AL518" s="51" t="b">
        <f t="shared" si="329"/>
        <v>0</v>
      </c>
      <c r="AM518" s="51" t="b">
        <f t="shared" si="330"/>
        <v>0</v>
      </c>
      <c r="AN518" s="51"/>
      <c r="AO518" s="51" t="b">
        <f t="shared" si="331"/>
        <v>0</v>
      </c>
      <c r="AP518" s="51" t="str">
        <f t="shared" si="353"/>
        <v>Not in MMS</v>
      </c>
      <c r="AQ518" s="51" t="b">
        <f t="shared" si="332"/>
        <v>0</v>
      </c>
      <c r="AR518" s="51" t="b">
        <f t="shared" si="333"/>
        <v>0</v>
      </c>
      <c r="AS518" s="51" t="str">
        <f t="shared" si="334"/>
        <v/>
      </c>
      <c r="AT518" s="51" t="str">
        <f t="shared" si="335"/>
        <v/>
      </c>
      <c r="AU518" s="51" t="str">
        <f t="shared" si="336"/>
        <v/>
      </c>
      <c r="AV518" s="51" t="str">
        <f t="shared" si="337"/>
        <v/>
      </c>
      <c r="AW518" s="51" t="str">
        <f t="shared" si="338"/>
        <v/>
      </c>
      <c r="AX518" s="51" t="str">
        <f t="shared" si="339"/>
        <v/>
      </c>
      <c r="AY518" s="51" t="str">
        <f t="shared" si="340"/>
        <v/>
      </c>
      <c r="AZ518" s="51" t="str">
        <f t="shared" si="341"/>
        <v/>
      </c>
      <c r="BA518" s="51" t="str">
        <f t="shared" si="342"/>
        <v/>
      </c>
      <c r="BB518" s="51" t="str">
        <f t="shared" si="343"/>
        <v/>
      </c>
      <c r="BC518" s="51" t="str">
        <f t="shared" si="344"/>
        <v/>
      </c>
      <c r="BD518" s="51" t="str">
        <f t="shared" si="345"/>
        <v/>
      </c>
      <c r="BE518" s="51" t="str">
        <f t="shared" si="346"/>
        <v/>
      </c>
      <c r="BF518" s="51" t="str">
        <f t="shared" si="347"/>
        <v/>
      </c>
      <c r="BG518" s="51" t="str">
        <f t="shared" si="348"/>
        <v/>
      </c>
      <c r="BH518" s="51" t="b">
        <f t="shared" si="349"/>
        <v>0</v>
      </c>
      <c r="BI518" s="51" t="str">
        <f t="shared" si="350"/>
        <v/>
      </c>
      <c r="BJ518" s="51" t="str">
        <f t="shared" si="351"/>
        <v/>
      </c>
      <c r="BK518" s="51" t="b">
        <f t="shared" si="352"/>
        <v>0</v>
      </c>
      <c r="BL518" s="192"/>
    </row>
    <row r="519" spans="1:64" ht="13.5" thickBot="1" x14ac:dyDescent="0.25">
      <c r="A519" s="185" t="s">
        <v>1194</v>
      </c>
      <c r="B519" s="194" t="s">
        <v>695</v>
      </c>
      <c r="C519" s="194" t="s">
        <v>695</v>
      </c>
      <c r="D519" s="194" t="s">
        <v>695</v>
      </c>
      <c r="E519" s="193" t="s">
        <v>694</v>
      </c>
      <c r="F519" s="160" t="s">
        <v>20</v>
      </c>
      <c r="G519" s="161"/>
      <c r="H519" s="186" t="str">
        <f t="shared" si="310"/>
        <v>N/A</v>
      </c>
      <c r="I519" s="186" t="b">
        <f t="shared" si="311"/>
        <v>1</v>
      </c>
      <c r="J519" s="186" t="str">
        <f t="shared" si="312"/>
        <v>N/A</v>
      </c>
      <c r="K519" s="186" t="b">
        <f t="shared" si="313"/>
        <v>1</v>
      </c>
      <c r="L519" s="186" t="str">
        <f t="shared" si="314"/>
        <v>N/A</v>
      </c>
      <c r="M519" s="186" t="b">
        <f t="shared" si="315"/>
        <v>1</v>
      </c>
      <c r="N519" s="186" t="str">
        <f t="shared" si="316"/>
        <v>Used?</v>
      </c>
      <c r="O519" s="186" t="b">
        <f t="shared" si="317"/>
        <v>0</v>
      </c>
      <c r="P519" s="26" t="s">
        <v>696</v>
      </c>
      <c r="Q519" s="160" t="s">
        <v>20</v>
      </c>
      <c r="R519" s="160" t="s">
        <v>20</v>
      </c>
      <c r="S519" s="26" t="s">
        <v>697</v>
      </c>
      <c r="T519" s="165" t="str">
        <f t="shared" si="318"/>
        <v>Not Used</v>
      </c>
      <c r="U519" s="162"/>
      <c r="V519" s="55"/>
      <c r="W519" s="51" t="b">
        <f t="shared" si="319"/>
        <v>1</v>
      </c>
      <c r="X519" s="51" t="str">
        <f t="shared" si="320"/>
        <v>Not Used</v>
      </c>
      <c r="Y519" s="51" t="str">
        <f t="shared" si="321"/>
        <v>Not Used</v>
      </c>
      <c r="Z519" s="51" t="str">
        <f t="shared" si="322"/>
        <v>Not Used</v>
      </c>
      <c r="AA519" s="51" t="str">
        <f t="shared" si="322"/>
        <v>Not Used</v>
      </c>
      <c r="AB519" s="51" t="str">
        <f t="shared" si="323"/>
        <v>Not Used</v>
      </c>
      <c r="AC519" s="51" t="b">
        <f t="shared" si="324"/>
        <v>1</v>
      </c>
      <c r="AD519" s="51">
        <f>COUNTIF($X$5:$X$519, "Not Used")</f>
        <v>515</v>
      </c>
      <c r="AE519" s="51">
        <f>COUNTIF($X$5:$X$519, "TRUE")</f>
        <v>0</v>
      </c>
      <c r="AF519" s="51" t="b">
        <f t="shared" si="325"/>
        <v>1</v>
      </c>
      <c r="AI519" s="51" t="b">
        <f t="shared" si="326"/>
        <v>0</v>
      </c>
      <c r="AJ519" s="51" t="b">
        <f t="shared" si="327"/>
        <v>0</v>
      </c>
      <c r="AK519" s="51" t="b">
        <f t="shared" si="328"/>
        <v>0</v>
      </c>
      <c r="AL519" s="51" t="b">
        <f t="shared" si="329"/>
        <v>0</v>
      </c>
      <c r="AM519" s="51" t="b">
        <f t="shared" si="330"/>
        <v>0</v>
      </c>
      <c r="AN519" s="51"/>
      <c r="AO519" s="51" t="b">
        <f t="shared" si="331"/>
        <v>0</v>
      </c>
      <c r="AP519" s="51" t="str">
        <f t="shared" si="353"/>
        <v>Not in MMS</v>
      </c>
      <c r="AQ519" s="51" t="b">
        <f t="shared" si="332"/>
        <v>0</v>
      </c>
      <c r="AR519" s="51" t="b">
        <f t="shared" si="333"/>
        <v>0</v>
      </c>
      <c r="AS519" s="51" t="str">
        <f t="shared" si="334"/>
        <v/>
      </c>
      <c r="AT519" s="51" t="str">
        <f t="shared" si="335"/>
        <v/>
      </c>
      <c r="AU519" s="51" t="str">
        <f t="shared" si="336"/>
        <v/>
      </c>
      <c r="AV519" s="51" t="str">
        <f t="shared" si="337"/>
        <v/>
      </c>
      <c r="AW519" s="51" t="str">
        <f t="shared" si="338"/>
        <v/>
      </c>
      <c r="AX519" s="51" t="str">
        <f t="shared" si="339"/>
        <v/>
      </c>
      <c r="AY519" s="51" t="str">
        <f t="shared" si="340"/>
        <v/>
      </c>
      <c r="AZ519" s="51" t="str">
        <f t="shared" si="341"/>
        <v/>
      </c>
      <c r="BA519" s="51" t="str">
        <f t="shared" si="342"/>
        <v/>
      </c>
      <c r="BB519" s="51" t="str">
        <f t="shared" si="343"/>
        <v/>
      </c>
      <c r="BC519" s="51" t="str">
        <f t="shared" si="344"/>
        <v/>
      </c>
      <c r="BD519" s="51" t="str">
        <f t="shared" si="345"/>
        <v/>
      </c>
      <c r="BE519" s="51" t="str">
        <f t="shared" si="346"/>
        <v/>
      </c>
      <c r="BF519" s="51" t="str">
        <f t="shared" si="347"/>
        <v/>
      </c>
      <c r="BG519" s="51" t="str">
        <f t="shared" si="348"/>
        <v/>
      </c>
      <c r="BH519" s="51" t="b">
        <f t="shared" si="349"/>
        <v>0</v>
      </c>
      <c r="BI519" s="51" t="str">
        <f t="shared" si="350"/>
        <v/>
      </c>
      <c r="BJ519" s="51" t="str">
        <f t="shared" si="351"/>
        <v/>
      </c>
      <c r="BK519" s="51" t="b">
        <f t="shared" si="352"/>
        <v>0</v>
      </c>
      <c r="BL519" s="192"/>
    </row>
    <row r="520" spans="1:64" ht="13.5" thickBot="1" x14ac:dyDescent="0.25">
      <c r="A520" s="185" t="s">
        <v>1195</v>
      </c>
      <c r="B520" s="194" t="s">
        <v>695</v>
      </c>
      <c r="C520" s="194" t="s">
        <v>695</v>
      </c>
      <c r="D520" s="194" t="s">
        <v>695</v>
      </c>
      <c r="E520" s="193" t="s">
        <v>694</v>
      </c>
      <c r="F520" s="160" t="s">
        <v>20</v>
      </c>
      <c r="G520" s="161"/>
      <c r="H520" s="186" t="str">
        <f t="shared" si="310"/>
        <v>N/A</v>
      </c>
      <c r="I520" s="186" t="b">
        <f t="shared" si="311"/>
        <v>1</v>
      </c>
      <c r="J520" s="186" t="str">
        <f t="shared" si="312"/>
        <v>N/A</v>
      </c>
      <c r="K520" s="186" t="b">
        <f t="shared" si="313"/>
        <v>1</v>
      </c>
      <c r="L520" s="186" t="str">
        <f t="shared" si="314"/>
        <v>N/A</v>
      </c>
      <c r="M520" s="186" t="b">
        <f t="shared" si="315"/>
        <v>1</v>
      </c>
      <c r="N520" s="186" t="str">
        <f t="shared" si="316"/>
        <v>Used?</v>
      </c>
      <c r="O520" s="186" t="b">
        <f t="shared" si="317"/>
        <v>0</v>
      </c>
      <c r="P520" s="26" t="s">
        <v>696</v>
      </c>
      <c r="Q520" s="160" t="s">
        <v>20</v>
      </c>
      <c r="R520" s="160" t="s">
        <v>20</v>
      </c>
      <c r="S520" s="26" t="s">
        <v>697</v>
      </c>
      <c r="T520" s="165" t="str">
        <f t="shared" si="318"/>
        <v>Not Used</v>
      </c>
      <c r="U520" s="162"/>
      <c r="V520" s="55"/>
      <c r="W520" s="51" t="b">
        <f t="shared" si="319"/>
        <v>1</v>
      </c>
      <c r="X520" s="51" t="str">
        <f t="shared" si="320"/>
        <v>Not Used</v>
      </c>
      <c r="Y520" s="51" t="str">
        <f t="shared" si="321"/>
        <v>Not Used</v>
      </c>
      <c r="Z520" s="51" t="str">
        <f t="shared" si="322"/>
        <v>Not Used</v>
      </c>
      <c r="AA520" s="51" t="str">
        <f t="shared" si="322"/>
        <v>Not Used</v>
      </c>
      <c r="AB520" s="51" t="str">
        <f t="shared" si="323"/>
        <v>Not Used</v>
      </c>
      <c r="AC520" s="51" t="b">
        <f t="shared" si="324"/>
        <v>1</v>
      </c>
      <c r="AD520" s="51">
        <f>COUNTIF($X$5:$X$520, "Not Used")</f>
        <v>516</v>
      </c>
      <c r="AE520" s="51">
        <f>COUNTIF($X$5:$X$520, "TRUE")</f>
        <v>0</v>
      </c>
      <c r="AF520" s="51" t="b">
        <f t="shared" si="325"/>
        <v>1</v>
      </c>
      <c r="AI520" s="51" t="b">
        <f t="shared" si="326"/>
        <v>0</v>
      </c>
      <c r="AJ520" s="51" t="b">
        <f t="shared" si="327"/>
        <v>0</v>
      </c>
      <c r="AK520" s="51" t="b">
        <f t="shared" si="328"/>
        <v>0</v>
      </c>
      <c r="AL520" s="51" t="b">
        <f t="shared" si="329"/>
        <v>0</v>
      </c>
      <c r="AM520" s="51" t="b">
        <f t="shared" si="330"/>
        <v>0</v>
      </c>
      <c r="AN520" s="51"/>
      <c r="AO520" s="51" t="b">
        <f t="shared" si="331"/>
        <v>0</v>
      </c>
      <c r="AP520" s="51" t="str">
        <f t="shared" si="353"/>
        <v>Not in MMS</v>
      </c>
      <c r="AQ520" s="51" t="b">
        <f t="shared" si="332"/>
        <v>0</v>
      </c>
      <c r="AR520" s="51" t="b">
        <f t="shared" si="333"/>
        <v>0</v>
      </c>
      <c r="AS520" s="51" t="str">
        <f t="shared" si="334"/>
        <v/>
      </c>
      <c r="AT520" s="51" t="str">
        <f t="shared" si="335"/>
        <v/>
      </c>
      <c r="AU520" s="51" t="str">
        <f t="shared" si="336"/>
        <v/>
      </c>
      <c r="AV520" s="51" t="str">
        <f t="shared" si="337"/>
        <v/>
      </c>
      <c r="AW520" s="51" t="str">
        <f t="shared" si="338"/>
        <v/>
      </c>
      <c r="AX520" s="51" t="str">
        <f t="shared" si="339"/>
        <v/>
      </c>
      <c r="AY520" s="51" t="str">
        <f t="shared" si="340"/>
        <v/>
      </c>
      <c r="AZ520" s="51" t="str">
        <f t="shared" si="341"/>
        <v/>
      </c>
      <c r="BA520" s="51" t="str">
        <f t="shared" si="342"/>
        <v/>
      </c>
      <c r="BB520" s="51" t="str">
        <f t="shared" si="343"/>
        <v/>
      </c>
      <c r="BC520" s="51" t="str">
        <f t="shared" si="344"/>
        <v/>
      </c>
      <c r="BD520" s="51" t="str">
        <f t="shared" si="345"/>
        <v/>
      </c>
      <c r="BE520" s="51" t="str">
        <f t="shared" si="346"/>
        <v/>
      </c>
      <c r="BF520" s="51" t="str">
        <f t="shared" si="347"/>
        <v/>
      </c>
      <c r="BG520" s="51" t="str">
        <f t="shared" si="348"/>
        <v/>
      </c>
      <c r="BH520" s="51" t="b">
        <f t="shared" si="349"/>
        <v>0</v>
      </c>
      <c r="BI520" s="51" t="str">
        <f t="shared" si="350"/>
        <v/>
      </c>
      <c r="BJ520" s="51" t="str">
        <f t="shared" si="351"/>
        <v/>
      </c>
      <c r="BK520" s="51" t="b">
        <f t="shared" si="352"/>
        <v>0</v>
      </c>
      <c r="BL520" s="192"/>
    </row>
    <row r="521" spans="1:64" ht="13.5" thickBot="1" x14ac:dyDescent="0.25">
      <c r="A521" s="185" t="s">
        <v>1196</v>
      </c>
      <c r="B521" s="194" t="s">
        <v>695</v>
      </c>
      <c r="C521" s="194" t="s">
        <v>695</v>
      </c>
      <c r="D521" s="194" t="s">
        <v>695</v>
      </c>
      <c r="E521" s="193" t="s">
        <v>694</v>
      </c>
      <c r="F521" s="160" t="s">
        <v>20</v>
      </c>
      <c r="G521" s="161"/>
      <c r="H521" s="186" t="str">
        <f t="shared" si="310"/>
        <v>N/A</v>
      </c>
      <c r="I521" s="186" t="b">
        <f t="shared" si="311"/>
        <v>1</v>
      </c>
      <c r="J521" s="186" t="str">
        <f t="shared" si="312"/>
        <v>N/A</v>
      </c>
      <c r="K521" s="186" t="b">
        <f t="shared" si="313"/>
        <v>1</v>
      </c>
      <c r="L521" s="186" t="str">
        <f t="shared" si="314"/>
        <v>N/A</v>
      </c>
      <c r="M521" s="186" t="b">
        <f t="shared" si="315"/>
        <v>1</v>
      </c>
      <c r="N521" s="186" t="str">
        <f t="shared" si="316"/>
        <v>Used?</v>
      </c>
      <c r="O521" s="186" t="b">
        <f t="shared" si="317"/>
        <v>0</v>
      </c>
      <c r="P521" s="26" t="s">
        <v>696</v>
      </c>
      <c r="Q521" s="160" t="s">
        <v>20</v>
      </c>
      <c r="R521" s="160" t="s">
        <v>20</v>
      </c>
      <c r="S521" s="26" t="s">
        <v>697</v>
      </c>
      <c r="T521" s="165" t="str">
        <f t="shared" si="318"/>
        <v>Not Used</v>
      </c>
      <c r="U521" s="162"/>
      <c r="V521" s="55"/>
      <c r="W521" s="51" t="b">
        <f t="shared" si="319"/>
        <v>1</v>
      </c>
      <c r="X521" s="51" t="str">
        <f t="shared" si="320"/>
        <v>Not Used</v>
      </c>
      <c r="Y521" s="51" t="str">
        <f t="shared" si="321"/>
        <v>Not Used</v>
      </c>
      <c r="Z521" s="51" t="str">
        <f t="shared" si="322"/>
        <v>Not Used</v>
      </c>
      <c r="AA521" s="51" t="str">
        <f t="shared" si="322"/>
        <v>Not Used</v>
      </c>
      <c r="AB521" s="51" t="str">
        <f t="shared" si="323"/>
        <v>Not Used</v>
      </c>
      <c r="AC521" s="51" t="b">
        <f t="shared" si="324"/>
        <v>1</v>
      </c>
      <c r="AD521" s="51">
        <f>COUNTIF($X$5:$X$521, "Not Used")</f>
        <v>517</v>
      </c>
      <c r="AE521" s="51">
        <f>COUNTIF($X$5:$X$521, "TRUE")</f>
        <v>0</v>
      </c>
      <c r="AF521" s="51" t="b">
        <f t="shared" si="325"/>
        <v>1</v>
      </c>
      <c r="AI521" s="51" t="b">
        <f t="shared" si="326"/>
        <v>0</v>
      </c>
      <c r="AJ521" s="51" t="b">
        <f t="shared" si="327"/>
        <v>0</v>
      </c>
      <c r="AK521" s="51" t="b">
        <f t="shared" si="328"/>
        <v>0</v>
      </c>
      <c r="AL521" s="51" t="b">
        <f t="shared" si="329"/>
        <v>0</v>
      </c>
      <c r="AM521" s="51" t="b">
        <f t="shared" si="330"/>
        <v>0</v>
      </c>
      <c r="AN521" s="51"/>
      <c r="AO521" s="51" t="b">
        <f t="shared" si="331"/>
        <v>0</v>
      </c>
      <c r="AP521" s="51" t="str">
        <f t="shared" si="353"/>
        <v>Not in MMS</v>
      </c>
      <c r="AQ521" s="51" t="b">
        <f t="shared" si="332"/>
        <v>0</v>
      </c>
      <c r="AR521" s="51" t="b">
        <f t="shared" si="333"/>
        <v>0</v>
      </c>
      <c r="AS521" s="51" t="str">
        <f t="shared" si="334"/>
        <v/>
      </c>
      <c r="AT521" s="51" t="str">
        <f t="shared" si="335"/>
        <v/>
      </c>
      <c r="AU521" s="51" t="str">
        <f t="shared" si="336"/>
        <v/>
      </c>
      <c r="AV521" s="51" t="str">
        <f t="shared" si="337"/>
        <v/>
      </c>
      <c r="AW521" s="51" t="str">
        <f t="shared" si="338"/>
        <v/>
      </c>
      <c r="AX521" s="51" t="str">
        <f t="shared" si="339"/>
        <v/>
      </c>
      <c r="AY521" s="51" t="str">
        <f t="shared" si="340"/>
        <v/>
      </c>
      <c r="AZ521" s="51" t="str">
        <f t="shared" si="341"/>
        <v/>
      </c>
      <c r="BA521" s="51" t="str">
        <f t="shared" si="342"/>
        <v/>
      </c>
      <c r="BB521" s="51" t="str">
        <f t="shared" si="343"/>
        <v/>
      </c>
      <c r="BC521" s="51" t="str">
        <f t="shared" si="344"/>
        <v/>
      </c>
      <c r="BD521" s="51" t="str">
        <f t="shared" si="345"/>
        <v/>
      </c>
      <c r="BE521" s="51" t="str">
        <f t="shared" si="346"/>
        <v/>
      </c>
      <c r="BF521" s="51" t="str">
        <f t="shared" si="347"/>
        <v/>
      </c>
      <c r="BG521" s="51" t="str">
        <f t="shared" si="348"/>
        <v/>
      </c>
      <c r="BH521" s="51" t="b">
        <f t="shared" si="349"/>
        <v>0</v>
      </c>
      <c r="BI521" s="51" t="str">
        <f t="shared" si="350"/>
        <v/>
      </c>
      <c r="BJ521" s="51" t="str">
        <f t="shared" si="351"/>
        <v/>
      </c>
      <c r="BK521" s="51" t="b">
        <f t="shared" si="352"/>
        <v>0</v>
      </c>
      <c r="BL521" s="192"/>
    </row>
    <row r="522" spans="1:64" ht="13.5" thickBot="1" x14ac:dyDescent="0.25">
      <c r="A522" s="185" t="s">
        <v>1197</v>
      </c>
      <c r="B522" s="194" t="s">
        <v>695</v>
      </c>
      <c r="C522" s="194" t="s">
        <v>695</v>
      </c>
      <c r="D522" s="194" t="s">
        <v>695</v>
      </c>
      <c r="E522" s="193" t="s">
        <v>694</v>
      </c>
      <c r="F522" s="160" t="s">
        <v>20</v>
      </c>
      <c r="G522" s="161"/>
      <c r="H522" s="186" t="str">
        <f t="shared" si="310"/>
        <v>N/A</v>
      </c>
      <c r="I522" s="186" t="b">
        <f t="shared" si="311"/>
        <v>1</v>
      </c>
      <c r="J522" s="186" t="str">
        <f t="shared" si="312"/>
        <v>N/A</v>
      </c>
      <c r="K522" s="186" t="b">
        <f t="shared" si="313"/>
        <v>1</v>
      </c>
      <c r="L522" s="186" t="str">
        <f t="shared" si="314"/>
        <v>N/A</v>
      </c>
      <c r="M522" s="186" t="b">
        <f t="shared" si="315"/>
        <v>1</v>
      </c>
      <c r="N522" s="186" t="str">
        <f t="shared" si="316"/>
        <v>Used?</v>
      </c>
      <c r="O522" s="186" t="b">
        <f t="shared" si="317"/>
        <v>0</v>
      </c>
      <c r="P522" s="26" t="s">
        <v>696</v>
      </c>
      <c r="Q522" s="160" t="s">
        <v>20</v>
      </c>
      <c r="R522" s="160" t="s">
        <v>20</v>
      </c>
      <c r="S522" s="26" t="s">
        <v>697</v>
      </c>
      <c r="T522" s="165" t="str">
        <f t="shared" si="318"/>
        <v>Not Used</v>
      </c>
      <c r="U522" s="162"/>
      <c r="V522" s="55"/>
      <c r="W522" s="51" t="b">
        <f t="shared" si="319"/>
        <v>1</v>
      </c>
      <c r="X522" s="51" t="str">
        <f t="shared" si="320"/>
        <v>Not Used</v>
      </c>
      <c r="Y522" s="51" t="str">
        <f t="shared" si="321"/>
        <v>Not Used</v>
      </c>
      <c r="Z522" s="51" t="str">
        <f t="shared" si="322"/>
        <v>Not Used</v>
      </c>
      <c r="AA522" s="51" t="str">
        <f t="shared" si="322"/>
        <v>Not Used</v>
      </c>
      <c r="AB522" s="51" t="str">
        <f t="shared" si="323"/>
        <v>Not Used</v>
      </c>
      <c r="AC522" s="51" t="b">
        <f t="shared" si="324"/>
        <v>1</v>
      </c>
      <c r="AD522" s="51">
        <f>COUNTIF($X$5:$X$522, "Not Used")</f>
        <v>518</v>
      </c>
      <c r="AE522" s="51">
        <f>COUNTIF($X$5:$X$522, "TRUE")</f>
        <v>0</v>
      </c>
      <c r="AF522" s="51" t="b">
        <f t="shared" si="325"/>
        <v>1</v>
      </c>
      <c r="AI522" s="51" t="b">
        <f t="shared" si="326"/>
        <v>0</v>
      </c>
      <c r="AJ522" s="51" t="b">
        <f t="shared" si="327"/>
        <v>0</v>
      </c>
      <c r="AK522" s="51" t="b">
        <f t="shared" si="328"/>
        <v>0</v>
      </c>
      <c r="AL522" s="51" t="b">
        <f t="shared" si="329"/>
        <v>0</v>
      </c>
      <c r="AM522" s="51" t="b">
        <f t="shared" si="330"/>
        <v>0</v>
      </c>
      <c r="AN522" s="51"/>
      <c r="AO522" s="51" t="b">
        <f t="shared" si="331"/>
        <v>0</v>
      </c>
      <c r="AP522" s="51" t="str">
        <f t="shared" si="353"/>
        <v>Not in MMS</v>
      </c>
      <c r="AQ522" s="51" t="b">
        <f t="shared" si="332"/>
        <v>0</v>
      </c>
      <c r="AR522" s="51" t="b">
        <f t="shared" si="333"/>
        <v>0</v>
      </c>
      <c r="AS522" s="51" t="str">
        <f t="shared" si="334"/>
        <v/>
      </c>
      <c r="AT522" s="51" t="str">
        <f t="shared" si="335"/>
        <v/>
      </c>
      <c r="AU522" s="51" t="str">
        <f t="shared" si="336"/>
        <v/>
      </c>
      <c r="AV522" s="51" t="str">
        <f t="shared" si="337"/>
        <v/>
      </c>
      <c r="AW522" s="51" t="str">
        <f t="shared" si="338"/>
        <v/>
      </c>
      <c r="AX522" s="51" t="str">
        <f t="shared" si="339"/>
        <v/>
      </c>
      <c r="AY522" s="51" t="str">
        <f t="shared" si="340"/>
        <v/>
      </c>
      <c r="AZ522" s="51" t="str">
        <f t="shared" si="341"/>
        <v/>
      </c>
      <c r="BA522" s="51" t="str">
        <f t="shared" si="342"/>
        <v/>
      </c>
      <c r="BB522" s="51" t="str">
        <f t="shared" si="343"/>
        <v/>
      </c>
      <c r="BC522" s="51" t="str">
        <f t="shared" si="344"/>
        <v/>
      </c>
      <c r="BD522" s="51" t="str">
        <f t="shared" si="345"/>
        <v/>
      </c>
      <c r="BE522" s="51" t="str">
        <f t="shared" si="346"/>
        <v/>
      </c>
      <c r="BF522" s="51" t="str">
        <f t="shared" si="347"/>
        <v/>
      </c>
      <c r="BG522" s="51" t="str">
        <f t="shared" si="348"/>
        <v/>
      </c>
      <c r="BH522" s="51" t="b">
        <f t="shared" si="349"/>
        <v>0</v>
      </c>
      <c r="BI522" s="51" t="str">
        <f t="shared" si="350"/>
        <v/>
      </c>
      <c r="BJ522" s="51" t="str">
        <f t="shared" si="351"/>
        <v/>
      </c>
      <c r="BK522" s="51" t="b">
        <f t="shared" si="352"/>
        <v>0</v>
      </c>
      <c r="BL522" s="192"/>
    </row>
    <row r="523" spans="1:64" ht="13.5" thickBot="1" x14ac:dyDescent="0.25">
      <c r="A523" s="185" t="s">
        <v>1198</v>
      </c>
      <c r="B523" s="194" t="s">
        <v>695</v>
      </c>
      <c r="C523" s="194" t="s">
        <v>695</v>
      </c>
      <c r="D523" s="194" t="s">
        <v>695</v>
      </c>
      <c r="E523" s="193" t="s">
        <v>694</v>
      </c>
      <c r="F523" s="160" t="s">
        <v>20</v>
      </c>
      <c r="G523" s="161"/>
      <c r="H523" s="186" t="str">
        <f t="shared" si="310"/>
        <v>N/A</v>
      </c>
      <c r="I523" s="186" t="b">
        <f t="shared" si="311"/>
        <v>1</v>
      </c>
      <c r="J523" s="186" t="str">
        <f t="shared" si="312"/>
        <v>N/A</v>
      </c>
      <c r="K523" s="186" t="b">
        <f t="shared" si="313"/>
        <v>1</v>
      </c>
      <c r="L523" s="186" t="str">
        <f t="shared" si="314"/>
        <v>N/A</v>
      </c>
      <c r="M523" s="186" t="b">
        <f t="shared" si="315"/>
        <v>1</v>
      </c>
      <c r="N523" s="186" t="str">
        <f t="shared" si="316"/>
        <v>Used?</v>
      </c>
      <c r="O523" s="186" t="b">
        <f t="shared" si="317"/>
        <v>0</v>
      </c>
      <c r="P523" s="26" t="s">
        <v>696</v>
      </c>
      <c r="Q523" s="160" t="s">
        <v>20</v>
      </c>
      <c r="R523" s="160" t="s">
        <v>20</v>
      </c>
      <c r="S523" s="26" t="s">
        <v>697</v>
      </c>
      <c r="T523" s="165" t="str">
        <f t="shared" si="318"/>
        <v>Not Used</v>
      </c>
      <c r="U523" s="162"/>
      <c r="V523" s="55"/>
      <c r="W523" s="51" t="b">
        <f t="shared" si="319"/>
        <v>1</v>
      </c>
      <c r="X523" s="51" t="str">
        <f t="shared" si="320"/>
        <v>Not Used</v>
      </c>
      <c r="Y523" s="51" t="str">
        <f t="shared" si="321"/>
        <v>Not Used</v>
      </c>
      <c r="Z523" s="51" t="str">
        <f t="shared" si="322"/>
        <v>Not Used</v>
      </c>
      <c r="AA523" s="51" t="str">
        <f t="shared" si="322"/>
        <v>Not Used</v>
      </c>
      <c r="AB523" s="51" t="str">
        <f t="shared" si="323"/>
        <v>Not Used</v>
      </c>
      <c r="AC523" s="51" t="b">
        <f t="shared" si="324"/>
        <v>1</v>
      </c>
      <c r="AD523" s="51">
        <f>COUNTIF($X$5:$X$523, "Not Used")</f>
        <v>519</v>
      </c>
      <c r="AE523" s="51">
        <f>COUNTIF($X$5:$X$523, "TRUE")</f>
        <v>0</v>
      </c>
      <c r="AF523" s="51" t="b">
        <f t="shared" si="325"/>
        <v>1</v>
      </c>
      <c r="AI523" s="51" t="b">
        <f t="shared" si="326"/>
        <v>0</v>
      </c>
      <c r="AJ523" s="51" t="b">
        <f t="shared" si="327"/>
        <v>0</v>
      </c>
      <c r="AK523" s="51" t="b">
        <f t="shared" si="328"/>
        <v>0</v>
      </c>
      <c r="AL523" s="51" t="b">
        <f t="shared" si="329"/>
        <v>0</v>
      </c>
      <c r="AM523" s="51" t="b">
        <f t="shared" si="330"/>
        <v>0</v>
      </c>
      <c r="AN523" s="51"/>
      <c r="AO523" s="51" t="b">
        <f t="shared" si="331"/>
        <v>0</v>
      </c>
      <c r="AP523" s="51" t="str">
        <f t="shared" si="353"/>
        <v>Not in MMS</v>
      </c>
      <c r="AQ523" s="51" t="b">
        <f t="shared" si="332"/>
        <v>0</v>
      </c>
      <c r="AR523" s="51" t="b">
        <f t="shared" si="333"/>
        <v>0</v>
      </c>
      <c r="AS523" s="51" t="str">
        <f t="shared" si="334"/>
        <v/>
      </c>
      <c r="AT523" s="51" t="str">
        <f t="shared" si="335"/>
        <v/>
      </c>
      <c r="AU523" s="51" t="str">
        <f t="shared" si="336"/>
        <v/>
      </c>
      <c r="AV523" s="51" t="str">
        <f t="shared" si="337"/>
        <v/>
      </c>
      <c r="AW523" s="51" t="str">
        <f t="shared" si="338"/>
        <v/>
      </c>
      <c r="AX523" s="51" t="str">
        <f t="shared" si="339"/>
        <v/>
      </c>
      <c r="AY523" s="51" t="str">
        <f t="shared" si="340"/>
        <v/>
      </c>
      <c r="AZ523" s="51" t="str">
        <f t="shared" si="341"/>
        <v/>
      </c>
      <c r="BA523" s="51" t="str">
        <f t="shared" si="342"/>
        <v/>
      </c>
      <c r="BB523" s="51" t="str">
        <f t="shared" si="343"/>
        <v/>
      </c>
      <c r="BC523" s="51" t="str">
        <f t="shared" si="344"/>
        <v/>
      </c>
      <c r="BD523" s="51" t="str">
        <f t="shared" si="345"/>
        <v/>
      </c>
      <c r="BE523" s="51" t="str">
        <f t="shared" si="346"/>
        <v/>
      </c>
      <c r="BF523" s="51" t="str">
        <f t="shared" si="347"/>
        <v/>
      </c>
      <c r="BG523" s="51" t="str">
        <f t="shared" si="348"/>
        <v/>
      </c>
      <c r="BH523" s="51" t="b">
        <f t="shared" si="349"/>
        <v>0</v>
      </c>
      <c r="BI523" s="51" t="str">
        <f t="shared" si="350"/>
        <v/>
      </c>
      <c r="BJ523" s="51" t="str">
        <f t="shared" si="351"/>
        <v/>
      </c>
      <c r="BK523" s="51" t="b">
        <f t="shared" si="352"/>
        <v>0</v>
      </c>
      <c r="BL523" s="192"/>
    </row>
    <row r="524" spans="1:64" ht="13.5" thickBot="1" x14ac:dyDescent="0.25">
      <c r="A524" s="185" t="s">
        <v>1199</v>
      </c>
      <c r="B524" s="194" t="s">
        <v>695</v>
      </c>
      <c r="C524" s="194" t="s">
        <v>695</v>
      </c>
      <c r="D524" s="194" t="s">
        <v>695</v>
      </c>
      <c r="E524" s="193" t="s">
        <v>694</v>
      </c>
      <c r="F524" s="160" t="s">
        <v>20</v>
      </c>
      <c r="G524" s="161"/>
      <c r="H524" s="186" t="str">
        <f t="shared" si="310"/>
        <v>N/A</v>
      </c>
      <c r="I524" s="186" t="b">
        <f t="shared" si="311"/>
        <v>1</v>
      </c>
      <c r="J524" s="186" t="str">
        <f t="shared" si="312"/>
        <v>N/A</v>
      </c>
      <c r="K524" s="186" t="b">
        <f t="shared" si="313"/>
        <v>1</v>
      </c>
      <c r="L524" s="186" t="str">
        <f t="shared" si="314"/>
        <v>N/A</v>
      </c>
      <c r="M524" s="186" t="b">
        <f t="shared" si="315"/>
        <v>1</v>
      </c>
      <c r="N524" s="186" t="str">
        <f t="shared" si="316"/>
        <v>Used?</v>
      </c>
      <c r="O524" s="186" t="b">
        <f t="shared" si="317"/>
        <v>0</v>
      </c>
      <c r="P524" s="26" t="s">
        <v>696</v>
      </c>
      <c r="Q524" s="160" t="s">
        <v>20</v>
      </c>
      <c r="R524" s="160" t="s">
        <v>20</v>
      </c>
      <c r="S524" s="26" t="s">
        <v>697</v>
      </c>
      <c r="T524" s="165" t="str">
        <f t="shared" si="318"/>
        <v>Not Used</v>
      </c>
      <c r="U524" s="162"/>
      <c r="V524" s="55"/>
      <c r="W524" s="51" t="b">
        <f t="shared" si="319"/>
        <v>1</v>
      </c>
      <c r="X524" s="51" t="str">
        <f t="shared" si="320"/>
        <v>Not Used</v>
      </c>
      <c r="Y524" s="51" t="str">
        <f t="shared" si="321"/>
        <v>Not Used</v>
      </c>
      <c r="Z524" s="51" t="str">
        <f t="shared" si="322"/>
        <v>Not Used</v>
      </c>
      <c r="AA524" s="51" t="str">
        <f t="shared" si="322"/>
        <v>Not Used</v>
      </c>
      <c r="AB524" s="51" t="str">
        <f t="shared" si="323"/>
        <v>Not Used</v>
      </c>
      <c r="AC524" s="51" t="b">
        <f t="shared" si="324"/>
        <v>1</v>
      </c>
      <c r="AD524" s="51">
        <f>COUNTIF($X$5:$X$524, "Not Used")</f>
        <v>520</v>
      </c>
      <c r="AE524" s="51">
        <f>COUNTIF($X$5:$X$524, "TRUE")</f>
        <v>0</v>
      </c>
      <c r="AF524" s="51" t="b">
        <f t="shared" si="325"/>
        <v>1</v>
      </c>
      <c r="AI524" s="51" t="b">
        <f t="shared" si="326"/>
        <v>0</v>
      </c>
      <c r="AJ524" s="51" t="b">
        <f t="shared" si="327"/>
        <v>0</v>
      </c>
      <c r="AK524" s="51" t="b">
        <f t="shared" si="328"/>
        <v>0</v>
      </c>
      <c r="AL524" s="51" t="b">
        <f t="shared" si="329"/>
        <v>0</v>
      </c>
      <c r="AM524" s="51" t="b">
        <f t="shared" si="330"/>
        <v>0</v>
      </c>
      <c r="AN524" s="51"/>
      <c r="AO524" s="51" t="b">
        <f t="shared" si="331"/>
        <v>0</v>
      </c>
      <c r="AP524" s="51" t="str">
        <f t="shared" si="353"/>
        <v>Not in MMS</v>
      </c>
      <c r="AQ524" s="51" t="b">
        <f t="shared" si="332"/>
        <v>0</v>
      </c>
      <c r="AR524" s="51" t="b">
        <f t="shared" si="333"/>
        <v>0</v>
      </c>
      <c r="AS524" s="51" t="str">
        <f t="shared" si="334"/>
        <v/>
      </c>
      <c r="AT524" s="51" t="str">
        <f t="shared" si="335"/>
        <v/>
      </c>
      <c r="AU524" s="51" t="str">
        <f t="shared" si="336"/>
        <v/>
      </c>
      <c r="AV524" s="51" t="str">
        <f t="shared" si="337"/>
        <v/>
      </c>
      <c r="AW524" s="51" t="str">
        <f t="shared" si="338"/>
        <v/>
      </c>
      <c r="AX524" s="51" t="str">
        <f t="shared" si="339"/>
        <v/>
      </c>
      <c r="AY524" s="51" t="str">
        <f t="shared" si="340"/>
        <v/>
      </c>
      <c r="AZ524" s="51" t="str">
        <f t="shared" si="341"/>
        <v/>
      </c>
      <c r="BA524" s="51" t="str">
        <f t="shared" si="342"/>
        <v/>
      </c>
      <c r="BB524" s="51" t="str">
        <f t="shared" si="343"/>
        <v/>
      </c>
      <c r="BC524" s="51" t="str">
        <f t="shared" si="344"/>
        <v/>
      </c>
      <c r="BD524" s="51" t="str">
        <f t="shared" si="345"/>
        <v/>
      </c>
      <c r="BE524" s="51" t="str">
        <f t="shared" si="346"/>
        <v/>
      </c>
      <c r="BF524" s="51" t="str">
        <f t="shared" si="347"/>
        <v/>
      </c>
      <c r="BG524" s="51" t="str">
        <f t="shared" si="348"/>
        <v/>
      </c>
      <c r="BH524" s="51" t="b">
        <f t="shared" si="349"/>
        <v>0</v>
      </c>
      <c r="BI524" s="51" t="str">
        <f t="shared" si="350"/>
        <v/>
      </c>
      <c r="BJ524" s="51" t="str">
        <f t="shared" si="351"/>
        <v/>
      </c>
      <c r="BK524" s="51" t="b">
        <f t="shared" si="352"/>
        <v>0</v>
      </c>
      <c r="BL524" s="192"/>
    </row>
    <row r="525" spans="1:64" ht="13.5" thickBot="1" x14ac:dyDescent="0.25">
      <c r="A525" s="185" t="s">
        <v>1200</v>
      </c>
      <c r="B525" s="194" t="s">
        <v>695</v>
      </c>
      <c r="C525" s="194" t="s">
        <v>695</v>
      </c>
      <c r="D525" s="194" t="s">
        <v>695</v>
      </c>
      <c r="E525" s="193" t="s">
        <v>694</v>
      </c>
      <c r="F525" s="160" t="s">
        <v>20</v>
      </c>
      <c r="G525" s="161"/>
      <c r="H525" s="186" t="str">
        <f t="shared" si="310"/>
        <v>N/A</v>
      </c>
      <c r="I525" s="186" t="b">
        <f t="shared" si="311"/>
        <v>1</v>
      </c>
      <c r="J525" s="186" t="str">
        <f t="shared" si="312"/>
        <v>N/A</v>
      </c>
      <c r="K525" s="186" t="b">
        <f t="shared" si="313"/>
        <v>1</v>
      </c>
      <c r="L525" s="186" t="str">
        <f t="shared" si="314"/>
        <v>N/A</v>
      </c>
      <c r="M525" s="186" t="b">
        <f t="shared" si="315"/>
        <v>1</v>
      </c>
      <c r="N525" s="186" t="str">
        <f t="shared" si="316"/>
        <v>Used?</v>
      </c>
      <c r="O525" s="186" t="b">
        <f t="shared" si="317"/>
        <v>0</v>
      </c>
      <c r="P525" s="26" t="s">
        <v>696</v>
      </c>
      <c r="Q525" s="160" t="s">
        <v>20</v>
      </c>
      <c r="R525" s="160" t="s">
        <v>20</v>
      </c>
      <c r="S525" s="26" t="s">
        <v>697</v>
      </c>
      <c r="T525" s="165" t="str">
        <f t="shared" si="318"/>
        <v>Not Used</v>
      </c>
      <c r="U525" s="162"/>
      <c r="V525" s="55"/>
      <c r="W525" s="51" t="b">
        <f t="shared" si="319"/>
        <v>1</v>
      </c>
      <c r="X525" s="51" t="str">
        <f t="shared" si="320"/>
        <v>Not Used</v>
      </c>
      <c r="Y525" s="51" t="str">
        <f t="shared" si="321"/>
        <v>Not Used</v>
      </c>
      <c r="Z525" s="51" t="str">
        <f t="shared" si="322"/>
        <v>Not Used</v>
      </c>
      <c r="AA525" s="51" t="str">
        <f t="shared" si="322"/>
        <v>Not Used</v>
      </c>
      <c r="AB525" s="51" t="str">
        <f t="shared" si="323"/>
        <v>Not Used</v>
      </c>
      <c r="AC525" s="51" t="b">
        <f t="shared" si="324"/>
        <v>1</v>
      </c>
      <c r="AD525" s="51">
        <f>COUNTIF($X$5:$X$525, "Not Used")</f>
        <v>521</v>
      </c>
      <c r="AE525" s="51">
        <f>COUNTIF($X$5:$X$525, "TRUE")</f>
        <v>0</v>
      </c>
      <c r="AF525" s="51" t="b">
        <f t="shared" si="325"/>
        <v>1</v>
      </c>
      <c r="AI525" s="51" t="b">
        <f t="shared" si="326"/>
        <v>0</v>
      </c>
      <c r="AJ525" s="51" t="b">
        <f t="shared" si="327"/>
        <v>0</v>
      </c>
      <c r="AK525" s="51" t="b">
        <f t="shared" si="328"/>
        <v>0</v>
      </c>
      <c r="AL525" s="51" t="b">
        <f t="shared" si="329"/>
        <v>0</v>
      </c>
      <c r="AM525" s="51" t="b">
        <f t="shared" si="330"/>
        <v>0</v>
      </c>
      <c r="AN525" s="51"/>
      <c r="AO525" s="51" t="b">
        <f t="shared" si="331"/>
        <v>0</v>
      </c>
      <c r="AP525" s="51" t="str">
        <f t="shared" si="353"/>
        <v>Not in MMS</v>
      </c>
      <c r="AQ525" s="51" t="b">
        <f t="shared" si="332"/>
        <v>0</v>
      </c>
      <c r="AR525" s="51" t="b">
        <f t="shared" si="333"/>
        <v>0</v>
      </c>
      <c r="AS525" s="51" t="str">
        <f t="shared" si="334"/>
        <v/>
      </c>
      <c r="AT525" s="51" t="str">
        <f t="shared" si="335"/>
        <v/>
      </c>
      <c r="AU525" s="51" t="str">
        <f t="shared" si="336"/>
        <v/>
      </c>
      <c r="AV525" s="51" t="str">
        <f t="shared" si="337"/>
        <v/>
      </c>
      <c r="AW525" s="51" t="str">
        <f t="shared" si="338"/>
        <v/>
      </c>
      <c r="AX525" s="51" t="str">
        <f t="shared" si="339"/>
        <v/>
      </c>
      <c r="AY525" s="51" t="str">
        <f t="shared" si="340"/>
        <v/>
      </c>
      <c r="AZ525" s="51" t="str">
        <f t="shared" si="341"/>
        <v/>
      </c>
      <c r="BA525" s="51" t="str">
        <f t="shared" si="342"/>
        <v/>
      </c>
      <c r="BB525" s="51" t="str">
        <f t="shared" si="343"/>
        <v/>
      </c>
      <c r="BC525" s="51" t="str">
        <f t="shared" si="344"/>
        <v/>
      </c>
      <c r="BD525" s="51" t="str">
        <f t="shared" si="345"/>
        <v/>
      </c>
      <c r="BE525" s="51" t="str">
        <f t="shared" si="346"/>
        <v/>
      </c>
      <c r="BF525" s="51" t="str">
        <f t="shared" si="347"/>
        <v/>
      </c>
      <c r="BG525" s="51" t="str">
        <f t="shared" si="348"/>
        <v/>
      </c>
      <c r="BH525" s="51" t="b">
        <f t="shared" si="349"/>
        <v>0</v>
      </c>
      <c r="BI525" s="51" t="str">
        <f t="shared" si="350"/>
        <v/>
      </c>
      <c r="BJ525" s="51" t="str">
        <f t="shared" si="351"/>
        <v/>
      </c>
      <c r="BK525" s="51" t="b">
        <f t="shared" si="352"/>
        <v>0</v>
      </c>
      <c r="BL525" s="192"/>
    </row>
    <row r="526" spans="1:64" ht="13.5" thickBot="1" x14ac:dyDescent="0.25">
      <c r="A526" s="185" t="s">
        <v>1201</v>
      </c>
      <c r="B526" s="194" t="s">
        <v>695</v>
      </c>
      <c r="C526" s="194" t="s">
        <v>695</v>
      </c>
      <c r="D526" s="194" t="s">
        <v>695</v>
      </c>
      <c r="E526" s="193" t="s">
        <v>694</v>
      </c>
      <c r="F526" s="160" t="s">
        <v>20</v>
      </c>
      <c r="G526" s="161"/>
      <c r="H526" s="186" t="str">
        <f t="shared" si="310"/>
        <v>N/A</v>
      </c>
      <c r="I526" s="186" t="b">
        <f t="shared" si="311"/>
        <v>1</v>
      </c>
      <c r="J526" s="186" t="str">
        <f t="shared" si="312"/>
        <v>N/A</v>
      </c>
      <c r="K526" s="186" t="b">
        <f t="shared" si="313"/>
        <v>1</v>
      </c>
      <c r="L526" s="186" t="str">
        <f t="shared" si="314"/>
        <v>N/A</v>
      </c>
      <c r="M526" s="186" t="b">
        <f t="shared" si="315"/>
        <v>1</v>
      </c>
      <c r="N526" s="186" t="str">
        <f t="shared" si="316"/>
        <v>Used?</v>
      </c>
      <c r="O526" s="186" t="b">
        <f t="shared" si="317"/>
        <v>0</v>
      </c>
      <c r="P526" s="26" t="s">
        <v>696</v>
      </c>
      <c r="Q526" s="160" t="s">
        <v>20</v>
      </c>
      <c r="R526" s="160" t="s">
        <v>20</v>
      </c>
      <c r="S526" s="26" t="s">
        <v>697</v>
      </c>
      <c r="T526" s="165" t="str">
        <f t="shared" si="318"/>
        <v>Not Used</v>
      </c>
      <c r="U526" s="162"/>
      <c r="V526" s="55"/>
      <c r="W526" s="51" t="b">
        <f t="shared" si="319"/>
        <v>1</v>
      </c>
      <c r="X526" s="51" t="str">
        <f t="shared" si="320"/>
        <v>Not Used</v>
      </c>
      <c r="Y526" s="51" t="str">
        <f t="shared" si="321"/>
        <v>Not Used</v>
      </c>
      <c r="Z526" s="51" t="str">
        <f t="shared" si="322"/>
        <v>Not Used</v>
      </c>
      <c r="AA526" s="51" t="str">
        <f t="shared" si="322"/>
        <v>Not Used</v>
      </c>
      <c r="AB526" s="51" t="str">
        <f t="shared" si="323"/>
        <v>Not Used</v>
      </c>
      <c r="AC526" s="51" t="b">
        <f t="shared" si="324"/>
        <v>1</v>
      </c>
      <c r="AD526" s="51">
        <f>COUNTIF($X$5:$X$526, "Not Used")</f>
        <v>522</v>
      </c>
      <c r="AE526" s="51">
        <f>COUNTIF($X$5:$X$526, "TRUE")</f>
        <v>0</v>
      </c>
      <c r="AF526" s="51" t="b">
        <f t="shared" si="325"/>
        <v>1</v>
      </c>
      <c r="AI526" s="51" t="b">
        <f t="shared" si="326"/>
        <v>0</v>
      </c>
      <c r="AJ526" s="51" t="b">
        <f t="shared" si="327"/>
        <v>0</v>
      </c>
      <c r="AK526" s="51" t="b">
        <f t="shared" si="328"/>
        <v>0</v>
      </c>
      <c r="AL526" s="51" t="b">
        <f t="shared" si="329"/>
        <v>0</v>
      </c>
      <c r="AM526" s="51" t="b">
        <f t="shared" si="330"/>
        <v>0</v>
      </c>
      <c r="AN526" s="51"/>
      <c r="AO526" s="51" t="b">
        <f t="shared" si="331"/>
        <v>0</v>
      </c>
      <c r="AP526" s="51" t="str">
        <f t="shared" si="353"/>
        <v>Not in MMS</v>
      </c>
      <c r="AQ526" s="51" t="b">
        <f t="shared" si="332"/>
        <v>0</v>
      </c>
      <c r="AR526" s="51" t="b">
        <f t="shared" si="333"/>
        <v>0</v>
      </c>
      <c r="AS526" s="51" t="str">
        <f t="shared" si="334"/>
        <v/>
      </c>
      <c r="AT526" s="51" t="str">
        <f t="shared" si="335"/>
        <v/>
      </c>
      <c r="AU526" s="51" t="str">
        <f t="shared" si="336"/>
        <v/>
      </c>
      <c r="AV526" s="51" t="str">
        <f t="shared" si="337"/>
        <v/>
      </c>
      <c r="AW526" s="51" t="str">
        <f t="shared" si="338"/>
        <v/>
      </c>
      <c r="AX526" s="51" t="str">
        <f t="shared" si="339"/>
        <v/>
      </c>
      <c r="AY526" s="51" t="str">
        <f t="shared" si="340"/>
        <v/>
      </c>
      <c r="AZ526" s="51" t="str">
        <f t="shared" si="341"/>
        <v/>
      </c>
      <c r="BA526" s="51" t="str">
        <f t="shared" si="342"/>
        <v/>
      </c>
      <c r="BB526" s="51" t="str">
        <f t="shared" si="343"/>
        <v/>
      </c>
      <c r="BC526" s="51" t="str">
        <f t="shared" si="344"/>
        <v/>
      </c>
      <c r="BD526" s="51" t="str">
        <f t="shared" si="345"/>
        <v/>
      </c>
      <c r="BE526" s="51" t="str">
        <f t="shared" si="346"/>
        <v/>
      </c>
      <c r="BF526" s="51" t="str">
        <f t="shared" si="347"/>
        <v/>
      </c>
      <c r="BG526" s="51" t="str">
        <f t="shared" si="348"/>
        <v/>
      </c>
      <c r="BH526" s="51" t="b">
        <f t="shared" si="349"/>
        <v>0</v>
      </c>
      <c r="BI526" s="51" t="str">
        <f t="shared" si="350"/>
        <v/>
      </c>
      <c r="BJ526" s="51" t="str">
        <f t="shared" si="351"/>
        <v/>
      </c>
      <c r="BK526" s="51" t="b">
        <f t="shared" si="352"/>
        <v>0</v>
      </c>
      <c r="BL526" s="192"/>
    </row>
    <row r="527" spans="1:64" ht="13.5" thickBot="1" x14ac:dyDescent="0.25">
      <c r="A527" s="185" t="s">
        <v>1202</v>
      </c>
      <c r="B527" s="194" t="s">
        <v>695</v>
      </c>
      <c r="C527" s="194" t="s">
        <v>695</v>
      </c>
      <c r="D527" s="194" t="s">
        <v>695</v>
      </c>
      <c r="E527" s="193" t="s">
        <v>694</v>
      </c>
      <c r="F527" s="160" t="s">
        <v>20</v>
      </c>
      <c r="G527" s="161"/>
      <c r="H527" s="186" t="str">
        <f t="shared" si="310"/>
        <v>N/A</v>
      </c>
      <c r="I527" s="186" t="b">
        <f t="shared" si="311"/>
        <v>1</v>
      </c>
      <c r="J527" s="186" t="str">
        <f t="shared" si="312"/>
        <v>N/A</v>
      </c>
      <c r="K527" s="186" t="b">
        <f t="shared" si="313"/>
        <v>1</v>
      </c>
      <c r="L527" s="186" t="str">
        <f t="shared" si="314"/>
        <v>N/A</v>
      </c>
      <c r="M527" s="186" t="b">
        <f t="shared" si="315"/>
        <v>1</v>
      </c>
      <c r="N527" s="186" t="str">
        <f t="shared" si="316"/>
        <v>Used?</v>
      </c>
      <c r="O527" s="186" t="b">
        <f t="shared" si="317"/>
        <v>0</v>
      </c>
      <c r="P527" s="26" t="s">
        <v>696</v>
      </c>
      <c r="Q527" s="160" t="s">
        <v>20</v>
      </c>
      <c r="R527" s="160" t="s">
        <v>20</v>
      </c>
      <c r="S527" s="26" t="s">
        <v>697</v>
      </c>
      <c r="T527" s="165" t="str">
        <f t="shared" si="318"/>
        <v>Not Used</v>
      </c>
      <c r="U527" s="162"/>
      <c r="V527" s="55"/>
      <c r="W527" s="51" t="b">
        <f t="shared" si="319"/>
        <v>1</v>
      </c>
      <c r="X527" s="51" t="str">
        <f t="shared" si="320"/>
        <v>Not Used</v>
      </c>
      <c r="Y527" s="51" t="str">
        <f t="shared" si="321"/>
        <v>Not Used</v>
      </c>
      <c r="Z527" s="51" t="str">
        <f t="shared" si="322"/>
        <v>Not Used</v>
      </c>
      <c r="AA527" s="51" t="str">
        <f t="shared" si="322"/>
        <v>Not Used</v>
      </c>
      <c r="AB527" s="51" t="str">
        <f t="shared" si="323"/>
        <v>Not Used</v>
      </c>
      <c r="AC527" s="51" t="b">
        <f t="shared" si="324"/>
        <v>1</v>
      </c>
      <c r="AD527" s="51">
        <f>COUNTIF($X$5:$X$527, "Not Used")</f>
        <v>523</v>
      </c>
      <c r="AE527" s="51">
        <f>COUNTIF($X$5:$X$527, "TRUE")</f>
        <v>0</v>
      </c>
      <c r="AF527" s="51" t="b">
        <f t="shared" si="325"/>
        <v>1</v>
      </c>
      <c r="AI527" s="51" t="b">
        <f t="shared" si="326"/>
        <v>0</v>
      </c>
      <c r="AJ527" s="51" t="b">
        <f t="shared" si="327"/>
        <v>0</v>
      </c>
      <c r="AK527" s="51" t="b">
        <f t="shared" si="328"/>
        <v>0</v>
      </c>
      <c r="AL527" s="51" t="b">
        <f t="shared" si="329"/>
        <v>0</v>
      </c>
      <c r="AM527" s="51" t="b">
        <f t="shared" si="330"/>
        <v>0</v>
      </c>
      <c r="AN527" s="51"/>
      <c r="AO527" s="51" t="b">
        <f t="shared" si="331"/>
        <v>0</v>
      </c>
      <c r="AP527" s="51" t="str">
        <f t="shared" si="353"/>
        <v>Not in MMS</v>
      </c>
      <c r="AQ527" s="51" t="b">
        <f t="shared" si="332"/>
        <v>0</v>
      </c>
      <c r="AR527" s="51" t="b">
        <f t="shared" si="333"/>
        <v>0</v>
      </c>
      <c r="AS527" s="51" t="str">
        <f t="shared" si="334"/>
        <v/>
      </c>
      <c r="AT527" s="51" t="str">
        <f t="shared" si="335"/>
        <v/>
      </c>
      <c r="AU527" s="51" t="str">
        <f t="shared" si="336"/>
        <v/>
      </c>
      <c r="AV527" s="51" t="str">
        <f t="shared" si="337"/>
        <v/>
      </c>
      <c r="AW527" s="51" t="str">
        <f t="shared" si="338"/>
        <v/>
      </c>
      <c r="AX527" s="51" t="str">
        <f t="shared" si="339"/>
        <v/>
      </c>
      <c r="AY527" s="51" t="str">
        <f t="shared" si="340"/>
        <v/>
      </c>
      <c r="AZ527" s="51" t="str">
        <f t="shared" si="341"/>
        <v/>
      </c>
      <c r="BA527" s="51" t="str">
        <f t="shared" si="342"/>
        <v/>
      </c>
      <c r="BB527" s="51" t="str">
        <f t="shared" si="343"/>
        <v/>
      </c>
      <c r="BC527" s="51" t="str">
        <f t="shared" si="344"/>
        <v/>
      </c>
      <c r="BD527" s="51" t="str">
        <f t="shared" si="345"/>
        <v/>
      </c>
      <c r="BE527" s="51" t="str">
        <f t="shared" si="346"/>
        <v/>
      </c>
      <c r="BF527" s="51" t="str">
        <f t="shared" si="347"/>
        <v/>
      </c>
      <c r="BG527" s="51" t="str">
        <f t="shared" si="348"/>
        <v/>
      </c>
      <c r="BH527" s="51" t="b">
        <f t="shared" si="349"/>
        <v>0</v>
      </c>
      <c r="BI527" s="51" t="str">
        <f t="shared" si="350"/>
        <v/>
      </c>
      <c r="BJ527" s="51" t="str">
        <f t="shared" si="351"/>
        <v/>
      </c>
      <c r="BK527" s="51" t="b">
        <f t="shared" si="352"/>
        <v>0</v>
      </c>
      <c r="BL527" s="192"/>
    </row>
    <row r="528" spans="1:64" ht="13.5" thickBot="1" x14ac:dyDescent="0.25">
      <c r="A528" s="185" t="s">
        <v>1203</v>
      </c>
      <c r="B528" s="194" t="s">
        <v>695</v>
      </c>
      <c r="C528" s="194" t="s">
        <v>695</v>
      </c>
      <c r="D528" s="194" t="s">
        <v>695</v>
      </c>
      <c r="E528" s="193" t="s">
        <v>694</v>
      </c>
      <c r="F528" s="160" t="s">
        <v>20</v>
      </c>
      <c r="G528" s="161"/>
      <c r="H528" s="186" t="str">
        <f t="shared" si="310"/>
        <v>N/A</v>
      </c>
      <c r="I528" s="186" t="b">
        <f t="shared" si="311"/>
        <v>1</v>
      </c>
      <c r="J528" s="186" t="str">
        <f t="shared" si="312"/>
        <v>N/A</v>
      </c>
      <c r="K528" s="186" t="b">
        <f t="shared" si="313"/>
        <v>1</v>
      </c>
      <c r="L528" s="186" t="str">
        <f t="shared" si="314"/>
        <v>N/A</v>
      </c>
      <c r="M528" s="186" t="b">
        <f t="shared" si="315"/>
        <v>1</v>
      </c>
      <c r="N528" s="186" t="str">
        <f t="shared" si="316"/>
        <v>Used?</v>
      </c>
      <c r="O528" s="186" t="b">
        <f t="shared" si="317"/>
        <v>0</v>
      </c>
      <c r="P528" s="26" t="s">
        <v>696</v>
      </c>
      <c r="Q528" s="160" t="s">
        <v>20</v>
      </c>
      <c r="R528" s="160" t="s">
        <v>20</v>
      </c>
      <c r="S528" s="26" t="s">
        <v>697</v>
      </c>
      <c r="T528" s="165" t="str">
        <f t="shared" si="318"/>
        <v>Not Used</v>
      </c>
      <c r="U528" s="162"/>
      <c r="V528" s="55"/>
      <c r="W528" s="51" t="b">
        <f t="shared" si="319"/>
        <v>1</v>
      </c>
      <c r="X528" s="51" t="str">
        <f t="shared" si="320"/>
        <v>Not Used</v>
      </c>
      <c r="Y528" s="51" t="str">
        <f t="shared" si="321"/>
        <v>Not Used</v>
      </c>
      <c r="Z528" s="51" t="str">
        <f t="shared" si="322"/>
        <v>Not Used</v>
      </c>
      <c r="AA528" s="51" t="str">
        <f t="shared" si="322"/>
        <v>Not Used</v>
      </c>
      <c r="AB528" s="51" t="str">
        <f t="shared" si="323"/>
        <v>Not Used</v>
      </c>
      <c r="AC528" s="51" t="b">
        <f t="shared" si="324"/>
        <v>1</v>
      </c>
      <c r="AD528" s="51">
        <f>COUNTIF($X$5:$X$528, "Not Used")</f>
        <v>524</v>
      </c>
      <c r="AE528" s="51">
        <f>COUNTIF($X$5:$X$528, "TRUE")</f>
        <v>0</v>
      </c>
      <c r="AF528" s="51" t="b">
        <f t="shared" si="325"/>
        <v>1</v>
      </c>
      <c r="AI528" s="51" t="b">
        <f t="shared" si="326"/>
        <v>0</v>
      </c>
      <c r="AJ528" s="51" t="b">
        <f t="shared" si="327"/>
        <v>0</v>
      </c>
      <c r="AK528" s="51" t="b">
        <f t="shared" si="328"/>
        <v>0</v>
      </c>
      <c r="AL528" s="51" t="b">
        <f t="shared" si="329"/>
        <v>0</v>
      </c>
      <c r="AM528" s="51" t="b">
        <f t="shared" si="330"/>
        <v>0</v>
      </c>
      <c r="AN528" s="51"/>
      <c r="AO528" s="51" t="b">
        <f t="shared" si="331"/>
        <v>0</v>
      </c>
      <c r="AP528" s="51" t="str">
        <f t="shared" si="353"/>
        <v>Not in MMS</v>
      </c>
      <c r="AQ528" s="51" t="b">
        <f t="shared" si="332"/>
        <v>0</v>
      </c>
      <c r="AR528" s="51" t="b">
        <f t="shared" si="333"/>
        <v>0</v>
      </c>
      <c r="AS528" s="51" t="str">
        <f t="shared" si="334"/>
        <v/>
      </c>
      <c r="AT528" s="51" t="str">
        <f t="shared" si="335"/>
        <v/>
      </c>
      <c r="AU528" s="51" t="str">
        <f t="shared" si="336"/>
        <v/>
      </c>
      <c r="AV528" s="51" t="str">
        <f t="shared" si="337"/>
        <v/>
      </c>
      <c r="AW528" s="51" t="str">
        <f t="shared" si="338"/>
        <v/>
      </c>
      <c r="AX528" s="51" t="str">
        <f t="shared" si="339"/>
        <v/>
      </c>
      <c r="AY528" s="51" t="str">
        <f t="shared" si="340"/>
        <v/>
      </c>
      <c r="AZ528" s="51" t="str">
        <f t="shared" si="341"/>
        <v/>
      </c>
      <c r="BA528" s="51" t="str">
        <f t="shared" si="342"/>
        <v/>
      </c>
      <c r="BB528" s="51" t="str">
        <f t="shared" si="343"/>
        <v/>
      </c>
      <c r="BC528" s="51" t="str">
        <f t="shared" si="344"/>
        <v/>
      </c>
      <c r="BD528" s="51" t="str">
        <f t="shared" si="345"/>
        <v/>
      </c>
      <c r="BE528" s="51" t="str">
        <f t="shared" si="346"/>
        <v/>
      </c>
      <c r="BF528" s="51" t="str">
        <f t="shared" si="347"/>
        <v/>
      </c>
      <c r="BG528" s="51" t="str">
        <f t="shared" si="348"/>
        <v/>
      </c>
      <c r="BH528" s="51" t="b">
        <f t="shared" si="349"/>
        <v>0</v>
      </c>
      <c r="BI528" s="51" t="str">
        <f t="shared" si="350"/>
        <v/>
      </c>
      <c r="BJ528" s="51" t="str">
        <f t="shared" si="351"/>
        <v/>
      </c>
      <c r="BK528" s="51" t="b">
        <f t="shared" si="352"/>
        <v>0</v>
      </c>
      <c r="BL528" s="192"/>
    </row>
    <row r="529" spans="1:64" ht="13.5" thickBot="1" x14ac:dyDescent="0.25">
      <c r="A529" s="185" t="s">
        <v>1204</v>
      </c>
      <c r="B529" s="194" t="s">
        <v>695</v>
      </c>
      <c r="C529" s="194" t="s">
        <v>695</v>
      </c>
      <c r="D529" s="194" t="s">
        <v>695</v>
      </c>
      <c r="E529" s="193" t="s">
        <v>694</v>
      </c>
      <c r="F529" s="160" t="s">
        <v>20</v>
      </c>
      <c r="G529" s="161"/>
      <c r="H529" s="186" t="str">
        <f t="shared" si="310"/>
        <v>N/A</v>
      </c>
      <c r="I529" s="186" t="b">
        <f t="shared" si="311"/>
        <v>1</v>
      </c>
      <c r="J529" s="186" t="str">
        <f t="shared" si="312"/>
        <v>N/A</v>
      </c>
      <c r="K529" s="186" t="b">
        <f t="shared" si="313"/>
        <v>1</v>
      </c>
      <c r="L529" s="186" t="str">
        <f t="shared" si="314"/>
        <v>N/A</v>
      </c>
      <c r="M529" s="186" t="b">
        <f t="shared" si="315"/>
        <v>1</v>
      </c>
      <c r="N529" s="186" t="str">
        <f t="shared" si="316"/>
        <v>Used?</v>
      </c>
      <c r="O529" s="186" t="b">
        <f t="shared" si="317"/>
        <v>0</v>
      </c>
      <c r="P529" s="26" t="s">
        <v>696</v>
      </c>
      <c r="Q529" s="160" t="s">
        <v>20</v>
      </c>
      <c r="R529" s="160" t="s">
        <v>20</v>
      </c>
      <c r="S529" s="26" t="s">
        <v>697</v>
      </c>
      <c r="T529" s="165" t="str">
        <f t="shared" si="318"/>
        <v>Not Used</v>
      </c>
      <c r="U529" s="162"/>
      <c r="V529" s="55"/>
      <c r="W529" s="51" t="b">
        <f t="shared" si="319"/>
        <v>1</v>
      </c>
      <c r="X529" s="51" t="str">
        <f t="shared" si="320"/>
        <v>Not Used</v>
      </c>
      <c r="Y529" s="51" t="str">
        <f t="shared" si="321"/>
        <v>Not Used</v>
      </c>
      <c r="Z529" s="51" t="str">
        <f t="shared" si="322"/>
        <v>Not Used</v>
      </c>
      <c r="AA529" s="51" t="str">
        <f t="shared" si="322"/>
        <v>Not Used</v>
      </c>
      <c r="AB529" s="51" t="str">
        <f t="shared" si="323"/>
        <v>Not Used</v>
      </c>
      <c r="AC529" s="51" t="b">
        <f t="shared" si="324"/>
        <v>1</v>
      </c>
      <c r="AD529" s="51">
        <f>COUNTIF($X$5:$X$529, "Not Used")</f>
        <v>525</v>
      </c>
      <c r="AE529" s="51">
        <f>COUNTIF($X$5:$X$529, "TRUE")</f>
        <v>0</v>
      </c>
      <c r="AF529" s="51" t="b">
        <f t="shared" si="325"/>
        <v>1</v>
      </c>
      <c r="AI529" s="51" t="b">
        <f t="shared" si="326"/>
        <v>0</v>
      </c>
      <c r="AJ529" s="51" t="b">
        <f t="shared" si="327"/>
        <v>0</v>
      </c>
      <c r="AK529" s="51" t="b">
        <f t="shared" si="328"/>
        <v>0</v>
      </c>
      <c r="AL529" s="51" t="b">
        <f t="shared" si="329"/>
        <v>0</v>
      </c>
      <c r="AM529" s="51" t="b">
        <f t="shared" si="330"/>
        <v>0</v>
      </c>
      <c r="AN529" s="51"/>
      <c r="AO529" s="51" t="b">
        <f t="shared" si="331"/>
        <v>0</v>
      </c>
      <c r="AP529" s="51" t="str">
        <f t="shared" si="353"/>
        <v>Not in MMS</v>
      </c>
      <c r="AQ529" s="51" t="b">
        <f t="shared" si="332"/>
        <v>0</v>
      </c>
      <c r="AR529" s="51" t="b">
        <f t="shared" si="333"/>
        <v>0</v>
      </c>
      <c r="AS529" s="51" t="str">
        <f t="shared" si="334"/>
        <v/>
      </c>
      <c r="AT529" s="51" t="str">
        <f t="shared" si="335"/>
        <v/>
      </c>
      <c r="AU529" s="51" t="str">
        <f t="shared" si="336"/>
        <v/>
      </c>
      <c r="AV529" s="51" t="str">
        <f t="shared" si="337"/>
        <v/>
      </c>
      <c r="AW529" s="51" t="str">
        <f t="shared" si="338"/>
        <v/>
      </c>
      <c r="AX529" s="51" t="str">
        <f t="shared" si="339"/>
        <v/>
      </c>
      <c r="AY529" s="51" t="str">
        <f t="shared" si="340"/>
        <v/>
      </c>
      <c r="AZ529" s="51" t="str">
        <f t="shared" si="341"/>
        <v/>
      </c>
      <c r="BA529" s="51" t="str">
        <f t="shared" si="342"/>
        <v/>
      </c>
      <c r="BB529" s="51" t="str">
        <f t="shared" si="343"/>
        <v/>
      </c>
      <c r="BC529" s="51" t="str">
        <f t="shared" si="344"/>
        <v/>
      </c>
      <c r="BD529" s="51" t="str">
        <f t="shared" si="345"/>
        <v/>
      </c>
      <c r="BE529" s="51" t="str">
        <f t="shared" si="346"/>
        <v/>
      </c>
      <c r="BF529" s="51" t="str">
        <f t="shared" si="347"/>
        <v/>
      </c>
      <c r="BG529" s="51" t="str">
        <f t="shared" si="348"/>
        <v/>
      </c>
      <c r="BH529" s="51" t="b">
        <f t="shared" si="349"/>
        <v>0</v>
      </c>
      <c r="BI529" s="51" t="str">
        <f t="shared" si="350"/>
        <v/>
      </c>
      <c r="BJ529" s="51" t="str">
        <f t="shared" si="351"/>
        <v/>
      </c>
      <c r="BK529" s="51" t="b">
        <f t="shared" si="352"/>
        <v>0</v>
      </c>
      <c r="BL529" s="192"/>
    </row>
    <row r="530" spans="1:64" ht="13.5" thickBot="1" x14ac:dyDescent="0.25">
      <c r="A530" s="185" t="s">
        <v>1205</v>
      </c>
      <c r="B530" s="194" t="s">
        <v>695</v>
      </c>
      <c r="C530" s="194" t="s">
        <v>695</v>
      </c>
      <c r="D530" s="194" t="s">
        <v>695</v>
      </c>
      <c r="E530" s="193" t="s">
        <v>694</v>
      </c>
      <c r="F530" s="160" t="s">
        <v>20</v>
      </c>
      <c r="G530" s="161"/>
      <c r="H530" s="186" t="str">
        <f t="shared" si="310"/>
        <v>N/A</v>
      </c>
      <c r="I530" s="186" t="b">
        <f t="shared" si="311"/>
        <v>1</v>
      </c>
      <c r="J530" s="186" t="str">
        <f t="shared" si="312"/>
        <v>N/A</v>
      </c>
      <c r="K530" s="186" t="b">
        <f t="shared" si="313"/>
        <v>1</v>
      </c>
      <c r="L530" s="186" t="str">
        <f t="shared" si="314"/>
        <v>N/A</v>
      </c>
      <c r="M530" s="186" t="b">
        <f t="shared" si="315"/>
        <v>1</v>
      </c>
      <c r="N530" s="186" t="str">
        <f t="shared" si="316"/>
        <v>Used?</v>
      </c>
      <c r="O530" s="186" t="b">
        <f t="shared" si="317"/>
        <v>0</v>
      </c>
      <c r="P530" s="26" t="s">
        <v>696</v>
      </c>
      <c r="Q530" s="160" t="s">
        <v>20</v>
      </c>
      <c r="R530" s="160" t="s">
        <v>20</v>
      </c>
      <c r="S530" s="26" t="s">
        <v>697</v>
      </c>
      <c r="T530" s="165" t="str">
        <f t="shared" si="318"/>
        <v>Not Used</v>
      </c>
      <c r="U530" s="162"/>
      <c r="V530" s="55"/>
      <c r="W530" s="51" t="b">
        <f t="shared" si="319"/>
        <v>1</v>
      </c>
      <c r="X530" s="51" t="str">
        <f t="shared" si="320"/>
        <v>Not Used</v>
      </c>
      <c r="Y530" s="51" t="str">
        <f t="shared" si="321"/>
        <v>Not Used</v>
      </c>
      <c r="Z530" s="51" t="str">
        <f t="shared" si="322"/>
        <v>Not Used</v>
      </c>
      <c r="AA530" s="51" t="str">
        <f t="shared" si="322"/>
        <v>Not Used</v>
      </c>
      <c r="AB530" s="51" t="str">
        <f t="shared" si="323"/>
        <v>Not Used</v>
      </c>
      <c r="AC530" s="51" t="b">
        <f t="shared" si="324"/>
        <v>1</v>
      </c>
      <c r="AD530" s="51">
        <f>COUNTIF($X$5:$X$530, "Not Used")</f>
        <v>526</v>
      </c>
      <c r="AE530" s="51">
        <f>COUNTIF($X$5:$X$530, "TRUE")</f>
        <v>0</v>
      </c>
      <c r="AF530" s="51" t="b">
        <f t="shared" si="325"/>
        <v>1</v>
      </c>
      <c r="AI530" s="51" t="b">
        <f t="shared" si="326"/>
        <v>0</v>
      </c>
      <c r="AJ530" s="51" t="b">
        <f t="shared" si="327"/>
        <v>0</v>
      </c>
      <c r="AK530" s="51" t="b">
        <f t="shared" si="328"/>
        <v>0</v>
      </c>
      <c r="AL530" s="51" t="b">
        <f t="shared" si="329"/>
        <v>0</v>
      </c>
      <c r="AM530" s="51" t="b">
        <f t="shared" si="330"/>
        <v>0</v>
      </c>
      <c r="AN530" s="51"/>
      <c r="AO530" s="51" t="b">
        <f t="shared" si="331"/>
        <v>0</v>
      </c>
      <c r="AP530" s="51" t="str">
        <f t="shared" si="353"/>
        <v>Not in MMS</v>
      </c>
      <c r="AQ530" s="51" t="b">
        <f t="shared" si="332"/>
        <v>0</v>
      </c>
      <c r="AR530" s="51" t="b">
        <f t="shared" si="333"/>
        <v>0</v>
      </c>
      <c r="AS530" s="51" t="str">
        <f t="shared" si="334"/>
        <v/>
      </c>
      <c r="AT530" s="51" t="str">
        <f t="shared" si="335"/>
        <v/>
      </c>
      <c r="AU530" s="51" t="str">
        <f t="shared" si="336"/>
        <v/>
      </c>
      <c r="AV530" s="51" t="str">
        <f t="shared" si="337"/>
        <v/>
      </c>
      <c r="AW530" s="51" t="str">
        <f t="shared" si="338"/>
        <v/>
      </c>
      <c r="AX530" s="51" t="str">
        <f t="shared" si="339"/>
        <v/>
      </c>
      <c r="AY530" s="51" t="str">
        <f t="shared" si="340"/>
        <v/>
      </c>
      <c r="AZ530" s="51" t="str">
        <f t="shared" si="341"/>
        <v/>
      </c>
      <c r="BA530" s="51" t="str">
        <f t="shared" si="342"/>
        <v/>
      </c>
      <c r="BB530" s="51" t="str">
        <f t="shared" si="343"/>
        <v/>
      </c>
      <c r="BC530" s="51" t="str">
        <f t="shared" si="344"/>
        <v/>
      </c>
      <c r="BD530" s="51" t="str">
        <f t="shared" si="345"/>
        <v/>
      </c>
      <c r="BE530" s="51" t="str">
        <f t="shared" si="346"/>
        <v/>
      </c>
      <c r="BF530" s="51" t="str">
        <f t="shared" si="347"/>
        <v/>
      </c>
      <c r="BG530" s="51" t="str">
        <f t="shared" si="348"/>
        <v/>
      </c>
      <c r="BH530" s="51" t="b">
        <f t="shared" si="349"/>
        <v>0</v>
      </c>
      <c r="BI530" s="51" t="str">
        <f t="shared" si="350"/>
        <v/>
      </c>
      <c r="BJ530" s="51" t="str">
        <f t="shared" si="351"/>
        <v/>
      </c>
      <c r="BK530" s="51" t="b">
        <f t="shared" si="352"/>
        <v>0</v>
      </c>
      <c r="BL530" s="192"/>
    </row>
    <row r="531" spans="1:64" ht="13.5" thickBot="1" x14ac:dyDescent="0.25">
      <c r="A531" s="185" t="s">
        <v>1206</v>
      </c>
      <c r="B531" s="194" t="s">
        <v>695</v>
      </c>
      <c r="C531" s="194" t="s">
        <v>695</v>
      </c>
      <c r="D531" s="194" t="s">
        <v>695</v>
      </c>
      <c r="E531" s="193" t="s">
        <v>694</v>
      </c>
      <c r="F531" s="160" t="s">
        <v>20</v>
      </c>
      <c r="G531" s="161"/>
      <c r="H531" s="186" t="str">
        <f t="shared" si="310"/>
        <v>N/A</v>
      </c>
      <c r="I531" s="186" t="b">
        <f t="shared" si="311"/>
        <v>1</v>
      </c>
      <c r="J531" s="186" t="str">
        <f t="shared" si="312"/>
        <v>N/A</v>
      </c>
      <c r="K531" s="186" t="b">
        <f t="shared" si="313"/>
        <v>1</v>
      </c>
      <c r="L531" s="186" t="str">
        <f t="shared" si="314"/>
        <v>N/A</v>
      </c>
      <c r="M531" s="186" t="b">
        <f t="shared" si="315"/>
        <v>1</v>
      </c>
      <c r="N531" s="186" t="str">
        <f t="shared" si="316"/>
        <v>Used?</v>
      </c>
      <c r="O531" s="186" t="b">
        <f t="shared" si="317"/>
        <v>0</v>
      </c>
      <c r="P531" s="26" t="s">
        <v>696</v>
      </c>
      <c r="Q531" s="160" t="s">
        <v>20</v>
      </c>
      <c r="R531" s="160" t="s">
        <v>20</v>
      </c>
      <c r="S531" s="26" t="s">
        <v>697</v>
      </c>
      <c r="T531" s="165" t="str">
        <f t="shared" si="318"/>
        <v>Not Used</v>
      </c>
      <c r="U531" s="162"/>
      <c r="V531" s="55"/>
      <c r="W531" s="51" t="b">
        <f t="shared" si="319"/>
        <v>1</v>
      </c>
      <c r="X531" s="51" t="str">
        <f t="shared" si="320"/>
        <v>Not Used</v>
      </c>
      <c r="Y531" s="51" t="str">
        <f t="shared" si="321"/>
        <v>Not Used</v>
      </c>
      <c r="Z531" s="51" t="str">
        <f t="shared" si="322"/>
        <v>Not Used</v>
      </c>
      <c r="AA531" s="51" t="str">
        <f t="shared" si="322"/>
        <v>Not Used</v>
      </c>
      <c r="AB531" s="51" t="str">
        <f t="shared" si="323"/>
        <v>Not Used</v>
      </c>
      <c r="AC531" s="51" t="b">
        <f t="shared" si="324"/>
        <v>1</v>
      </c>
      <c r="AD531" s="51">
        <f>COUNTIF($X$5:$X$531, "Not Used")</f>
        <v>527</v>
      </c>
      <c r="AE531" s="51">
        <f>COUNTIF($X$5:$X$531, "TRUE")</f>
        <v>0</v>
      </c>
      <c r="AF531" s="51" t="b">
        <f t="shared" si="325"/>
        <v>1</v>
      </c>
      <c r="AI531" s="51" t="b">
        <f t="shared" si="326"/>
        <v>0</v>
      </c>
      <c r="AJ531" s="51" t="b">
        <f t="shared" si="327"/>
        <v>0</v>
      </c>
      <c r="AK531" s="51" t="b">
        <f t="shared" si="328"/>
        <v>0</v>
      </c>
      <c r="AL531" s="51" t="b">
        <f t="shared" si="329"/>
        <v>0</v>
      </c>
      <c r="AM531" s="51" t="b">
        <f t="shared" si="330"/>
        <v>0</v>
      </c>
      <c r="AN531" s="51"/>
      <c r="AO531" s="51" t="b">
        <f t="shared" si="331"/>
        <v>0</v>
      </c>
      <c r="AP531" s="51" t="str">
        <f t="shared" si="353"/>
        <v>Not in MMS</v>
      </c>
      <c r="AQ531" s="51" t="b">
        <f t="shared" si="332"/>
        <v>0</v>
      </c>
      <c r="AR531" s="51" t="b">
        <f t="shared" si="333"/>
        <v>0</v>
      </c>
      <c r="AS531" s="51" t="str">
        <f t="shared" si="334"/>
        <v/>
      </c>
      <c r="AT531" s="51" t="str">
        <f t="shared" si="335"/>
        <v/>
      </c>
      <c r="AU531" s="51" t="str">
        <f t="shared" si="336"/>
        <v/>
      </c>
      <c r="AV531" s="51" t="str">
        <f t="shared" si="337"/>
        <v/>
      </c>
      <c r="AW531" s="51" t="str">
        <f t="shared" si="338"/>
        <v/>
      </c>
      <c r="AX531" s="51" t="str">
        <f t="shared" si="339"/>
        <v/>
      </c>
      <c r="AY531" s="51" t="str">
        <f t="shared" si="340"/>
        <v/>
      </c>
      <c r="AZ531" s="51" t="str">
        <f t="shared" si="341"/>
        <v/>
      </c>
      <c r="BA531" s="51" t="str">
        <f t="shared" si="342"/>
        <v/>
      </c>
      <c r="BB531" s="51" t="str">
        <f t="shared" si="343"/>
        <v/>
      </c>
      <c r="BC531" s="51" t="str">
        <f t="shared" si="344"/>
        <v/>
      </c>
      <c r="BD531" s="51" t="str">
        <f t="shared" si="345"/>
        <v/>
      </c>
      <c r="BE531" s="51" t="str">
        <f t="shared" si="346"/>
        <v/>
      </c>
      <c r="BF531" s="51" t="str">
        <f t="shared" si="347"/>
        <v/>
      </c>
      <c r="BG531" s="51" t="str">
        <f t="shared" si="348"/>
        <v/>
      </c>
      <c r="BH531" s="51" t="b">
        <f t="shared" si="349"/>
        <v>0</v>
      </c>
      <c r="BI531" s="51" t="str">
        <f t="shared" si="350"/>
        <v/>
      </c>
      <c r="BJ531" s="51" t="str">
        <f t="shared" si="351"/>
        <v/>
      </c>
      <c r="BK531" s="51" t="b">
        <f t="shared" si="352"/>
        <v>0</v>
      </c>
      <c r="BL531" s="192"/>
    </row>
    <row r="532" spans="1:64" ht="13.5" thickBot="1" x14ac:dyDescent="0.25">
      <c r="A532" s="185" t="s">
        <v>1207</v>
      </c>
      <c r="B532" s="194" t="s">
        <v>695</v>
      </c>
      <c r="C532" s="194" t="s">
        <v>695</v>
      </c>
      <c r="D532" s="194" t="s">
        <v>695</v>
      </c>
      <c r="E532" s="193" t="s">
        <v>694</v>
      </c>
      <c r="F532" s="160" t="s">
        <v>20</v>
      </c>
      <c r="G532" s="161"/>
      <c r="H532" s="186" t="str">
        <f t="shared" si="310"/>
        <v>N/A</v>
      </c>
      <c r="I532" s="186" t="b">
        <f t="shared" si="311"/>
        <v>1</v>
      </c>
      <c r="J532" s="186" t="str">
        <f t="shared" si="312"/>
        <v>N/A</v>
      </c>
      <c r="K532" s="186" t="b">
        <f t="shared" si="313"/>
        <v>1</v>
      </c>
      <c r="L532" s="186" t="str">
        <f t="shared" si="314"/>
        <v>N/A</v>
      </c>
      <c r="M532" s="186" t="b">
        <f t="shared" si="315"/>
        <v>1</v>
      </c>
      <c r="N532" s="186" t="str">
        <f t="shared" si="316"/>
        <v>Used?</v>
      </c>
      <c r="O532" s="186" t="b">
        <f t="shared" si="317"/>
        <v>0</v>
      </c>
      <c r="P532" s="26" t="s">
        <v>696</v>
      </c>
      <c r="Q532" s="160" t="s">
        <v>20</v>
      </c>
      <c r="R532" s="160" t="s">
        <v>20</v>
      </c>
      <c r="S532" s="26" t="s">
        <v>697</v>
      </c>
      <c r="T532" s="165" t="str">
        <f t="shared" si="318"/>
        <v>Not Used</v>
      </c>
      <c r="U532" s="162"/>
      <c r="V532" s="55"/>
      <c r="W532" s="51" t="b">
        <f t="shared" si="319"/>
        <v>1</v>
      </c>
      <c r="X532" s="51" t="str">
        <f t="shared" si="320"/>
        <v>Not Used</v>
      </c>
      <c r="Y532" s="51" t="str">
        <f t="shared" si="321"/>
        <v>Not Used</v>
      </c>
      <c r="Z532" s="51" t="str">
        <f t="shared" si="322"/>
        <v>Not Used</v>
      </c>
      <c r="AA532" s="51" t="str">
        <f t="shared" si="322"/>
        <v>Not Used</v>
      </c>
      <c r="AB532" s="51" t="str">
        <f t="shared" si="323"/>
        <v>Not Used</v>
      </c>
      <c r="AC532" s="51" t="b">
        <f t="shared" si="324"/>
        <v>1</v>
      </c>
      <c r="AD532" s="51">
        <f>COUNTIF($X$5:$X$532, "Not Used")</f>
        <v>528</v>
      </c>
      <c r="AE532" s="51">
        <f>COUNTIF($X$5:$X$532, "TRUE")</f>
        <v>0</v>
      </c>
      <c r="AF532" s="51" t="b">
        <f t="shared" si="325"/>
        <v>1</v>
      </c>
      <c r="AI532" s="51" t="b">
        <f t="shared" si="326"/>
        <v>0</v>
      </c>
      <c r="AJ532" s="51" t="b">
        <f t="shared" si="327"/>
        <v>0</v>
      </c>
      <c r="AK532" s="51" t="b">
        <f t="shared" si="328"/>
        <v>0</v>
      </c>
      <c r="AL532" s="51" t="b">
        <f t="shared" si="329"/>
        <v>0</v>
      </c>
      <c r="AM532" s="51" t="b">
        <f t="shared" si="330"/>
        <v>0</v>
      </c>
      <c r="AN532" s="51"/>
      <c r="AO532" s="51" t="b">
        <f t="shared" si="331"/>
        <v>0</v>
      </c>
      <c r="AP532" s="51" t="str">
        <f t="shared" si="353"/>
        <v>Not in MMS</v>
      </c>
      <c r="AQ532" s="51" t="b">
        <f t="shared" si="332"/>
        <v>0</v>
      </c>
      <c r="AR532" s="51" t="b">
        <f t="shared" si="333"/>
        <v>0</v>
      </c>
      <c r="AS532" s="51" t="str">
        <f t="shared" si="334"/>
        <v/>
      </c>
      <c r="AT532" s="51" t="str">
        <f t="shared" si="335"/>
        <v/>
      </c>
      <c r="AU532" s="51" t="str">
        <f t="shared" si="336"/>
        <v/>
      </c>
      <c r="AV532" s="51" t="str">
        <f t="shared" si="337"/>
        <v/>
      </c>
      <c r="AW532" s="51" t="str">
        <f t="shared" si="338"/>
        <v/>
      </c>
      <c r="AX532" s="51" t="str">
        <f t="shared" si="339"/>
        <v/>
      </c>
      <c r="AY532" s="51" t="str">
        <f t="shared" si="340"/>
        <v/>
      </c>
      <c r="AZ532" s="51" t="str">
        <f t="shared" si="341"/>
        <v/>
      </c>
      <c r="BA532" s="51" t="str">
        <f t="shared" si="342"/>
        <v/>
      </c>
      <c r="BB532" s="51" t="str">
        <f t="shared" si="343"/>
        <v/>
      </c>
      <c r="BC532" s="51" t="str">
        <f t="shared" si="344"/>
        <v/>
      </c>
      <c r="BD532" s="51" t="str">
        <f t="shared" si="345"/>
        <v/>
      </c>
      <c r="BE532" s="51" t="str">
        <f t="shared" si="346"/>
        <v/>
      </c>
      <c r="BF532" s="51" t="str">
        <f t="shared" si="347"/>
        <v/>
      </c>
      <c r="BG532" s="51" t="str">
        <f t="shared" si="348"/>
        <v/>
      </c>
      <c r="BH532" s="51" t="b">
        <f t="shared" si="349"/>
        <v>0</v>
      </c>
      <c r="BI532" s="51" t="str">
        <f t="shared" si="350"/>
        <v/>
      </c>
      <c r="BJ532" s="51" t="str">
        <f t="shared" si="351"/>
        <v/>
      </c>
      <c r="BK532" s="51" t="b">
        <f t="shared" si="352"/>
        <v>0</v>
      </c>
      <c r="BL532" s="192"/>
    </row>
    <row r="533" spans="1:64" ht="13.5" thickBot="1" x14ac:dyDescent="0.25">
      <c r="A533" s="185" t="s">
        <v>1208</v>
      </c>
      <c r="B533" s="194" t="s">
        <v>695</v>
      </c>
      <c r="C533" s="194" t="s">
        <v>695</v>
      </c>
      <c r="D533" s="194" t="s">
        <v>695</v>
      </c>
      <c r="E533" s="193" t="s">
        <v>694</v>
      </c>
      <c r="F533" s="160" t="s">
        <v>20</v>
      </c>
      <c r="G533" s="161"/>
      <c r="H533" s="186" t="str">
        <f t="shared" ref="H533:H596" si="354">IF(B533="YES",(IF(F533="Yes",TRUE,(IF(F533="YES WITH MODIFICATION",(IF((NOT(ISBLANK(U533))),"Used with modification","Change Request?")),(IF(F533="N/A",(IF((NOT(ISBLANK(G533))),"Not Used","Rationale?")),(IF(F533="&lt;Select&gt;","Used?",FALSE)))))))),"N/A")</f>
        <v>N/A</v>
      </c>
      <c r="I533" s="186" t="b">
        <f t="shared" ref="I533:I596" si="355">IF(B533="YES",OR(IF(F533="YES",TRUE,FALSE),IF(AND(F533="YES WITH MODIFICATION",NOT(ISBLANK(U533))),TRUE,FALSE),(IF(F533="N/A",NOT(ISBLANK(G533))))),TRUE)</f>
        <v>1</v>
      </c>
      <c r="J533" s="186" t="str">
        <f t="shared" ref="J533:J596" si="356">IF(C533="YES",(IF(F533="YES",TRUE,(IF(F533="YES WITH MODIFICATION",(IF((NOT(ISBLANK(U533))),"Used with modification","Change Request?")),(IF(F533="N/A",(IF((NOT(ISBLANK(G533))),"Not Used","Rationale?")),(IF(F533="&lt;Select&gt;","Used?",FALSE)))))))),"N/A")</f>
        <v>N/A</v>
      </c>
      <c r="K533" s="186" t="b">
        <f t="shared" ref="K533:K596" si="357">IF(C533="YES",OR(IF(F533="YES",TRUE,FALSE),IF(AND(F533="YES WITH MODIFICATION",NOT(ISBLANK(U533))),TRUE,FALSE),(IF(F533="N/A",NOT(ISBLANK(G533))))),TRUE)</f>
        <v>1</v>
      </c>
      <c r="L533" s="186" t="str">
        <f t="shared" ref="L533:L596" si="358">IF(D533="YES",(IF(F533="YES",TRUE,(IF(F533="YES WITH MODIFICATION",(IF((NOT(ISBLANK(U533))),"Used with modification","Change Request?")),(IF(F533="N/A",(IF((NOT(ISBLANK(G533))),"Not Used","Rationale?")),(IF(F533="&lt;Select&gt;","Used?",FALSE)))))))),"N/A")</f>
        <v>N/A</v>
      </c>
      <c r="M533" s="186" t="b">
        <f t="shared" ref="M533:M596" si="359">IF(D533="YES",OR(IF(F533="YES",TRUE,FALSE),IF(AND(F533="YES WITH MODIFICATION",NOT(ISBLANK(U533))),TRUE,FALSE),(IF(F533="N/A",NOT(ISBLANK(G533))))),TRUE)</f>
        <v>1</v>
      </c>
      <c r="N533" s="186" t="str">
        <f t="shared" ref="N533:N596" si="360">IF(E533="YES",(IF(F533="YES",TRUE,(IF(F533="YES WITH MODIFICATION",(IF((NOT(ISBLANK(U533))),"Used with modification","Change Request?")),(IF(F533="N/A",(IF((NOT(ISBLANK(G533))),"Not Used","Rationale?")),(IF(F533="&lt;Select&gt;","Used?",FALSE)))))))),"N/A")</f>
        <v>Used?</v>
      </c>
      <c r="O533" s="186" t="b">
        <f t="shared" ref="O533:O596" si="361">IF(E533="YES",OR(IF(F533="YES",TRUE,FALSE),IF(AND(F533="YES WITH MODIFICATION",NOT(ISBLANK(U533))),TRUE,FALSE),(IF(F533="N/A",NOT(ISBLANK(G533))))),TRUE)</f>
        <v>0</v>
      </c>
      <c r="P533" s="26" t="s">
        <v>696</v>
      </c>
      <c r="Q533" s="160" t="s">
        <v>20</v>
      </c>
      <c r="R533" s="160" t="s">
        <v>20</v>
      </c>
      <c r="S533" s="26" t="s">
        <v>697</v>
      </c>
      <c r="T533" s="165" t="str">
        <f t="shared" ref="T533:T596" si="362">IF(NOT(OR(F533="Yes",F533="YES WITH MODIFICATION")),"Not Used",(AND(X533=Y533,X533=(OR(Z533=TRUE,AA533=TRUE)), X533=AB533, X533=AC533)))</f>
        <v>Not Used</v>
      </c>
      <c r="U533" s="162"/>
      <c r="V533" s="55"/>
      <c r="W533" s="51" t="b">
        <f t="shared" ref="W533:W596" si="363">IF(T533=TRUE,TRUE,(IF(T533="Not Used", TRUE,FALSE)))</f>
        <v>1</v>
      </c>
      <c r="X533" s="51" t="str">
        <f t="shared" ref="X533:X596" si="364">IF(OR(F533="YES",F533="YES WITH MODIFICATION"),TRUE,"Not Used")</f>
        <v>Not Used</v>
      </c>
      <c r="Y533" s="51" t="str">
        <f t="shared" ref="Y533:Y596" si="365">IF(OR(P533="SC §3.X.X.X", ISBLANK(P533)),"Not Used", TRUE)</f>
        <v>Not Used</v>
      </c>
      <c r="Z533" s="51" t="str">
        <f t="shared" ref="Z533:AA596" si="366">IF(OR(Q533="&lt;Select&gt;",(ISBLANK(Q533))),"Not Used",TRUE)</f>
        <v>Not Used</v>
      </c>
      <c r="AA533" s="51" t="str">
        <f t="shared" si="366"/>
        <v>Not Used</v>
      </c>
      <c r="AB533" s="51" t="str">
        <f t="shared" ref="AB533:AB596" si="367">IF(OR(S533="&lt;enter location here&gt;",(ISBLANK(S533))),"Not Used",TRUE)</f>
        <v>Not Used</v>
      </c>
      <c r="AC533" s="51" t="b">
        <f t="shared" ref="AC533:AC596" si="368">IF(F533="YES WITH MODIFICATION",IF(NOT(ISBLANK(U533)),TRUE,FALSE),TRUE)</f>
        <v>1</v>
      </c>
      <c r="AD533" s="51">
        <f>COUNTIF($X$5:$X$533, "Not Used")</f>
        <v>529</v>
      </c>
      <c r="AE533" s="51">
        <f>COUNTIF($X$5:$X$533, "TRUE")</f>
        <v>0</v>
      </c>
      <c r="AF533" s="51" t="b">
        <f t="shared" ref="AF533:AF596" si="369">IF(F533="&lt;Select&gt;", TRUE,FALSE)</f>
        <v>1</v>
      </c>
      <c r="AI533" s="51" t="b">
        <f t="shared" ref="AI533:AI596" si="370">IF(F533="N/A", TRUE, FALSE)</f>
        <v>0</v>
      </c>
      <c r="AJ533" s="51" t="b">
        <f t="shared" ref="AJ533:AJ596" si="371">IF(AI533=TRUE, IF(NOT(ISBLANK(G533)), TRUE, FALSE))</f>
        <v>0</v>
      </c>
      <c r="AK533" s="51" t="b">
        <f t="shared" ref="AK533:AK596" si="372">IF(F533="YES WITH MODIFICATION", TRUE, FALSE)</f>
        <v>0</v>
      </c>
      <c r="AL533" s="51" t="b">
        <f t="shared" ref="AL533:AL596" si="373">IF(ISBLANK(U533), FALSE, TRUE)</f>
        <v>0</v>
      </c>
      <c r="AM533" s="51" t="b">
        <f t="shared" ref="AM533:AM596" si="374">IF(AND(AK533=TRUE, AL533=TRUE), TRUE, FALSE)</f>
        <v>0</v>
      </c>
      <c r="AN533" s="51"/>
      <c r="AO533" s="51" t="b">
        <f t="shared" ref="AO533:AO596" si="375">IF(AND(F533="YES WITH MODIFICATION", NOT(ISBLANK(U533))), TRUE, FALSE)</f>
        <v>0</v>
      </c>
      <c r="AP533" s="51" t="str">
        <f t="shared" si="353"/>
        <v>Not in MMS</v>
      </c>
      <c r="AQ533" s="51" t="b">
        <f t="shared" ref="AQ533:AQ596" si="376">IF(S533="&lt;enter location here&gt;", FALSE, TRUE)</f>
        <v>0</v>
      </c>
      <c r="AR533" s="51" t="b">
        <f t="shared" ref="AR533:AR596" si="377">IF(F533="&lt;Select&gt;", FALSE, IF(T533=FALSE, FALSE, TRUE))</f>
        <v>0</v>
      </c>
      <c r="AS533" s="51" t="str">
        <f t="shared" ref="AS533:AS596" si="378">IF(ISNUMBER(SEARCH("Tier 1 Sub MMS",AP533)), IF(F533="&lt;Select&gt;", FALSE, IF(AND(F533="N/A", J533="Rationale?"), FALSE, TRUE)), "")</f>
        <v/>
      </c>
      <c r="AT533" s="51" t="str">
        <f t="shared" ref="AT533:AT596" si="379">IF(ISNUMBER(SEARCH("Tier 1 MMS",AP533)), IF(F533="&lt;Select&gt;", FALSE, IF(AND(F533="N/A", H533="Rationale?"), FALSE, TRUE)), "")</f>
        <v/>
      </c>
      <c r="AU533" s="51" t="str">
        <f t="shared" ref="AU533:AU596" si="380">IF(ISNUMBER(SEARCH("Tier 1 MMS",AP533)), IF(F533="&lt;Select&gt;", FALSE, IF(AND(F533="YES WITH MODIFICATION", H533="Change Request?"), FALSE, TRUE)), "")</f>
        <v/>
      </c>
      <c r="AV533" s="51" t="str">
        <f t="shared" ref="AV533:AV596" si="381">IF(ISNUMBER(SEARCH("Tier 1 MMS",AP533)), IF(AK533=TRUE, TRUE, ""),"")</f>
        <v/>
      </c>
      <c r="AW533" s="51" t="str">
        <f t="shared" ref="AW533:AW596" si="382">IF(ISNUMBER(SEARCH("Tier 1 MMS",AP533)), IF(AL533=TRUE, TRUE, ""),"")</f>
        <v/>
      </c>
      <c r="AX533" s="51" t="str">
        <f t="shared" ref="AX533:AX596" si="383">IF(ISNUMBER(SEARCH("Tier 1 MMS",AP533)), IF(AI533=TRUE, TRUE, ""),"")</f>
        <v/>
      </c>
      <c r="AY533" s="51" t="str">
        <f t="shared" ref="AY533:AY596" si="384">IF(ISNUMBER(SEARCH("Tier 1 MMS",AP533)), IF(AJ533=TRUE, TRUE, ""),"")</f>
        <v/>
      </c>
      <c r="AZ533" s="51" t="str">
        <f t="shared" ref="AZ533:AZ596" si="385">IF(ISNUMBER(SEARCH("Tier 1 Sub MMS",AP533)), IF(AK533=TRUE, TRUE, ""),"")</f>
        <v/>
      </c>
      <c r="BA533" s="51" t="str">
        <f t="shared" ref="BA533:BA596" si="386">IF(ISNUMBER(SEARCH("Tier 1 Sub MMS",AP533)), IF(AL533=TRUE, TRUE, ""),"")</f>
        <v/>
      </c>
      <c r="BB533" s="51" t="str">
        <f t="shared" ref="BB533:BB596" si="387">IF(ISNUMBER(SEARCH("Tier 1 Sub MMS",AP533)), IF(AI533=TRUE, TRUE, ""),"")</f>
        <v/>
      </c>
      <c r="BC533" s="51" t="str">
        <f t="shared" ref="BC533:BC596" si="388">IF(ISNUMBER(SEARCH("Tier 1 Sub MMS",AP533)), IF(AJ533=TRUE, TRUE, ""),"")</f>
        <v/>
      </c>
      <c r="BD533" s="51" t="str">
        <f t="shared" ref="BD533:BD596" si="389">IF(ISNUMBER(SEARCH("Tier 2 MMS",AP533)), IF(AK533=TRUE, TRUE, ""),"")</f>
        <v/>
      </c>
      <c r="BE533" s="51" t="str">
        <f t="shared" ref="BE533:BE596" si="390">IF(ISNUMBER(SEARCH("Tier 2 MMS",AP533)), IF(AL533=TRUE, TRUE, ""),"")</f>
        <v/>
      </c>
      <c r="BF533" s="51" t="str">
        <f t="shared" ref="BF533:BF596" si="391">IF(ISNUMBER(SEARCH("Tier 2 MMS",AP533)), IF(AI533=TRUE, TRUE, ""),"")</f>
        <v/>
      </c>
      <c r="BG533" s="51" t="str">
        <f t="shared" ref="BG533:BG596" si="392">IF(ISNUMBER(SEARCH("Tier 2 MMS",AP533)), IF(AJ533=TRUE, TRUE, ""),"")</f>
        <v/>
      </c>
      <c r="BH533" s="51" t="b">
        <f t="shared" ref="BH533:BH596" si="393" xml:space="preserve"> IF(OR(F533="&lt;Select&gt;", AQ533=FALSE), FALSE, TRUE)</f>
        <v>0</v>
      </c>
      <c r="BI533" s="51" t="str">
        <f t="shared" ref="BI533:BI596" si="394">IF(E533="YES", "", IF(E533="NO", IF(F533="N/A",TRUE,IF(F533="YES",FALSE))))</f>
        <v/>
      </c>
      <c r="BJ533" s="51" t="str">
        <f t="shared" ref="BJ533:BJ596" si="395">IF(E533="YES", "", IF(E533="NO", IF(AND(F533="N/A", NOT(ISBLANK(G533))), TRUE, IF(AND(F533="YES",AL533=TRUE),TRUE,FALSE))))</f>
        <v/>
      </c>
      <c r="BK533" s="51" t="b">
        <f t="shared" ref="BK533:BK596" si="396" xml:space="preserve"> IF(OR(F533="&lt;Select&gt;", T533=FALSE), FALSE, TRUE)</f>
        <v>0</v>
      </c>
      <c r="BL533" s="192"/>
    </row>
    <row r="534" spans="1:64" ht="13.5" thickBot="1" x14ac:dyDescent="0.25">
      <c r="A534" s="185" t="s">
        <v>1209</v>
      </c>
      <c r="B534" s="194" t="s">
        <v>695</v>
      </c>
      <c r="C534" s="194" t="s">
        <v>695</v>
      </c>
      <c r="D534" s="194" t="s">
        <v>695</v>
      </c>
      <c r="E534" s="193" t="s">
        <v>694</v>
      </c>
      <c r="F534" s="160" t="s">
        <v>20</v>
      </c>
      <c r="G534" s="161"/>
      <c r="H534" s="186" t="str">
        <f t="shared" si="354"/>
        <v>N/A</v>
      </c>
      <c r="I534" s="186" t="b">
        <f t="shared" si="355"/>
        <v>1</v>
      </c>
      <c r="J534" s="186" t="str">
        <f t="shared" si="356"/>
        <v>N/A</v>
      </c>
      <c r="K534" s="186" t="b">
        <f t="shared" si="357"/>
        <v>1</v>
      </c>
      <c r="L534" s="186" t="str">
        <f t="shared" si="358"/>
        <v>N/A</v>
      </c>
      <c r="M534" s="186" t="b">
        <f t="shared" si="359"/>
        <v>1</v>
      </c>
      <c r="N534" s="186" t="str">
        <f t="shared" si="360"/>
        <v>Used?</v>
      </c>
      <c r="O534" s="186" t="b">
        <f t="shared" si="361"/>
        <v>0</v>
      </c>
      <c r="P534" s="26" t="s">
        <v>696</v>
      </c>
      <c r="Q534" s="160" t="s">
        <v>20</v>
      </c>
      <c r="R534" s="160" t="s">
        <v>20</v>
      </c>
      <c r="S534" s="26" t="s">
        <v>697</v>
      </c>
      <c r="T534" s="165" t="str">
        <f t="shared" si="362"/>
        <v>Not Used</v>
      </c>
      <c r="U534" s="162"/>
      <c r="V534" s="55"/>
      <c r="W534" s="51" t="b">
        <f t="shared" si="363"/>
        <v>1</v>
      </c>
      <c r="X534" s="51" t="str">
        <f t="shared" si="364"/>
        <v>Not Used</v>
      </c>
      <c r="Y534" s="51" t="str">
        <f t="shared" si="365"/>
        <v>Not Used</v>
      </c>
      <c r="Z534" s="51" t="str">
        <f t="shared" si="366"/>
        <v>Not Used</v>
      </c>
      <c r="AA534" s="51" t="str">
        <f t="shared" si="366"/>
        <v>Not Used</v>
      </c>
      <c r="AB534" s="51" t="str">
        <f t="shared" si="367"/>
        <v>Not Used</v>
      </c>
      <c r="AC534" s="51" t="b">
        <f t="shared" si="368"/>
        <v>1</v>
      </c>
      <c r="AD534" s="51">
        <f>COUNTIF($X$5:$X$534, "Not Used")</f>
        <v>530</v>
      </c>
      <c r="AE534" s="51">
        <f>COUNTIF($X$5:$X$534, "TRUE")</f>
        <v>0</v>
      </c>
      <c r="AF534" s="51" t="b">
        <f t="shared" si="369"/>
        <v>1</v>
      </c>
      <c r="AI534" s="51" t="b">
        <f t="shared" si="370"/>
        <v>0</v>
      </c>
      <c r="AJ534" s="51" t="b">
        <f t="shared" si="371"/>
        <v>0</v>
      </c>
      <c r="AK534" s="51" t="b">
        <f t="shared" si="372"/>
        <v>0</v>
      </c>
      <c r="AL534" s="51" t="b">
        <f t="shared" si="373"/>
        <v>0</v>
      </c>
      <c r="AM534" s="51" t="b">
        <f t="shared" si="374"/>
        <v>0</v>
      </c>
      <c r="AN534" s="51"/>
      <c r="AO534" s="51" t="b">
        <f t="shared" si="375"/>
        <v>0</v>
      </c>
      <c r="AP534" s="51" t="str">
        <f t="shared" ref="AP534:AP597" si="397">IF(AND(B534="YES", C534="YES", D534="YES"), "Tier 1 MMS, Tier 1 Sub MMS, Tier 2 MMS", IF(AND(B534="YES", C534="YES"), "Tier 1 MMS, Tier 1 Sub MMS", IF(AND(B534="YES", D534="YES"), "Tier 1 MMS, Tier 2 MMS", IF(AND(C534="YES", D534="YES"), "Tier 1 Sub MMS, Tier 2 MMS", IF(B534="YES", "Tier 1 MMS", IF(C534="YES", "Tier 1 Sub MMS", IF(D534="YES", "Tier 2 MMS", "Not in MMS")))))))</f>
        <v>Not in MMS</v>
      </c>
      <c r="AQ534" s="51" t="b">
        <f t="shared" si="376"/>
        <v>0</v>
      </c>
      <c r="AR534" s="51" t="b">
        <f t="shared" si="377"/>
        <v>0</v>
      </c>
      <c r="AS534" s="51" t="str">
        <f t="shared" si="378"/>
        <v/>
      </c>
      <c r="AT534" s="51" t="str">
        <f t="shared" si="379"/>
        <v/>
      </c>
      <c r="AU534" s="51" t="str">
        <f t="shared" si="380"/>
        <v/>
      </c>
      <c r="AV534" s="51" t="str">
        <f t="shared" si="381"/>
        <v/>
      </c>
      <c r="AW534" s="51" t="str">
        <f t="shared" si="382"/>
        <v/>
      </c>
      <c r="AX534" s="51" t="str">
        <f t="shared" si="383"/>
        <v/>
      </c>
      <c r="AY534" s="51" t="str">
        <f t="shared" si="384"/>
        <v/>
      </c>
      <c r="AZ534" s="51" t="str">
        <f t="shared" si="385"/>
        <v/>
      </c>
      <c r="BA534" s="51" t="str">
        <f t="shared" si="386"/>
        <v/>
      </c>
      <c r="BB534" s="51" t="str">
        <f t="shared" si="387"/>
        <v/>
      </c>
      <c r="BC534" s="51" t="str">
        <f t="shared" si="388"/>
        <v/>
      </c>
      <c r="BD534" s="51" t="str">
        <f t="shared" si="389"/>
        <v/>
      </c>
      <c r="BE534" s="51" t="str">
        <f t="shared" si="390"/>
        <v/>
      </c>
      <c r="BF534" s="51" t="str">
        <f t="shared" si="391"/>
        <v/>
      </c>
      <c r="BG534" s="51" t="str">
        <f t="shared" si="392"/>
        <v/>
      </c>
      <c r="BH534" s="51" t="b">
        <f t="shared" si="393"/>
        <v>0</v>
      </c>
      <c r="BI534" s="51" t="str">
        <f t="shared" si="394"/>
        <v/>
      </c>
      <c r="BJ534" s="51" t="str">
        <f t="shared" si="395"/>
        <v/>
      </c>
      <c r="BK534" s="51" t="b">
        <f t="shared" si="396"/>
        <v>0</v>
      </c>
      <c r="BL534" s="192"/>
    </row>
    <row r="535" spans="1:64" ht="13.5" thickBot="1" x14ac:dyDescent="0.25">
      <c r="A535" s="185" t="s">
        <v>1210</v>
      </c>
      <c r="B535" s="194" t="s">
        <v>695</v>
      </c>
      <c r="C535" s="194" t="s">
        <v>695</v>
      </c>
      <c r="D535" s="194" t="s">
        <v>695</v>
      </c>
      <c r="E535" s="193" t="s">
        <v>694</v>
      </c>
      <c r="F535" s="160" t="s">
        <v>20</v>
      </c>
      <c r="G535" s="161"/>
      <c r="H535" s="186" t="str">
        <f t="shared" si="354"/>
        <v>N/A</v>
      </c>
      <c r="I535" s="186" t="b">
        <f t="shared" si="355"/>
        <v>1</v>
      </c>
      <c r="J535" s="186" t="str">
        <f t="shared" si="356"/>
        <v>N/A</v>
      </c>
      <c r="K535" s="186" t="b">
        <f t="shared" si="357"/>
        <v>1</v>
      </c>
      <c r="L535" s="186" t="str">
        <f t="shared" si="358"/>
        <v>N/A</v>
      </c>
      <c r="M535" s="186" t="b">
        <f t="shared" si="359"/>
        <v>1</v>
      </c>
      <c r="N535" s="186" t="str">
        <f t="shared" si="360"/>
        <v>Used?</v>
      </c>
      <c r="O535" s="186" t="b">
        <f t="shared" si="361"/>
        <v>0</v>
      </c>
      <c r="P535" s="26" t="s">
        <v>696</v>
      </c>
      <c r="Q535" s="160" t="s">
        <v>20</v>
      </c>
      <c r="R535" s="160" t="s">
        <v>20</v>
      </c>
      <c r="S535" s="26" t="s">
        <v>697</v>
      </c>
      <c r="T535" s="165" t="str">
        <f t="shared" si="362"/>
        <v>Not Used</v>
      </c>
      <c r="U535" s="162"/>
      <c r="V535" s="55"/>
      <c r="W535" s="51" t="b">
        <f t="shared" si="363"/>
        <v>1</v>
      </c>
      <c r="X535" s="51" t="str">
        <f t="shared" si="364"/>
        <v>Not Used</v>
      </c>
      <c r="Y535" s="51" t="str">
        <f t="shared" si="365"/>
        <v>Not Used</v>
      </c>
      <c r="Z535" s="51" t="str">
        <f t="shared" si="366"/>
        <v>Not Used</v>
      </c>
      <c r="AA535" s="51" t="str">
        <f t="shared" si="366"/>
        <v>Not Used</v>
      </c>
      <c r="AB535" s="51" t="str">
        <f t="shared" si="367"/>
        <v>Not Used</v>
      </c>
      <c r="AC535" s="51" t="b">
        <f t="shared" si="368"/>
        <v>1</v>
      </c>
      <c r="AD535" s="51">
        <f>COUNTIF($X$5:$X$535, "Not Used")</f>
        <v>531</v>
      </c>
      <c r="AE535" s="51">
        <f>COUNTIF($X$5:$X$535, "TRUE")</f>
        <v>0</v>
      </c>
      <c r="AF535" s="51" t="b">
        <f t="shared" si="369"/>
        <v>1</v>
      </c>
      <c r="AI535" s="51" t="b">
        <f t="shared" si="370"/>
        <v>0</v>
      </c>
      <c r="AJ535" s="51" t="b">
        <f t="shared" si="371"/>
        <v>0</v>
      </c>
      <c r="AK535" s="51" t="b">
        <f t="shared" si="372"/>
        <v>0</v>
      </c>
      <c r="AL535" s="51" t="b">
        <f t="shared" si="373"/>
        <v>0</v>
      </c>
      <c r="AM535" s="51" t="b">
        <f t="shared" si="374"/>
        <v>0</v>
      </c>
      <c r="AN535" s="51"/>
      <c r="AO535" s="51" t="b">
        <f t="shared" si="375"/>
        <v>0</v>
      </c>
      <c r="AP535" s="51" t="str">
        <f t="shared" si="397"/>
        <v>Not in MMS</v>
      </c>
      <c r="AQ535" s="51" t="b">
        <f t="shared" si="376"/>
        <v>0</v>
      </c>
      <c r="AR535" s="51" t="b">
        <f t="shared" si="377"/>
        <v>0</v>
      </c>
      <c r="AS535" s="51" t="str">
        <f t="shared" si="378"/>
        <v/>
      </c>
      <c r="AT535" s="51" t="str">
        <f t="shared" si="379"/>
        <v/>
      </c>
      <c r="AU535" s="51" t="str">
        <f t="shared" si="380"/>
        <v/>
      </c>
      <c r="AV535" s="51" t="str">
        <f t="shared" si="381"/>
        <v/>
      </c>
      <c r="AW535" s="51" t="str">
        <f t="shared" si="382"/>
        <v/>
      </c>
      <c r="AX535" s="51" t="str">
        <f t="shared" si="383"/>
        <v/>
      </c>
      <c r="AY535" s="51" t="str">
        <f t="shared" si="384"/>
        <v/>
      </c>
      <c r="AZ535" s="51" t="str">
        <f t="shared" si="385"/>
        <v/>
      </c>
      <c r="BA535" s="51" t="str">
        <f t="shared" si="386"/>
        <v/>
      </c>
      <c r="BB535" s="51" t="str">
        <f t="shared" si="387"/>
        <v/>
      </c>
      <c r="BC535" s="51" t="str">
        <f t="shared" si="388"/>
        <v/>
      </c>
      <c r="BD535" s="51" t="str">
        <f t="shared" si="389"/>
        <v/>
      </c>
      <c r="BE535" s="51" t="str">
        <f t="shared" si="390"/>
        <v/>
      </c>
      <c r="BF535" s="51" t="str">
        <f t="shared" si="391"/>
        <v/>
      </c>
      <c r="BG535" s="51" t="str">
        <f t="shared" si="392"/>
        <v/>
      </c>
      <c r="BH535" s="51" t="b">
        <f t="shared" si="393"/>
        <v>0</v>
      </c>
      <c r="BI535" s="51" t="str">
        <f t="shared" si="394"/>
        <v/>
      </c>
      <c r="BJ535" s="51" t="str">
        <f t="shared" si="395"/>
        <v/>
      </c>
      <c r="BK535" s="51" t="b">
        <f t="shared" si="396"/>
        <v>0</v>
      </c>
      <c r="BL535" s="192"/>
    </row>
    <row r="536" spans="1:64" ht="13.5" thickBot="1" x14ac:dyDescent="0.25">
      <c r="A536" s="185" t="s">
        <v>1211</v>
      </c>
      <c r="B536" s="194" t="s">
        <v>695</v>
      </c>
      <c r="C536" s="194" t="s">
        <v>695</v>
      </c>
      <c r="D536" s="194" t="s">
        <v>695</v>
      </c>
      <c r="E536" s="193" t="s">
        <v>694</v>
      </c>
      <c r="F536" s="160" t="s">
        <v>20</v>
      </c>
      <c r="G536" s="161"/>
      <c r="H536" s="186" t="str">
        <f t="shared" si="354"/>
        <v>N/A</v>
      </c>
      <c r="I536" s="186" t="b">
        <f t="shared" si="355"/>
        <v>1</v>
      </c>
      <c r="J536" s="186" t="str">
        <f t="shared" si="356"/>
        <v>N/A</v>
      </c>
      <c r="K536" s="186" t="b">
        <f t="shared" si="357"/>
        <v>1</v>
      </c>
      <c r="L536" s="186" t="str">
        <f t="shared" si="358"/>
        <v>N/A</v>
      </c>
      <c r="M536" s="186" t="b">
        <f t="shared" si="359"/>
        <v>1</v>
      </c>
      <c r="N536" s="186" t="str">
        <f t="shared" si="360"/>
        <v>Used?</v>
      </c>
      <c r="O536" s="186" t="b">
        <f t="shared" si="361"/>
        <v>0</v>
      </c>
      <c r="P536" s="26" t="s">
        <v>696</v>
      </c>
      <c r="Q536" s="160" t="s">
        <v>20</v>
      </c>
      <c r="R536" s="160" t="s">
        <v>20</v>
      </c>
      <c r="S536" s="26" t="s">
        <v>697</v>
      </c>
      <c r="T536" s="165" t="str">
        <f t="shared" si="362"/>
        <v>Not Used</v>
      </c>
      <c r="U536" s="162"/>
      <c r="V536" s="55"/>
      <c r="W536" s="51" t="b">
        <f t="shared" si="363"/>
        <v>1</v>
      </c>
      <c r="X536" s="51" t="str">
        <f t="shared" si="364"/>
        <v>Not Used</v>
      </c>
      <c r="Y536" s="51" t="str">
        <f t="shared" si="365"/>
        <v>Not Used</v>
      </c>
      <c r="Z536" s="51" t="str">
        <f t="shared" si="366"/>
        <v>Not Used</v>
      </c>
      <c r="AA536" s="51" t="str">
        <f t="shared" si="366"/>
        <v>Not Used</v>
      </c>
      <c r="AB536" s="51" t="str">
        <f t="shared" si="367"/>
        <v>Not Used</v>
      </c>
      <c r="AC536" s="51" t="b">
        <f t="shared" si="368"/>
        <v>1</v>
      </c>
      <c r="AD536" s="51">
        <f>COUNTIF($X$5:$X$536, "Not Used")</f>
        <v>532</v>
      </c>
      <c r="AE536" s="51">
        <f>COUNTIF($X$5:$X$536, "TRUE")</f>
        <v>0</v>
      </c>
      <c r="AF536" s="51" t="b">
        <f t="shared" si="369"/>
        <v>1</v>
      </c>
      <c r="AI536" s="51" t="b">
        <f t="shared" si="370"/>
        <v>0</v>
      </c>
      <c r="AJ536" s="51" t="b">
        <f t="shared" si="371"/>
        <v>0</v>
      </c>
      <c r="AK536" s="51" t="b">
        <f t="shared" si="372"/>
        <v>0</v>
      </c>
      <c r="AL536" s="51" t="b">
        <f t="shared" si="373"/>
        <v>0</v>
      </c>
      <c r="AM536" s="51" t="b">
        <f t="shared" si="374"/>
        <v>0</v>
      </c>
      <c r="AN536" s="51"/>
      <c r="AO536" s="51" t="b">
        <f t="shared" si="375"/>
        <v>0</v>
      </c>
      <c r="AP536" s="51" t="str">
        <f t="shared" si="397"/>
        <v>Not in MMS</v>
      </c>
      <c r="AQ536" s="51" t="b">
        <f t="shared" si="376"/>
        <v>0</v>
      </c>
      <c r="AR536" s="51" t="b">
        <f t="shared" si="377"/>
        <v>0</v>
      </c>
      <c r="AS536" s="51" t="str">
        <f t="shared" si="378"/>
        <v/>
      </c>
      <c r="AT536" s="51" t="str">
        <f t="shared" si="379"/>
        <v/>
      </c>
      <c r="AU536" s="51" t="str">
        <f t="shared" si="380"/>
        <v/>
      </c>
      <c r="AV536" s="51" t="str">
        <f t="shared" si="381"/>
        <v/>
      </c>
      <c r="AW536" s="51" t="str">
        <f t="shared" si="382"/>
        <v/>
      </c>
      <c r="AX536" s="51" t="str">
        <f t="shared" si="383"/>
        <v/>
      </c>
      <c r="AY536" s="51" t="str">
        <f t="shared" si="384"/>
        <v/>
      </c>
      <c r="AZ536" s="51" t="str">
        <f t="shared" si="385"/>
        <v/>
      </c>
      <c r="BA536" s="51" t="str">
        <f t="shared" si="386"/>
        <v/>
      </c>
      <c r="BB536" s="51" t="str">
        <f t="shared" si="387"/>
        <v/>
      </c>
      <c r="BC536" s="51" t="str">
        <f t="shared" si="388"/>
        <v/>
      </c>
      <c r="BD536" s="51" t="str">
        <f t="shared" si="389"/>
        <v/>
      </c>
      <c r="BE536" s="51" t="str">
        <f t="shared" si="390"/>
        <v/>
      </c>
      <c r="BF536" s="51" t="str">
        <f t="shared" si="391"/>
        <v/>
      </c>
      <c r="BG536" s="51" t="str">
        <f t="shared" si="392"/>
        <v/>
      </c>
      <c r="BH536" s="51" t="b">
        <f t="shared" si="393"/>
        <v>0</v>
      </c>
      <c r="BI536" s="51" t="str">
        <f t="shared" si="394"/>
        <v/>
      </c>
      <c r="BJ536" s="51" t="str">
        <f t="shared" si="395"/>
        <v/>
      </c>
      <c r="BK536" s="51" t="b">
        <f t="shared" si="396"/>
        <v>0</v>
      </c>
      <c r="BL536" s="192"/>
    </row>
    <row r="537" spans="1:64" ht="13.5" thickBot="1" x14ac:dyDescent="0.25">
      <c r="A537" s="185" t="s">
        <v>1212</v>
      </c>
      <c r="B537" s="194" t="s">
        <v>695</v>
      </c>
      <c r="C537" s="194" t="s">
        <v>695</v>
      </c>
      <c r="D537" s="194" t="s">
        <v>695</v>
      </c>
      <c r="E537" s="193" t="s">
        <v>694</v>
      </c>
      <c r="F537" s="160" t="s">
        <v>20</v>
      </c>
      <c r="G537" s="161"/>
      <c r="H537" s="186" t="str">
        <f t="shared" si="354"/>
        <v>N/A</v>
      </c>
      <c r="I537" s="186" t="b">
        <f t="shared" si="355"/>
        <v>1</v>
      </c>
      <c r="J537" s="186" t="str">
        <f t="shared" si="356"/>
        <v>N/A</v>
      </c>
      <c r="K537" s="186" t="b">
        <f t="shared" si="357"/>
        <v>1</v>
      </c>
      <c r="L537" s="186" t="str">
        <f t="shared" si="358"/>
        <v>N/A</v>
      </c>
      <c r="M537" s="186" t="b">
        <f t="shared" si="359"/>
        <v>1</v>
      </c>
      <c r="N537" s="186" t="str">
        <f t="shared" si="360"/>
        <v>Used?</v>
      </c>
      <c r="O537" s="186" t="b">
        <f t="shared" si="361"/>
        <v>0</v>
      </c>
      <c r="P537" s="26" t="s">
        <v>696</v>
      </c>
      <c r="Q537" s="160" t="s">
        <v>20</v>
      </c>
      <c r="R537" s="160" t="s">
        <v>20</v>
      </c>
      <c r="S537" s="26" t="s">
        <v>697</v>
      </c>
      <c r="T537" s="165" t="str">
        <f t="shared" si="362"/>
        <v>Not Used</v>
      </c>
      <c r="U537" s="162"/>
      <c r="V537" s="55"/>
      <c r="W537" s="51" t="b">
        <f t="shared" si="363"/>
        <v>1</v>
      </c>
      <c r="X537" s="51" t="str">
        <f t="shared" si="364"/>
        <v>Not Used</v>
      </c>
      <c r="Y537" s="51" t="str">
        <f t="shared" si="365"/>
        <v>Not Used</v>
      </c>
      <c r="Z537" s="51" t="str">
        <f t="shared" si="366"/>
        <v>Not Used</v>
      </c>
      <c r="AA537" s="51" t="str">
        <f t="shared" si="366"/>
        <v>Not Used</v>
      </c>
      <c r="AB537" s="51" t="str">
        <f t="shared" si="367"/>
        <v>Not Used</v>
      </c>
      <c r="AC537" s="51" t="b">
        <f t="shared" si="368"/>
        <v>1</v>
      </c>
      <c r="AD537" s="51">
        <f>COUNTIF($X$5:$X$537, "Not Used")</f>
        <v>533</v>
      </c>
      <c r="AE537" s="51">
        <f>COUNTIF($X$5:$X$537, "TRUE")</f>
        <v>0</v>
      </c>
      <c r="AF537" s="51" t="b">
        <f t="shared" si="369"/>
        <v>1</v>
      </c>
      <c r="AI537" s="51" t="b">
        <f t="shared" si="370"/>
        <v>0</v>
      </c>
      <c r="AJ537" s="51" t="b">
        <f t="shared" si="371"/>
        <v>0</v>
      </c>
      <c r="AK537" s="51" t="b">
        <f t="shared" si="372"/>
        <v>0</v>
      </c>
      <c r="AL537" s="51" t="b">
        <f t="shared" si="373"/>
        <v>0</v>
      </c>
      <c r="AM537" s="51" t="b">
        <f t="shared" si="374"/>
        <v>0</v>
      </c>
      <c r="AN537" s="51"/>
      <c r="AO537" s="51" t="b">
        <f t="shared" si="375"/>
        <v>0</v>
      </c>
      <c r="AP537" s="51" t="str">
        <f t="shared" si="397"/>
        <v>Not in MMS</v>
      </c>
      <c r="AQ537" s="51" t="b">
        <f t="shared" si="376"/>
        <v>0</v>
      </c>
      <c r="AR537" s="51" t="b">
        <f t="shared" si="377"/>
        <v>0</v>
      </c>
      <c r="AS537" s="51" t="str">
        <f t="shared" si="378"/>
        <v/>
      </c>
      <c r="AT537" s="51" t="str">
        <f t="shared" si="379"/>
        <v/>
      </c>
      <c r="AU537" s="51" t="str">
        <f t="shared" si="380"/>
        <v/>
      </c>
      <c r="AV537" s="51" t="str">
        <f t="shared" si="381"/>
        <v/>
      </c>
      <c r="AW537" s="51" t="str">
        <f t="shared" si="382"/>
        <v/>
      </c>
      <c r="AX537" s="51" t="str">
        <f t="shared" si="383"/>
        <v/>
      </c>
      <c r="AY537" s="51" t="str">
        <f t="shared" si="384"/>
        <v/>
      </c>
      <c r="AZ537" s="51" t="str">
        <f t="shared" si="385"/>
        <v/>
      </c>
      <c r="BA537" s="51" t="str">
        <f t="shared" si="386"/>
        <v/>
      </c>
      <c r="BB537" s="51" t="str">
        <f t="shared" si="387"/>
        <v/>
      </c>
      <c r="BC537" s="51" t="str">
        <f t="shared" si="388"/>
        <v/>
      </c>
      <c r="BD537" s="51" t="str">
        <f t="shared" si="389"/>
        <v/>
      </c>
      <c r="BE537" s="51" t="str">
        <f t="shared" si="390"/>
        <v/>
      </c>
      <c r="BF537" s="51" t="str">
        <f t="shared" si="391"/>
        <v/>
      </c>
      <c r="BG537" s="51" t="str">
        <f t="shared" si="392"/>
        <v/>
      </c>
      <c r="BH537" s="51" t="b">
        <f t="shared" si="393"/>
        <v>0</v>
      </c>
      <c r="BI537" s="51" t="str">
        <f t="shared" si="394"/>
        <v/>
      </c>
      <c r="BJ537" s="51" t="str">
        <f t="shared" si="395"/>
        <v/>
      </c>
      <c r="BK537" s="51" t="b">
        <f t="shared" si="396"/>
        <v>0</v>
      </c>
      <c r="BL537" s="192"/>
    </row>
    <row r="538" spans="1:64" ht="13.5" thickBot="1" x14ac:dyDescent="0.25">
      <c r="A538" s="185" t="s">
        <v>1213</v>
      </c>
      <c r="B538" s="194" t="s">
        <v>695</v>
      </c>
      <c r="C538" s="194" t="s">
        <v>695</v>
      </c>
      <c r="D538" s="194" t="s">
        <v>695</v>
      </c>
      <c r="E538" s="193" t="s">
        <v>694</v>
      </c>
      <c r="F538" s="160" t="s">
        <v>20</v>
      </c>
      <c r="G538" s="161"/>
      <c r="H538" s="186" t="str">
        <f t="shared" si="354"/>
        <v>N/A</v>
      </c>
      <c r="I538" s="186" t="b">
        <f t="shared" si="355"/>
        <v>1</v>
      </c>
      <c r="J538" s="186" t="str">
        <f t="shared" si="356"/>
        <v>N/A</v>
      </c>
      <c r="K538" s="186" t="b">
        <f t="shared" si="357"/>
        <v>1</v>
      </c>
      <c r="L538" s="186" t="str">
        <f t="shared" si="358"/>
        <v>N/A</v>
      </c>
      <c r="M538" s="186" t="b">
        <f t="shared" si="359"/>
        <v>1</v>
      </c>
      <c r="N538" s="186" t="str">
        <f t="shared" si="360"/>
        <v>Used?</v>
      </c>
      <c r="O538" s="186" t="b">
        <f t="shared" si="361"/>
        <v>0</v>
      </c>
      <c r="P538" s="26" t="s">
        <v>696</v>
      </c>
      <c r="Q538" s="160" t="s">
        <v>20</v>
      </c>
      <c r="R538" s="160" t="s">
        <v>20</v>
      </c>
      <c r="S538" s="26" t="s">
        <v>697</v>
      </c>
      <c r="T538" s="165" t="str">
        <f t="shared" si="362"/>
        <v>Not Used</v>
      </c>
      <c r="U538" s="162"/>
      <c r="V538" s="55"/>
      <c r="W538" s="51" t="b">
        <f t="shared" si="363"/>
        <v>1</v>
      </c>
      <c r="X538" s="51" t="str">
        <f t="shared" si="364"/>
        <v>Not Used</v>
      </c>
      <c r="Y538" s="51" t="str">
        <f t="shared" si="365"/>
        <v>Not Used</v>
      </c>
      <c r="Z538" s="51" t="str">
        <f t="shared" si="366"/>
        <v>Not Used</v>
      </c>
      <c r="AA538" s="51" t="str">
        <f t="shared" si="366"/>
        <v>Not Used</v>
      </c>
      <c r="AB538" s="51" t="str">
        <f t="shared" si="367"/>
        <v>Not Used</v>
      </c>
      <c r="AC538" s="51" t="b">
        <f t="shared" si="368"/>
        <v>1</v>
      </c>
      <c r="AD538" s="51">
        <f>COUNTIF($X$5:$X$538, "Not Used")</f>
        <v>534</v>
      </c>
      <c r="AE538" s="51">
        <f>COUNTIF($X$5:$X$538, "TRUE")</f>
        <v>0</v>
      </c>
      <c r="AF538" s="51" t="b">
        <f t="shared" si="369"/>
        <v>1</v>
      </c>
      <c r="AI538" s="51" t="b">
        <f t="shared" si="370"/>
        <v>0</v>
      </c>
      <c r="AJ538" s="51" t="b">
        <f t="shared" si="371"/>
        <v>0</v>
      </c>
      <c r="AK538" s="51" t="b">
        <f t="shared" si="372"/>
        <v>0</v>
      </c>
      <c r="AL538" s="51" t="b">
        <f t="shared" si="373"/>
        <v>0</v>
      </c>
      <c r="AM538" s="51" t="b">
        <f t="shared" si="374"/>
        <v>0</v>
      </c>
      <c r="AN538" s="51"/>
      <c r="AO538" s="51" t="b">
        <f t="shared" si="375"/>
        <v>0</v>
      </c>
      <c r="AP538" s="51" t="str">
        <f t="shared" si="397"/>
        <v>Not in MMS</v>
      </c>
      <c r="AQ538" s="51" t="b">
        <f t="shared" si="376"/>
        <v>0</v>
      </c>
      <c r="AR538" s="51" t="b">
        <f t="shared" si="377"/>
        <v>0</v>
      </c>
      <c r="AS538" s="51" t="str">
        <f t="shared" si="378"/>
        <v/>
      </c>
      <c r="AT538" s="51" t="str">
        <f t="shared" si="379"/>
        <v/>
      </c>
      <c r="AU538" s="51" t="str">
        <f t="shared" si="380"/>
        <v/>
      </c>
      <c r="AV538" s="51" t="str">
        <f t="shared" si="381"/>
        <v/>
      </c>
      <c r="AW538" s="51" t="str">
        <f t="shared" si="382"/>
        <v/>
      </c>
      <c r="AX538" s="51" t="str">
        <f t="shared" si="383"/>
        <v/>
      </c>
      <c r="AY538" s="51" t="str">
        <f t="shared" si="384"/>
        <v/>
      </c>
      <c r="AZ538" s="51" t="str">
        <f t="shared" si="385"/>
        <v/>
      </c>
      <c r="BA538" s="51" t="str">
        <f t="shared" si="386"/>
        <v/>
      </c>
      <c r="BB538" s="51" t="str">
        <f t="shared" si="387"/>
        <v/>
      </c>
      <c r="BC538" s="51" t="str">
        <f t="shared" si="388"/>
        <v/>
      </c>
      <c r="BD538" s="51" t="str">
        <f t="shared" si="389"/>
        <v/>
      </c>
      <c r="BE538" s="51" t="str">
        <f t="shared" si="390"/>
        <v/>
      </c>
      <c r="BF538" s="51" t="str">
        <f t="shared" si="391"/>
        <v/>
      </c>
      <c r="BG538" s="51" t="str">
        <f t="shared" si="392"/>
        <v/>
      </c>
      <c r="BH538" s="51" t="b">
        <f t="shared" si="393"/>
        <v>0</v>
      </c>
      <c r="BI538" s="51" t="str">
        <f t="shared" si="394"/>
        <v/>
      </c>
      <c r="BJ538" s="51" t="str">
        <f t="shared" si="395"/>
        <v/>
      </c>
      <c r="BK538" s="51" t="b">
        <f t="shared" si="396"/>
        <v>0</v>
      </c>
      <c r="BL538" s="192"/>
    </row>
    <row r="539" spans="1:64" ht="13.5" thickBot="1" x14ac:dyDescent="0.25">
      <c r="A539" s="185" t="s">
        <v>1214</v>
      </c>
      <c r="B539" s="194" t="s">
        <v>695</v>
      </c>
      <c r="C539" s="194" t="s">
        <v>695</v>
      </c>
      <c r="D539" s="194" t="s">
        <v>695</v>
      </c>
      <c r="E539" s="193" t="s">
        <v>694</v>
      </c>
      <c r="F539" s="160" t="s">
        <v>20</v>
      </c>
      <c r="G539" s="161"/>
      <c r="H539" s="186" t="str">
        <f t="shared" si="354"/>
        <v>N/A</v>
      </c>
      <c r="I539" s="186" t="b">
        <f t="shared" si="355"/>
        <v>1</v>
      </c>
      <c r="J539" s="186" t="str">
        <f t="shared" si="356"/>
        <v>N/A</v>
      </c>
      <c r="K539" s="186" t="b">
        <f t="shared" si="357"/>
        <v>1</v>
      </c>
      <c r="L539" s="186" t="str">
        <f t="shared" si="358"/>
        <v>N/A</v>
      </c>
      <c r="M539" s="186" t="b">
        <f t="shared" si="359"/>
        <v>1</v>
      </c>
      <c r="N539" s="186" t="str">
        <f t="shared" si="360"/>
        <v>Used?</v>
      </c>
      <c r="O539" s="186" t="b">
        <f t="shared" si="361"/>
        <v>0</v>
      </c>
      <c r="P539" s="26" t="s">
        <v>696</v>
      </c>
      <c r="Q539" s="160" t="s">
        <v>20</v>
      </c>
      <c r="R539" s="160" t="s">
        <v>20</v>
      </c>
      <c r="S539" s="26" t="s">
        <v>697</v>
      </c>
      <c r="T539" s="165" t="str">
        <f t="shared" si="362"/>
        <v>Not Used</v>
      </c>
      <c r="U539" s="162"/>
      <c r="V539" s="55"/>
      <c r="W539" s="51" t="b">
        <f t="shared" si="363"/>
        <v>1</v>
      </c>
      <c r="X539" s="51" t="str">
        <f t="shared" si="364"/>
        <v>Not Used</v>
      </c>
      <c r="Y539" s="51" t="str">
        <f t="shared" si="365"/>
        <v>Not Used</v>
      </c>
      <c r="Z539" s="51" t="str">
        <f t="shared" si="366"/>
        <v>Not Used</v>
      </c>
      <c r="AA539" s="51" t="str">
        <f t="shared" si="366"/>
        <v>Not Used</v>
      </c>
      <c r="AB539" s="51" t="str">
        <f t="shared" si="367"/>
        <v>Not Used</v>
      </c>
      <c r="AC539" s="51" t="b">
        <f t="shared" si="368"/>
        <v>1</v>
      </c>
      <c r="AD539" s="51">
        <f>COUNTIF($X$5:$X$539, "Not Used")</f>
        <v>535</v>
      </c>
      <c r="AE539" s="51">
        <f>COUNTIF($X$5:$X$539, "TRUE")</f>
        <v>0</v>
      </c>
      <c r="AF539" s="51" t="b">
        <f t="shared" si="369"/>
        <v>1</v>
      </c>
      <c r="AI539" s="51" t="b">
        <f t="shared" si="370"/>
        <v>0</v>
      </c>
      <c r="AJ539" s="51" t="b">
        <f t="shared" si="371"/>
        <v>0</v>
      </c>
      <c r="AK539" s="51" t="b">
        <f t="shared" si="372"/>
        <v>0</v>
      </c>
      <c r="AL539" s="51" t="b">
        <f t="shared" si="373"/>
        <v>0</v>
      </c>
      <c r="AM539" s="51" t="b">
        <f t="shared" si="374"/>
        <v>0</v>
      </c>
      <c r="AN539" s="51"/>
      <c r="AO539" s="51" t="b">
        <f t="shared" si="375"/>
        <v>0</v>
      </c>
      <c r="AP539" s="51" t="str">
        <f t="shared" si="397"/>
        <v>Not in MMS</v>
      </c>
      <c r="AQ539" s="51" t="b">
        <f t="shared" si="376"/>
        <v>0</v>
      </c>
      <c r="AR539" s="51" t="b">
        <f t="shared" si="377"/>
        <v>0</v>
      </c>
      <c r="AS539" s="51" t="str">
        <f t="shared" si="378"/>
        <v/>
      </c>
      <c r="AT539" s="51" t="str">
        <f t="shared" si="379"/>
        <v/>
      </c>
      <c r="AU539" s="51" t="str">
        <f t="shared" si="380"/>
        <v/>
      </c>
      <c r="AV539" s="51" t="str">
        <f t="shared" si="381"/>
        <v/>
      </c>
      <c r="AW539" s="51" t="str">
        <f t="shared" si="382"/>
        <v/>
      </c>
      <c r="AX539" s="51" t="str">
        <f t="shared" si="383"/>
        <v/>
      </c>
      <c r="AY539" s="51" t="str">
        <f t="shared" si="384"/>
        <v/>
      </c>
      <c r="AZ539" s="51" t="str">
        <f t="shared" si="385"/>
        <v/>
      </c>
      <c r="BA539" s="51" t="str">
        <f t="shared" si="386"/>
        <v/>
      </c>
      <c r="BB539" s="51" t="str">
        <f t="shared" si="387"/>
        <v/>
      </c>
      <c r="BC539" s="51" t="str">
        <f t="shared" si="388"/>
        <v/>
      </c>
      <c r="BD539" s="51" t="str">
        <f t="shared" si="389"/>
        <v/>
      </c>
      <c r="BE539" s="51" t="str">
        <f t="shared" si="390"/>
        <v/>
      </c>
      <c r="BF539" s="51" t="str">
        <f t="shared" si="391"/>
        <v/>
      </c>
      <c r="BG539" s="51" t="str">
        <f t="shared" si="392"/>
        <v/>
      </c>
      <c r="BH539" s="51" t="b">
        <f t="shared" si="393"/>
        <v>0</v>
      </c>
      <c r="BI539" s="51" t="str">
        <f t="shared" si="394"/>
        <v/>
      </c>
      <c r="BJ539" s="51" t="str">
        <f t="shared" si="395"/>
        <v/>
      </c>
      <c r="BK539" s="51" t="b">
        <f t="shared" si="396"/>
        <v>0</v>
      </c>
      <c r="BL539" s="192"/>
    </row>
    <row r="540" spans="1:64" ht="13.5" thickBot="1" x14ac:dyDescent="0.25">
      <c r="A540" s="185" t="s">
        <v>1215</v>
      </c>
      <c r="B540" s="194" t="s">
        <v>695</v>
      </c>
      <c r="C540" s="194" t="s">
        <v>695</v>
      </c>
      <c r="D540" s="194" t="s">
        <v>695</v>
      </c>
      <c r="E540" s="193" t="s">
        <v>694</v>
      </c>
      <c r="F540" s="160" t="s">
        <v>20</v>
      </c>
      <c r="G540" s="161"/>
      <c r="H540" s="186" t="str">
        <f t="shared" si="354"/>
        <v>N/A</v>
      </c>
      <c r="I540" s="186" t="b">
        <f t="shared" si="355"/>
        <v>1</v>
      </c>
      <c r="J540" s="186" t="str">
        <f t="shared" si="356"/>
        <v>N/A</v>
      </c>
      <c r="K540" s="186" t="b">
        <f t="shared" si="357"/>
        <v>1</v>
      </c>
      <c r="L540" s="186" t="str">
        <f t="shared" si="358"/>
        <v>N/A</v>
      </c>
      <c r="M540" s="186" t="b">
        <f t="shared" si="359"/>
        <v>1</v>
      </c>
      <c r="N540" s="186" t="str">
        <f t="shared" si="360"/>
        <v>Used?</v>
      </c>
      <c r="O540" s="186" t="b">
        <f t="shared" si="361"/>
        <v>0</v>
      </c>
      <c r="P540" s="26" t="s">
        <v>696</v>
      </c>
      <c r="Q540" s="160" t="s">
        <v>20</v>
      </c>
      <c r="R540" s="160" t="s">
        <v>20</v>
      </c>
      <c r="S540" s="26" t="s">
        <v>697</v>
      </c>
      <c r="T540" s="165" t="str">
        <f t="shared" si="362"/>
        <v>Not Used</v>
      </c>
      <c r="U540" s="162"/>
      <c r="V540" s="55"/>
      <c r="W540" s="51" t="b">
        <f t="shared" si="363"/>
        <v>1</v>
      </c>
      <c r="X540" s="51" t="str">
        <f t="shared" si="364"/>
        <v>Not Used</v>
      </c>
      <c r="Y540" s="51" t="str">
        <f t="shared" si="365"/>
        <v>Not Used</v>
      </c>
      <c r="Z540" s="51" t="str">
        <f t="shared" si="366"/>
        <v>Not Used</v>
      </c>
      <c r="AA540" s="51" t="str">
        <f t="shared" si="366"/>
        <v>Not Used</v>
      </c>
      <c r="AB540" s="51" t="str">
        <f t="shared" si="367"/>
        <v>Not Used</v>
      </c>
      <c r="AC540" s="51" t="b">
        <f t="shared" si="368"/>
        <v>1</v>
      </c>
      <c r="AD540" s="51">
        <f>COUNTIF($X$5:$X$540, "Not Used")</f>
        <v>536</v>
      </c>
      <c r="AE540" s="51">
        <f>COUNTIF($X$5:$X$540, "TRUE")</f>
        <v>0</v>
      </c>
      <c r="AF540" s="51" t="b">
        <f t="shared" si="369"/>
        <v>1</v>
      </c>
      <c r="AI540" s="51" t="b">
        <f t="shared" si="370"/>
        <v>0</v>
      </c>
      <c r="AJ540" s="51" t="b">
        <f t="shared" si="371"/>
        <v>0</v>
      </c>
      <c r="AK540" s="51" t="b">
        <f t="shared" si="372"/>
        <v>0</v>
      </c>
      <c r="AL540" s="51" t="b">
        <f t="shared" si="373"/>
        <v>0</v>
      </c>
      <c r="AM540" s="51" t="b">
        <f t="shared" si="374"/>
        <v>0</v>
      </c>
      <c r="AN540" s="51"/>
      <c r="AO540" s="51" t="b">
        <f t="shared" si="375"/>
        <v>0</v>
      </c>
      <c r="AP540" s="51" t="str">
        <f t="shared" si="397"/>
        <v>Not in MMS</v>
      </c>
      <c r="AQ540" s="51" t="b">
        <f t="shared" si="376"/>
        <v>0</v>
      </c>
      <c r="AR540" s="51" t="b">
        <f t="shared" si="377"/>
        <v>0</v>
      </c>
      <c r="AS540" s="51" t="str">
        <f t="shared" si="378"/>
        <v/>
      </c>
      <c r="AT540" s="51" t="str">
        <f t="shared" si="379"/>
        <v/>
      </c>
      <c r="AU540" s="51" t="str">
        <f t="shared" si="380"/>
        <v/>
      </c>
      <c r="AV540" s="51" t="str">
        <f t="shared" si="381"/>
        <v/>
      </c>
      <c r="AW540" s="51" t="str">
        <f t="shared" si="382"/>
        <v/>
      </c>
      <c r="AX540" s="51" t="str">
        <f t="shared" si="383"/>
        <v/>
      </c>
      <c r="AY540" s="51" t="str">
        <f t="shared" si="384"/>
        <v/>
      </c>
      <c r="AZ540" s="51" t="str">
        <f t="shared" si="385"/>
        <v/>
      </c>
      <c r="BA540" s="51" t="str">
        <f t="shared" si="386"/>
        <v/>
      </c>
      <c r="BB540" s="51" t="str">
        <f t="shared" si="387"/>
        <v/>
      </c>
      <c r="BC540" s="51" t="str">
        <f t="shared" si="388"/>
        <v/>
      </c>
      <c r="BD540" s="51" t="str">
        <f t="shared" si="389"/>
        <v/>
      </c>
      <c r="BE540" s="51" t="str">
        <f t="shared" si="390"/>
        <v/>
      </c>
      <c r="BF540" s="51" t="str">
        <f t="shared" si="391"/>
        <v/>
      </c>
      <c r="BG540" s="51" t="str">
        <f t="shared" si="392"/>
        <v/>
      </c>
      <c r="BH540" s="51" t="b">
        <f t="shared" si="393"/>
        <v>0</v>
      </c>
      <c r="BI540" s="51" t="str">
        <f t="shared" si="394"/>
        <v/>
      </c>
      <c r="BJ540" s="51" t="str">
        <f t="shared" si="395"/>
        <v/>
      </c>
      <c r="BK540" s="51" t="b">
        <f t="shared" si="396"/>
        <v>0</v>
      </c>
      <c r="BL540" s="192"/>
    </row>
    <row r="541" spans="1:64" ht="13.5" thickBot="1" x14ac:dyDescent="0.25">
      <c r="A541" s="185" t="s">
        <v>1216</v>
      </c>
      <c r="B541" s="194" t="s">
        <v>695</v>
      </c>
      <c r="C541" s="194" t="s">
        <v>695</v>
      </c>
      <c r="D541" s="194" t="s">
        <v>695</v>
      </c>
      <c r="E541" s="193" t="s">
        <v>694</v>
      </c>
      <c r="F541" s="160" t="s">
        <v>20</v>
      </c>
      <c r="G541" s="161"/>
      <c r="H541" s="186" t="str">
        <f t="shared" si="354"/>
        <v>N/A</v>
      </c>
      <c r="I541" s="186" t="b">
        <f t="shared" si="355"/>
        <v>1</v>
      </c>
      <c r="J541" s="186" t="str">
        <f t="shared" si="356"/>
        <v>N/A</v>
      </c>
      <c r="K541" s="186" t="b">
        <f t="shared" si="357"/>
        <v>1</v>
      </c>
      <c r="L541" s="186" t="str">
        <f t="shared" si="358"/>
        <v>N/A</v>
      </c>
      <c r="M541" s="186" t="b">
        <f t="shared" si="359"/>
        <v>1</v>
      </c>
      <c r="N541" s="186" t="str">
        <f t="shared" si="360"/>
        <v>Used?</v>
      </c>
      <c r="O541" s="186" t="b">
        <f t="shared" si="361"/>
        <v>0</v>
      </c>
      <c r="P541" s="26" t="s">
        <v>696</v>
      </c>
      <c r="Q541" s="160" t="s">
        <v>20</v>
      </c>
      <c r="R541" s="160" t="s">
        <v>20</v>
      </c>
      <c r="S541" s="26" t="s">
        <v>697</v>
      </c>
      <c r="T541" s="165" t="str">
        <f t="shared" si="362"/>
        <v>Not Used</v>
      </c>
      <c r="U541" s="162"/>
      <c r="V541" s="55"/>
      <c r="W541" s="51" t="b">
        <f t="shared" si="363"/>
        <v>1</v>
      </c>
      <c r="X541" s="51" t="str">
        <f t="shared" si="364"/>
        <v>Not Used</v>
      </c>
      <c r="Y541" s="51" t="str">
        <f t="shared" si="365"/>
        <v>Not Used</v>
      </c>
      <c r="Z541" s="51" t="str">
        <f t="shared" si="366"/>
        <v>Not Used</v>
      </c>
      <c r="AA541" s="51" t="str">
        <f t="shared" si="366"/>
        <v>Not Used</v>
      </c>
      <c r="AB541" s="51" t="str">
        <f t="shared" si="367"/>
        <v>Not Used</v>
      </c>
      <c r="AC541" s="51" t="b">
        <f t="shared" si="368"/>
        <v>1</v>
      </c>
      <c r="AD541" s="51">
        <f>COUNTIF($X$5:$X$541, "Not Used")</f>
        <v>537</v>
      </c>
      <c r="AE541" s="51">
        <f>COUNTIF($X$5:$X$541, "TRUE")</f>
        <v>0</v>
      </c>
      <c r="AF541" s="51" t="b">
        <f t="shared" si="369"/>
        <v>1</v>
      </c>
      <c r="AI541" s="51" t="b">
        <f t="shared" si="370"/>
        <v>0</v>
      </c>
      <c r="AJ541" s="51" t="b">
        <f t="shared" si="371"/>
        <v>0</v>
      </c>
      <c r="AK541" s="51" t="b">
        <f t="shared" si="372"/>
        <v>0</v>
      </c>
      <c r="AL541" s="51" t="b">
        <f t="shared" si="373"/>
        <v>0</v>
      </c>
      <c r="AM541" s="51" t="b">
        <f t="shared" si="374"/>
        <v>0</v>
      </c>
      <c r="AN541" s="51"/>
      <c r="AO541" s="51" t="b">
        <f t="shared" si="375"/>
        <v>0</v>
      </c>
      <c r="AP541" s="51" t="str">
        <f t="shared" si="397"/>
        <v>Not in MMS</v>
      </c>
      <c r="AQ541" s="51" t="b">
        <f t="shared" si="376"/>
        <v>0</v>
      </c>
      <c r="AR541" s="51" t="b">
        <f t="shared" si="377"/>
        <v>0</v>
      </c>
      <c r="AS541" s="51" t="str">
        <f t="shared" si="378"/>
        <v/>
      </c>
      <c r="AT541" s="51" t="str">
        <f t="shared" si="379"/>
        <v/>
      </c>
      <c r="AU541" s="51" t="str">
        <f t="shared" si="380"/>
        <v/>
      </c>
      <c r="AV541" s="51" t="str">
        <f t="shared" si="381"/>
        <v/>
      </c>
      <c r="AW541" s="51" t="str">
        <f t="shared" si="382"/>
        <v/>
      </c>
      <c r="AX541" s="51" t="str">
        <f t="shared" si="383"/>
        <v/>
      </c>
      <c r="AY541" s="51" t="str">
        <f t="shared" si="384"/>
        <v/>
      </c>
      <c r="AZ541" s="51" t="str">
        <f t="shared" si="385"/>
        <v/>
      </c>
      <c r="BA541" s="51" t="str">
        <f t="shared" si="386"/>
        <v/>
      </c>
      <c r="BB541" s="51" t="str">
        <f t="shared" si="387"/>
        <v/>
      </c>
      <c r="BC541" s="51" t="str">
        <f t="shared" si="388"/>
        <v/>
      </c>
      <c r="BD541" s="51" t="str">
        <f t="shared" si="389"/>
        <v/>
      </c>
      <c r="BE541" s="51" t="str">
        <f t="shared" si="390"/>
        <v/>
      </c>
      <c r="BF541" s="51" t="str">
        <f t="shared" si="391"/>
        <v/>
      </c>
      <c r="BG541" s="51" t="str">
        <f t="shared" si="392"/>
        <v/>
      </c>
      <c r="BH541" s="51" t="b">
        <f t="shared" si="393"/>
        <v>0</v>
      </c>
      <c r="BI541" s="51" t="str">
        <f t="shared" si="394"/>
        <v/>
      </c>
      <c r="BJ541" s="51" t="str">
        <f t="shared" si="395"/>
        <v/>
      </c>
      <c r="BK541" s="51" t="b">
        <f t="shared" si="396"/>
        <v>0</v>
      </c>
      <c r="BL541" s="192"/>
    </row>
    <row r="542" spans="1:64" ht="13.5" thickBot="1" x14ac:dyDescent="0.25">
      <c r="A542" s="185" t="s">
        <v>1217</v>
      </c>
      <c r="B542" s="194" t="s">
        <v>695</v>
      </c>
      <c r="C542" s="194" t="s">
        <v>695</v>
      </c>
      <c r="D542" s="194" t="s">
        <v>695</v>
      </c>
      <c r="E542" s="193" t="s">
        <v>694</v>
      </c>
      <c r="F542" s="160" t="s">
        <v>20</v>
      </c>
      <c r="G542" s="161"/>
      <c r="H542" s="186" t="str">
        <f t="shared" si="354"/>
        <v>N/A</v>
      </c>
      <c r="I542" s="186" t="b">
        <f t="shared" si="355"/>
        <v>1</v>
      </c>
      <c r="J542" s="186" t="str">
        <f t="shared" si="356"/>
        <v>N/A</v>
      </c>
      <c r="K542" s="186" t="b">
        <f t="shared" si="357"/>
        <v>1</v>
      </c>
      <c r="L542" s="186" t="str">
        <f t="shared" si="358"/>
        <v>N/A</v>
      </c>
      <c r="M542" s="186" t="b">
        <f t="shared" si="359"/>
        <v>1</v>
      </c>
      <c r="N542" s="186" t="str">
        <f t="shared" si="360"/>
        <v>Used?</v>
      </c>
      <c r="O542" s="186" t="b">
        <f t="shared" si="361"/>
        <v>0</v>
      </c>
      <c r="P542" s="26" t="s">
        <v>696</v>
      </c>
      <c r="Q542" s="160" t="s">
        <v>20</v>
      </c>
      <c r="R542" s="160" t="s">
        <v>20</v>
      </c>
      <c r="S542" s="26" t="s">
        <v>697</v>
      </c>
      <c r="T542" s="165" t="str">
        <f t="shared" si="362"/>
        <v>Not Used</v>
      </c>
      <c r="U542" s="162"/>
      <c r="V542" s="55"/>
      <c r="W542" s="51" t="b">
        <f t="shared" si="363"/>
        <v>1</v>
      </c>
      <c r="X542" s="51" t="str">
        <f t="shared" si="364"/>
        <v>Not Used</v>
      </c>
      <c r="Y542" s="51" t="str">
        <f t="shared" si="365"/>
        <v>Not Used</v>
      </c>
      <c r="Z542" s="51" t="str">
        <f t="shared" si="366"/>
        <v>Not Used</v>
      </c>
      <c r="AA542" s="51" t="str">
        <f t="shared" si="366"/>
        <v>Not Used</v>
      </c>
      <c r="AB542" s="51" t="str">
        <f t="shared" si="367"/>
        <v>Not Used</v>
      </c>
      <c r="AC542" s="51" t="b">
        <f t="shared" si="368"/>
        <v>1</v>
      </c>
      <c r="AD542" s="51">
        <f>COUNTIF($X$5:$X$542, "Not Used")</f>
        <v>538</v>
      </c>
      <c r="AE542" s="51">
        <f>COUNTIF($X$5:$X$542, "TRUE")</f>
        <v>0</v>
      </c>
      <c r="AF542" s="51" t="b">
        <f t="shared" si="369"/>
        <v>1</v>
      </c>
      <c r="AI542" s="51" t="b">
        <f t="shared" si="370"/>
        <v>0</v>
      </c>
      <c r="AJ542" s="51" t="b">
        <f t="shared" si="371"/>
        <v>0</v>
      </c>
      <c r="AK542" s="51" t="b">
        <f t="shared" si="372"/>
        <v>0</v>
      </c>
      <c r="AL542" s="51" t="b">
        <f t="shared" si="373"/>
        <v>0</v>
      </c>
      <c r="AM542" s="51" t="b">
        <f t="shared" si="374"/>
        <v>0</v>
      </c>
      <c r="AN542" s="51"/>
      <c r="AO542" s="51" t="b">
        <f t="shared" si="375"/>
        <v>0</v>
      </c>
      <c r="AP542" s="51" t="str">
        <f t="shared" si="397"/>
        <v>Not in MMS</v>
      </c>
      <c r="AQ542" s="51" t="b">
        <f t="shared" si="376"/>
        <v>0</v>
      </c>
      <c r="AR542" s="51" t="b">
        <f t="shared" si="377"/>
        <v>0</v>
      </c>
      <c r="AS542" s="51" t="str">
        <f t="shared" si="378"/>
        <v/>
      </c>
      <c r="AT542" s="51" t="str">
        <f t="shared" si="379"/>
        <v/>
      </c>
      <c r="AU542" s="51" t="str">
        <f t="shared" si="380"/>
        <v/>
      </c>
      <c r="AV542" s="51" t="str">
        <f t="shared" si="381"/>
        <v/>
      </c>
      <c r="AW542" s="51" t="str">
        <f t="shared" si="382"/>
        <v/>
      </c>
      <c r="AX542" s="51" t="str">
        <f t="shared" si="383"/>
        <v/>
      </c>
      <c r="AY542" s="51" t="str">
        <f t="shared" si="384"/>
        <v/>
      </c>
      <c r="AZ542" s="51" t="str">
        <f t="shared" si="385"/>
        <v/>
      </c>
      <c r="BA542" s="51" t="str">
        <f t="shared" si="386"/>
        <v/>
      </c>
      <c r="BB542" s="51" t="str">
        <f t="shared" si="387"/>
        <v/>
      </c>
      <c r="BC542" s="51" t="str">
        <f t="shared" si="388"/>
        <v/>
      </c>
      <c r="BD542" s="51" t="str">
        <f t="shared" si="389"/>
        <v/>
      </c>
      <c r="BE542" s="51" t="str">
        <f t="shared" si="390"/>
        <v/>
      </c>
      <c r="BF542" s="51" t="str">
        <f t="shared" si="391"/>
        <v/>
      </c>
      <c r="BG542" s="51" t="str">
        <f t="shared" si="392"/>
        <v/>
      </c>
      <c r="BH542" s="51" t="b">
        <f t="shared" si="393"/>
        <v>0</v>
      </c>
      <c r="BI542" s="51" t="str">
        <f t="shared" si="394"/>
        <v/>
      </c>
      <c r="BJ542" s="51" t="str">
        <f t="shared" si="395"/>
        <v/>
      </c>
      <c r="BK542" s="51" t="b">
        <f t="shared" si="396"/>
        <v>0</v>
      </c>
      <c r="BL542" s="192"/>
    </row>
    <row r="543" spans="1:64" ht="13.5" thickBot="1" x14ac:dyDescent="0.25">
      <c r="A543" s="185" t="s">
        <v>1218</v>
      </c>
      <c r="B543" s="194" t="s">
        <v>695</v>
      </c>
      <c r="C543" s="194" t="s">
        <v>695</v>
      </c>
      <c r="D543" s="194" t="s">
        <v>695</v>
      </c>
      <c r="E543" s="193" t="s">
        <v>694</v>
      </c>
      <c r="F543" s="160" t="s">
        <v>20</v>
      </c>
      <c r="G543" s="161"/>
      <c r="H543" s="186" t="str">
        <f t="shared" si="354"/>
        <v>N/A</v>
      </c>
      <c r="I543" s="186" t="b">
        <f t="shared" si="355"/>
        <v>1</v>
      </c>
      <c r="J543" s="186" t="str">
        <f t="shared" si="356"/>
        <v>N/A</v>
      </c>
      <c r="K543" s="186" t="b">
        <f t="shared" si="357"/>
        <v>1</v>
      </c>
      <c r="L543" s="186" t="str">
        <f t="shared" si="358"/>
        <v>N/A</v>
      </c>
      <c r="M543" s="186" t="b">
        <f t="shared" si="359"/>
        <v>1</v>
      </c>
      <c r="N543" s="186" t="str">
        <f t="shared" si="360"/>
        <v>Used?</v>
      </c>
      <c r="O543" s="186" t="b">
        <f t="shared" si="361"/>
        <v>0</v>
      </c>
      <c r="P543" s="26" t="s">
        <v>696</v>
      </c>
      <c r="Q543" s="160" t="s">
        <v>20</v>
      </c>
      <c r="R543" s="160" t="s">
        <v>20</v>
      </c>
      <c r="S543" s="26" t="s">
        <v>697</v>
      </c>
      <c r="T543" s="165" t="str">
        <f t="shared" si="362"/>
        <v>Not Used</v>
      </c>
      <c r="U543" s="162"/>
      <c r="V543" s="55"/>
      <c r="W543" s="51" t="b">
        <f t="shared" si="363"/>
        <v>1</v>
      </c>
      <c r="X543" s="51" t="str">
        <f t="shared" si="364"/>
        <v>Not Used</v>
      </c>
      <c r="Y543" s="51" t="str">
        <f t="shared" si="365"/>
        <v>Not Used</v>
      </c>
      <c r="Z543" s="51" t="str">
        <f t="shared" si="366"/>
        <v>Not Used</v>
      </c>
      <c r="AA543" s="51" t="str">
        <f t="shared" si="366"/>
        <v>Not Used</v>
      </c>
      <c r="AB543" s="51" t="str">
        <f t="shared" si="367"/>
        <v>Not Used</v>
      </c>
      <c r="AC543" s="51" t="b">
        <f t="shared" si="368"/>
        <v>1</v>
      </c>
      <c r="AD543" s="51">
        <f>COUNTIF($X$5:$X$543, "Not Used")</f>
        <v>539</v>
      </c>
      <c r="AE543" s="51">
        <f>COUNTIF($X$5:$X$543, "TRUE")</f>
        <v>0</v>
      </c>
      <c r="AF543" s="51" t="b">
        <f t="shared" si="369"/>
        <v>1</v>
      </c>
      <c r="AI543" s="51" t="b">
        <f t="shared" si="370"/>
        <v>0</v>
      </c>
      <c r="AJ543" s="51" t="b">
        <f t="shared" si="371"/>
        <v>0</v>
      </c>
      <c r="AK543" s="51" t="b">
        <f t="shared" si="372"/>
        <v>0</v>
      </c>
      <c r="AL543" s="51" t="b">
        <f t="shared" si="373"/>
        <v>0</v>
      </c>
      <c r="AM543" s="51" t="b">
        <f t="shared" si="374"/>
        <v>0</v>
      </c>
      <c r="AN543" s="51"/>
      <c r="AO543" s="51" t="b">
        <f t="shared" si="375"/>
        <v>0</v>
      </c>
      <c r="AP543" s="51" t="str">
        <f t="shared" si="397"/>
        <v>Not in MMS</v>
      </c>
      <c r="AQ543" s="51" t="b">
        <f t="shared" si="376"/>
        <v>0</v>
      </c>
      <c r="AR543" s="51" t="b">
        <f t="shared" si="377"/>
        <v>0</v>
      </c>
      <c r="AS543" s="51" t="str">
        <f t="shared" si="378"/>
        <v/>
      </c>
      <c r="AT543" s="51" t="str">
        <f t="shared" si="379"/>
        <v/>
      </c>
      <c r="AU543" s="51" t="str">
        <f t="shared" si="380"/>
        <v/>
      </c>
      <c r="AV543" s="51" t="str">
        <f t="shared" si="381"/>
        <v/>
      </c>
      <c r="AW543" s="51" t="str">
        <f t="shared" si="382"/>
        <v/>
      </c>
      <c r="AX543" s="51" t="str">
        <f t="shared" si="383"/>
        <v/>
      </c>
      <c r="AY543" s="51" t="str">
        <f t="shared" si="384"/>
        <v/>
      </c>
      <c r="AZ543" s="51" t="str">
        <f t="shared" si="385"/>
        <v/>
      </c>
      <c r="BA543" s="51" t="str">
        <f t="shared" si="386"/>
        <v/>
      </c>
      <c r="BB543" s="51" t="str">
        <f t="shared" si="387"/>
        <v/>
      </c>
      <c r="BC543" s="51" t="str">
        <f t="shared" si="388"/>
        <v/>
      </c>
      <c r="BD543" s="51" t="str">
        <f t="shared" si="389"/>
        <v/>
      </c>
      <c r="BE543" s="51" t="str">
        <f t="shared" si="390"/>
        <v/>
      </c>
      <c r="BF543" s="51" t="str">
        <f t="shared" si="391"/>
        <v/>
      </c>
      <c r="BG543" s="51" t="str">
        <f t="shared" si="392"/>
        <v/>
      </c>
      <c r="BH543" s="51" t="b">
        <f t="shared" si="393"/>
        <v>0</v>
      </c>
      <c r="BI543" s="51" t="str">
        <f t="shared" si="394"/>
        <v/>
      </c>
      <c r="BJ543" s="51" t="str">
        <f t="shared" si="395"/>
        <v/>
      </c>
      <c r="BK543" s="51" t="b">
        <f t="shared" si="396"/>
        <v>0</v>
      </c>
      <c r="BL543" s="192"/>
    </row>
    <row r="544" spans="1:64" ht="13.5" thickBot="1" x14ac:dyDescent="0.25">
      <c r="A544" s="185" t="s">
        <v>1219</v>
      </c>
      <c r="B544" s="194" t="s">
        <v>695</v>
      </c>
      <c r="C544" s="194" t="s">
        <v>695</v>
      </c>
      <c r="D544" s="194" t="s">
        <v>695</v>
      </c>
      <c r="E544" s="193" t="s">
        <v>694</v>
      </c>
      <c r="F544" s="160" t="s">
        <v>20</v>
      </c>
      <c r="G544" s="161"/>
      <c r="H544" s="186" t="str">
        <f t="shared" si="354"/>
        <v>N/A</v>
      </c>
      <c r="I544" s="186" t="b">
        <f t="shared" si="355"/>
        <v>1</v>
      </c>
      <c r="J544" s="186" t="str">
        <f t="shared" si="356"/>
        <v>N/A</v>
      </c>
      <c r="K544" s="186" t="b">
        <f t="shared" si="357"/>
        <v>1</v>
      </c>
      <c r="L544" s="186" t="str">
        <f t="shared" si="358"/>
        <v>N/A</v>
      </c>
      <c r="M544" s="186" t="b">
        <f t="shared" si="359"/>
        <v>1</v>
      </c>
      <c r="N544" s="186" t="str">
        <f t="shared" si="360"/>
        <v>Used?</v>
      </c>
      <c r="O544" s="186" t="b">
        <f t="shared" si="361"/>
        <v>0</v>
      </c>
      <c r="P544" s="26" t="s">
        <v>696</v>
      </c>
      <c r="Q544" s="160" t="s">
        <v>20</v>
      </c>
      <c r="R544" s="160" t="s">
        <v>20</v>
      </c>
      <c r="S544" s="26" t="s">
        <v>697</v>
      </c>
      <c r="T544" s="165" t="str">
        <f t="shared" si="362"/>
        <v>Not Used</v>
      </c>
      <c r="U544" s="162"/>
      <c r="V544" s="55"/>
      <c r="W544" s="51" t="b">
        <f t="shared" si="363"/>
        <v>1</v>
      </c>
      <c r="X544" s="51" t="str">
        <f t="shared" si="364"/>
        <v>Not Used</v>
      </c>
      <c r="Y544" s="51" t="str">
        <f t="shared" si="365"/>
        <v>Not Used</v>
      </c>
      <c r="Z544" s="51" t="str">
        <f t="shared" si="366"/>
        <v>Not Used</v>
      </c>
      <c r="AA544" s="51" t="str">
        <f t="shared" si="366"/>
        <v>Not Used</v>
      </c>
      <c r="AB544" s="51" t="str">
        <f t="shared" si="367"/>
        <v>Not Used</v>
      </c>
      <c r="AC544" s="51" t="b">
        <f t="shared" si="368"/>
        <v>1</v>
      </c>
      <c r="AD544" s="51">
        <f>COUNTIF($X$5:$X$544, "Not Used")</f>
        <v>540</v>
      </c>
      <c r="AE544" s="51">
        <f>COUNTIF($X$5:$X$544, "TRUE")</f>
        <v>0</v>
      </c>
      <c r="AF544" s="51" t="b">
        <f t="shared" si="369"/>
        <v>1</v>
      </c>
      <c r="AI544" s="51" t="b">
        <f t="shared" si="370"/>
        <v>0</v>
      </c>
      <c r="AJ544" s="51" t="b">
        <f t="shared" si="371"/>
        <v>0</v>
      </c>
      <c r="AK544" s="51" t="b">
        <f t="shared" si="372"/>
        <v>0</v>
      </c>
      <c r="AL544" s="51" t="b">
        <f t="shared" si="373"/>
        <v>0</v>
      </c>
      <c r="AM544" s="51" t="b">
        <f t="shared" si="374"/>
        <v>0</v>
      </c>
      <c r="AN544" s="51"/>
      <c r="AO544" s="51" t="b">
        <f t="shared" si="375"/>
        <v>0</v>
      </c>
      <c r="AP544" s="51" t="str">
        <f t="shared" si="397"/>
        <v>Not in MMS</v>
      </c>
      <c r="AQ544" s="51" t="b">
        <f t="shared" si="376"/>
        <v>0</v>
      </c>
      <c r="AR544" s="51" t="b">
        <f t="shared" si="377"/>
        <v>0</v>
      </c>
      <c r="AS544" s="51" t="str">
        <f t="shared" si="378"/>
        <v/>
      </c>
      <c r="AT544" s="51" t="str">
        <f t="shared" si="379"/>
        <v/>
      </c>
      <c r="AU544" s="51" t="str">
        <f t="shared" si="380"/>
        <v/>
      </c>
      <c r="AV544" s="51" t="str">
        <f t="shared" si="381"/>
        <v/>
      </c>
      <c r="AW544" s="51" t="str">
        <f t="shared" si="382"/>
        <v/>
      </c>
      <c r="AX544" s="51" t="str">
        <f t="shared" si="383"/>
        <v/>
      </c>
      <c r="AY544" s="51" t="str">
        <f t="shared" si="384"/>
        <v/>
      </c>
      <c r="AZ544" s="51" t="str">
        <f t="shared" si="385"/>
        <v/>
      </c>
      <c r="BA544" s="51" t="str">
        <f t="shared" si="386"/>
        <v/>
      </c>
      <c r="BB544" s="51" t="str">
        <f t="shared" si="387"/>
        <v/>
      </c>
      <c r="BC544" s="51" t="str">
        <f t="shared" si="388"/>
        <v/>
      </c>
      <c r="BD544" s="51" t="str">
        <f t="shared" si="389"/>
        <v/>
      </c>
      <c r="BE544" s="51" t="str">
        <f t="shared" si="390"/>
        <v/>
      </c>
      <c r="BF544" s="51" t="str">
        <f t="shared" si="391"/>
        <v/>
      </c>
      <c r="BG544" s="51" t="str">
        <f t="shared" si="392"/>
        <v/>
      </c>
      <c r="BH544" s="51" t="b">
        <f t="shared" si="393"/>
        <v>0</v>
      </c>
      <c r="BI544" s="51" t="str">
        <f t="shared" si="394"/>
        <v/>
      </c>
      <c r="BJ544" s="51" t="str">
        <f t="shared" si="395"/>
        <v/>
      </c>
      <c r="BK544" s="51" t="b">
        <f t="shared" si="396"/>
        <v>0</v>
      </c>
      <c r="BL544" s="192"/>
    </row>
    <row r="545" spans="1:64" ht="13.5" thickBot="1" x14ac:dyDescent="0.25">
      <c r="A545" s="185" t="s">
        <v>1220</v>
      </c>
      <c r="B545" s="194" t="s">
        <v>695</v>
      </c>
      <c r="C545" s="194" t="s">
        <v>695</v>
      </c>
      <c r="D545" s="194" t="s">
        <v>695</v>
      </c>
      <c r="E545" s="193" t="s">
        <v>694</v>
      </c>
      <c r="F545" s="160" t="s">
        <v>20</v>
      </c>
      <c r="G545" s="161"/>
      <c r="H545" s="186" t="str">
        <f t="shared" si="354"/>
        <v>N/A</v>
      </c>
      <c r="I545" s="186" t="b">
        <f t="shared" si="355"/>
        <v>1</v>
      </c>
      <c r="J545" s="186" t="str">
        <f t="shared" si="356"/>
        <v>N/A</v>
      </c>
      <c r="K545" s="186" t="b">
        <f t="shared" si="357"/>
        <v>1</v>
      </c>
      <c r="L545" s="186" t="str">
        <f t="shared" si="358"/>
        <v>N/A</v>
      </c>
      <c r="M545" s="186" t="b">
        <f t="shared" si="359"/>
        <v>1</v>
      </c>
      <c r="N545" s="186" t="str">
        <f t="shared" si="360"/>
        <v>Used?</v>
      </c>
      <c r="O545" s="186" t="b">
        <f t="shared" si="361"/>
        <v>0</v>
      </c>
      <c r="P545" s="26" t="s">
        <v>696</v>
      </c>
      <c r="Q545" s="160" t="s">
        <v>20</v>
      </c>
      <c r="R545" s="160" t="s">
        <v>20</v>
      </c>
      <c r="S545" s="26" t="s">
        <v>697</v>
      </c>
      <c r="T545" s="165" t="str">
        <f t="shared" si="362"/>
        <v>Not Used</v>
      </c>
      <c r="U545" s="162"/>
      <c r="V545" s="55"/>
      <c r="W545" s="51" t="b">
        <f t="shared" si="363"/>
        <v>1</v>
      </c>
      <c r="X545" s="51" t="str">
        <f t="shared" si="364"/>
        <v>Not Used</v>
      </c>
      <c r="Y545" s="51" t="str">
        <f t="shared" si="365"/>
        <v>Not Used</v>
      </c>
      <c r="Z545" s="51" t="str">
        <f t="shared" si="366"/>
        <v>Not Used</v>
      </c>
      <c r="AA545" s="51" t="str">
        <f t="shared" si="366"/>
        <v>Not Used</v>
      </c>
      <c r="AB545" s="51" t="str">
        <f t="shared" si="367"/>
        <v>Not Used</v>
      </c>
      <c r="AC545" s="51" t="b">
        <f t="shared" si="368"/>
        <v>1</v>
      </c>
      <c r="AD545" s="51">
        <f>COUNTIF($X$5:$X$545, "Not Used")</f>
        <v>541</v>
      </c>
      <c r="AE545" s="51">
        <f>COUNTIF($X$5:$X$545, "TRUE")</f>
        <v>0</v>
      </c>
      <c r="AF545" s="51" t="b">
        <f t="shared" si="369"/>
        <v>1</v>
      </c>
      <c r="AI545" s="51" t="b">
        <f t="shared" si="370"/>
        <v>0</v>
      </c>
      <c r="AJ545" s="51" t="b">
        <f t="shared" si="371"/>
        <v>0</v>
      </c>
      <c r="AK545" s="51" t="b">
        <f t="shared" si="372"/>
        <v>0</v>
      </c>
      <c r="AL545" s="51" t="b">
        <f t="shared" si="373"/>
        <v>0</v>
      </c>
      <c r="AM545" s="51" t="b">
        <f t="shared" si="374"/>
        <v>0</v>
      </c>
      <c r="AN545" s="51"/>
      <c r="AO545" s="51" t="b">
        <f t="shared" si="375"/>
        <v>0</v>
      </c>
      <c r="AP545" s="51" t="str">
        <f t="shared" si="397"/>
        <v>Not in MMS</v>
      </c>
      <c r="AQ545" s="51" t="b">
        <f t="shared" si="376"/>
        <v>0</v>
      </c>
      <c r="AR545" s="51" t="b">
        <f t="shared" si="377"/>
        <v>0</v>
      </c>
      <c r="AS545" s="51" t="str">
        <f t="shared" si="378"/>
        <v/>
      </c>
      <c r="AT545" s="51" t="str">
        <f t="shared" si="379"/>
        <v/>
      </c>
      <c r="AU545" s="51" t="str">
        <f t="shared" si="380"/>
        <v/>
      </c>
      <c r="AV545" s="51" t="str">
        <f t="shared" si="381"/>
        <v/>
      </c>
      <c r="AW545" s="51" t="str">
        <f t="shared" si="382"/>
        <v/>
      </c>
      <c r="AX545" s="51" t="str">
        <f t="shared" si="383"/>
        <v/>
      </c>
      <c r="AY545" s="51" t="str">
        <f t="shared" si="384"/>
        <v/>
      </c>
      <c r="AZ545" s="51" t="str">
        <f t="shared" si="385"/>
        <v/>
      </c>
      <c r="BA545" s="51" t="str">
        <f t="shared" si="386"/>
        <v/>
      </c>
      <c r="BB545" s="51" t="str">
        <f t="shared" si="387"/>
        <v/>
      </c>
      <c r="BC545" s="51" t="str">
        <f t="shared" si="388"/>
        <v/>
      </c>
      <c r="BD545" s="51" t="str">
        <f t="shared" si="389"/>
        <v/>
      </c>
      <c r="BE545" s="51" t="str">
        <f t="shared" si="390"/>
        <v/>
      </c>
      <c r="BF545" s="51" t="str">
        <f t="shared" si="391"/>
        <v/>
      </c>
      <c r="BG545" s="51" t="str">
        <f t="shared" si="392"/>
        <v/>
      </c>
      <c r="BH545" s="51" t="b">
        <f t="shared" si="393"/>
        <v>0</v>
      </c>
      <c r="BI545" s="51" t="str">
        <f t="shared" si="394"/>
        <v/>
      </c>
      <c r="BJ545" s="51" t="str">
        <f t="shared" si="395"/>
        <v/>
      </c>
      <c r="BK545" s="51" t="b">
        <f t="shared" si="396"/>
        <v>0</v>
      </c>
      <c r="BL545" s="192"/>
    </row>
    <row r="546" spans="1:64" ht="13.5" thickBot="1" x14ac:dyDescent="0.25">
      <c r="A546" s="185" t="s">
        <v>1221</v>
      </c>
      <c r="B546" s="194" t="s">
        <v>695</v>
      </c>
      <c r="C546" s="194" t="s">
        <v>695</v>
      </c>
      <c r="D546" s="194" t="s">
        <v>695</v>
      </c>
      <c r="E546" s="193" t="s">
        <v>694</v>
      </c>
      <c r="F546" s="160" t="s">
        <v>20</v>
      </c>
      <c r="G546" s="161"/>
      <c r="H546" s="186" t="str">
        <f t="shared" si="354"/>
        <v>N/A</v>
      </c>
      <c r="I546" s="186" t="b">
        <f t="shared" si="355"/>
        <v>1</v>
      </c>
      <c r="J546" s="186" t="str">
        <f t="shared" si="356"/>
        <v>N/A</v>
      </c>
      <c r="K546" s="186" t="b">
        <f t="shared" si="357"/>
        <v>1</v>
      </c>
      <c r="L546" s="186" t="str">
        <f t="shared" si="358"/>
        <v>N/A</v>
      </c>
      <c r="M546" s="186" t="b">
        <f t="shared" si="359"/>
        <v>1</v>
      </c>
      <c r="N546" s="186" t="str">
        <f t="shared" si="360"/>
        <v>Used?</v>
      </c>
      <c r="O546" s="186" t="b">
        <f t="shared" si="361"/>
        <v>0</v>
      </c>
      <c r="P546" s="26" t="s">
        <v>696</v>
      </c>
      <c r="Q546" s="160" t="s">
        <v>20</v>
      </c>
      <c r="R546" s="160" t="s">
        <v>20</v>
      </c>
      <c r="S546" s="26" t="s">
        <v>697</v>
      </c>
      <c r="T546" s="165" t="str">
        <f t="shared" si="362"/>
        <v>Not Used</v>
      </c>
      <c r="U546" s="162"/>
      <c r="V546" s="55"/>
      <c r="W546" s="51" t="b">
        <f t="shared" si="363"/>
        <v>1</v>
      </c>
      <c r="X546" s="51" t="str">
        <f t="shared" si="364"/>
        <v>Not Used</v>
      </c>
      <c r="Y546" s="51" t="str">
        <f t="shared" si="365"/>
        <v>Not Used</v>
      </c>
      <c r="Z546" s="51" t="str">
        <f t="shared" si="366"/>
        <v>Not Used</v>
      </c>
      <c r="AA546" s="51" t="str">
        <f t="shared" si="366"/>
        <v>Not Used</v>
      </c>
      <c r="AB546" s="51" t="str">
        <f t="shared" si="367"/>
        <v>Not Used</v>
      </c>
      <c r="AC546" s="51" t="b">
        <f t="shared" si="368"/>
        <v>1</v>
      </c>
      <c r="AD546" s="51">
        <f>COUNTIF($X$5:$X$546, "Not Used")</f>
        <v>542</v>
      </c>
      <c r="AE546" s="51">
        <f>COUNTIF($X$5:$X$546, "TRUE")</f>
        <v>0</v>
      </c>
      <c r="AF546" s="51" t="b">
        <f t="shared" si="369"/>
        <v>1</v>
      </c>
      <c r="AI546" s="51" t="b">
        <f t="shared" si="370"/>
        <v>0</v>
      </c>
      <c r="AJ546" s="51" t="b">
        <f t="shared" si="371"/>
        <v>0</v>
      </c>
      <c r="AK546" s="51" t="b">
        <f t="shared" si="372"/>
        <v>0</v>
      </c>
      <c r="AL546" s="51" t="b">
        <f t="shared" si="373"/>
        <v>0</v>
      </c>
      <c r="AM546" s="51" t="b">
        <f t="shared" si="374"/>
        <v>0</v>
      </c>
      <c r="AN546" s="51"/>
      <c r="AO546" s="51" t="b">
        <f t="shared" si="375"/>
        <v>0</v>
      </c>
      <c r="AP546" s="51" t="str">
        <f t="shared" si="397"/>
        <v>Not in MMS</v>
      </c>
      <c r="AQ546" s="51" t="b">
        <f t="shared" si="376"/>
        <v>0</v>
      </c>
      <c r="AR546" s="51" t="b">
        <f t="shared" si="377"/>
        <v>0</v>
      </c>
      <c r="AS546" s="51" t="str">
        <f t="shared" si="378"/>
        <v/>
      </c>
      <c r="AT546" s="51" t="str">
        <f t="shared" si="379"/>
        <v/>
      </c>
      <c r="AU546" s="51" t="str">
        <f t="shared" si="380"/>
        <v/>
      </c>
      <c r="AV546" s="51" t="str">
        <f t="shared" si="381"/>
        <v/>
      </c>
      <c r="AW546" s="51" t="str">
        <f t="shared" si="382"/>
        <v/>
      </c>
      <c r="AX546" s="51" t="str">
        <f t="shared" si="383"/>
        <v/>
      </c>
      <c r="AY546" s="51" t="str">
        <f t="shared" si="384"/>
        <v/>
      </c>
      <c r="AZ546" s="51" t="str">
        <f t="shared" si="385"/>
        <v/>
      </c>
      <c r="BA546" s="51" t="str">
        <f t="shared" si="386"/>
        <v/>
      </c>
      <c r="BB546" s="51" t="str">
        <f t="shared" si="387"/>
        <v/>
      </c>
      <c r="BC546" s="51" t="str">
        <f t="shared" si="388"/>
        <v/>
      </c>
      <c r="BD546" s="51" t="str">
        <f t="shared" si="389"/>
        <v/>
      </c>
      <c r="BE546" s="51" t="str">
        <f t="shared" si="390"/>
        <v/>
      </c>
      <c r="BF546" s="51" t="str">
        <f t="shared" si="391"/>
        <v/>
      </c>
      <c r="BG546" s="51" t="str">
        <f t="shared" si="392"/>
        <v/>
      </c>
      <c r="BH546" s="51" t="b">
        <f t="shared" si="393"/>
        <v>0</v>
      </c>
      <c r="BI546" s="51" t="str">
        <f t="shared" si="394"/>
        <v/>
      </c>
      <c r="BJ546" s="51" t="str">
        <f t="shared" si="395"/>
        <v/>
      </c>
      <c r="BK546" s="51" t="b">
        <f t="shared" si="396"/>
        <v>0</v>
      </c>
      <c r="BL546" s="192"/>
    </row>
    <row r="547" spans="1:64" ht="13.5" thickBot="1" x14ac:dyDescent="0.25">
      <c r="A547" s="185" t="s">
        <v>1222</v>
      </c>
      <c r="B547" s="194" t="s">
        <v>695</v>
      </c>
      <c r="C547" s="194" t="s">
        <v>695</v>
      </c>
      <c r="D547" s="194" t="s">
        <v>695</v>
      </c>
      <c r="E547" s="193" t="s">
        <v>694</v>
      </c>
      <c r="F547" s="160" t="s">
        <v>20</v>
      </c>
      <c r="G547" s="161"/>
      <c r="H547" s="186" t="str">
        <f t="shared" si="354"/>
        <v>N/A</v>
      </c>
      <c r="I547" s="186" t="b">
        <f t="shared" si="355"/>
        <v>1</v>
      </c>
      <c r="J547" s="186" t="str">
        <f t="shared" si="356"/>
        <v>N/A</v>
      </c>
      <c r="K547" s="186" t="b">
        <f t="shared" si="357"/>
        <v>1</v>
      </c>
      <c r="L547" s="186" t="str">
        <f t="shared" si="358"/>
        <v>N/A</v>
      </c>
      <c r="M547" s="186" t="b">
        <f t="shared" si="359"/>
        <v>1</v>
      </c>
      <c r="N547" s="186" t="str">
        <f t="shared" si="360"/>
        <v>Used?</v>
      </c>
      <c r="O547" s="186" t="b">
        <f t="shared" si="361"/>
        <v>0</v>
      </c>
      <c r="P547" s="26" t="s">
        <v>696</v>
      </c>
      <c r="Q547" s="160" t="s">
        <v>20</v>
      </c>
      <c r="R547" s="160" t="s">
        <v>20</v>
      </c>
      <c r="S547" s="26" t="s">
        <v>697</v>
      </c>
      <c r="T547" s="165" t="str">
        <f t="shared" si="362"/>
        <v>Not Used</v>
      </c>
      <c r="U547" s="162"/>
      <c r="V547" s="55"/>
      <c r="W547" s="51" t="b">
        <f t="shared" si="363"/>
        <v>1</v>
      </c>
      <c r="X547" s="51" t="str">
        <f t="shared" si="364"/>
        <v>Not Used</v>
      </c>
      <c r="Y547" s="51" t="str">
        <f t="shared" si="365"/>
        <v>Not Used</v>
      </c>
      <c r="Z547" s="51" t="str">
        <f t="shared" si="366"/>
        <v>Not Used</v>
      </c>
      <c r="AA547" s="51" t="str">
        <f t="shared" si="366"/>
        <v>Not Used</v>
      </c>
      <c r="AB547" s="51" t="str">
        <f t="shared" si="367"/>
        <v>Not Used</v>
      </c>
      <c r="AC547" s="51" t="b">
        <f t="shared" si="368"/>
        <v>1</v>
      </c>
      <c r="AD547" s="51">
        <f>COUNTIF($X$5:$X$547, "Not Used")</f>
        <v>543</v>
      </c>
      <c r="AE547" s="51">
        <f>COUNTIF($X$5:$X$547, "TRUE")</f>
        <v>0</v>
      </c>
      <c r="AF547" s="51" t="b">
        <f t="shared" si="369"/>
        <v>1</v>
      </c>
      <c r="AI547" s="51" t="b">
        <f t="shared" si="370"/>
        <v>0</v>
      </c>
      <c r="AJ547" s="51" t="b">
        <f t="shared" si="371"/>
        <v>0</v>
      </c>
      <c r="AK547" s="51" t="b">
        <f t="shared" si="372"/>
        <v>0</v>
      </c>
      <c r="AL547" s="51" t="b">
        <f t="shared" si="373"/>
        <v>0</v>
      </c>
      <c r="AM547" s="51" t="b">
        <f t="shared" si="374"/>
        <v>0</v>
      </c>
      <c r="AN547" s="51"/>
      <c r="AO547" s="51" t="b">
        <f t="shared" si="375"/>
        <v>0</v>
      </c>
      <c r="AP547" s="51" t="str">
        <f t="shared" si="397"/>
        <v>Not in MMS</v>
      </c>
      <c r="AQ547" s="51" t="b">
        <f t="shared" si="376"/>
        <v>0</v>
      </c>
      <c r="AR547" s="51" t="b">
        <f t="shared" si="377"/>
        <v>0</v>
      </c>
      <c r="AS547" s="51" t="str">
        <f t="shared" si="378"/>
        <v/>
      </c>
      <c r="AT547" s="51" t="str">
        <f t="shared" si="379"/>
        <v/>
      </c>
      <c r="AU547" s="51" t="str">
        <f t="shared" si="380"/>
        <v/>
      </c>
      <c r="AV547" s="51" t="str">
        <f t="shared" si="381"/>
        <v/>
      </c>
      <c r="AW547" s="51" t="str">
        <f t="shared" si="382"/>
        <v/>
      </c>
      <c r="AX547" s="51" t="str">
        <f t="shared" si="383"/>
        <v/>
      </c>
      <c r="AY547" s="51" t="str">
        <f t="shared" si="384"/>
        <v/>
      </c>
      <c r="AZ547" s="51" t="str">
        <f t="shared" si="385"/>
        <v/>
      </c>
      <c r="BA547" s="51" t="str">
        <f t="shared" si="386"/>
        <v/>
      </c>
      <c r="BB547" s="51" t="str">
        <f t="shared" si="387"/>
        <v/>
      </c>
      <c r="BC547" s="51" t="str">
        <f t="shared" si="388"/>
        <v/>
      </c>
      <c r="BD547" s="51" t="str">
        <f t="shared" si="389"/>
        <v/>
      </c>
      <c r="BE547" s="51" t="str">
        <f t="shared" si="390"/>
        <v/>
      </c>
      <c r="BF547" s="51" t="str">
        <f t="shared" si="391"/>
        <v/>
      </c>
      <c r="BG547" s="51" t="str">
        <f t="shared" si="392"/>
        <v/>
      </c>
      <c r="BH547" s="51" t="b">
        <f t="shared" si="393"/>
        <v>0</v>
      </c>
      <c r="BI547" s="51" t="str">
        <f t="shared" si="394"/>
        <v/>
      </c>
      <c r="BJ547" s="51" t="str">
        <f t="shared" si="395"/>
        <v/>
      </c>
      <c r="BK547" s="51" t="b">
        <f t="shared" si="396"/>
        <v>0</v>
      </c>
      <c r="BL547" s="192"/>
    </row>
    <row r="548" spans="1:64" ht="13.5" thickBot="1" x14ac:dyDescent="0.25">
      <c r="A548" s="185" t="s">
        <v>1223</v>
      </c>
      <c r="B548" s="194" t="s">
        <v>695</v>
      </c>
      <c r="C548" s="194" t="s">
        <v>695</v>
      </c>
      <c r="D548" s="194" t="s">
        <v>695</v>
      </c>
      <c r="E548" s="193" t="s">
        <v>694</v>
      </c>
      <c r="F548" s="160" t="s">
        <v>20</v>
      </c>
      <c r="G548" s="161"/>
      <c r="H548" s="186" t="str">
        <f t="shared" si="354"/>
        <v>N/A</v>
      </c>
      <c r="I548" s="186" t="b">
        <f t="shared" si="355"/>
        <v>1</v>
      </c>
      <c r="J548" s="186" t="str">
        <f t="shared" si="356"/>
        <v>N/A</v>
      </c>
      <c r="K548" s="186" t="b">
        <f t="shared" si="357"/>
        <v>1</v>
      </c>
      <c r="L548" s="186" t="str">
        <f t="shared" si="358"/>
        <v>N/A</v>
      </c>
      <c r="M548" s="186" t="b">
        <f t="shared" si="359"/>
        <v>1</v>
      </c>
      <c r="N548" s="186" t="str">
        <f t="shared" si="360"/>
        <v>Used?</v>
      </c>
      <c r="O548" s="186" t="b">
        <f t="shared" si="361"/>
        <v>0</v>
      </c>
      <c r="P548" s="26" t="s">
        <v>696</v>
      </c>
      <c r="Q548" s="160" t="s">
        <v>20</v>
      </c>
      <c r="R548" s="160" t="s">
        <v>20</v>
      </c>
      <c r="S548" s="26" t="s">
        <v>697</v>
      </c>
      <c r="T548" s="165" t="str">
        <f t="shared" si="362"/>
        <v>Not Used</v>
      </c>
      <c r="U548" s="162"/>
      <c r="V548" s="55"/>
      <c r="W548" s="51" t="b">
        <f t="shared" si="363"/>
        <v>1</v>
      </c>
      <c r="X548" s="51" t="str">
        <f t="shared" si="364"/>
        <v>Not Used</v>
      </c>
      <c r="Y548" s="51" t="str">
        <f t="shared" si="365"/>
        <v>Not Used</v>
      </c>
      <c r="Z548" s="51" t="str">
        <f t="shared" si="366"/>
        <v>Not Used</v>
      </c>
      <c r="AA548" s="51" t="str">
        <f t="shared" si="366"/>
        <v>Not Used</v>
      </c>
      <c r="AB548" s="51" t="str">
        <f t="shared" si="367"/>
        <v>Not Used</v>
      </c>
      <c r="AC548" s="51" t="b">
        <f t="shared" si="368"/>
        <v>1</v>
      </c>
      <c r="AD548" s="51">
        <f>COUNTIF($X$5:$X$548, "Not Used")</f>
        <v>544</v>
      </c>
      <c r="AE548" s="51">
        <f>COUNTIF($X$5:$X$548, "TRUE")</f>
        <v>0</v>
      </c>
      <c r="AF548" s="51" t="b">
        <f t="shared" si="369"/>
        <v>1</v>
      </c>
      <c r="AI548" s="51" t="b">
        <f t="shared" si="370"/>
        <v>0</v>
      </c>
      <c r="AJ548" s="51" t="b">
        <f t="shared" si="371"/>
        <v>0</v>
      </c>
      <c r="AK548" s="51" t="b">
        <f t="shared" si="372"/>
        <v>0</v>
      </c>
      <c r="AL548" s="51" t="b">
        <f t="shared" si="373"/>
        <v>0</v>
      </c>
      <c r="AM548" s="51" t="b">
        <f t="shared" si="374"/>
        <v>0</v>
      </c>
      <c r="AN548" s="51"/>
      <c r="AO548" s="51" t="b">
        <f t="shared" si="375"/>
        <v>0</v>
      </c>
      <c r="AP548" s="51" t="str">
        <f t="shared" si="397"/>
        <v>Not in MMS</v>
      </c>
      <c r="AQ548" s="51" t="b">
        <f t="shared" si="376"/>
        <v>0</v>
      </c>
      <c r="AR548" s="51" t="b">
        <f t="shared" si="377"/>
        <v>0</v>
      </c>
      <c r="AS548" s="51" t="str">
        <f t="shared" si="378"/>
        <v/>
      </c>
      <c r="AT548" s="51" t="str">
        <f t="shared" si="379"/>
        <v/>
      </c>
      <c r="AU548" s="51" t="str">
        <f t="shared" si="380"/>
        <v/>
      </c>
      <c r="AV548" s="51" t="str">
        <f t="shared" si="381"/>
        <v/>
      </c>
      <c r="AW548" s="51" t="str">
        <f t="shared" si="382"/>
        <v/>
      </c>
      <c r="AX548" s="51" t="str">
        <f t="shared" si="383"/>
        <v/>
      </c>
      <c r="AY548" s="51" t="str">
        <f t="shared" si="384"/>
        <v/>
      </c>
      <c r="AZ548" s="51" t="str">
        <f t="shared" si="385"/>
        <v/>
      </c>
      <c r="BA548" s="51" t="str">
        <f t="shared" si="386"/>
        <v/>
      </c>
      <c r="BB548" s="51" t="str">
        <f t="shared" si="387"/>
        <v/>
      </c>
      <c r="BC548" s="51" t="str">
        <f t="shared" si="388"/>
        <v/>
      </c>
      <c r="BD548" s="51" t="str">
        <f t="shared" si="389"/>
        <v/>
      </c>
      <c r="BE548" s="51" t="str">
        <f t="shared" si="390"/>
        <v/>
      </c>
      <c r="BF548" s="51" t="str">
        <f t="shared" si="391"/>
        <v/>
      </c>
      <c r="BG548" s="51" t="str">
        <f t="shared" si="392"/>
        <v/>
      </c>
      <c r="BH548" s="51" t="b">
        <f t="shared" si="393"/>
        <v>0</v>
      </c>
      <c r="BI548" s="51" t="str">
        <f t="shared" si="394"/>
        <v/>
      </c>
      <c r="BJ548" s="51" t="str">
        <f t="shared" si="395"/>
        <v/>
      </c>
      <c r="BK548" s="51" t="b">
        <f t="shared" si="396"/>
        <v>0</v>
      </c>
      <c r="BL548" s="192"/>
    </row>
    <row r="549" spans="1:64" ht="13.5" thickBot="1" x14ac:dyDescent="0.25">
      <c r="A549" s="185" t="s">
        <v>1224</v>
      </c>
      <c r="B549" s="194" t="s">
        <v>695</v>
      </c>
      <c r="C549" s="194" t="s">
        <v>695</v>
      </c>
      <c r="D549" s="194" t="s">
        <v>695</v>
      </c>
      <c r="E549" s="193" t="s">
        <v>694</v>
      </c>
      <c r="F549" s="160" t="s">
        <v>20</v>
      </c>
      <c r="G549" s="161"/>
      <c r="H549" s="186" t="str">
        <f t="shared" si="354"/>
        <v>N/A</v>
      </c>
      <c r="I549" s="186" t="b">
        <f t="shared" si="355"/>
        <v>1</v>
      </c>
      <c r="J549" s="186" t="str">
        <f t="shared" si="356"/>
        <v>N/A</v>
      </c>
      <c r="K549" s="186" t="b">
        <f t="shared" si="357"/>
        <v>1</v>
      </c>
      <c r="L549" s="186" t="str">
        <f t="shared" si="358"/>
        <v>N/A</v>
      </c>
      <c r="M549" s="186" t="b">
        <f t="shared" si="359"/>
        <v>1</v>
      </c>
      <c r="N549" s="186" t="str">
        <f t="shared" si="360"/>
        <v>Used?</v>
      </c>
      <c r="O549" s="186" t="b">
        <f t="shared" si="361"/>
        <v>0</v>
      </c>
      <c r="P549" s="26" t="s">
        <v>696</v>
      </c>
      <c r="Q549" s="160" t="s">
        <v>20</v>
      </c>
      <c r="R549" s="160" t="s">
        <v>20</v>
      </c>
      <c r="S549" s="26" t="s">
        <v>697</v>
      </c>
      <c r="T549" s="165" t="str">
        <f t="shared" si="362"/>
        <v>Not Used</v>
      </c>
      <c r="U549" s="162"/>
      <c r="V549" s="55"/>
      <c r="W549" s="51" t="b">
        <f t="shared" si="363"/>
        <v>1</v>
      </c>
      <c r="X549" s="51" t="str">
        <f t="shared" si="364"/>
        <v>Not Used</v>
      </c>
      <c r="Y549" s="51" t="str">
        <f t="shared" si="365"/>
        <v>Not Used</v>
      </c>
      <c r="Z549" s="51" t="str">
        <f t="shared" si="366"/>
        <v>Not Used</v>
      </c>
      <c r="AA549" s="51" t="str">
        <f t="shared" si="366"/>
        <v>Not Used</v>
      </c>
      <c r="AB549" s="51" t="str">
        <f t="shared" si="367"/>
        <v>Not Used</v>
      </c>
      <c r="AC549" s="51" t="b">
        <f t="shared" si="368"/>
        <v>1</v>
      </c>
      <c r="AD549" s="51">
        <f>COUNTIF($X$5:$X$549, "Not Used")</f>
        <v>545</v>
      </c>
      <c r="AE549" s="51">
        <f>COUNTIF($X$5:$X$549, "TRUE")</f>
        <v>0</v>
      </c>
      <c r="AF549" s="51" t="b">
        <f t="shared" si="369"/>
        <v>1</v>
      </c>
      <c r="AI549" s="51" t="b">
        <f t="shared" si="370"/>
        <v>0</v>
      </c>
      <c r="AJ549" s="51" t="b">
        <f t="shared" si="371"/>
        <v>0</v>
      </c>
      <c r="AK549" s="51" t="b">
        <f t="shared" si="372"/>
        <v>0</v>
      </c>
      <c r="AL549" s="51" t="b">
        <f t="shared" si="373"/>
        <v>0</v>
      </c>
      <c r="AM549" s="51" t="b">
        <f t="shared" si="374"/>
        <v>0</v>
      </c>
      <c r="AN549" s="51"/>
      <c r="AO549" s="51" t="b">
        <f t="shared" si="375"/>
        <v>0</v>
      </c>
      <c r="AP549" s="51" t="str">
        <f t="shared" si="397"/>
        <v>Not in MMS</v>
      </c>
      <c r="AQ549" s="51" t="b">
        <f t="shared" si="376"/>
        <v>0</v>
      </c>
      <c r="AR549" s="51" t="b">
        <f t="shared" si="377"/>
        <v>0</v>
      </c>
      <c r="AS549" s="51" t="str">
        <f t="shared" si="378"/>
        <v/>
      </c>
      <c r="AT549" s="51" t="str">
        <f t="shared" si="379"/>
        <v/>
      </c>
      <c r="AU549" s="51" t="str">
        <f t="shared" si="380"/>
        <v/>
      </c>
      <c r="AV549" s="51" t="str">
        <f t="shared" si="381"/>
        <v/>
      </c>
      <c r="AW549" s="51" t="str">
        <f t="shared" si="382"/>
        <v/>
      </c>
      <c r="AX549" s="51" t="str">
        <f t="shared" si="383"/>
        <v/>
      </c>
      <c r="AY549" s="51" t="str">
        <f t="shared" si="384"/>
        <v/>
      </c>
      <c r="AZ549" s="51" t="str">
        <f t="shared" si="385"/>
        <v/>
      </c>
      <c r="BA549" s="51" t="str">
        <f t="shared" si="386"/>
        <v/>
      </c>
      <c r="BB549" s="51" t="str">
        <f t="shared" si="387"/>
        <v/>
      </c>
      <c r="BC549" s="51" t="str">
        <f t="shared" si="388"/>
        <v/>
      </c>
      <c r="BD549" s="51" t="str">
        <f t="shared" si="389"/>
        <v/>
      </c>
      <c r="BE549" s="51" t="str">
        <f t="shared" si="390"/>
        <v/>
      </c>
      <c r="BF549" s="51" t="str">
        <f t="shared" si="391"/>
        <v/>
      </c>
      <c r="BG549" s="51" t="str">
        <f t="shared" si="392"/>
        <v/>
      </c>
      <c r="BH549" s="51" t="b">
        <f t="shared" si="393"/>
        <v>0</v>
      </c>
      <c r="BI549" s="51" t="str">
        <f t="shared" si="394"/>
        <v/>
      </c>
      <c r="BJ549" s="51" t="str">
        <f t="shared" si="395"/>
        <v/>
      </c>
      <c r="BK549" s="51" t="b">
        <f t="shared" si="396"/>
        <v>0</v>
      </c>
      <c r="BL549" s="192"/>
    </row>
    <row r="550" spans="1:64" ht="13.5" thickBot="1" x14ac:dyDescent="0.25">
      <c r="A550" s="185" t="s">
        <v>1225</v>
      </c>
      <c r="B550" s="194" t="s">
        <v>695</v>
      </c>
      <c r="C550" s="194" t="s">
        <v>695</v>
      </c>
      <c r="D550" s="194" t="s">
        <v>695</v>
      </c>
      <c r="E550" s="193" t="s">
        <v>694</v>
      </c>
      <c r="F550" s="160" t="s">
        <v>20</v>
      </c>
      <c r="G550" s="161"/>
      <c r="H550" s="186" t="str">
        <f t="shared" si="354"/>
        <v>N/A</v>
      </c>
      <c r="I550" s="186" t="b">
        <f t="shared" si="355"/>
        <v>1</v>
      </c>
      <c r="J550" s="186" t="str">
        <f t="shared" si="356"/>
        <v>N/A</v>
      </c>
      <c r="K550" s="186" t="b">
        <f t="shared" si="357"/>
        <v>1</v>
      </c>
      <c r="L550" s="186" t="str">
        <f t="shared" si="358"/>
        <v>N/A</v>
      </c>
      <c r="M550" s="186" t="b">
        <f t="shared" si="359"/>
        <v>1</v>
      </c>
      <c r="N550" s="186" t="str">
        <f t="shared" si="360"/>
        <v>Used?</v>
      </c>
      <c r="O550" s="186" t="b">
        <f t="shared" si="361"/>
        <v>0</v>
      </c>
      <c r="P550" s="26" t="s">
        <v>696</v>
      </c>
      <c r="Q550" s="160" t="s">
        <v>20</v>
      </c>
      <c r="R550" s="160" t="s">
        <v>20</v>
      </c>
      <c r="S550" s="26" t="s">
        <v>697</v>
      </c>
      <c r="T550" s="165" t="str">
        <f t="shared" si="362"/>
        <v>Not Used</v>
      </c>
      <c r="U550" s="162"/>
      <c r="V550" s="55"/>
      <c r="W550" s="51" t="b">
        <f t="shared" si="363"/>
        <v>1</v>
      </c>
      <c r="X550" s="51" t="str">
        <f t="shared" si="364"/>
        <v>Not Used</v>
      </c>
      <c r="Y550" s="51" t="str">
        <f t="shared" si="365"/>
        <v>Not Used</v>
      </c>
      <c r="Z550" s="51" t="str">
        <f t="shared" si="366"/>
        <v>Not Used</v>
      </c>
      <c r="AA550" s="51" t="str">
        <f t="shared" si="366"/>
        <v>Not Used</v>
      </c>
      <c r="AB550" s="51" t="str">
        <f t="shared" si="367"/>
        <v>Not Used</v>
      </c>
      <c r="AC550" s="51" t="b">
        <f t="shared" si="368"/>
        <v>1</v>
      </c>
      <c r="AD550" s="51">
        <f>COUNTIF($X$5:$X$550, "Not Used")</f>
        <v>546</v>
      </c>
      <c r="AE550" s="51">
        <f>COUNTIF($X$5:$X$550, "TRUE")</f>
        <v>0</v>
      </c>
      <c r="AF550" s="51" t="b">
        <f t="shared" si="369"/>
        <v>1</v>
      </c>
      <c r="AI550" s="51" t="b">
        <f t="shared" si="370"/>
        <v>0</v>
      </c>
      <c r="AJ550" s="51" t="b">
        <f t="shared" si="371"/>
        <v>0</v>
      </c>
      <c r="AK550" s="51" t="b">
        <f t="shared" si="372"/>
        <v>0</v>
      </c>
      <c r="AL550" s="51" t="b">
        <f t="shared" si="373"/>
        <v>0</v>
      </c>
      <c r="AM550" s="51" t="b">
        <f t="shared" si="374"/>
        <v>0</v>
      </c>
      <c r="AN550" s="51"/>
      <c r="AO550" s="51" t="b">
        <f t="shared" si="375"/>
        <v>0</v>
      </c>
      <c r="AP550" s="51" t="str">
        <f t="shared" si="397"/>
        <v>Not in MMS</v>
      </c>
      <c r="AQ550" s="51" t="b">
        <f t="shared" si="376"/>
        <v>0</v>
      </c>
      <c r="AR550" s="51" t="b">
        <f t="shared" si="377"/>
        <v>0</v>
      </c>
      <c r="AS550" s="51" t="str">
        <f t="shared" si="378"/>
        <v/>
      </c>
      <c r="AT550" s="51" t="str">
        <f t="shared" si="379"/>
        <v/>
      </c>
      <c r="AU550" s="51" t="str">
        <f t="shared" si="380"/>
        <v/>
      </c>
      <c r="AV550" s="51" t="str">
        <f t="shared" si="381"/>
        <v/>
      </c>
      <c r="AW550" s="51" t="str">
        <f t="shared" si="382"/>
        <v/>
      </c>
      <c r="AX550" s="51" t="str">
        <f t="shared" si="383"/>
        <v/>
      </c>
      <c r="AY550" s="51" t="str">
        <f t="shared" si="384"/>
        <v/>
      </c>
      <c r="AZ550" s="51" t="str">
        <f t="shared" si="385"/>
        <v/>
      </c>
      <c r="BA550" s="51" t="str">
        <f t="shared" si="386"/>
        <v/>
      </c>
      <c r="BB550" s="51" t="str">
        <f t="shared" si="387"/>
        <v/>
      </c>
      <c r="BC550" s="51" t="str">
        <f t="shared" si="388"/>
        <v/>
      </c>
      <c r="BD550" s="51" t="str">
        <f t="shared" si="389"/>
        <v/>
      </c>
      <c r="BE550" s="51" t="str">
        <f t="shared" si="390"/>
        <v/>
      </c>
      <c r="BF550" s="51" t="str">
        <f t="shared" si="391"/>
        <v/>
      </c>
      <c r="BG550" s="51" t="str">
        <f t="shared" si="392"/>
        <v/>
      </c>
      <c r="BH550" s="51" t="b">
        <f t="shared" si="393"/>
        <v>0</v>
      </c>
      <c r="BI550" s="51" t="str">
        <f t="shared" si="394"/>
        <v/>
      </c>
      <c r="BJ550" s="51" t="str">
        <f t="shared" si="395"/>
        <v/>
      </c>
      <c r="BK550" s="51" t="b">
        <f t="shared" si="396"/>
        <v>0</v>
      </c>
      <c r="BL550" s="192"/>
    </row>
    <row r="551" spans="1:64" ht="13.5" thickBot="1" x14ac:dyDescent="0.25">
      <c r="A551" s="185" t="s">
        <v>1226</v>
      </c>
      <c r="B551" s="194" t="s">
        <v>695</v>
      </c>
      <c r="C551" s="194" t="s">
        <v>695</v>
      </c>
      <c r="D551" s="194" t="s">
        <v>695</v>
      </c>
      <c r="E551" s="193" t="s">
        <v>694</v>
      </c>
      <c r="F551" s="160" t="s">
        <v>20</v>
      </c>
      <c r="G551" s="161"/>
      <c r="H551" s="186" t="str">
        <f t="shared" si="354"/>
        <v>N/A</v>
      </c>
      <c r="I551" s="186" t="b">
        <f t="shared" si="355"/>
        <v>1</v>
      </c>
      <c r="J551" s="186" t="str">
        <f t="shared" si="356"/>
        <v>N/A</v>
      </c>
      <c r="K551" s="186" t="b">
        <f t="shared" si="357"/>
        <v>1</v>
      </c>
      <c r="L551" s="186" t="str">
        <f t="shared" si="358"/>
        <v>N/A</v>
      </c>
      <c r="M551" s="186" t="b">
        <f t="shared" si="359"/>
        <v>1</v>
      </c>
      <c r="N551" s="186" t="str">
        <f t="shared" si="360"/>
        <v>Used?</v>
      </c>
      <c r="O551" s="186" t="b">
        <f t="shared" si="361"/>
        <v>0</v>
      </c>
      <c r="P551" s="26" t="s">
        <v>696</v>
      </c>
      <c r="Q551" s="160" t="s">
        <v>20</v>
      </c>
      <c r="R551" s="160" t="s">
        <v>20</v>
      </c>
      <c r="S551" s="26" t="s">
        <v>697</v>
      </c>
      <c r="T551" s="165" t="str">
        <f t="shared" si="362"/>
        <v>Not Used</v>
      </c>
      <c r="U551" s="162"/>
      <c r="V551" s="55"/>
      <c r="W551" s="51" t="b">
        <f t="shared" si="363"/>
        <v>1</v>
      </c>
      <c r="X551" s="51" t="str">
        <f t="shared" si="364"/>
        <v>Not Used</v>
      </c>
      <c r="Y551" s="51" t="str">
        <f t="shared" si="365"/>
        <v>Not Used</v>
      </c>
      <c r="Z551" s="51" t="str">
        <f t="shared" si="366"/>
        <v>Not Used</v>
      </c>
      <c r="AA551" s="51" t="str">
        <f t="shared" si="366"/>
        <v>Not Used</v>
      </c>
      <c r="AB551" s="51" t="str">
        <f t="shared" si="367"/>
        <v>Not Used</v>
      </c>
      <c r="AC551" s="51" t="b">
        <f t="shared" si="368"/>
        <v>1</v>
      </c>
      <c r="AD551" s="51">
        <f>COUNTIF($X$5:$X$551, "Not Used")</f>
        <v>547</v>
      </c>
      <c r="AE551" s="51">
        <f>COUNTIF($X$5:$X$551, "TRUE")</f>
        <v>0</v>
      </c>
      <c r="AF551" s="51" t="b">
        <f t="shared" si="369"/>
        <v>1</v>
      </c>
      <c r="AI551" s="51" t="b">
        <f t="shared" si="370"/>
        <v>0</v>
      </c>
      <c r="AJ551" s="51" t="b">
        <f t="shared" si="371"/>
        <v>0</v>
      </c>
      <c r="AK551" s="51" t="b">
        <f t="shared" si="372"/>
        <v>0</v>
      </c>
      <c r="AL551" s="51" t="b">
        <f t="shared" si="373"/>
        <v>0</v>
      </c>
      <c r="AM551" s="51" t="b">
        <f t="shared" si="374"/>
        <v>0</v>
      </c>
      <c r="AN551" s="51"/>
      <c r="AO551" s="51" t="b">
        <f t="shared" si="375"/>
        <v>0</v>
      </c>
      <c r="AP551" s="51" t="str">
        <f t="shared" si="397"/>
        <v>Not in MMS</v>
      </c>
      <c r="AQ551" s="51" t="b">
        <f t="shared" si="376"/>
        <v>0</v>
      </c>
      <c r="AR551" s="51" t="b">
        <f t="shared" si="377"/>
        <v>0</v>
      </c>
      <c r="AS551" s="51" t="str">
        <f t="shared" si="378"/>
        <v/>
      </c>
      <c r="AT551" s="51" t="str">
        <f t="shared" si="379"/>
        <v/>
      </c>
      <c r="AU551" s="51" t="str">
        <f t="shared" si="380"/>
        <v/>
      </c>
      <c r="AV551" s="51" t="str">
        <f t="shared" si="381"/>
        <v/>
      </c>
      <c r="AW551" s="51" t="str">
        <f t="shared" si="382"/>
        <v/>
      </c>
      <c r="AX551" s="51" t="str">
        <f t="shared" si="383"/>
        <v/>
      </c>
      <c r="AY551" s="51" t="str">
        <f t="shared" si="384"/>
        <v/>
      </c>
      <c r="AZ551" s="51" t="str">
        <f t="shared" si="385"/>
        <v/>
      </c>
      <c r="BA551" s="51" t="str">
        <f t="shared" si="386"/>
        <v/>
      </c>
      <c r="BB551" s="51" t="str">
        <f t="shared" si="387"/>
        <v/>
      </c>
      <c r="BC551" s="51" t="str">
        <f t="shared" si="388"/>
        <v/>
      </c>
      <c r="BD551" s="51" t="str">
        <f t="shared" si="389"/>
        <v/>
      </c>
      <c r="BE551" s="51" t="str">
        <f t="shared" si="390"/>
        <v/>
      </c>
      <c r="BF551" s="51" t="str">
        <f t="shared" si="391"/>
        <v/>
      </c>
      <c r="BG551" s="51" t="str">
        <f t="shared" si="392"/>
        <v/>
      </c>
      <c r="BH551" s="51" t="b">
        <f t="shared" si="393"/>
        <v>0</v>
      </c>
      <c r="BI551" s="51" t="str">
        <f t="shared" si="394"/>
        <v/>
      </c>
      <c r="BJ551" s="51" t="str">
        <f t="shared" si="395"/>
        <v/>
      </c>
      <c r="BK551" s="51" t="b">
        <f t="shared" si="396"/>
        <v>0</v>
      </c>
      <c r="BL551" s="192"/>
    </row>
    <row r="552" spans="1:64" ht="13.5" thickBot="1" x14ac:dyDescent="0.25">
      <c r="A552" s="185" t="s">
        <v>1227</v>
      </c>
      <c r="B552" s="194" t="s">
        <v>695</v>
      </c>
      <c r="C552" s="194" t="s">
        <v>695</v>
      </c>
      <c r="D552" s="194" t="s">
        <v>695</v>
      </c>
      <c r="E552" s="193" t="s">
        <v>694</v>
      </c>
      <c r="F552" s="160" t="s">
        <v>20</v>
      </c>
      <c r="G552" s="161"/>
      <c r="H552" s="186" t="str">
        <f t="shared" si="354"/>
        <v>N/A</v>
      </c>
      <c r="I552" s="186" t="b">
        <f t="shared" si="355"/>
        <v>1</v>
      </c>
      <c r="J552" s="186" t="str">
        <f t="shared" si="356"/>
        <v>N/A</v>
      </c>
      <c r="K552" s="186" t="b">
        <f t="shared" si="357"/>
        <v>1</v>
      </c>
      <c r="L552" s="186" t="str">
        <f t="shared" si="358"/>
        <v>N/A</v>
      </c>
      <c r="M552" s="186" t="b">
        <f t="shared" si="359"/>
        <v>1</v>
      </c>
      <c r="N552" s="186" t="str">
        <f t="shared" si="360"/>
        <v>Used?</v>
      </c>
      <c r="O552" s="186" t="b">
        <f t="shared" si="361"/>
        <v>0</v>
      </c>
      <c r="P552" s="26" t="s">
        <v>696</v>
      </c>
      <c r="Q552" s="160" t="s">
        <v>20</v>
      </c>
      <c r="R552" s="160" t="s">
        <v>20</v>
      </c>
      <c r="S552" s="26" t="s">
        <v>697</v>
      </c>
      <c r="T552" s="165" t="str">
        <f t="shared" si="362"/>
        <v>Not Used</v>
      </c>
      <c r="U552" s="162"/>
      <c r="V552" s="55"/>
      <c r="W552" s="51" t="b">
        <f t="shared" si="363"/>
        <v>1</v>
      </c>
      <c r="X552" s="51" t="str">
        <f t="shared" si="364"/>
        <v>Not Used</v>
      </c>
      <c r="Y552" s="51" t="str">
        <f t="shared" si="365"/>
        <v>Not Used</v>
      </c>
      <c r="Z552" s="51" t="str">
        <f t="shared" si="366"/>
        <v>Not Used</v>
      </c>
      <c r="AA552" s="51" t="str">
        <f t="shared" si="366"/>
        <v>Not Used</v>
      </c>
      <c r="AB552" s="51" t="str">
        <f t="shared" si="367"/>
        <v>Not Used</v>
      </c>
      <c r="AC552" s="51" t="b">
        <f t="shared" si="368"/>
        <v>1</v>
      </c>
      <c r="AD552" s="51">
        <f>COUNTIF($X$5:$X$552, "Not Used")</f>
        <v>548</v>
      </c>
      <c r="AE552" s="51">
        <f>COUNTIF($X$5:$X$552, "TRUE")</f>
        <v>0</v>
      </c>
      <c r="AF552" s="51" t="b">
        <f t="shared" si="369"/>
        <v>1</v>
      </c>
      <c r="AI552" s="51" t="b">
        <f t="shared" si="370"/>
        <v>0</v>
      </c>
      <c r="AJ552" s="51" t="b">
        <f t="shared" si="371"/>
        <v>0</v>
      </c>
      <c r="AK552" s="51" t="b">
        <f t="shared" si="372"/>
        <v>0</v>
      </c>
      <c r="AL552" s="51" t="b">
        <f t="shared" si="373"/>
        <v>0</v>
      </c>
      <c r="AM552" s="51" t="b">
        <f t="shared" si="374"/>
        <v>0</v>
      </c>
      <c r="AN552" s="51"/>
      <c r="AO552" s="51" t="b">
        <f t="shared" si="375"/>
        <v>0</v>
      </c>
      <c r="AP552" s="51" t="str">
        <f t="shared" si="397"/>
        <v>Not in MMS</v>
      </c>
      <c r="AQ552" s="51" t="b">
        <f t="shared" si="376"/>
        <v>0</v>
      </c>
      <c r="AR552" s="51" t="b">
        <f t="shared" si="377"/>
        <v>0</v>
      </c>
      <c r="AS552" s="51" t="str">
        <f t="shared" si="378"/>
        <v/>
      </c>
      <c r="AT552" s="51" t="str">
        <f t="shared" si="379"/>
        <v/>
      </c>
      <c r="AU552" s="51" t="str">
        <f t="shared" si="380"/>
        <v/>
      </c>
      <c r="AV552" s="51" t="str">
        <f t="shared" si="381"/>
        <v/>
      </c>
      <c r="AW552" s="51" t="str">
        <f t="shared" si="382"/>
        <v/>
      </c>
      <c r="AX552" s="51" t="str">
        <f t="shared" si="383"/>
        <v/>
      </c>
      <c r="AY552" s="51" t="str">
        <f t="shared" si="384"/>
        <v/>
      </c>
      <c r="AZ552" s="51" t="str">
        <f t="shared" si="385"/>
        <v/>
      </c>
      <c r="BA552" s="51" t="str">
        <f t="shared" si="386"/>
        <v/>
      </c>
      <c r="BB552" s="51" t="str">
        <f t="shared" si="387"/>
        <v/>
      </c>
      <c r="BC552" s="51" t="str">
        <f t="shared" si="388"/>
        <v/>
      </c>
      <c r="BD552" s="51" t="str">
        <f t="shared" si="389"/>
        <v/>
      </c>
      <c r="BE552" s="51" t="str">
        <f t="shared" si="390"/>
        <v/>
      </c>
      <c r="BF552" s="51" t="str">
        <f t="shared" si="391"/>
        <v/>
      </c>
      <c r="BG552" s="51" t="str">
        <f t="shared" si="392"/>
        <v/>
      </c>
      <c r="BH552" s="51" t="b">
        <f t="shared" si="393"/>
        <v>0</v>
      </c>
      <c r="BI552" s="51" t="str">
        <f t="shared" si="394"/>
        <v/>
      </c>
      <c r="BJ552" s="51" t="str">
        <f t="shared" si="395"/>
        <v/>
      </c>
      <c r="BK552" s="51" t="b">
        <f t="shared" si="396"/>
        <v>0</v>
      </c>
      <c r="BL552" s="192"/>
    </row>
    <row r="553" spans="1:64" ht="13.5" thickBot="1" x14ac:dyDescent="0.25">
      <c r="A553" s="185" t="s">
        <v>1228</v>
      </c>
      <c r="B553" s="194" t="s">
        <v>695</v>
      </c>
      <c r="C553" s="194" t="s">
        <v>695</v>
      </c>
      <c r="D553" s="194" t="s">
        <v>695</v>
      </c>
      <c r="E553" s="193" t="s">
        <v>694</v>
      </c>
      <c r="F553" s="160" t="s">
        <v>20</v>
      </c>
      <c r="G553" s="161"/>
      <c r="H553" s="186" t="str">
        <f t="shared" si="354"/>
        <v>N/A</v>
      </c>
      <c r="I553" s="186" t="b">
        <f t="shared" si="355"/>
        <v>1</v>
      </c>
      <c r="J553" s="186" t="str">
        <f t="shared" si="356"/>
        <v>N/A</v>
      </c>
      <c r="K553" s="186" t="b">
        <f t="shared" si="357"/>
        <v>1</v>
      </c>
      <c r="L553" s="186" t="str">
        <f t="shared" si="358"/>
        <v>N/A</v>
      </c>
      <c r="M553" s="186" t="b">
        <f t="shared" si="359"/>
        <v>1</v>
      </c>
      <c r="N553" s="186" t="str">
        <f t="shared" si="360"/>
        <v>Used?</v>
      </c>
      <c r="O553" s="186" t="b">
        <f t="shared" si="361"/>
        <v>0</v>
      </c>
      <c r="P553" s="26" t="s">
        <v>696</v>
      </c>
      <c r="Q553" s="160" t="s">
        <v>20</v>
      </c>
      <c r="R553" s="160" t="s">
        <v>20</v>
      </c>
      <c r="S553" s="26" t="s">
        <v>697</v>
      </c>
      <c r="T553" s="165" t="str">
        <f t="shared" si="362"/>
        <v>Not Used</v>
      </c>
      <c r="U553" s="162"/>
      <c r="V553" s="55"/>
      <c r="W553" s="51" t="b">
        <f t="shared" si="363"/>
        <v>1</v>
      </c>
      <c r="X553" s="51" t="str">
        <f t="shared" si="364"/>
        <v>Not Used</v>
      </c>
      <c r="Y553" s="51" t="str">
        <f t="shared" si="365"/>
        <v>Not Used</v>
      </c>
      <c r="Z553" s="51" t="str">
        <f t="shared" si="366"/>
        <v>Not Used</v>
      </c>
      <c r="AA553" s="51" t="str">
        <f t="shared" si="366"/>
        <v>Not Used</v>
      </c>
      <c r="AB553" s="51" t="str">
        <f t="shared" si="367"/>
        <v>Not Used</v>
      </c>
      <c r="AC553" s="51" t="b">
        <f t="shared" si="368"/>
        <v>1</v>
      </c>
      <c r="AD553" s="51">
        <f>COUNTIF($X$5:$X$553, "Not Used")</f>
        <v>549</v>
      </c>
      <c r="AE553" s="51">
        <f>COUNTIF($X$5:$X$553, "TRUE")</f>
        <v>0</v>
      </c>
      <c r="AF553" s="51" t="b">
        <f t="shared" si="369"/>
        <v>1</v>
      </c>
      <c r="AI553" s="51" t="b">
        <f t="shared" si="370"/>
        <v>0</v>
      </c>
      <c r="AJ553" s="51" t="b">
        <f t="shared" si="371"/>
        <v>0</v>
      </c>
      <c r="AK553" s="51" t="b">
        <f t="shared" si="372"/>
        <v>0</v>
      </c>
      <c r="AL553" s="51" t="b">
        <f t="shared" si="373"/>
        <v>0</v>
      </c>
      <c r="AM553" s="51" t="b">
        <f t="shared" si="374"/>
        <v>0</v>
      </c>
      <c r="AN553" s="51"/>
      <c r="AO553" s="51" t="b">
        <f t="shared" si="375"/>
        <v>0</v>
      </c>
      <c r="AP553" s="51" t="str">
        <f t="shared" si="397"/>
        <v>Not in MMS</v>
      </c>
      <c r="AQ553" s="51" t="b">
        <f t="shared" si="376"/>
        <v>0</v>
      </c>
      <c r="AR553" s="51" t="b">
        <f t="shared" si="377"/>
        <v>0</v>
      </c>
      <c r="AS553" s="51" t="str">
        <f t="shared" si="378"/>
        <v/>
      </c>
      <c r="AT553" s="51" t="str">
        <f t="shared" si="379"/>
        <v/>
      </c>
      <c r="AU553" s="51" t="str">
        <f t="shared" si="380"/>
        <v/>
      </c>
      <c r="AV553" s="51" t="str">
        <f t="shared" si="381"/>
        <v/>
      </c>
      <c r="AW553" s="51" t="str">
        <f t="shared" si="382"/>
        <v/>
      </c>
      <c r="AX553" s="51" t="str">
        <f t="shared" si="383"/>
        <v/>
      </c>
      <c r="AY553" s="51" t="str">
        <f t="shared" si="384"/>
        <v/>
      </c>
      <c r="AZ553" s="51" t="str">
        <f t="shared" si="385"/>
        <v/>
      </c>
      <c r="BA553" s="51" t="str">
        <f t="shared" si="386"/>
        <v/>
      </c>
      <c r="BB553" s="51" t="str">
        <f t="shared" si="387"/>
        <v/>
      </c>
      <c r="BC553" s="51" t="str">
        <f t="shared" si="388"/>
        <v/>
      </c>
      <c r="BD553" s="51" t="str">
        <f t="shared" si="389"/>
        <v/>
      </c>
      <c r="BE553" s="51" t="str">
        <f t="shared" si="390"/>
        <v/>
      </c>
      <c r="BF553" s="51" t="str">
        <f t="shared" si="391"/>
        <v/>
      </c>
      <c r="BG553" s="51" t="str">
        <f t="shared" si="392"/>
        <v/>
      </c>
      <c r="BH553" s="51" t="b">
        <f t="shared" si="393"/>
        <v>0</v>
      </c>
      <c r="BI553" s="51" t="str">
        <f t="shared" si="394"/>
        <v/>
      </c>
      <c r="BJ553" s="51" t="str">
        <f t="shared" si="395"/>
        <v/>
      </c>
      <c r="BK553" s="51" t="b">
        <f t="shared" si="396"/>
        <v>0</v>
      </c>
      <c r="BL553" s="192"/>
    </row>
    <row r="554" spans="1:64" ht="13.5" thickBot="1" x14ac:dyDescent="0.25">
      <c r="A554" s="185" t="s">
        <v>1229</v>
      </c>
      <c r="B554" s="194" t="s">
        <v>695</v>
      </c>
      <c r="C554" s="194" t="s">
        <v>695</v>
      </c>
      <c r="D554" s="194" t="s">
        <v>695</v>
      </c>
      <c r="E554" s="193" t="s">
        <v>694</v>
      </c>
      <c r="F554" s="160" t="s">
        <v>20</v>
      </c>
      <c r="G554" s="161"/>
      <c r="H554" s="186" t="str">
        <f t="shared" si="354"/>
        <v>N/A</v>
      </c>
      <c r="I554" s="186" t="b">
        <f t="shared" si="355"/>
        <v>1</v>
      </c>
      <c r="J554" s="186" t="str">
        <f t="shared" si="356"/>
        <v>N/A</v>
      </c>
      <c r="K554" s="186" t="b">
        <f t="shared" si="357"/>
        <v>1</v>
      </c>
      <c r="L554" s="186" t="str">
        <f t="shared" si="358"/>
        <v>N/A</v>
      </c>
      <c r="M554" s="186" t="b">
        <f t="shared" si="359"/>
        <v>1</v>
      </c>
      <c r="N554" s="186" t="str">
        <f t="shared" si="360"/>
        <v>Used?</v>
      </c>
      <c r="O554" s="186" t="b">
        <f t="shared" si="361"/>
        <v>0</v>
      </c>
      <c r="P554" s="26" t="s">
        <v>696</v>
      </c>
      <c r="Q554" s="160" t="s">
        <v>20</v>
      </c>
      <c r="R554" s="160" t="s">
        <v>20</v>
      </c>
      <c r="S554" s="26" t="s">
        <v>697</v>
      </c>
      <c r="T554" s="165" t="str">
        <f t="shared" si="362"/>
        <v>Not Used</v>
      </c>
      <c r="U554" s="162"/>
      <c r="V554" s="55"/>
      <c r="W554" s="51" t="b">
        <f t="shared" si="363"/>
        <v>1</v>
      </c>
      <c r="X554" s="51" t="str">
        <f t="shared" si="364"/>
        <v>Not Used</v>
      </c>
      <c r="Y554" s="51" t="str">
        <f t="shared" si="365"/>
        <v>Not Used</v>
      </c>
      <c r="Z554" s="51" t="str">
        <f t="shared" si="366"/>
        <v>Not Used</v>
      </c>
      <c r="AA554" s="51" t="str">
        <f t="shared" si="366"/>
        <v>Not Used</v>
      </c>
      <c r="AB554" s="51" t="str">
        <f t="shared" si="367"/>
        <v>Not Used</v>
      </c>
      <c r="AC554" s="51" t="b">
        <f t="shared" si="368"/>
        <v>1</v>
      </c>
      <c r="AD554" s="51">
        <f>COUNTIF($X$5:$X$554, "Not Used")</f>
        <v>550</v>
      </c>
      <c r="AE554" s="51">
        <f>COUNTIF($X$5:$X$554, "TRUE")</f>
        <v>0</v>
      </c>
      <c r="AF554" s="51" t="b">
        <f t="shared" si="369"/>
        <v>1</v>
      </c>
      <c r="AI554" s="51" t="b">
        <f t="shared" si="370"/>
        <v>0</v>
      </c>
      <c r="AJ554" s="51" t="b">
        <f t="shared" si="371"/>
        <v>0</v>
      </c>
      <c r="AK554" s="51" t="b">
        <f t="shared" si="372"/>
        <v>0</v>
      </c>
      <c r="AL554" s="51" t="b">
        <f t="shared" si="373"/>
        <v>0</v>
      </c>
      <c r="AM554" s="51" t="b">
        <f t="shared" si="374"/>
        <v>0</v>
      </c>
      <c r="AN554" s="51"/>
      <c r="AO554" s="51" t="b">
        <f t="shared" si="375"/>
        <v>0</v>
      </c>
      <c r="AP554" s="51" t="str">
        <f t="shared" si="397"/>
        <v>Not in MMS</v>
      </c>
      <c r="AQ554" s="51" t="b">
        <f t="shared" si="376"/>
        <v>0</v>
      </c>
      <c r="AR554" s="51" t="b">
        <f t="shared" si="377"/>
        <v>0</v>
      </c>
      <c r="AS554" s="51" t="str">
        <f t="shared" si="378"/>
        <v/>
      </c>
      <c r="AT554" s="51" t="str">
        <f t="shared" si="379"/>
        <v/>
      </c>
      <c r="AU554" s="51" t="str">
        <f t="shared" si="380"/>
        <v/>
      </c>
      <c r="AV554" s="51" t="str">
        <f t="shared" si="381"/>
        <v/>
      </c>
      <c r="AW554" s="51" t="str">
        <f t="shared" si="382"/>
        <v/>
      </c>
      <c r="AX554" s="51" t="str">
        <f t="shared" si="383"/>
        <v/>
      </c>
      <c r="AY554" s="51" t="str">
        <f t="shared" si="384"/>
        <v/>
      </c>
      <c r="AZ554" s="51" t="str">
        <f t="shared" si="385"/>
        <v/>
      </c>
      <c r="BA554" s="51" t="str">
        <f t="shared" si="386"/>
        <v/>
      </c>
      <c r="BB554" s="51" t="str">
        <f t="shared" si="387"/>
        <v/>
      </c>
      <c r="BC554" s="51" t="str">
        <f t="shared" si="388"/>
        <v/>
      </c>
      <c r="BD554" s="51" t="str">
        <f t="shared" si="389"/>
        <v/>
      </c>
      <c r="BE554" s="51" t="str">
        <f t="shared" si="390"/>
        <v/>
      </c>
      <c r="BF554" s="51" t="str">
        <f t="shared" si="391"/>
        <v/>
      </c>
      <c r="BG554" s="51" t="str">
        <f t="shared" si="392"/>
        <v/>
      </c>
      <c r="BH554" s="51" t="b">
        <f t="shared" si="393"/>
        <v>0</v>
      </c>
      <c r="BI554" s="51" t="str">
        <f t="shared" si="394"/>
        <v/>
      </c>
      <c r="BJ554" s="51" t="str">
        <f t="shared" si="395"/>
        <v/>
      </c>
      <c r="BK554" s="51" t="b">
        <f t="shared" si="396"/>
        <v>0</v>
      </c>
      <c r="BL554" s="192"/>
    </row>
    <row r="555" spans="1:64" ht="13.5" thickBot="1" x14ac:dyDescent="0.25">
      <c r="A555" s="185" t="s">
        <v>1230</v>
      </c>
      <c r="B555" s="194" t="s">
        <v>695</v>
      </c>
      <c r="C555" s="194" t="s">
        <v>695</v>
      </c>
      <c r="D555" s="194" t="s">
        <v>695</v>
      </c>
      <c r="E555" s="193" t="s">
        <v>694</v>
      </c>
      <c r="F555" s="160" t="s">
        <v>20</v>
      </c>
      <c r="G555" s="161"/>
      <c r="H555" s="186" t="str">
        <f t="shared" si="354"/>
        <v>N/A</v>
      </c>
      <c r="I555" s="186" t="b">
        <f t="shared" si="355"/>
        <v>1</v>
      </c>
      <c r="J555" s="186" t="str">
        <f t="shared" si="356"/>
        <v>N/A</v>
      </c>
      <c r="K555" s="186" t="b">
        <f t="shared" si="357"/>
        <v>1</v>
      </c>
      <c r="L555" s="186" t="str">
        <f t="shared" si="358"/>
        <v>N/A</v>
      </c>
      <c r="M555" s="186" t="b">
        <f t="shared" si="359"/>
        <v>1</v>
      </c>
      <c r="N555" s="186" t="str">
        <f t="shared" si="360"/>
        <v>Used?</v>
      </c>
      <c r="O555" s="186" t="b">
        <f t="shared" si="361"/>
        <v>0</v>
      </c>
      <c r="P555" s="26" t="s">
        <v>696</v>
      </c>
      <c r="Q555" s="160" t="s">
        <v>20</v>
      </c>
      <c r="R555" s="160" t="s">
        <v>20</v>
      </c>
      <c r="S555" s="26" t="s">
        <v>697</v>
      </c>
      <c r="T555" s="165" t="str">
        <f t="shared" si="362"/>
        <v>Not Used</v>
      </c>
      <c r="U555" s="162"/>
      <c r="V555" s="55"/>
      <c r="W555" s="51" t="b">
        <f t="shared" si="363"/>
        <v>1</v>
      </c>
      <c r="X555" s="51" t="str">
        <f t="shared" si="364"/>
        <v>Not Used</v>
      </c>
      <c r="Y555" s="51" t="str">
        <f t="shared" si="365"/>
        <v>Not Used</v>
      </c>
      <c r="Z555" s="51" t="str">
        <f t="shared" si="366"/>
        <v>Not Used</v>
      </c>
      <c r="AA555" s="51" t="str">
        <f t="shared" si="366"/>
        <v>Not Used</v>
      </c>
      <c r="AB555" s="51" t="str">
        <f t="shared" si="367"/>
        <v>Not Used</v>
      </c>
      <c r="AC555" s="51" t="b">
        <f t="shared" si="368"/>
        <v>1</v>
      </c>
      <c r="AD555" s="51">
        <f>COUNTIF($X$5:$X$555, "Not Used")</f>
        <v>551</v>
      </c>
      <c r="AE555" s="51">
        <f>COUNTIF($X$5:$X$555, "TRUE")</f>
        <v>0</v>
      </c>
      <c r="AF555" s="51" t="b">
        <f t="shared" si="369"/>
        <v>1</v>
      </c>
      <c r="AI555" s="51" t="b">
        <f t="shared" si="370"/>
        <v>0</v>
      </c>
      <c r="AJ555" s="51" t="b">
        <f t="shared" si="371"/>
        <v>0</v>
      </c>
      <c r="AK555" s="51" t="b">
        <f t="shared" si="372"/>
        <v>0</v>
      </c>
      <c r="AL555" s="51" t="b">
        <f t="shared" si="373"/>
        <v>0</v>
      </c>
      <c r="AM555" s="51" t="b">
        <f t="shared" si="374"/>
        <v>0</v>
      </c>
      <c r="AN555" s="51"/>
      <c r="AO555" s="51" t="b">
        <f t="shared" si="375"/>
        <v>0</v>
      </c>
      <c r="AP555" s="51" t="str">
        <f t="shared" si="397"/>
        <v>Not in MMS</v>
      </c>
      <c r="AQ555" s="51" t="b">
        <f t="shared" si="376"/>
        <v>0</v>
      </c>
      <c r="AR555" s="51" t="b">
        <f t="shared" si="377"/>
        <v>0</v>
      </c>
      <c r="AS555" s="51" t="str">
        <f t="shared" si="378"/>
        <v/>
      </c>
      <c r="AT555" s="51" t="str">
        <f t="shared" si="379"/>
        <v/>
      </c>
      <c r="AU555" s="51" t="str">
        <f t="shared" si="380"/>
        <v/>
      </c>
      <c r="AV555" s="51" t="str">
        <f t="shared" si="381"/>
        <v/>
      </c>
      <c r="AW555" s="51" t="str">
        <f t="shared" si="382"/>
        <v/>
      </c>
      <c r="AX555" s="51" t="str">
        <f t="shared" si="383"/>
        <v/>
      </c>
      <c r="AY555" s="51" t="str">
        <f t="shared" si="384"/>
        <v/>
      </c>
      <c r="AZ555" s="51" t="str">
        <f t="shared" si="385"/>
        <v/>
      </c>
      <c r="BA555" s="51" t="str">
        <f t="shared" si="386"/>
        <v/>
      </c>
      <c r="BB555" s="51" t="str">
        <f t="shared" si="387"/>
        <v/>
      </c>
      <c r="BC555" s="51" t="str">
        <f t="shared" si="388"/>
        <v/>
      </c>
      <c r="BD555" s="51" t="str">
        <f t="shared" si="389"/>
        <v/>
      </c>
      <c r="BE555" s="51" t="str">
        <f t="shared" si="390"/>
        <v/>
      </c>
      <c r="BF555" s="51" t="str">
        <f t="shared" si="391"/>
        <v/>
      </c>
      <c r="BG555" s="51" t="str">
        <f t="shared" si="392"/>
        <v/>
      </c>
      <c r="BH555" s="51" t="b">
        <f t="shared" si="393"/>
        <v>0</v>
      </c>
      <c r="BI555" s="51" t="str">
        <f t="shared" si="394"/>
        <v/>
      </c>
      <c r="BJ555" s="51" t="str">
        <f t="shared" si="395"/>
        <v/>
      </c>
      <c r="BK555" s="51" t="b">
        <f t="shared" si="396"/>
        <v>0</v>
      </c>
      <c r="BL555" s="192"/>
    </row>
    <row r="556" spans="1:64" ht="13.5" thickBot="1" x14ac:dyDescent="0.25">
      <c r="A556" s="185" t="s">
        <v>1231</v>
      </c>
      <c r="B556" s="194" t="s">
        <v>695</v>
      </c>
      <c r="C556" s="194" t="s">
        <v>695</v>
      </c>
      <c r="D556" s="194" t="s">
        <v>695</v>
      </c>
      <c r="E556" s="193" t="s">
        <v>694</v>
      </c>
      <c r="F556" s="160" t="s">
        <v>20</v>
      </c>
      <c r="G556" s="161"/>
      <c r="H556" s="186" t="str">
        <f t="shared" si="354"/>
        <v>N/A</v>
      </c>
      <c r="I556" s="186" t="b">
        <f t="shared" si="355"/>
        <v>1</v>
      </c>
      <c r="J556" s="186" t="str">
        <f t="shared" si="356"/>
        <v>N/A</v>
      </c>
      <c r="K556" s="186" t="b">
        <f t="shared" si="357"/>
        <v>1</v>
      </c>
      <c r="L556" s="186" t="str">
        <f t="shared" si="358"/>
        <v>N/A</v>
      </c>
      <c r="M556" s="186" t="b">
        <f t="shared" si="359"/>
        <v>1</v>
      </c>
      <c r="N556" s="186" t="str">
        <f t="shared" si="360"/>
        <v>Used?</v>
      </c>
      <c r="O556" s="186" t="b">
        <f t="shared" si="361"/>
        <v>0</v>
      </c>
      <c r="P556" s="26" t="s">
        <v>696</v>
      </c>
      <c r="Q556" s="160" t="s">
        <v>20</v>
      </c>
      <c r="R556" s="160" t="s">
        <v>20</v>
      </c>
      <c r="S556" s="26" t="s">
        <v>697</v>
      </c>
      <c r="T556" s="165" t="str">
        <f t="shared" si="362"/>
        <v>Not Used</v>
      </c>
      <c r="U556" s="162"/>
      <c r="V556" s="55"/>
      <c r="W556" s="51" t="b">
        <f t="shared" si="363"/>
        <v>1</v>
      </c>
      <c r="X556" s="51" t="str">
        <f t="shared" si="364"/>
        <v>Not Used</v>
      </c>
      <c r="Y556" s="51" t="str">
        <f t="shared" si="365"/>
        <v>Not Used</v>
      </c>
      <c r="Z556" s="51" t="str">
        <f t="shared" si="366"/>
        <v>Not Used</v>
      </c>
      <c r="AA556" s="51" t="str">
        <f t="shared" si="366"/>
        <v>Not Used</v>
      </c>
      <c r="AB556" s="51" t="str">
        <f t="shared" si="367"/>
        <v>Not Used</v>
      </c>
      <c r="AC556" s="51" t="b">
        <f t="shared" si="368"/>
        <v>1</v>
      </c>
      <c r="AD556" s="51">
        <f>COUNTIF($X$5:$X$556, "Not Used")</f>
        <v>552</v>
      </c>
      <c r="AE556" s="51">
        <f>COUNTIF($X$5:$X$556, "TRUE")</f>
        <v>0</v>
      </c>
      <c r="AF556" s="51" t="b">
        <f t="shared" si="369"/>
        <v>1</v>
      </c>
      <c r="AI556" s="51" t="b">
        <f t="shared" si="370"/>
        <v>0</v>
      </c>
      <c r="AJ556" s="51" t="b">
        <f t="shared" si="371"/>
        <v>0</v>
      </c>
      <c r="AK556" s="51" t="b">
        <f t="shared" si="372"/>
        <v>0</v>
      </c>
      <c r="AL556" s="51" t="b">
        <f t="shared" si="373"/>
        <v>0</v>
      </c>
      <c r="AM556" s="51" t="b">
        <f t="shared" si="374"/>
        <v>0</v>
      </c>
      <c r="AN556" s="51"/>
      <c r="AO556" s="51" t="b">
        <f t="shared" si="375"/>
        <v>0</v>
      </c>
      <c r="AP556" s="51" t="str">
        <f t="shared" si="397"/>
        <v>Not in MMS</v>
      </c>
      <c r="AQ556" s="51" t="b">
        <f t="shared" si="376"/>
        <v>0</v>
      </c>
      <c r="AR556" s="51" t="b">
        <f t="shared" si="377"/>
        <v>0</v>
      </c>
      <c r="AS556" s="51" t="str">
        <f t="shared" si="378"/>
        <v/>
      </c>
      <c r="AT556" s="51" t="str">
        <f t="shared" si="379"/>
        <v/>
      </c>
      <c r="AU556" s="51" t="str">
        <f t="shared" si="380"/>
        <v/>
      </c>
      <c r="AV556" s="51" t="str">
        <f t="shared" si="381"/>
        <v/>
      </c>
      <c r="AW556" s="51" t="str">
        <f t="shared" si="382"/>
        <v/>
      </c>
      <c r="AX556" s="51" t="str">
        <f t="shared" si="383"/>
        <v/>
      </c>
      <c r="AY556" s="51" t="str">
        <f t="shared" si="384"/>
        <v/>
      </c>
      <c r="AZ556" s="51" t="str">
        <f t="shared" si="385"/>
        <v/>
      </c>
      <c r="BA556" s="51" t="str">
        <f t="shared" si="386"/>
        <v/>
      </c>
      <c r="BB556" s="51" t="str">
        <f t="shared" si="387"/>
        <v/>
      </c>
      <c r="BC556" s="51" t="str">
        <f t="shared" si="388"/>
        <v/>
      </c>
      <c r="BD556" s="51" t="str">
        <f t="shared" si="389"/>
        <v/>
      </c>
      <c r="BE556" s="51" t="str">
        <f t="shared" si="390"/>
        <v/>
      </c>
      <c r="BF556" s="51" t="str">
        <f t="shared" si="391"/>
        <v/>
      </c>
      <c r="BG556" s="51" t="str">
        <f t="shared" si="392"/>
        <v/>
      </c>
      <c r="BH556" s="51" t="b">
        <f t="shared" si="393"/>
        <v>0</v>
      </c>
      <c r="BI556" s="51" t="str">
        <f t="shared" si="394"/>
        <v/>
      </c>
      <c r="BJ556" s="51" t="str">
        <f t="shared" si="395"/>
        <v/>
      </c>
      <c r="BK556" s="51" t="b">
        <f t="shared" si="396"/>
        <v>0</v>
      </c>
      <c r="BL556" s="192"/>
    </row>
    <row r="557" spans="1:64" ht="13.5" thickBot="1" x14ac:dyDescent="0.25">
      <c r="A557" s="185" t="s">
        <v>1232</v>
      </c>
      <c r="B557" s="194" t="s">
        <v>695</v>
      </c>
      <c r="C557" s="194" t="s">
        <v>695</v>
      </c>
      <c r="D557" s="194" t="s">
        <v>695</v>
      </c>
      <c r="E557" s="193" t="s">
        <v>694</v>
      </c>
      <c r="F557" s="160" t="s">
        <v>20</v>
      </c>
      <c r="G557" s="161"/>
      <c r="H557" s="186" t="str">
        <f t="shared" si="354"/>
        <v>N/A</v>
      </c>
      <c r="I557" s="186" t="b">
        <f t="shared" si="355"/>
        <v>1</v>
      </c>
      <c r="J557" s="186" t="str">
        <f t="shared" si="356"/>
        <v>N/A</v>
      </c>
      <c r="K557" s="186" t="b">
        <f t="shared" si="357"/>
        <v>1</v>
      </c>
      <c r="L557" s="186" t="str">
        <f t="shared" si="358"/>
        <v>N/A</v>
      </c>
      <c r="M557" s="186" t="b">
        <f t="shared" si="359"/>
        <v>1</v>
      </c>
      <c r="N557" s="186" t="str">
        <f t="shared" si="360"/>
        <v>Used?</v>
      </c>
      <c r="O557" s="186" t="b">
        <f t="shared" si="361"/>
        <v>0</v>
      </c>
      <c r="P557" s="26" t="s">
        <v>696</v>
      </c>
      <c r="Q557" s="160" t="s">
        <v>20</v>
      </c>
      <c r="R557" s="160" t="s">
        <v>20</v>
      </c>
      <c r="S557" s="26" t="s">
        <v>697</v>
      </c>
      <c r="T557" s="165" t="str">
        <f t="shared" si="362"/>
        <v>Not Used</v>
      </c>
      <c r="U557" s="162"/>
      <c r="V557" s="55"/>
      <c r="W557" s="51" t="b">
        <f t="shared" si="363"/>
        <v>1</v>
      </c>
      <c r="X557" s="51" t="str">
        <f t="shared" si="364"/>
        <v>Not Used</v>
      </c>
      <c r="Y557" s="51" t="str">
        <f t="shared" si="365"/>
        <v>Not Used</v>
      </c>
      <c r="Z557" s="51" t="str">
        <f t="shared" si="366"/>
        <v>Not Used</v>
      </c>
      <c r="AA557" s="51" t="str">
        <f t="shared" si="366"/>
        <v>Not Used</v>
      </c>
      <c r="AB557" s="51" t="str">
        <f t="shared" si="367"/>
        <v>Not Used</v>
      </c>
      <c r="AC557" s="51" t="b">
        <f t="shared" si="368"/>
        <v>1</v>
      </c>
      <c r="AD557" s="51">
        <f>COUNTIF($X$5:$X$557, "Not Used")</f>
        <v>553</v>
      </c>
      <c r="AE557" s="51">
        <f>COUNTIF($X$5:$X$557, "TRUE")</f>
        <v>0</v>
      </c>
      <c r="AF557" s="51" t="b">
        <f t="shared" si="369"/>
        <v>1</v>
      </c>
      <c r="AI557" s="51" t="b">
        <f t="shared" si="370"/>
        <v>0</v>
      </c>
      <c r="AJ557" s="51" t="b">
        <f t="shared" si="371"/>
        <v>0</v>
      </c>
      <c r="AK557" s="51" t="b">
        <f t="shared" si="372"/>
        <v>0</v>
      </c>
      <c r="AL557" s="51" t="b">
        <f t="shared" si="373"/>
        <v>0</v>
      </c>
      <c r="AM557" s="51" t="b">
        <f t="shared" si="374"/>
        <v>0</v>
      </c>
      <c r="AN557" s="51"/>
      <c r="AO557" s="51" t="b">
        <f t="shared" si="375"/>
        <v>0</v>
      </c>
      <c r="AP557" s="51" t="str">
        <f t="shared" si="397"/>
        <v>Not in MMS</v>
      </c>
      <c r="AQ557" s="51" t="b">
        <f t="shared" si="376"/>
        <v>0</v>
      </c>
      <c r="AR557" s="51" t="b">
        <f t="shared" si="377"/>
        <v>0</v>
      </c>
      <c r="AS557" s="51" t="str">
        <f t="shared" si="378"/>
        <v/>
      </c>
      <c r="AT557" s="51" t="str">
        <f t="shared" si="379"/>
        <v/>
      </c>
      <c r="AU557" s="51" t="str">
        <f t="shared" si="380"/>
        <v/>
      </c>
      <c r="AV557" s="51" t="str">
        <f t="shared" si="381"/>
        <v/>
      </c>
      <c r="AW557" s="51" t="str">
        <f t="shared" si="382"/>
        <v/>
      </c>
      <c r="AX557" s="51" t="str">
        <f t="shared" si="383"/>
        <v/>
      </c>
      <c r="AY557" s="51" t="str">
        <f t="shared" si="384"/>
        <v/>
      </c>
      <c r="AZ557" s="51" t="str">
        <f t="shared" si="385"/>
        <v/>
      </c>
      <c r="BA557" s="51" t="str">
        <f t="shared" si="386"/>
        <v/>
      </c>
      <c r="BB557" s="51" t="str">
        <f t="shared" si="387"/>
        <v/>
      </c>
      <c r="BC557" s="51" t="str">
        <f t="shared" si="388"/>
        <v/>
      </c>
      <c r="BD557" s="51" t="str">
        <f t="shared" si="389"/>
        <v/>
      </c>
      <c r="BE557" s="51" t="str">
        <f t="shared" si="390"/>
        <v/>
      </c>
      <c r="BF557" s="51" t="str">
        <f t="shared" si="391"/>
        <v/>
      </c>
      <c r="BG557" s="51" t="str">
        <f t="shared" si="392"/>
        <v/>
      </c>
      <c r="BH557" s="51" t="b">
        <f t="shared" si="393"/>
        <v>0</v>
      </c>
      <c r="BI557" s="51" t="str">
        <f t="shared" si="394"/>
        <v/>
      </c>
      <c r="BJ557" s="51" t="str">
        <f t="shared" si="395"/>
        <v/>
      </c>
      <c r="BK557" s="51" t="b">
        <f t="shared" si="396"/>
        <v>0</v>
      </c>
      <c r="BL557" s="192"/>
    </row>
    <row r="558" spans="1:64" ht="13.5" thickBot="1" x14ac:dyDescent="0.25">
      <c r="A558" s="185" t="s">
        <v>1233</v>
      </c>
      <c r="B558" s="194" t="s">
        <v>695</v>
      </c>
      <c r="C558" s="194" t="s">
        <v>695</v>
      </c>
      <c r="D558" s="194" t="s">
        <v>695</v>
      </c>
      <c r="E558" s="193" t="s">
        <v>694</v>
      </c>
      <c r="F558" s="160" t="s">
        <v>20</v>
      </c>
      <c r="G558" s="161"/>
      <c r="H558" s="186" t="str">
        <f t="shared" si="354"/>
        <v>N/A</v>
      </c>
      <c r="I558" s="186" t="b">
        <f t="shared" si="355"/>
        <v>1</v>
      </c>
      <c r="J558" s="186" t="str">
        <f t="shared" si="356"/>
        <v>N/A</v>
      </c>
      <c r="K558" s="186" t="b">
        <f t="shared" si="357"/>
        <v>1</v>
      </c>
      <c r="L558" s="186" t="str">
        <f t="shared" si="358"/>
        <v>N/A</v>
      </c>
      <c r="M558" s="186" t="b">
        <f t="shared" si="359"/>
        <v>1</v>
      </c>
      <c r="N558" s="186" t="str">
        <f t="shared" si="360"/>
        <v>Used?</v>
      </c>
      <c r="O558" s="186" t="b">
        <f t="shared" si="361"/>
        <v>0</v>
      </c>
      <c r="P558" s="26" t="s">
        <v>696</v>
      </c>
      <c r="Q558" s="160" t="s">
        <v>20</v>
      </c>
      <c r="R558" s="160" t="s">
        <v>20</v>
      </c>
      <c r="S558" s="26" t="s">
        <v>697</v>
      </c>
      <c r="T558" s="165" t="str">
        <f t="shared" si="362"/>
        <v>Not Used</v>
      </c>
      <c r="U558" s="162"/>
      <c r="V558" s="55"/>
      <c r="W558" s="51" t="b">
        <f t="shared" si="363"/>
        <v>1</v>
      </c>
      <c r="X558" s="51" t="str">
        <f t="shared" si="364"/>
        <v>Not Used</v>
      </c>
      <c r="Y558" s="51" t="str">
        <f t="shared" si="365"/>
        <v>Not Used</v>
      </c>
      <c r="Z558" s="51" t="str">
        <f t="shared" si="366"/>
        <v>Not Used</v>
      </c>
      <c r="AA558" s="51" t="str">
        <f t="shared" si="366"/>
        <v>Not Used</v>
      </c>
      <c r="AB558" s="51" t="str">
        <f t="shared" si="367"/>
        <v>Not Used</v>
      </c>
      <c r="AC558" s="51" t="b">
        <f t="shared" si="368"/>
        <v>1</v>
      </c>
      <c r="AD558" s="51">
        <f>COUNTIF($X$5:$X$558, "Not Used")</f>
        <v>554</v>
      </c>
      <c r="AE558" s="51">
        <f>COUNTIF($X$5:$X$558, "TRUE")</f>
        <v>0</v>
      </c>
      <c r="AF558" s="51" t="b">
        <f t="shared" si="369"/>
        <v>1</v>
      </c>
      <c r="AI558" s="51" t="b">
        <f t="shared" si="370"/>
        <v>0</v>
      </c>
      <c r="AJ558" s="51" t="b">
        <f t="shared" si="371"/>
        <v>0</v>
      </c>
      <c r="AK558" s="51" t="b">
        <f t="shared" si="372"/>
        <v>0</v>
      </c>
      <c r="AL558" s="51" t="b">
        <f t="shared" si="373"/>
        <v>0</v>
      </c>
      <c r="AM558" s="51" t="b">
        <f t="shared" si="374"/>
        <v>0</v>
      </c>
      <c r="AN558" s="51"/>
      <c r="AO558" s="51" t="b">
        <f t="shared" si="375"/>
        <v>0</v>
      </c>
      <c r="AP558" s="51" t="str">
        <f t="shared" si="397"/>
        <v>Not in MMS</v>
      </c>
      <c r="AQ558" s="51" t="b">
        <f t="shared" si="376"/>
        <v>0</v>
      </c>
      <c r="AR558" s="51" t="b">
        <f t="shared" si="377"/>
        <v>0</v>
      </c>
      <c r="AS558" s="51" t="str">
        <f t="shared" si="378"/>
        <v/>
      </c>
      <c r="AT558" s="51" t="str">
        <f t="shared" si="379"/>
        <v/>
      </c>
      <c r="AU558" s="51" t="str">
        <f t="shared" si="380"/>
        <v/>
      </c>
      <c r="AV558" s="51" t="str">
        <f t="shared" si="381"/>
        <v/>
      </c>
      <c r="AW558" s="51" t="str">
        <f t="shared" si="382"/>
        <v/>
      </c>
      <c r="AX558" s="51" t="str">
        <f t="shared" si="383"/>
        <v/>
      </c>
      <c r="AY558" s="51" t="str">
        <f t="shared" si="384"/>
        <v/>
      </c>
      <c r="AZ558" s="51" t="str">
        <f t="shared" si="385"/>
        <v/>
      </c>
      <c r="BA558" s="51" t="str">
        <f t="shared" si="386"/>
        <v/>
      </c>
      <c r="BB558" s="51" t="str">
        <f t="shared" si="387"/>
        <v/>
      </c>
      <c r="BC558" s="51" t="str">
        <f t="shared" si="388"/>
        <v/>
      </c>
      <c r="BD558" s="51" t="str">
        <f t="shared" si="389"/>
        <v/>
      </c>
      <c r="BE558" s="51" t="str">
        <f t="shared" si="390"/>
        <v/>
      </c>
      <c r="BF558" s="51" t="str">
        <f t="shared" si="391"/>
        <v/>
      </c>
      <c r="BG558" s="51" t="str">
        <f t="shared" si="392"/>
        <v/>
      </c>
      <c r="BH558" s="51" t="b">
        <f t="shared" si="393"/>
        <v>0</v>
      </c>
      <c r="BI558" s="51" t="str">
        <f t="shared" si="394"/>
        <v/>
      </c>
      <c r="BJ558" s="51" t="str">
        <f t="shared" si="395"/>
        <v/>
      </c>
      <c r="BK558" s="51" t="b">
        <f t="shared" si="396"/>
        <v>0</v>
      </c>
      <c r="BL558" s="192"/>
    </row>
    <row r="559" spans="1:64" ht="13.5" thickBot="1" x14ac:dyDescent="0.25">
      <c r="A559" s="185" t="s">
        <v>1234</v>
      </c>
      <c r="B559" s="194" t="s">
        <v>695</v>
      </c>
      <c r="C559" s="194" t="s">
        <v>695</v>
      </c>
      <c r="D559" s="194" t="s">
        <v>695</v>
      </c>
      <c r="E559" s="193" t="s">
        <v>694</v>
      </c>
      <c r="F559" s="160" t="s">
        <v>20</v>
      </c>
      <c r="G559" s="161"/>
      <c r="H559" s="186" t="str">
        <f t="shared" si="354"/>
        <v>N/A</v>
      </c>
      <c r="I559" s="186" t="b">
        <f t="shared" si="355"/>
        <v>1</v>
      </c>
      <c r="J559" s="186" t="str">
        <f t="shared" si="356"/>
        <v>N/A</v>
      </c>
      <c r="K559" s="186" t="b">
        <f t="shared" si="357"/>
        <v>1</v>
      </c>
      <c r="L559" s="186" t="str">
        <f t="shared" si="358"/>
        <v>N/A</v>
      </c>
      <c r="M559" s="186" t="b">
        <f t="shared" si="359"/>
        <v>1</v>
      </c>
      <c r="N559" s="186" t="str">
        <f t="shared" si="360"/>
        <v>Used?</v>
      </c>
      <c r="O559" s="186" t="b">
        <f t="shared" si="361"/>
        <v>0</v>
      </c>
      <c r="P559" s="26" t="s">
        <v>696</v>
      </c>
      <c r="Q559" s="160" t="s">
        <v>20</v>
      </c>
      <c r="R559" s="160" t="s">
        <v>20</v>
      </c>
      <c r="S559" s="26" t="s">
        <v>697</v>
      </c>
      <c r="T559" s="165" t="str">
        <f t="shared" si="362"/>
        <v>Not Used</v>
      </c>
      <c r="U559" s="162"/>
      <c r="V559" s="55"/>
      <c r="W559" s="51" t="b">
        <f t="shared" si="363"/>
        <v>1</v>
      </c>
      <c r="X559" s="51" t="str">
        <f t="shared" si="364"/>
        <v>Not Used</v>
      </c>
      <c r="Y559" s="51" t="str">
        <f t="shared" si="365"/>
        <v>Not Used</v>
      </c>
      <c r="Z559" s="51" t="str">
        <f t="shared" si="366"/>
        <v>Not Used</v>
      </c>
      <c r="AA559" s="51" t="str">
        <f t="shared" si="366"/>
        <v>Not Used</v>
      </c>
      <c r="AB559" s="51" t="str">
        <f t="shared" si="367"/>
        <v>Not Used</v>
      </c>
      <c r="AC559" s="51" t="b">
        <f t="shared" si="368"/>
        <v>1</v>
      </c>
      <c r="AD559" s="51">
        <f>COUNTIF($X$5:$X$559, "Not Used")</f>
        <v>555</v>
      </c>
      <c r="AE559" s="51">
        <f>COUNTIF($X$5:$X$559, "TRUE")</f>
        <v>0</v>
      </c>
      <c r="AF559" s="51" t="b">
        <f t="shared" si="369"/>
        <v>1</v>
      </c>
      <c r="AI559" s="51" t="b">
        <f t="shared" si="370"/>
        <v>0</v>
      </c>
      <c r="AJ559" s="51" t="b">
        <f t="shared" si="371"/>
        <v>0</v>
      </c>
      <c r="AK559" s="51" t="b">
        <f t="shared" si="372"/>
        <v>0</v>
      </c>
      <c r="AL559" s="51" t="b">
        <f t="shared" si="373"/>
        <v>0</v>
      </c>
      <c r="AM559" s="51" t="b">
        <f t="shared" si="374"/>
        <v>0</v>
      </c>
      <c r="AN559" s="51"/>
      <c r="AO559" s="51" t="b">
        <f t="shared" si="375"/>
        <v>0</v>
      </c>
      <c r="AP559" s="51" t="str">
        <f t="shared" si="397"/>
        <v>Not in MMS</v>
      </c>
      <c r="AQ559" s="51" t="b">
        <f t="shared" si="376"/>
        <v>0</v>
      </c>
      <c r="AR559" s="51" t="b">
        <f t="shared" si="377"/>
        <v>0</v>
      </c>
      <c r="AS559" s="51" t="str">
        <f t="shared" si="378"/>
        <v/>
      </c>
      <c r="AT559" s="51" t="str">
        <f t="shared" si="379"/>
        <v/>
      </c>
      <c r="AU559" s="51" t="str">
        <f t="shared" si="380"/>
        <v/>
      </c>
      <c r="AV559" s="51" t="str">
        <f t="shared" si="381"/>
        <v/>
      </c>
      <c r="AW559" s="51" t="str">
        <f t="shared" si="382"/>
        <v/>
      </c>
      <c r="AX559" s="51" t="str">
        <f t="shared" si="383"/>
        <v/>
      </c>
      <c r="AY559" s="51" t="str">
        <f t="shared" si="384"/>
        <v/>
      </c>
      <c r="AZ559" s="51" t="str">
        <f t="shared" si="385"/>
        <v/>
      </c>
      <c r="BA559" s="51" t="str">
        <f t="shared" si="386"/>
        <v/>
      </c>
      <c r="BB559" s="51" t="str">
        <f t="shared" si="387"/>
        <v/>
      </c>
      <c r="BC559" s="51" t="str">
        <f t="shared" si="388"/>
        <v/>
      </c>
      <c r="BD559" s="51" t="str">
        <f t="shared" si="389"/>
        <v/>
      </c>
      <c r="BE559" s="51" t="str">
        <f t="shared" si="390"/>
        <v/>
      </c>
      <c r="BF559" s="51" t="str">
        <f t="shared" si="391"/>
        <v/>
      </c>
      <c r="BG559" s="51" t="str">
        <f t="shared" si="392"/>
        <v/>
      </c>
      <c r="BH559" s="51" t="b">
        <f t="shared" si="393"/>
        <v>0</v>
      </c>
      <c r="BI559" s="51" t="str">
        <f t="shared" si="394"/>
        <v/>
      </c>
      <c r="BJ559" s="51" t="str">
        <f t="shared" si="395"/>
        <v/>
      </c>
      <c r="BK559" s="51" t="b">
        <f t="shared" si="396"/>
        <v>0</v>
      </c>
      <c r="BL559" s="192"/>
    </row>
    <row r="560" spans="1:64" ht="13.5" thickBot="1" x14ac:dyDescent="0.25">
      <c r="A560" s="185" t="s">
        <v>1235</v>
      </c>
      <c r="B560" s="194" t="s">
        <v>695</v>
      </c>
      <c r="C560" s="194" t="s">
        <v>695</v>
      </c>
      <c r="D560" s="194" t="s">
        <v>695</v>
      </c>
      <c r="E560" s="193" t="s">
        <v>694</v>
      </c>
      <c r="F560" s="160" t="s">
        <v>20</v>
      </c>
      <c r="G560" s="161"/>
      <c r="H560" s="186" t="str">
        <f t="shared" si="354"/>
        <v>N/A</v>
      </c>
      <c r="I560" s="186" t="b">
        <f t="shared" si="355"/>
        <v>1</v>
      </c>
      <c r="J560" s="186" t="str">
        <f t="shared" si="356"/>
        <v>N/A</v>
      </c>
      <c r="K560" s="186" t="b">
        <f t="shared" si="357"/>
        <v>1</v>
      </c>
      <c r="L560" s="186" t="str">
        <f t="shared" si="358"/>
        <v>N/A</v>
      </c>
      <c r="M560" s="186" t="b">
        <f t="shared" si="359"/>
        <v>1</v>
      </c>
      <c r="N560" s="186" t="str">
        <f t="shared" si="360"/>
        <v>Used?</v>
      </c>
      <c r="O560" s="186" t="b">
        <f t="shared" si="361"/>
        <v>0</v>
      </c>
      <c r="P560" s="26" t="s">
        <v>696</v>
      </c>
      <c r="Q560" s="160" t="s">
        <v>20</v>
      </c>
      <c r="R560" s="160" t="s">
        <v>20</v>
      </c>
      <c r="S560" s="26" t="s">
        <v>697</v>
      </c>
      <c r="T560" s="165" t="str">
        <f t="shared" si="362"/>
        <v>Not Used</v>
      </c>
      <c r="U560" s="162"/>
      <c r="V560" s="55"/>
      <c r="W560" s="51" t="b">
        <f t="shared" si="363"/>
        <v>1</v>
      </c>
      <c r="X560" s="51" t="str">
        <f t="shared" si="364"/>
        <v>Not Used</v>
      </c>
      <c r="Y560" s="51" t="str">
        <f t="shared" si="365"/>
        <v>Not Used</v>
      </c>
      <c r="Z560" s="51" t="str">
        <f t="shared" si="366"/>
        <v>Not Used</v>
      </c>
      <c r="AA560" s="51" t="str">
        <f t="shared" si="366"/>
        <v>Not Used</v>
      </c>
      <c r="AB560" s="51" t="str">
        <f t="shared" si="367"/>
        <v>Not Used</v>
      </c>
      <c r="AC560" s="51" t="b">
        <f t="shared" si="368"/>
        <v>1</v>
      </c>
      <c r="AD560" s="51">
        <f>COUNTIF($X$5:$X$560, "Not Used")</f>
        <v>556</v>
      </c>
      <c r="AE560" s="51">
        <f>COUNTIF($X$5:$X$560, "TRUE")</f>
        <v>0</v>
      </c>
      <c r="AF560" s="51" t="b">
        <f t="shared" si="369"/>
        <v>1</v>
      </c>
      <c r="AI560" s="51" t="b">
        <f t="shared" si="370"/>
        <v>0</v>
      </c>
      <c r="AJ560" s="51" t="b">
        <f t="shared" si="371"/>
        <v>0</v>
      </c>
      <c r="AK560" s="51" t="b">
        <f t="shared" si="372"/>
        <v>0</v>
      </c>
      <c r="AL560" s="51" t="b">
        <f t="shared" si="373"/>
        <v>0</v>
      </c>
      <c r="AM560" s="51" t="b">
        <f t="shared" si="374"/>
        <v>0</v>
      </c>
      <c r="AN560" s="51"/>
      <c r="AO560" s="51" t="b">
        <f t="shared" si="375"/>
        <v>0</v>
      </c>
      <c r="AP560" s="51" t="str">
        <f t="shared" si="397"/>
        <v>Not in MMS</v>
      </c>
      <c r="AQ560" s="51" t="b">
        <f t="shared" si="376"/>
        <v>0</v>
      </c>
      <c r="AR560" s="51" t="b">
        <f t="shared" si="377"/>
        <v>0</v>
      </c>
      <c r="AS560" s="51" t="str">
        <f t="shared" si="378"/>
        <v/>
      </c>
      <c r="AT560" s="51" t="str">
        <f t="shared" si="379"/>
        <v/>
      </c>
      <c r="AU560" s="51" t="str">
        <f t="shared" si="380"/>
        <v/>
      </c>
      <c r="AV560" s="51" t="str">
        <f t="shared" si="381"/>
        <v/>
      </c>
      <c r="AW560" s="51" t="str">
        <f t="shared" si="382"/>
        <v/>
      </c>
      <c r="AX560" s="51" t="str">
        <f t="shared" si="383"/>
        <v/>
      </c>
      <c r="AY560" s="51" t="str">
        <f t="shared" si="384"/>
        <v/>
      </c>
      <c r="AZ560" s="51" t="str">
        <f t="shared" si="385"/>
        <v/>
      </c>
      <c r="BA560" s="51" t="str">
        <f t="shared" si="386"/>
        <v/>
      </c>
      <c r="BB560" s="51" t="str">
        <f t="shared" si="387"/>
        <v/>
      </c>
      <c r="BC560" s="51" t="str">
        <f t="shared" si="388"/>
        <v/>
      </c>
      <c r="BD560" s="51" t="str">
        <f t="shared" si="389"/>
        <v/>
      </c>
      <c r="BE560" s="51" t="str">
        <f t="shared" si="390"/>
        <v/>
      </c>
      <c r="BF560" s="51" t="str">
        <f t="shared" si="391"/>
        <v/>
      </c>
      <c r="BG560" s="51" t="str">
        <f t="shared" si="392"/>
        <v/>
      </c>
      <c r="BH560" s="51" t="b">
        <f t="shared" si="393"/>
        <v>0</v>
      </c>
      <c r="BI560" s="51" t="str">
        <f t="shared" si="394"/>
        <v/>
      </c>
      <c r="BJ560" s="51" t="str">
        <f t="shared" si="395"/>
        <v/>
      </c>
      <c r="BK560" s="51" t="b">
        <f t="shared" si="396"/>
        <v>0</v>
      </c>
      <c r="BL560" s="192"/>
    </row>
    <row r="561" spans="1:64" ht="13.5" thickBot="1" x14ac:dyDescent="0.25">
      <c r="A561" s="185" t="s">
        <v>1236</v>
      </c>
      <c r="B561" s="194" t="s">
        <v>695</v>
      </c>
      <c r="C561" s="194" t="s">
        <v>695</v>
      </c>
      <c r="D561" s="194" t="s">
        <v>695</v>
      </c>
      <c r="E561" s="193" t="s">
        <v>694</v>
      </c>
      <c r="F561" s="160" t="s">
        <v>20</v>
      </c>
      <c r="G561" s="161"/>
      <c r="H561" s="186" t="str">
        <f t="shared" si="354"/>
        <v>N/A</v>
      </c>
      <c r="I561" s="186" t="b">
        <f t="shared" si="355"/>
        <v>1</v>
      </c>
      <c r="J561" s="186" t="str">
        <f t="shared" si="356"/>
        <v>N/A</v>
      </c>
      <c r="K561" s="186" t="b">
        <f t="shared" si="357"/>
        <v>1</v>
      </c>
      <c r="L561" s="186" t="str">
        <f t="shared" si="358"/>
        <v>N/A</v>
      </c>
      <c r="M561" s="186" t="b">
        <f t="shared" si="359"/>
        <v>1</v>
      </c>
      <c r="N561" s="186" t="str">
        <f t="shared" si="360"/>
        <v>Used?</v>
      </c>
      <c r="O561" s="186" t="b">
        <f t="shared" si="361"/>
        <v>0</v>
      </c>
      <c r="P561" s="26" t="s">
        <v>696</v>
      </c>
      <c r="Q561" s="160" t="s">
        <v>20</v>
      </c>
      <c r="R561" s="160" t="s">
        <v>20</v>
      </c>
      <c r="S561" s="26" t="s">
        <v>697</v>
      </c>
      <c r="T561" s="165" t="str">
        <f t="shared" si="362"/>
        <v>Not Used</v>
      </c>
      <c r="U561" s="162"/>
      <c r="V561" s="55"/>
      <c r="W561" s="51" t="b">
        <f t="shared" si="363"/>
        <v>1</v>
      </c>
      <c r="X561" s="51" t="str">
        <f t="shared" si="364"/>
        <v>Not Used</v>
      </c>
      <c r="Y561" s="51" t="str">
        <f t="shared" si="365"/>
        <v>Not Used</v>
      </c>
      <c r="Z561" s="51" t="str">
        <f t="shared" si="366"/>
        <v>Not Used</v>
      </c>
      <c r="AA561" s="51" t="str">
        <f t="shared" si="366"/>
        <v>Not Used</v>
      </c>
      <c r="AB561" s="51" t="str">
        <f t="shared" si="367"/>
        <v>Not Used</v>
      </c>
      <c r="AC561" s="51" t="b">
        <f t="shared" si="368"/>
        <v>1</v>
      </c>
      <c r="AD561" s="51">
        <f>COUNTIF($X$5:$X$561, "Not Used")</f>
        <v>557</v>
      </c>
      <c r="AE561" s="51">
        <f>COUNTIF($X$5:$X$561, "TRUE")</f>
        <v>0</v>
      </c>
      <c r="AF561" s="51" t="b">
        <f t="shared" si="369"/>
        <v>1</v>
      </c>
      <c r="AI561" s="51" t="b">
        <f t="shared" si="370"/>
        <v>0</v>
      </c>
      <c r="AJ561" s="51" t="b">
        <f t="shared" si="371"/>
        <v>0</v>
      </c>
      <c r="AK561" s="51" t="b">
        <f t="shared" si="372"/>
        <v>0</v>
      </c>
      <c r="AL561" s="51" t="b">
        <f t="shared" si="373"/>
        <v>0</v>
      </c>
      <c r="AM561" s="51" t="b">
        <f t="shared" si="374"/>
        <v>0</v>
      </c>
      <c r="AN561" s="51"/>
      <c r="AO561" s="51" t="b">
        <f t="shared" si="375"/>
        <v>0</v>
      </c>
      <c r="AP561" s="51" t="str">
        <f t="shared" si="397"/>
        <v>Not in MMS</v>
      </c>
      <c r="AQ561" s="51" t="b">
        <f t="shared" si="376"/>
        <v>0</v>
      </c>
      <c r="AR561" s="51" t="b">
        <f t="shared" si="377"/>
        <v>0</v>
      </c>
      <c r="AS561" s="51" t="str">
        <f t="shared" si="378"/>
        <v/>
      </c>
      <c r="AT561" s="51" t="str">
        <f t="shared" si="379"/>
        <v/>
      </c>
      <c r="AU561" s="51" t="str">
        <f t="shared" si="380"/>
        <v/>
      </c>
      <c r="AV561" s="51" t="str">
        <f t="shared" si="381"/>
        <v/>
      </c>
      <c r="AW561" s="51" t="str">
        <f t="shared" si="382"/>
        <v/>
      </c>
      <c r="AX561" s="51" t="str">
        <f t="shared" si="383"/>
        <v/>
      </c>
      <c r="AY561" s="51" t="str">
        <f t="shared" si="384"/>
        <v/>
      </c>
      <c r="AZ561" s="51" t="str">
        <f t="shared" si="385"/>
        <v/>
      </c>
      <c r="BA561" s="51" t="str">
        <f t="shared" si="386"/>
        <v/>
      </c>
      <c r="BB561" s="51" t="str">
        <f t="shared" si="387"/>
        <v/>
      </c>
      <c r="BC561" s="51" t="str">
        <f t="shared" si="388"/>
        <v/>
      </c>
      <c r="BD561" s="51" t="str">
        <f t="shared" si="389"/>
        <v/>
      </c>
      <c r="BE561" s="51" t="str">
        <f t="shared" si="390"/>
        <v/>
      </c>
      <c r="BF561" s="51" t="str">
        <f t="shared" si="391"/>
        <v/>
      </c>
      <c r="BG561" s="51" t="str">
        <f t="shared" si="392"/>
        <v/>
      </c>
      <c r="BH561" s="51" t="b">
        <f t="shared" si="393"/>
        <v>0</v>
      </c>
      <c r="BI561" s="51" t="str">
        <f t="shared" si="394"/>
        <v/>
      </c>
      <c r="BJ561" s="51" t="str">
        <f t="shared" si="395"/>
        <v/>
      </c>
      <c r="BK561" s="51" t="b">
        <f t="shared" si="396"/>
        <v>0</v>
      </c>
      <c r="BL561" s="192"/>
    </row>
    <row r="562" spans="1:64" ht="13.5" thickBot="1" x14ac:dyDescent="0.25">
      <c r="A562" s="185" t="s">
        <v>1237</v>
      </c>
      <c r="B562" s="194" t="s">
        <v>695</v>
      </c>
      <c r="C562" s="194" t="s">
        <v>695</v>
      </c>
      <c r="D562" s="194" t="s">
        <v>695</v>
      </c>
      <c r="E562" s="193" t="s">
        <v>694</v>
      </c>
      <c r="F562" s="160" t="s">
        <v>20</v>
      </c>
      <c r="G562" s="161"/>
      <c r="H562" s="186" t="str">
        <f t="shared" si="354"/>
        <v>N/A</v>
      </c>
      <c r="I562" s="186" t="b">
        <f t="shared" si="355"/>
        <v>1</v>
      </c>
      <c r="J562" s="186" t="str">
        <f t="shared" si="356"/>
        <v>N/A</v>
      </c>
      <c r="K562" s="186" t="b">
        <f t="shared" si="357"/>
        <v>1</v>
      </c>
      <c r="L562" s="186" t="str">
        <f t="shared" si="358"/>
        <v>N/A</v>
      </c>
      <c r="M562" s="186" t="b">
        <f t="shared" si="359"/>
        <v>1</v>
      </c>
      <c r="N562" s="186" t="str">
        <f t="shared" si="360"/>
        <v>Used?</v>
      </c>
      <c r="O562" s="186" t="b">
        <f t="shared" si="361"/>
        <v>0</v>
      </c>
      <c r="P562" s="26" t="s">
        <v>696</v>
      </c>
      <c r="Q562" s="160" t="s">
        <v>20</v>
      </c>
      <c r="R562" s="160" t="s">
        <v>20</v>
      </c>
      <c r="S562" s="26" t="s">
        <v>697</v>
      </c>
      <c r="T562" s="165" t="str">
        <f t="shared" si="362"/>
        <v>Not Used</v>
      </c>
      <c r="U562" s="162"/>
      <c r="V562" s="55"/>
      <c r="W562" s="51" t="b">
        <f t="shared" si="363"/>
        <v>1</v>
      </c>
      <c r="X562" s="51" t="str">
        <f t="shared" si="364"/>
        <v>Not Used</v>
      </c>
      <c r="Y562" s="51" t="str">
        <f t="shared" si="365"/>
        <v>Not Used</v>
      </c>
      <c r="Z562" s="51" t="str">
        <f t="shared" si="366"/>
        <v>Not Used</v>
      </c>
      <c r="AA562" s="51" t="str">
        <f t="shared" si="366"/>
        <v>Not Used</v>
      </c>
      <c r="AB562" s="51" t="str">
        <f t="shared" si="367"/>
        <v>Not Used</v>
      </c>
      <c r="AC562" s="51" t="b">
        <f t="shared" si="368"/>
        <v>1</v>
      </c>
      <c r="AD562" s="51">
        <f>COUNTIF($X$5:$X$562, "Not Used")</f>
        <v>558</v>
      </c>
      <c r="AE562" s="51">
        <f>COUNTIF($X$5:$X$562, "TRUE")</f>
        <v>0</v>
      </c>
      <c r="AF562" s="51" t="b">
        <f t="shared" si="369"/>
        <v>1</v>
      </c>
      <c r="AI562" s="51" t="b">
        <f t="shared" si="370"/>
        <v>0</v>
      </c>
      <c r="AJ562" s="51" t="b">
        <f t="shared" si="371"/>
        <v>0</v>
      </c>
      <c r="AK562" s="51" t="b">
        <f t="shared" si="372"/>
        <v>0</v>
      </c>
      <c r="AL562" s="51" t="b">
        <f t="shared" si="373"/>
        <v>0</v>
      </c>
      <c r="AM562" s="51" t="b">
        <f t="shared" si="374"/>
        <v>0</v>
      </c>
      <c r="AN562" s="51"/>
      <c r="AO562" s="51" t="b">
        <f t="shared" si="375"/>
        <v>0</v>
      </c>
      <c r="AP562" s="51" t="str">
        <f t="shared" si="397"/>
        <v>Not in MMS</v>
      </c>
      <c r="AQ562" s="51" t="b">
        <f t="shared" si="376"/>
        <v>0</v>
      </c>
      <c r="AR562" s="51" t="b">
        <f t="shared" si="377"/>
        <v>0</v>
      </c>
      <c r="AS562" s="51" t="str">
        <f t="shared" si="378"/>
        <v/>
      </c>
      <c r="AT562" s="51" t="str">
        <f t="shared" si="379"/>
        <v/>
      </c>
      <c r="AU562" s="51" t="str">
        <f t="shared" si="380"/>
        <v/>
      </c>
      <c r="AV562" s="51" t="str">
        <f t="shared" si="381"/>
        <v/>
      </c>
      <c r="AW562" s="51" t="str">
        <f t="shared" si="382"/>
        <v/>
      </c>
      <c r="AX562" s="51" t="str">
        <f t="shared" si="383"/>
        <v/>
      </c>
      <c r="AY562" s="51" t="str">
        <f t="shared" si="384"/>
        <v/>
      </c>
      <c r="AZ562" s="51" t="str">
        <f t="shared" si="385"/>
        <v/>
      </c>
      <c r="BA562" s="51" t="str">
        <f t="shared" si="386"/>
        <v/>
      </c>
      <c r="BB562" s="51" t="str">
        <f t="shared" si="387"/>
        <v/>
      </c>
      <c r="BC562" s="51" t="str">
        <f t="shared" si="388"/>
        <v/>
      </c>
      <c r="BD562" s="51" t="str">
        <f t="shared" si="389"/>
        <v/>
      </c>
      <c r="BE562" s="51" t="str">
        <f t="shared" si="390"/>
        <v/>
      </c>
      <c r="BF562" s="51" t="str">
        <f t="shared" si="391"/>
        <v/>
      </c>
      <c r="BG562" s="51" t="str">
        <f t="shared" si="392"/>
        <v/>
      </c>
      <c r="BH562" s="51" t="b">
        <f t="shared" si="393"/>
        <v>0</v>
      </c>
      <c r="BI562" s="51" t="str">
        <f t="shared" si="394"/>
        <v/>
      </c>
      <c r="BJ562" s="51" t="str">
        <f t="shared" si="395"/>
        <v/>
      </c>
      <c r="BK562" s="51" t="b">
        <f t="shared" si="396"/>
        <v>0</v>
      </c>
      <c r="BL562" s="192"/>
    </row>
    <row r="563" spans="1:64" ht="13.5" thickBot="1" x14ac:dyDescent="0.25">
      <c r="A563" s="185" t="s">
        <v>1238</v>
      </c>
      <c r="B563" s="194" t="s">
        <v>695</v>
      </c>
      <c r="C563" s="194" t="s">
        <v>695</v>
      </c>
      <c r="D563" s="194" t="s">
        <v>695</v>
      </c>
      <c r="E563" s="193" t="s">
        <v>694</v>
      </c>
      <c r="F563" s="160" t="s">
        <v>20</v>
      </c>
      <c r="G563" s="161"/>
      <c r="H563" s="186" t="str">
        <f t="shared" si="354"/>
        <v>N/A</v>
      </c>
      <c r="I563" s="186" t="b">
        <f t="shared" si="355"/>
        <v>1</v>
      </c>
      <c r="J563" s="186" t="str">
        <f t="shared" si="356"/>
        <v>N/A</v>
      </c>
      <c r="K563" s="186" t="b">
        <f t="shared" si="357"/>
        <v>1</v>
      </c>
      <c r="L563" s="186" t="str">
        <f t="shared" si="358"/>
        <v>N/A</v>
      </c>
      <c r="M563" s="186" t="b">
        <f t="shared" si="359"/>
        <v>1</v>
      </c>
      <c r="N563" s="186" t="str">
        <f t="shared" si="360"/>
        <v>Used?</v>
      </c>
      <c r="O563" s="186" t="b">
        <f t="shared" si="361"/>
        <v>0</v>
      </c>
      <c r="P563" s="26" t="s">
        <v>696</v>
      </c>
      <c r="Q563" s="160" t="s">
        <v>20</v>
      </c>
      <c r="R563" s="160" t="s">
        <v>20</v>
      </c>
      <c r="S563" s="26" t="s">
        <v>697</v>
      </c>
      <c r="T563" s="165" t="str">
        <f t="shared" si="362"/>
        <v>Not Used</v>
      </c>
      <c r="U563" s="162"/>
      <c r="V563" s="55"/>
      <c r="W563" s="51" t="b">
        <f t="shared" si="363"/>
        <v>1</v>
      </c>
      <c r="X563" s="51" t="str">
        <f t="shared" si="364"/>
        <v>Not Used</v>
      </c>
      <c r="Y563" s="51" t="str">
        <f t="shared" si="365"/>
        <v>Not Used</v>
      </c>
      <c r="Z563" s="51" t="str">
        <f t="shared" si="366"/>
        <v>Not Used</v>
      </c>
      <c r="AA563" s="51" t="str">
        <f t="shared" si="366"/>
        <v>Not Used</v>
      </c>
      <c r="AB563" s="51" t="str">
        <f t="shared" si="367"/>
        <v>Not Used</v>
      </c>
      <c r="AC563" s="51" t="b">
        <f t="shared" si="368"/>
        <v>1</v>
      </c>
      <c r="AD563" s="51">
        <f>COUNTIF($X$5:$X$563, "Not Used")</f>
        <v>559</v>
      </c>
      <c r="AE563" s="51">
        <f>COUNTIF($X$5:$X$563, "TRUE")</f>
        <v>0</v>
      </c>
      <c r="AF563" s="51" t="b">
        <f t="shared" si="369"/>
        <v>1</v>
      </c>
      <c r="AI563" s="51" t="b">
        <f t="shared" si="370"/>
        <v>0</v>
      </c>
      <c r="AJ563" s="51" t="b">
        <f t="shared" si="371"/>
        <v>0</v>
      </c>
      <c r="AK563" s="51" t="b">
        <f t="shared" si="372"/>
        <v>0</v>
      </c>
      <c r="AL563" s="51" t="b">
        <f t="shared" si="373"/>
        <v>0</v>
      </c>
      <c r="AM563" s="51" t="b">
        <f t="shared" si="374"/>
        <v>0</v>
      </c>
      <c r="AN563" s="51"/>
      <c r="AO563" s="51" t="b">
        <f t="shared" si="375"/>
        <v>0</v>
      </c>
      <c r="AP563" s="51" t="str">
        <f t="shared" si="397"/>
        <v>Not in MMS</v>
      </c>
      <c r="AQ563" s="51" t="b">
        <f t="shared" si="376"/>
        <v>0</v>
      </c>
      <c r="AR563" s="51" t="b">
        <f t="shared" si="377"/>
        <v>0</v>
      </c>
      <c r="AS563" s="51" t="str">
        <f t="shared" si="378"/>
        <v/>
      </c>
      <c r="AT563" s="51" t="str">
        <f t="shared" si="379"/>
        <v/>
      </c>
      <c r="AU563" s="51" t="str">
        <f t="shared" si="380"/>
        <v/>
      </c>
      <c r="AV563" s="51" t="str">
        <f t="shared" si="381"/>
        <v/>
      </c>
      <c r="AW563" s="51" t="str">
        <f t="shared" si="382"/>
        <v/>
      </c>
      <c r="AX563" s="51" t="str">
        <f t="shared" si="383"/>
        <v/>
      </c>
      <c r="AY563" s="51" t="str">
        <f t="shared" si="384"/>
        <v/>
      </c>
      <c r="AZ563" s="51" t="str">
        <f t="shared" si="385"/>
        <v/>
      </c>
      <c r="BA563" s="51" t="str">
        <f t="shared" si="386"/>
        <v/>
      </c>
      <c r="BB563" s="51" t="str">
        <f t="shared" si="387"/>
        <v/>
      </c>
      <c r="BC563" s="51" t="str">
        <f t="shared" si="388"/>
        <v/>
      </c>
      <c r="BD563" s="51" t="str">
        <f t="shared" si="389"/>
        <v/>
      </c>
      <c r="BE563" s="51" t="str">
        <f t="shared" si="390"/>
        <v/>
      </c>
      <c r="BF563" s="51" t="str">
        <f t="shared" si="391"/>
        <v/>
      </c>
      <c r="BG563" s="51" t="str">
        <f t="shared" si="392"/>
        <v/>
      </c>
      <c r="BH563" s="51" t="b">
        <f t="shared" si="393"/>
        <v>0</v>
      </c>
      <c r="BI563" s="51" t="str">
        <f t="shared" si="394"/>
        <v/>
      </c>
      <c r="BJ563" s="51" t="str">
        <f t="shared" si="395"/>
        <v/>
      </c>
      <c r="BK563" s="51" t="b">
        <f t="shared" si="396"/>
        <v>0</v>
      </c>
      <c r="BL563" s="192"/>
    </row>
    <row r="564" spans="1:64" ht="13.5" thickBot="1" x14ac:dyDescent="0.25">
      <c r="A564" s="185" t="s">
        <v>1239</v>
      </c>
      <c r="B564" s="194" t="s">
        <v>695</v>
      </c>
      <c r="C564" s="194" t="s">
        <v>695</v>
      </c>
      <c r="D564" s="194" t="s">
        <v>695</v>
      </c>
      <c r="E564" s="193" t="s">
        <v>694</v>
      </c>
      <c r="F564" s="160" t="s">
        <v>20</v>
      </c>
      <c r="G564" s="161"/>
      <c r="H564" s="186" t="str">
        <f t="shared" si="354"/>
        <v>N/A</v>
      </c>
      <c r="I564" s="186" t="b">
        <f t="shared" si="355"/>
        <v>1</v>
      </c>
      <c r="J564" s="186" t="str">
        <f t="shared" si="356"/>
        <v>N/A</v>
      </c>
      <c r="K564" s="186" t="b">
        <f t="shared" si="357"/>
        <v>1</v>
      </c>
      <c r="L564" s="186" t="str">
        <f t="shared" si="358"/>
        <v>N/A</v>
      </c>
      <c r="M564" s="186" t="b">
        <f t="shared" si="359"/>
        <v>1</v>
      </c>
      <c r="N564" s="186" t="str">
        <f t="shared" si="360"/>
        <v>Used?</v>
      </c>
      <c r="O564" s="186" t="b">
        <f t="shared" si="361"/>
        <v>0</v>
      </c>
      <c r="P564" s="26" t="s">
        <v>696</v>
      </c>
      <c r="Q564" s="160" t="s">
        <v>20</v>
      </c>
      <c r="R564" s="160" t="s">
        <v>20</v>
      </c>
      <c r="S564" s="26" t="s">
        <v>697</v>
      </c>
      <c r="T564" s="165" t="str">
        <f t="shared" si="362"/>
        <v>Not Used</v>
      </c>
      <c r="U564" s="162"/>
      <c r="V564" s="55"/>
      <c r="W564" s="51" t="b">
        <f t="shared" si="363"/>
        <v>1</v>
      </c>
      <c r="X564" s="51" t="str">
        <f t="shared" si="364"/>
        <v>Not Used</v>
      </c>
      <c r="Y564" s="51" t="str">
        <f t="shared" si="365"/>
        <v>Not Used</v>
      </c>
      <c r="Z564" s="51" t="str">
        <f t="shared" si="366"/>
        <v>Not Used</v>
      </c>
      <c r="AA564" s="51" t="str">
        <f t="shared" si="366"/>
        <v>Not Used</v>
      </c>
      <c r="AB564" s="51" t="str">
        <f t="shared" si="367"/>
        <v>Not Used</v>
      </c>
      <c r="AC564" s="51" t="b">
        <f t="shared" si="368"/>
        <v>1</v>
      </c>
      <c r="AD564" s="51">
        <f>COUNTIF($X$5:$X$564, "Not Used")</f>
        <v>560</v>
      </c>
      <c r="AE564" s="51">
        <f>COUNTIF($X$5:$X$564, "TRUE")</f>
        <v>0</v>
      </c>
      <c r="AF564" s="51" t="b">
        <f t="shared" si="369"/>
        <v>1</v>
      </c>
      <c r="AI564" s="51" t="b">
        <f t="shared" si="370"/>
        <v>0</v>
      </c>
      <c r="AJ564" s="51" t="b">
        <f t="shared" si="371"/>
        <v>0</v>
      </c>
      <c r="AK564" s="51" t="b">
        <f t="shared" si="372"/>
        <v>0</v>
      </c>
      <c r="AL564" s="51" t="b">
        <f t="shared" si="373"/>
        <v>0</v>
      </c>
      <c r="AM564" s="51" t="b">
        <f t="shared" si="374"/>
        <v>0</v>
      </c>
      <c r="AN564" s="51"/>
      <c r="AO564" s="51" t="b">
        <f t="shared" si="375"/>
        <v>0</v>
      </c>
      <c r="AP564" s="51" t="str">
        <f t="shared" si="397"/>
        <v>Not in MMS</v>
      </c>
      <c r="AQ564" s="51" t="b">
        <f t="shared" si="376"/>
        <v>0</v>
      </c>
      <c r="AR564" s="51" t="b">
        <f t="shared" si="377"/>
        <v>0</v>
      </c>
      <c r="AS564" s="51" t="str">
        <f t="shared" si="378"/>
        <v/>
      </c>
      <c r="AT564" s="51" t="str">
        <f t="shared" si="379"/>
        <v/>
      </c>
      <c r="AU564" s="51" t="str">
        <f t="shared" si="380"/>
        <v/>
      </c>
      <c r="AV564" s="51" t="str">
        <f t="shared" si="381"/>
        <v/>
      </c>
      <c r="AW564" s="51" t="str">
        <f t="shared" si="382"/>
        <v/>
      </c>
      <c r="AX564" s="51" t="str">
        <f t="shared" si="383"/>
        <v/>
      </c>
      <c r="AY564" s="51" t="str">
        <f t="shared" si="384"/>
        <v/>
      </c>
      <c r="AZ564" s="51" t="str">
        <f t="shared" si="385"/>
        <v/>
      </c>
      <c r="BA564" s="51" t="str">
        <f t="shared" si="386"/>
        <v/>
      </c>
      <c r="BB564" s="51" t="str">
        <f t="shared" si="387"/>
        <v/>
      </c>
      <c r="BC564" s="51" t="str">
        <f t="shared" si="388"/>
        <v/>
      </c>
      <c r="BD564" s="51" t="str">
        <f t="shared" si="389"/>
        <v/>
      </c>
      <c r="BE564" s="51" t="str">
        <f t="shared" si="390"/>
        <v/>
      </c>
      <c r="BF564" s="51" t="str">
        <f t="shared" si="391"/>
        <v/>
      </c>
      <c r="BG564" s="51" t="str">
        <f t="shared" si="392"/>
        <v/>
      </c>
      <c r="BH564" s="51" t="b">
        <f t="shared" si="393"/>
        <v>0</v>
      </c>
      <c r="BI564" s="51" t="str">
        <f t="shared" si="394"/>
        <v/>
      </c>
      <c r="BJ564" s="51" t="str">
        <f t="shared" si="395"/>
        <v/>
      </c>
      <c r="BK564" s="51" t="b">
        <f t="shared" si="396"/>
        <v>0</v>
      </c>
      <c r="BL564" s="192"/>
    </row>
    <row r="565" spans="1:64" ht="13.5" thickBot="1" x14ac:dyDescent="0.25">
      <c r="A565" s="185" t="s">
        <v>1240</v>
      </c>
      <c r="B565" s="194" t="s">
        <v>695</v>
      </c>
      <c r="C565" s="194" t="s">
        <v>695</v>
      </c>
      <c r="D565" s="194" t="s">
        <v>695</v>
      </c>
      <c r="E565" s="193" t="s">
        <v>694</v>
      </c>
      <c r="F565" s="160" t="s">
        <v>20</v>
      </c>
      <c r="G565" s="161"/>
      <c r="H565" s="186" t="str">
        <f t="shared" si="354"/>
        <v>N/A</v>
      </c>
      <c r="I565" s="186" t="b">
        <f t="shared" si="355"/>
        <v>1</v>
      </c>
      <c r="J565" s="186" t="str">
        <f t="shared" si="356"/>
        <v>N/A</v>
      </c>
      <c r="K565" s="186" t="b">
        <f t="shared" si="357"/>
        <v>1</v>
      </c>
      <c r="L565" s="186" t="str">
        <f t="shared" si="358"/>
        <v>N/A</v>
      </c>
      <c r="M565" s="186" t="b">
        <f t="shared" si="359"/>
        <v>1</v>
      </c>
      <c r="N565" s="186" t="str">
        <f t="shared" si="360"/>
        <v>Used?</v>
      </c>
      <c r="O565" s="186" t="b">
        <f t="shared" si="361"/>
        <v>0</v>
      </c>
      <c r="P565" s="26" t="s">
        <v>696</v>
      </c>
      <c r="Q565" s="160" t="s">
        <v>20</v>
      </c>
      <c r="R565" s="160" t="s">
        <v>20</v>
      </c>
      <c r="S565" s="26" t="s">
        <v>697</v>
      </c>
      <c r="T565" s="165" t="str">
        <f t="shared" si="362"/>
        <v>Not Used</v>
      </c>
      <c r="U565" s="162"/>
      <c r="V565" s="55"/>
      <c r="W565" s="51" t="b">
        <f t="shared" si="363"/>
        <v>1</v>
      </c>
      <c r="X565" s="51" t="str">
        <f t="shared" si="364"/>
        <v>Not Used</v>
      </c>
      <c r="Y565" s="51" t="str">
        <f t="shared" si="365"/>
        <v>Not Used</v>
      </c>
      <c r="Z565" s="51" t="str">
        <f t="shared" si="366"/>
        <v>Not Used</v>
      </c>
      <c r="AA565" s="51" t="str">
        <f t="shared" si="366"/>
        <v>Not Used</v>
      </c>
      <c r="AB565" s="51" t="str">
        <f t="shared" si="367"/>
        <v>Not Used</v>
      </c>
      <c r="AC565" s="51" t="b">
        <f t="shared" si="368"/>
        <v>1</v>
      </c>
      <c r="AD565" s="51">
        <f>COUNTIF($X$5:$X$565, "Not Used")</f>
        <v>561</v>
      </c>
      <c r="AE565" s="51">
        <f>COUNTIF($X$5:$X$565, "TRUE")</f>
        <v>0</v>
      </c>
      <c r="AF565" s="51" t="b">
        <f t="shared" si="369"/>
        <v>1</v>
      </c>
      <c r="AI565" s="51" t="b">
        <f t="shared" si="370"/>
        <v>0</v>
      </c>
      <c r="AJ565" s="51" t="b">
        <f t="shared" si="371"/>
        <v>0</v>
      </c>
      <c r="AK565" s="51" t="b">
        <f t="shared" si="372"/>
        <v>0</v>
      </c>
      <c r="AL565" s="51" t="b">
        <f t="shared" si="373"/>
        <v>0</v>
      </c>
      <c r="AM565" s="51" t="b">
        <f t="shared" si="374"/>
        <v>0</v>
      </c>
      <c r="AN565" s="51"/>
      <c r="AO565" s="51" t="b">
        <f t="shared" si="375"/>
        <v>0</v>
      </c>
      <c r="AP565" s="51" t="str">
        <f t="shared" si="397"/>
        <v>Not in MMS</v>
      </c>
      <c r="AQ565" s="51" t="b">
        <f t="shared" si="376"/>
        <v>0</v>
      </c>
      <c r="AR565" s="51" t="b">
        <f t="shared" si="377"/>
        <v>0</v>
      </c>
      <c r="AS565" s="51" t="str">
        <f t="shared" si="378"/>
        <v/>
      </c>
      <c r="AT565" s="51" t="str">
        <f t="shared" si="379"/>
        <v/>
      </c>
      <c r="AU565" s="51" t="str">
        <f t="shared" si="380"/>
        <v/>
      </c>
      <c r="AV565" s="51" t="str">
        <f t="shared" si="381"/>
        <v/>
      </c>
      <c r="AW565" s="51" t="str">
        <f t="shared" si="382"/>
        <v/>
      </c>
      <c r="AX565" s="51" t="str">
        <f t="shared" si="383"/>
        <v/>
      </c>
      <c r="AY565" s="51" t="str">
        <f t="shared" si="384"/>
        <v/>
      </c>
      <c r="AZ565" s="51" t="str">
        <f t="shared" si="385"/>
        <v/>
      </c>
      <c r="BA565" s="51" t="str">
        <f t="shared" si="386"/>
        <v/>
      </c>
      <c r="BB565" s="51" t="str">
        <f t="shared" si="387"/>
        <v/>
      </c>
      <c r="BC565" s="51" t="str">
        <f t="shared" si="388"/>
        <v/>
      </c>
      <c r="BD565" s="51" t="str">
        <f t="shared" si="389"/>
        <v/>
      </c>
      <c r="BE565" s="51" t="str">
        <f t="shared" si="390"/>
        <v/>
      </c>
      <c r="BF565" s="51" t="str">
        <f t="shared" si="391"/>
        <v/>
      </c>
      <c r="BG565" s="51" t="str">
        <f t="shared" si="392"/>
        <v/>
      </c>
      <c r="BH565" s="51" t="b">
        <f t="shared" si="393"/>
        <v>0</v>
      </c>
      <c r="BI565" s="51" t="str">
        <f t="shared" si="394"/>
        <v/>
      </c>
      <c r="BJ565" s="51" t="str">
        <f t="shared" si="395"/>
        <v/>
      </c>
      <c r="BK565" s="51" t="b">
        <f t="shared" si="396"/>
        <v>0</v>
      </c>
      <c r="BL565" s="192"/>
    </row>
    <row r="566" spans="1:64" ht="13.5" thickBot="1" x14ac:dyDescent="0.25">
      <c r="A566" s="185" t="s">
        <v>1241</v>
      </c>
      <c r="B566" s="194" t="s">
        <v>695</v>
      </c>
      <c r="C566" s="194" t="s">
        <v>695</v>
      </c>
      <c r="D566" s="194" t="s">
        <v>695</v>
      </c>
      <c r="E566" s="193" t="s">
        <v>694</v>
      </c>
      <c r="F566" s="160" t="s">
        <v>20</v>
      </c>
      <c r="G566" s="161"/>
      <c r="H566" s="186" t="str">
        <f t="shared" si="354"/>
        <v>N/A</v>
      </c>
      <c r="I566" s="186" t="b">
        <f t="shared" si="355"/>
        <v>1</v>
      </c>
      <c r="J566" s="186" t="str">
        <f t="shared" si="356"/>
        <v>N/A</v>
      </c>
      <c r="K566" s="186" t="b">
        <f t="shared" si="357"/>
        <v>1</v>
      </c>
      <c r="L566" s="186" t="str">
        <f t="shared" si="358"/>
        <v>N/A</v>
      </c>
      <c r="M566" s="186" t="b">
        <f t="shared" si="359"/>
        <v>1</v>
      </c>
      <c r="N566" s="186" t="str">
        <f t="shared" si="360"/>
        <v>Used?</v>
      </c>
      <c r="O566" s="186" t="b">
        <f t="shared" si="361"/>
        <v>0</v>
      </c>
      <c r="P566" s="26" t="s">
        <v>696</v>
      </c>
      <c r="Q566" s="160" t="s">
        <v>20</v>
      </c>
      <c r="R566" s="160" t="s">
        <v>20</v>
      </c>
      <c r="S566" s="26" t="s">
        <v>697</v>
      </c>
      <c r="T566" s="165" t="str">
        <f t="shared" si="362"/>
        <v>Not Used</v>
      </c>
      <c r="U566" s="162"/>
      <c r="V566" s="55"/>
      <c r="W566" s="51" t="b">
        <f t="shared" si="363"/>
        <v>1</v>
      </c>
      <c r="X566" s="51" t="str">
        <f t="shared" si="364"/>
        <v>Not Used</v>
      </c>
      <c r="Y566" s="51" t="str">
        <f t="shared" si="365"/>
        <v>Not Used</v>
      </c>
      <c r="Z566" s="51" t="str">
        <f t="shared" si="366"/>
        <v>Not Used</v>
      </c>
      <c r="AA566" s="51" t="str">
        <f t="shared" si="366"/>
        <v>Not Used</v>
      </c>
      <c r="AB566" s="51" t="str">
        <f t="shared" si="367"/>
        <v>Not Used</v>
      </c>
      <c r="AC566" s="51" t="b">
        <f t="shared" si="368"/>
        <v>1</v>
      </c>
      <c r="AD566" s="51">
        <f>COUNTIF($X$5:$X$566, "Not Used")</f>
        <v>562</v>
      </c>
      <c r="AE566" s="51">
        <f>COUNTIF($X$5:$X$566, "TRUE")</f>
        <v>0</v>
      </c>
      <c r="AF566" s="51" t="b">
        <f t="shared" si="369"/>
        <v>1</v>
      </c>
      <c r="AI566" s="51" t="b">
        <f t="shared" si="370"/>
        <v>0</v>
      </c>
      <c r="AJ566" s="51" t="b">
        <f t="shared" si="371"/>
        <v>0</v>
      </c>
      <c r="AK566" s="51" t="b">
        <f t="shared" si="372"/>
        <v>0</v>
      </c>
      <c r="AL566" s="51" t="b">
        <f t="shared" si="373"/>
        <v>0</v>
      </c>
      <c r="AM566" s="51" t="b">
        <f t="shared" si="374"/>
        <v>0</v>
      </c>
      <c r="AN566" s="51"/>
      <c r="AO566" s="51" t="b">
        <f t="shared" si="375"/>
        <v>0</v>
      </c>
      <c r="AP566" s="51" t="str">
        <f t="shared" si="397"/>
        <v>Not in MMS</v>
      </c>
      <c r="AQ566" s="51" t="b">
        <f t="shared" si="376"/>
        <v>0</v>
      </c>
      <c r="AR566" s="51" t="b">
        <f t="shared" si="377"/>
        <v>0</v>
      </c>
      <c r="AS566" s="51" t="str">
        <f t="shared" si="378"/>
        <v/>
      </c>
      <c r="AT566" s="51" t="str">
        <f t="shared" si="379"/>
        <v/>
      </c>
      <c r="AU566" s="51" t="str">
        <f t="shared" si="380"/>
        <v/>
      </c>
      <c r="AV566" s="51" t="str">
        <f t="shared" si="381"/>
        <v/>
      </c>
      <c r="AW566" s="51" t="str">
        <f t="shared" si="382"/>
        <v/>
      </c>
      <c r="AX566" s="51" t="str">
        <f t="shared" si="383"/>
        <v/>
      </c>
      <c r="AY566" s="51" t="str">
        <f t="shared" si="384"/>
        <v/>
      </c>
      <c r="AZ566" s="51" t="str">
        <f t="shared" si="385"/>
        <v/>
      </c>
      <c r="BA566" s="51" t="str">
        <f t="shared" si="386"/>
        <v/>
      </c>
      <c r="BB566" s="51" t="str">
        <f t="shared" si="387"/>
        <v/>
      </c>
      <c r="BC566" s="51" t="str">
        <f t="shared" si="388"/>
        <v/>
      </c>
      <c r="BD566" s="51" t="str">
        <f t="shared" si="389"/>
        <v/>
      </c>
      <c r="BE566" s="51" t="str">
        <f t="shared" si="390"/>
        <v/>
      </c>
      <c r="BF566" s="51" t="str">
        <f t="shared" si="391"/>
        <v/>
      </c>
      <c r="BG566" s="51" t="str">
        <f t="shared" si="392"/>
        <v/>
      </c>
      <c r="BH566" s="51" t="b">
        <f t="shared" si="393"/>
        <v>0</v>
      </c>
      <c r="BI566" s="51" t="str">
        <f t="shared" si="394"/>
        <v/>
      </c>
      <c r="BJ566" s="51" t="str">
        <f t="shared" si="395"/>
        <v/>
      </c>
      <c r="BK566" s="51" t="b">
        <f t="shared" si="396"/>
        <v>0</v>
      </c>
      <c r="BL566" s="192"/>
    </row>
    <row r="567" spans="1:64" ht="13.5" thickBot="1" x14ac:dyDescent="0.25">
      <c r="A567" s="185" t="s">
        <v>1242</v>
      </c>
      <c r="B567" s="194" t="s">
        <v>695</v>
      </c>
      <c r="C567" s="194" t="s">
        <v>695</v>
      </c>
      <c r="D567" s="194" t="s">
        <v>695</v>
      </c>
      <c r="E567" s="193" t="s">
        <v>694</v>
      </c>
      <c r="F567" s="160" t="s">
        <v>20</v>
      </c>
      <c r="G567" s="161"/>
      <c r="H567" s="186" t="str">
        <f t="shared" si="354"/>
        <v>N/A</v>
      </c>
      <c r="I567" s="186" t="b">
        <f t="shared" si="355"/>
        <v>1</v>
      </c>
      <c r="J567" s="186" t="str">
        <f t="shared" si="356"/>
        <v>N/A</v>
      </c>
      <c r="K567" s="186" t="b">
        <f t="shared" si="357"/>
        <v>1</v>
      </c>
      <c r="L567" s="186" t="str">
        <f t="shared" si="358"/>
        <v>N/A</v>
      </c>
      <c r="M567" s="186" t="b">
        <f t="shared" si="359"/>
        <v>1</v>
      </c>
      <c r="N567" s="186" t="str">
        <f t="shared" si="360"/>
        <v>Used?</v>
      </c>
      <c r="O567" s="186" t="b">
        <f t="shared" si="361"/>
        <v>0</v>
      </c>
      <c r="P567" s="26" t="s">
        <v>696</v>
      </c>
      <c r="Q567" s="160" t="s">
        <v>20</v>
      </c>
      <c r="R567" s="160" t="s">
        <v>20</v>
      </c>
      <c r="S567" s="26" t="s">
        <v>697</v>
      </c>
      <c r="T567" s="165" t="str">
        <f t="shared" si="362"/>
        <v>Not Used</v>
      </c>
      <c r="U567" s="162"/>
      <c r="V567" s="55"/>
      <c r="W567" s="51" t="b">
        <f t="shared" si="363"/>
        <v>1</v>
      </c>
      <c r="X567" s="51" t="str">
        <f t="shared" si="364"/>
        <v>Not Used</v>
      </c>
      <c r="Y567" s="51" t="str">
        <f t="shared" si="365"/>
        <v>Not Used</v>
      </c>
      <c r="Z567" s="51" t="str">
        <f t="shared" si="366"/>
        <v>Not Used</v>
      </c>
      <c r="AA567" s="51" t="str">
        <f t="shared" si="366"/>
        <v>Not Used</v>
      </c>
      <c r="AB567" s="51" t="str">
        <f t="shared" si="367"/>
        <v>Not Used</v>
      </c>
      <c r="AC567" s="51" t="b">
        <f t="shared" si="368"/>
        <v>1</v>
      </c>
      <c r="AD567" s="51">
        <f>COUNTIF($X$5:$X$567, "Not Used")</f>
        <v>563</v>
      </c>
      <c r="AE567" s="51">
        <f>COUNTIF($X$5:$X$567, "TRUE")</f>
        <v>0</v>
      </c>
      <c r="AF567" s="51" t="b">
        <f t="shared" si="369"/>
        <v>1</v>
      </c>
      <c r="AI567" s="51" t="b">
        <f t="shared" si="370"/>
        <v>0</v>
      </c>
      <c r="AJ567" s="51" t="b">
        <f t="shared" si="371"/>
        <v>0</v>
      </c>
      <c r="AK567" s="51" t="b">
        <f t="shared" si="372"/>
        <v>0</v>
      </c>
      <c r="AL567" s="51" t="b">
        <f t="shared" si="373"/>
        <v>0</v>
      </c>
      <c r="AM567" s="51" t="b">
        <f t="shared" si="374"/>
        <v>0</v>
      </c>
      <c r="AN567" s="51"/>
      <c r="AO567" s="51" t="b">
        <f t="shared" si="375"/>
        <v>0</v>
      </c>
      <c r="AP567" s="51" t="str">
        <f t="shared" si="397"/>
        <v>Not in MMS</v>
      </c>
      <c r="AQ567" s="51" t="b">
        <f t="shared" si="376"/>
        <v>0</v>
      </c>
      <c r="AR567" s="51" t="b">
        <f t="shared" si="377"/>
        <v>0</v>
      </c>
      <c r="AS567" s="51" t="str">
        <f t="shared" si="378"/>
        <v/>
      </c>
      <c r="AT567" s="51" t="str">
        <f t="shared" si="379"/>
        <v/>
      </c>
      <c r="AU567" s="51" t="str">
        <f t="shared" si="380"/>
        <v/>
      </c>
      <c r="AV567" s="51" t="str">
        <f t="shared" si="381"/>
        <v/>
      </c>
      <c r="AW567" s="51" t="str">
        <f t="shared" si="382"/>
        <v/>
      </c>
      <c r="AX567" s="51" t="str">
        <f t="shared" si="383"/>
        <v/>
      </c>
      <c r="AY567" s="51" t="str">
        <f t="shared" si="384"/>
        <v/>
      </c>
      <c r="AZ567" s="51" t="str">
        <f t="shared" si="385"/>
        <v/>
      </c>
      <c r="BA567" s="51" t="str">
        <f t="shared" si="386"/>
        <v/>
      </c>
      <c r="BB567" s="51" t="str">
        <f t="shared" si="387"/>
        <v/>
      </c>
      <c r="BC567" s="51" t="str">
        <f t="shared" si="388"/>
        <v/>
      </c>
      <c r="BD567" s="51" t="str">
        <f t="shared" si="389"/>
        <v/>
      </c>
      <c r="BE567" s="51" t="str">
        <f t="shared" si="390"/>
        <v/>
      </c>
      <c r="BF567" s="51" t="str">
        <f t="shared" si="391"/>
        <v/>
      </c>
      <c r="BG567" s="51" t="str">
        <f t="shared" si="392"/>
        <v/>
      </c>
      <c r="BH567" s="51" t="b">
        <f t="shared" si="393"/>
        <v>0</v>
      </c>
      <c r="BI567" s="51" t="str">
        <f t="shared" si="394"/>
        <v/>
      </c>
      <c r="BJ567" s="51" t="str">
        <f t="shared" si="395"/>
        <v/>
      </c>
      <c r="BK567" s="51" t="b">
        <f t="shared" si="396"/>
        <v>0</v>
      </c>
      <c r="BL567" s="192"/>
    </row>
    <row r="568" spans="1:64" ht="13.5" thickBot="1" x14ac:dyDescent="0.25">
      <c r="A568" s="185" t="s">
        <v>1243</v>
      </c>
      <c r="B568" s="194" t="s">
        <v>695</v>
      </c>
      <c r="C568" s="194" t="s">
        <v>695</v>
      </c>
      <c r="D568" s="194" t="s">
        <v>695</v>
      </c>
      <c r="E568" s="193" t="s">
        <v>694</v>
      </c>
      <c r="F568" s="160" t="s">
        <v>20</v>
      </c>
      <c r="G568" s="161"/>
      <c r="H568" s="186" t="str">
        <f t="shared" si="354"/>
        <v>N/A</v>
      </c>
      <c r="I568" s="186" t="b">
        <f t="shared" si="355"/>
        <v>1</v>
      </c>
      <c r="J568" s="186" t="str">
        <f t="shared" si="356"/>
        <v>N/A</v>
      </c>
      <c r="K568" s="186" t="b">
        <f t="shared" si="357"/>
        <v>1</v>
      </c>
      <c r="L568" s="186" t="str">
        <f t="shared" si="358"/>
        <v>N/A</v>
      </c>
      <c r="M568" s="186" t="b">
        <f t="shared" si="359"/>
        <v>1</v>
      </c>
      <c r="N568" s="186" t="str">
        <f t="shared" si="360"/>
        <v>Used?</v>
      </c>
      <c r="O568" s="186" t="b">
        <f t="shared" si="361"/>
        <v>0</v>
      </c>
      <c r="P568" s="26" t="s">
        <v>696</v>
      </c>
      <c r="Q568" s="160" t="s">
        <v>20</v>
      </c>
      <c r="R568" s="160" t="s">
        <v>20</v>
      </c>
      <c r="S568" s="26" t="s">
        <v>697</v>
      </c>
      <c r="T568" s="165" t="str">
        <f t="shared" si="362"/>
        <v>Not Used</v>
      </c>
      <c r="U568" s="162"/>
      <c r="V568" s="55"/>
      <c r="W568" s="51" t="b">
        <f t="shared" si="363"/>
        <v>1</v>
      </c>
      <c r="X568" s="51" t="str">
        <f t="shared" si="364"/>
        <v>Not Used</v>
      </c>
      <c r="Y568" s="51" t="str">
        <f t="shared" si="365"/>
        <v>Not Used</v>
      </c>
      <c r="Z568" s="51" t="str">
        <f t="shared" si="366"/>
        <v>Not Used</v>
      </c>
      <c r="AA568" s="51" t="str">
        <f t="shared" si="366"/>
        <v>Not Used</v>
      </c>
      <c r="AB568" s="51" t="str">
        <f t="shared" si="367"/>
        <v>Not Used</v>
      </c>
      <c r="AC568" s="51" t="b">
        <f t="shared" si="368"/>
        <v>1</v>
      </c>
      <c r="AD568" s="51">
        <f>COUNTIF($X$5:$X$568, "Not Used")</f>
        <v>564</v>
      </c>
      <c r="AE568" s="51">
        <f>COUNTIF($X$5:$X$568, "TRUE")</f>
        <v>0</v>
      </c>
      <c r="AF568" s="51" t="b">
        <f t="shared" si="369"/>
        <v>1</v>
      </c>
      <c r="AI568" s="51" t="b">
        <f t="shared" si="370"/>
        <v>0</v>
      </c>
      <c r="AJ568" s="51" t="b">
        <f t="shared" si="371"/>
        <v>0</v>
      </c>
      <c r="AK568" s="51" t="b">
        <f t="shared" si="372"/>
        <v>0</v>
      </c>
      <c r="AL568" s="51" t="b">
        <f t="shared" si="373"/>
        <v>0</v>
      </c>
      <c r="AM568" s="51" t="b">
        <f t="shared" si="374"/>
        <v>0</v>
      </c>
      <c r="AN568" s="51"/>
      <c r="AO568" s="51" t="b">
        <f t="shared" si="375"/>
        <v>0</v>
      </c>
      <c r="AP568" s="51" t="str">
        <f t="shared" si="397"/>
        <v>Not in MMS</v>
      </c>
      <c r="AQ568" s="51" t="b">
        <f t="shared" si="376"/>
        <v>0</v>
      </c>
      <c r="AR568" s="51" t="b">
        <f t="shared" si="377"/>
        <v>0</v>
      </c>
      <c r="AS568" s="51" t="str">
        <f t="shared" si="378"/>
        <v/>
      </c>
      <c r="AT568" s="51" t="str">
        <f t="shared" si="379"/>
        <v/>
      </c>
      <c r="AU568" s="51" t="str">
        <f t="shared" si="380"/>
        <v/>
      </c>
      <c r="AV568" s="51" t="str">
        <f t="shared" si="381"/>
        <v/>
      </c>
      <c r="AW568" s="51" t="str">
        <f t="shared" si="382"/>
        <v/>
      </c>
      <c r="AX568" s="51" t="str">
        <f t="shared" si="383"/>
        <v/>
      </c>
      <c r="AY568" s="51" t="str">
        <f t="shared" si="384"/>
        <v/>
      </c>
      <c r="AZ568" s="51" t="str">
        <f t="shared" si="385"/>
        <v/>
      </c>
      <c r="BA568" s="51" t="str">
        <f t="shared" si="386"/>
        <v/>
      </c>
      <c r="BB568" s="51" t="str">
        <f t="shared" si="387"/>
        <v/>
      </c>
      <c r="BC568" s="51" t="str">
        <f t="shared" si="388"/>
        <v/>
      </c>
      <c r="BD568" s="51" t="str">
        <f t="shared" si="389"/>
        <v/>
      </c>
      <c r="BE568" s="51" t="str">
        <f t="shared" si="390"/>
        <v/>
      </c>
      <c r="BF568" s="51" t="str">
        <f t="shared" si="391"/>
        <v/>
      </c>
      <c r="BG568" s="51" t="str">
        <f t="shared" si="392"/>
        <v/>
      </c>
      <c r="BH568" s="51" t="b">
        <f t="shared" si="393"/>
        <v>0</v>
      </c>
      <c r="BI568" s="51" t="str">
        <f t="shared" si="394"/>
        <v/>
      </c>
      <c r="BJ568" s="51" t="str">
        <f t="shared" si="395"/>
        <v/>
      </c>
      <c r="BK568" s="51" t="b">
        <f t="shared" si="396"/>
        <v>0</v>
      </c>
      <c r="BL568" s="192"/>
    </row>
    <row r="569" spans="1:64" ht="13.5" thickBot="1" x14ac:dyDescent="0.25">
      <c r="A569" s="185" t="s">
        <v>1244</v>
      </c>
      <c r="B569" s="194" t="s">
        <v>695</v>
      </c>
      <c r="C569" s="194" t="s">
        <v>695</v>
      </c>
      <c r="D569" s="194" t="s">
        <v>695</v>
      </c>
      <c r="E569" s="193" t="s">
        <v>694</v>
      </c>
      <c r="F569" s="160" t="s">
        <v>20</v>
      </c>
      <c r="G569" s="161"/>
      <c r="H569" s="186" t="str">
        <f t="shared" si="354"/>
        <v>N/A</v>
      </c>
      <c r="I569" s="186" t="b">
        <f t="shared" si="355"/>
        <v>1</v>
      </c>
      <c r="J569" s="186" t="str">
        <f t="shared" si="356"/>
        <v>N/A</v>
      </c>
      <c r="K569" s="186" t="b">
        <f t="shared" si="357"/>
        <v>1</v>
      </c>
      <c r="L569" s="186" t="str">
        <f t="shared" si="358"/>
        <v>N/A</v>
      </c>
      <c r="M569" s="186" t="b">
        <f t="shared" si="359"/>
        <v>1</v>
      </c>
      <c r="N569" s="186" t="str">
        <f t="shared" si="360"/>
        <v>Used?</v>
      </c>
      <c r="O569" s="186" t="b">
        <f t="shared" si="361"/>
        <v>0</v>
      </c>
      <c r="P569" s="26" t="s">
        <v>696</v>
      </c>
      <c r="Q569" s="160" t="s">
        <v>20</v>
      </c>
      <c r="R569" s="160" t="s">
        <v>20</v>
      </c>
      <c r="S569" s="26" t="s">
        <v>697</v>
      </c>
      <c r="T569" s="165" t="str">
        <f t="shared" si="362"/>
        <v>Not Used</v>
      </c>
      <c r="U569" s="162"/>
      <c r="V569" s="55"/>
      <c r="W569" s="51" t="b">
        <f t="shared" si="363"/>
        <v>1</v>
      </c>
      <c r="X569" s="51" t="str">
        <f t="shared" si="364"/>
        <v>Not Used</v>
      </c>
      <c r="Y569" s="51" t="str">
        <f t="shared" si="365"/>
        <v>Not Used</v>
      </c>
      <c r="Z569" s="51" t="str">
        <f t="shared" si="366"/>
        <v>Not Used</v>
      </c>
      <c r="AA569" s="51" t="str">
        <f t="shared" si="366"/>
        <v>Not Used</v>
      </c>
      <c r="AB569" s="51" t="str">
        <f t="shared" si="367"/>
        <v>Not Used</v>
      </c>
      <c r="AC569" s="51" t="b">
        <f t="shared" si="368"/>
        <v>1</v>
      </c>
      <c r="AD569" s="51">
        <f>COUNTIF($X$5:$X$569, "Not Used")</f>
        <v>565</v>
      </c>
      <c r="AE569" s="51">
        <f>COUNTIF($X$5:$X$569, "TRUE")</f>
        <v>0</v>
      </c>
      <c r="AF569" s="51" t="b">
        <f t="shared" si="369"/>
        <v>1</v>
      </c>
      <c r="AI569" s="51" t="b">
        <f t="shared" si="370"/>
        <v>0</v>
      </c>
      <c r="AJ569" s="51" t="b">
        <f t="shared" si="371"/>
        <v>0</v>
      </c>
      <c r="AK569" s="51" t="b">
        <f t="shared" si="372"/>
        <v>0</v>
      </c>
      <c r="AL569" s="51" t="b">
        <f t="shared" si="373"/>
        <v>0</v>
      </c>
      <c r="AM569" s="51" t="b">
        <f t="shared" si="374"/>
        <v>0</v>
      </c>
      <c r="AN569" s="51"/>
      <c r="AO569" s="51" t="b">
        <f t="shared" si="375"/>
        <v>0</v>
      </c>
      <c r="AP569" s="51" t="str">
        <f t="shared" si="397"/>
        <v>Not in MMS</v>
      </c>
      <c r="AQ569" s="51" t="b">
        <f t="shared" si="376"/>
        <v>0</v>
      </c>
      <c r="AR569" s="51" t="b">
        <f t="shared" si="377"/>
        <v>0</v>
      </c>
      <c r="AS569" s="51" t="str">
        <f t="shared" si="378"/>
        <v/>
      </c>
      <c r="AT569" s="51" t="str">
        <f t="shared" si="379"/>
        <v/>
      </c>
      <c r="AU569" s="51" t="str">
        <f t="shared" si="380"/>
        <v/>
      </c>
      <c r="AV569" s="51" t="str">
        <f t="shared" si="381"/>
        <v/>
      </c>
      <c r="AW569" s="51" t="str">
        <f t="shared" si="382"/>
        <v/>
      </c>
      <c r="AX569" s="51" t="str">
        <f t="shared" si="383"/>
        <v/>
      </c>
      <c r="AY569" s="51" t="str">
        <f t="shared" si="384"/>
        <v/>
      </c>
      <c r="AZ569" s="51" t="str">
        <f t="shared" si="385"/>
        <v/>
      </c>
      <c r="BA569" s="51" t="str">
        <f t="shared" si="386"/>
        <v/>
      </c>
      <c r="BB569" s="51" t="str">
        <f t="shared" si="387"/>
        <v/>
      </c>
      <c r="BC569" s="51" t="str">
        <f t="shared" si="388"/>
        <v/>
      </c>
      <c r="BD569" s="51" t="str">
        <f t="shared" si="389"/>
        <v/>
      </c>
      <c r="BE569" s="51" t="str">
        <f t="shared" si="390"/>
        <v/>
      </c>
      <c r="BF569" s="51" t="str">
        <f t="shared" si="391"/>
        <v/>
      </c>
      <c r="BG569" s="51" t="str">
        <f t="shared" si="392"/>
        <v/>
      </c>
      <c r="BH569" s="51" t="b">
        <f t="shared" si="393"/>
        <v>0</v>
      </c>
      <c r="BI569" s="51" t="str">
        <f t="shared" si="394"/>
        <v/>
      </c>
      <c r="BJ569" s="51" t="str">
        <f t="shared" si="395"/>
        <v/>
      </c>
      <c r="BK569" s="51" t="b">
        <f t="shared" si="396"/>
        <v>0</v>
      </c>
      <c r="BL569" s="192"/>
    </row>
    <row r="570" spans="1:64" ht="13.5" thickBot="1" x14ac:dyDescent="0.25">
      <c r="A570" s="185" t="s">
        <v>1245</v>
      </c>
      <c r="B570" s="194" t="s">
        <v>695</v>
      </c>
      <c r="C570" s="194" t="s">
        <v>695</v>
      </c>
      <c r="D570" s="194" t="s">
        <v>695</v>
      </c>
      <c r="E570" s="193" t="s">
        <v>694</v>
      </c>
      <c r="F570" s="160" t="s">
        <v>20</v>
      </c>
      <c r="G570" s="161"/>
      <c r="H570" s="186" t="str">
        <f t="shared" si="354"/>
        <v>N/A</v>
      </c>
      <c r="I570" s="186" t="b">
        <f t="shared" si="355"/>
        <v>1</v>
      </c>
      <c r="J570" s="186" t="str">
        <f t="shared" si="356"/>
        <v>N/A</v>
      </c>
      <c r="K570" s="186" t="b">
        <f t="shared" si="357"/>
        <v>1</v>
      </c>
      <c r="L570" s="186" t="str">
        <f t="shared" si="358"/>
        <v>N/A</v>
      </c>
      <c r="M570" s="186" t="b">
        <f t="shared" si="359"/>
        <v>1</v>
      </c>
      <c r="N570" s="186" t="str">
        <f t="shared" si="360"/>
        <v>Used?</v>
      </c>
      <c r="O570" s="186" t="b">
        <f t="shared" si="361"/>
        <v>0</v>
      </c>
      <c r="P570" s="26" t="s">
        <v>696</v>
      </c>
      <c r="Q570" s="160" t="s">
        <v>20</v>
      </c>
      <c r="R570" s="160" t="s">
        <v>20</v>
      </c>
      <c r="S570" s="26" t="s">
        <v>697</v>
      </c>
      <c r="T570" s="165" t="str">
        <f t="shared" si="362"/>
        <v>Not Used</v>
      </c>
      <c r="U570" s="162"/>
      <c r="V570" s="55"/>
      <c r="W570" s="51" t="b">
        <f t="shared" si="363"/>
        <v>1</v>
      </c>
      <c r="X570" s="51" t="str">
        <f t="shared" si="364"/>
        <v>Not Used</v>
      </c>
      <c r="Y570" s="51" t="str">
        <f t="shared" si="365"/>
        <v>Not Used</v>
      </c>
      <c r="Z570" s="51" t="str">
        <f t="shared" si="366"/>
        <v>Not Used</v>
      </c>
      <c r="AA570" s="51" t="str">
        <f t="shared" si="366"/>
        <v>Not Used</v>
      </c>
      <c r="AB570" s="51" t="str">
        <f t="shared" si="367"/>
        <v>Not Used</v>
      </c>
      <c r="AC570" s="51" t="b">
        <f t="shared" si="368"/>
        <v>1</v>
      </c>
      <c r="AD570" s="51">
        <f>COUNTIF($X$5:$X$570, "Not Used")</f>
        <v>566</v>
      </c>
      <c r="AE570" s="51">
        <f>COUNTIF($X$5:$X$570, "TRUE")</f>
        <v>0</v>
      </c>
      <c r="AF570" s="51" t="b">
        <f t="shared" si="369"/>
        <v>1</v>
      </c>
      <c r="AI570" s="51" t="b">
        <f t="shared" si="370"/>
        <v>0</v>
      </c>
      <c r="AJ570" s="51" t="b">
        <f t="shared" si="371"/>
        <v>0</v>
      </c>
      <c r="AK570" s="51" t="b">
        <f t="shared" si="372"/>
        <v>0</v>
      </c>
      <c r="AL570" s="51" t="b">
        <f t="shared" si="373"/>
        <v>0</v>
      </c>
      <c r="AM570" s="51" t="b">
        <f t="shared" si="374"/>
        <v>0</v>
      </c>
      <c r="AN570" s="51"/>
      <c r="AO570" s="51" t="b">
        <f t="shared" si="375"/>
        <v>0</v>
      </c>
      <c r="AP570" s="51" t="str">
        <f t="shared" si="397"/>
        <v>Not in MMS</v>
      </c>
      <c r="AQ570" s="51" t="b">
        <f t="shared" si="376"/>
        <v>0</v>
      </c>
      <c r="AR570" s="51" t="b">
        <f t="shared" si="377"/>
        <v>0</v>
      </c>
      <c r="AS570" s="51" t="str">
        <f t="shared" si="378"/>
        <v/>
      </c>
      <c r="AT570" s="51" t="str">
        <f t="shared" si="379"/>
        <v/>
      </c>
      <c r="AU570" s="51" t="str">
        <f t="shared" si="380"/>
        <v/>
      </c>
      <c r="AV570" s="51" t="str">
        <f t="shared" si="381"/>
        <v/>
      </c>
      <c r="AW570" s="51" t="str">
        <f t="shared" si="382"/>
        <v/>
      </c>
      <c r="AX570" s="51" t="str">
        <f t="shared" si="383"/>
        <v/>
      </c>
      <c r="AY570" s="51" t="str">
        <f t="shared" si="384"/>
        <v/>
      </c>
      <c r="AZ570" s="51" t="str">
        <f t="shared" si="385"/>
        <v/>
      </c>
      <c r="BA570" s="51" t="str">
        <f t="shared" si="386"/>
        <v/>
      </c>
      <c r="BB570" s="51" t="str">
        <f t="shared" si="387"/>
        <v/>
      </c>
      <c r="BC570" s="51" t="str">
        <f t="shared" si="388"/>
        <v/>
      </c>
      <c r="BD570" s="51" t="str">
        <f t="shared" si="389"/>
        <v/>
      </c>
      <c r="BE570" s="51" t="str">
        <f t="shared" si="390"/>
        <v/>
      </c>
      <c r="BF570" s="51" t="str">
        <f t="shared" si="391"/>
        <v/>
      </c>
      <c r="BG570" s="51" t="str">
        <f t="shared" si="392"/>
        <v/>
      </c>
      <c r="BH570" s="51" t="b">
        <f t="shared" si="393"/>
        <v>0</v>
      </c>
      <c r="BI570" s="51" t="str">
        <f t="shared" si="394"/>
        <v/>
      </c>
      <c r="BJ570" s="51" t="str">
        <f t="shared" si="395"/>
        <v/>
      </c>
      <c r="BK570" s="51" t="b">
        <f t="shared" si="396"/>
        <v>0</v>
      </c>
      <c r="BL570" s="192"/>
    </row>
    <row r="571" spans="1:64" ht="13.5" thickBot="1" x14ac:dyDescent="0.25">
      <c r="A571" s="185" t="s">
        <v>1246</v>
      </c>
      <c r="B571" s="194" t="s">
        <v>695</v>
      </c>
      <c r="C571" s="194" t="s">
        <v>695</v>
      </c>
      <c r="D571" s="194" t="s">
        <v>695</v>
      </c>
      <c r="E571" s="193" t="s">
        <v>694</v>
      </c>
      <c r="F571" s="160" t="s">
        <v>20</v>
      </c>
      <c r="G571" s="161"/>
      <c r="H571" s="186" t="str">
        <f t="shared" si="354"/>
        <v>N/A</v>
      </c>
      <c r="I571" s="186" t="b">
        <f t="shared" si="355"/>
        <v>1</v>
      </c>
      <c r="J571" s="186" t="str">
        <f t="shared" si="356"/>
        <v>N/A</v>
      </c>
      <c r="K571" s="186" t="b">
        <f t="shared" si="357"/>
        <v>1</v>
      </c>
      <c r="L571" s="186" t="str">
        <f t="shared" si="358"/>
        <v>N/A</v>
      </c>
      <c r="M571" s="186" t="b">
        <f t="shared" si="359"/>
        <v>1</v>
      </c>
      <c r="N571" s="186" t="str">
        <f t="shared" si="360"/>
        <v>Used?</v>
      </c>
      <c r="O571" s="186" t="b">
        <f t="shared" si="361"/>
        <v>0</v>
      </c>
      <c r="P571" s="26" t="s">
        <v>696</v>
      </c>
      <c r="Q571" s="160" t="s">
        <v>20</v>
      </c>
      <c r="R571" s="160" t="s">
        <v>20</v>
      </c>
      <c r="S571" s="26" t="s">
        <v>697</v>
      </c>
      <c r="T571" s="165" t="str">
        <f t="shared" si="362"/>
        <v>Not Used</v>
      </c>
      <c r="U571" s="162"/>
      <c r="V571" s="55"/>
      <c r="W571" s="51" t="b">
        <f t="shared" si="363"/>
        <v>1</v>
      </c>
      <c r="X571" s="51" t="str">
        <f t="shared" si="364"/>
        <v>Not Used</v>
      </c>
      <c r="Y571" s="51" t="str">
        <f t="shared" si="365"/>
        <v>Not Used</v>
      </c>
      <c r="Z571" s="51" t="str">
        <f t="shared" si="366"/>
        <v>Not Used</v>
      </c>
      <c r="AA571" s="51" t="str">
        <f t="shared" si="366"/>
        <v>Not Used</v>
      </c>
      <c r="AB571" s="51" t="str">
        <f t="shared" si="367"/>
        <v>Not Used</v>
      </c>
      <c r="AC571" s="51" t="b">
        <f t="shared" si="368"/>
        <v>1</v>
      </c>
      <c r="AD571" s="51">
        <f>COUNTIF($X$5:$X$571, "Not Used")</f>
        <v>567</v>
      </c>
      <c r="AE571" s="51">
        <f>COUNTIF($X$5:$X$571, "TRUE")</f>
        <v>0</v>
      </c>
      <c r="AF571" s="51" t="b">
        <f t="shared" si="369"/>
        <v>1</v>
      </c>
      <c r="AI571" s="51" t="b">
        <f t="shared" si="370"/>
        <v>0</v>
      </c>
      <c r="AJ571" s="51" t="b">
        <f t="shared" si="371"/>
        <v>0</v>
      </c>
      <c r="AK571" s="51" t="b">
        <f t="shared" si="372"/>
        <v>0</v>
      </c>
      <c r="AL571" s="51" t="b">
        <f t="shared" si="373"/>
        <v>0</v>
      </c>
      <c r="AM571" s="51" t="b">
        <f t="shared" si="374"/>
        <v>0</v>
      </c>
      <c r="AN571" s="51"/>
      <c r="AO571" s="51" t="b">
        <f t="shared" si="375"/>
        <v>0</v>
      </c>
      <c r="AP571" s="51" t="str">
        <f t="shared" si="397"/>
        <v>Not in MMS</v>
      </c>
      <c r="AQ571" s="51" t="b">
        <f t="shared" si="376"/>
        <v>0</v>
      </c>
      <c r="AR571" s="51" t="b">
        <f t="shared" si="377"/>
        <v>0</v>
      </c>
      <c r="AS571" s="51" t="str">
        <f t="shared" si="378"/>
        <v/>
      </c>
      <c r="AT571" s="51" t="str">
        <f t="shared" si="379"/>
        <v/>
      </c>
      <c r="AU571" s="51" t="str">
        <f t="shared" si="380"/>
        <v/>
      </c>
      <c r="AV571" s="51" t="str">
        <f t="shared" si="381"/>
        <v/>
      </c>
      <c r="AW571" s="51" t="str">
        <f t="shared" si="382"/>
        <v/>
      </c>
      <c r="AX571" s="51" t="str">
        <f t="shared" si="383"/>
        <v/>
      </c>
      <c r="AY571" s="51" t="str">
        <f t="shared" si="384"/>
        <v/>
      </c>
      <c r="AZ571" s="51" t="str">
        <f t="shared" si="385"/>
        <v/>
      </c>
      <c r="BA571" s="51" t="str">
        <f t="shared" si="386"/>
        <v/>
      </c>
      <c r="BB571" s="51" t="str">
        <f t="shared" si="387"/>
        <v/>
      </c>
      <c r="BC571" s="51" t="str">
        <f t="shared" si="388"/>
        <v/>
      </c>
      <c r="BD571" s="51" t="str">
        <f t="shared" si="389"/>
        <v/>
      </c>
      <c r="BE571" s="51" t="str">
        <f t="shared" si="390"/>
        <v/>
      </c>
      <c r="BF571" s="51" t="str">
        <f t="shared" si="391"/>
        <v/>
      </c>
      <c r="BG571" s="51" t="str">
        <f t="shared" si="392"/>
        <v/>
      </c>
      <c r="BH571" s="51" t="b">
        <f t="shared" si="393"/>
        <v>0</v>
      </c>
      <c r="BI571" s="51" t="str">
        <f t="shared" si="394"/>
        <v/>
      </c>
      <c r="BJ571" s="51" t="str">
        <f t="shared" si="395"/>
        <v/>
      </c>
      <c r="BK571" s="51" t="b">
        <f t="shared" si="396"/>
        <v>0</v>
      </c>
      <c r="BL571" s="192"/>
    </row>
    <row r="572" spans="1:64" ht="13.5" thickBot="1" x14ac:dyDescent="0.25">
      <c r="A572" s="185" t="s">
        <v>1247</v>
      </c>
      <c r="B572" s="194" t="s">
        <v>695</v>
      </c>
      <c r="C572" s="194" t="s">
        <v>695</v>
      </c>
      <c r="D572" s="194" t="s">
        <v>695</v>
      </c>
      <c r="E572" s="193" t="s">
        <v>694</v>
      </c>
      <c r="F572" s="160" t="s">
        <v>20</v>
      </c>
      <c r="G572" s="161"/>
      <c r="H572" s="186" t="str">
        <f t="shared" si="354"/>
        <v>N/A</v>
      </c>
      <c r="I572" s="186" t="b">
        <f t="shared" si="355"/>
        <v>1</v>
      </c>
      <c r="J572" s="186" t="str">
        <f t="shared" si="356"/>
        <v>N/A</v>
      </c>
      <c r="K572" s="186" t="b">
        <f t="shared" si="357"/>
        <v>1</v>
      </c>
      <c r="L572" s="186" t="str">
        <f t="shared" si="358"/>
        <v>N/A</v>
      </c>
      <c r="M572" s="186" t="b">
        <f t="shared" si="359"/>
        <v>1</v>
      </c>
      <c r="N572" s="186" t="str">
        <f t="shared" si="360"/>
        <v>Used?</v>
      </c>
      <c r="O572" s="186" t="b">
        <f t="shared" si="361"/>
        <v>0</v>
      </c>
      <c r="P572" s="26" t="s">
        <v>696</v>
      </c>
      <c r="Q572" s="160" t="s">
        <v>20</v>
      </c>
      <c r="R572" s="160" t="s">
        <v>20</v>
      </c>
      <c r="S572" s="26" t="s">
        <v>697</v>
      </c>
      <c r="T572" s="165" t="str">
        <f t="shared" si="362"/>
        <v>Not Used</v>
      </c>
      <c r="U572" s="162"/>
      <c r="V572" s="55"/>
      <c r="W572" s="51" t="b">
        <f t="shared" si="363"/>
        <v>1</v>
      </c>
      <c r="X572" s="51" t="str">
        <f t="shared" si="364"/>
        <v>Not Used</v>
      </c>
      <c r="Y572" s="51" t="str">
        <f t="shared" si="365"/>
        <v>Not Used</v>
      </c>
      <c r="Z572" s="51" t="str">
        <f t="shared" si="366"/>
        <v>Not Used</v>
      </c>
      <c r="AA572" s="51" t="str">
        <f t="shared" si="366"/>
        <v>Not Used</v>
      </c>
      <c r="AB572" s="51" t="str">
        <f t="shared" si="367"/>
        <v>Not Used</v>
      </c>
      <c r="AC572" s="51" t="b">
        <f t="shared" si="368"/>
        <v>1</v>
      </c>
      <c r="AD572" s="51">
        <f>COUNTIF($X$5:$X$572, "Not Used")</f>
        <v>568</v>
      </c>
      <c r="AE572" s="51">
        <f>COUNTIF($X$5:$X$572, "TRUE")</f>
        <v>0</v>
      </c>
      <c r="AF572" s="51" t="b">
        <f t="shared" si="369"/>
        <v>1</v>
      </c>
      <c r="AI572" s="51" t="b">
        <f t="shared" si="370"/>
        <v>0</v>
      </c>
      <c r="AJ572" s="51" t="b">
        <f t="shared" si="371"/>
        <v>0</v>
      </c>
      <c r="AK572" s="51" t="b">
        <f t="shared" si="372"/>
        <v>0</v>
      </c>
      <c r="AL572" s="51" t="b">
        <f t="shared" si="373"/>
        <v>0</v>
      </c>
      <c r="AM572" s="51" t="b">
        <f t="shared" si="374"/>
        <v>0</v>
      </c>
      <c r="AN572" s="51"/>
      <c r="AO572" s="51" t="b">
        <f t="shared" si="375"/>
        <v>0</v>
      </c>
      <c r="AP572" s="51" t="str">
        <f t="shared" si="397"/>
        <v>Not in MMS</v>
      </c>
      <c r="AQ572" s="51" t="b">
        <f t="shared" si="376"/>
        <v>0</v>
      </c>
      <c r="AR572" s="51" t="b">
        <f t="shared" si="377"/>
        <v>0</v>
      </c>
      <c r="AS572" s="51" t="str">
        <f t="shared" si="378"/>
        <v/>
      </c>
      <c r="AT572" s="51" t="str">
        <f t="shared" si="379"/>
        <v/>
      </c>
      <c r="AU572" s="51" t="str">
        <f t="shared" si="380"/>
        <v/>
      </c>
      <c r="AV572" s="51" t="str">
        <f t="shared" si="381"/>
        <v/>
      </c>
      <c r="AW572" s="51" t="str">
        <f t="shared" si="382"/>
        <v/>
      </c>
      <c r="AX572" s="51" t="str">
        <f t="shared" si="383"/>
        <v/>
      </c>
      <c r="AY572" s="51" t="str">
        <f t="shared" si="384"/>
        <v/>
      </c>
      <c r="AZ572" s="51" t="str">
        <f t="shared" si="385"/>
        <v/>
      </c>
      <c r="BA572" s="51" t="str">
        <f t="shared" si="386"/>
        <v/>
      </c>
      <c r="BB572" s="51" t="str">
        <f t="shared" si="387"/>
        <v/>
      </c>
      <c r="BC572" s="51" t="str">
        <f t="shared" si="388"/>
        <v/>
      </c>
      <c r="BD572" s="51" t="str">
        <f t="shared" si="389"/>
        <v/>
      </c>
      <c r="BE572" s="51" t="str">
        <f t="shared" si="390"/>
        <v/>
      </c>
      <c r="BF572" s="51" t="str">
        <f t="shared" si="391"/>
        <v/>
      </c>
      <c r="BG572" s="51" t="str">
        <f t="shared" si="392"/>
        <v/>
      </c>
      <c r="BH572" s="51" t="b">
        <f t="shared" si="393"/>
        <v>0</v>
      </c>
      <c r="BI572" s="51" t="str">
        <f t="shared" si="394"/>
        <v/>
      </c>
      <c r="BJ572" s="51" t="str">
        <f t="shared" si="395"/>
        <v/>
      </c>
      <c r="BK572" s="51" t="b">
        <f t="shared" si="396"/>
        <v>0</v>
      </c>
      <c r="BL572" s="192"/>
    </row>
    <row r="573" spans="1:64" ht="13.5" thickBot="1" x14ac:dyDescent="0.25">
      <c r="A573" s="185" t="s">
        <v>1248</v>
      </c>
      <c r="B573" s="194" t="s">
        <v>695</v>
      </c>
      <c r="C573" s="194" t="s">
        <v>695</v>
      </c>
      <c r="D573" s="194" t="s">
        <v>695</v>
      </c>
      <c r="E573" s="193" t="s">
        <v>694</v>
      </c>
      <c r="F573" s="160" t="s">
        <v>20</v>
      </c>
      <c r="G573" s="161"/>
      <c r="H573" s="186" t="str">
        <f t="shared" si="354"/>
        <v>N/A</v>
      </c>
      <c r="I573" s="186" t="b">
        <f t="shared" si="355"/>
        <v>1</v>
      </c>
      <c r="J573" s="186" t="str">
        <f t="shared" si="356"/>
        <v>N/A</v>
      </c>
      <c r="K573" s="186" t="b">
        <f t="shared" si="357"/>
        <v>1</v>
      </c>
      <c r="L573" s="186" t="str">
        <f t="shared" si="358"/>
        <v>N/A</v>
      </c>
      <c r="M573" s="186" t="b">
        <f t="shared" si="359"/>
        <v>1</v>
      </c>
      <c r="N573" s="186" t="str">
        <f t="shared" si="360"/>
        <v>Used?</v>
      </c>
      <c r="O573" s="186" t="b">
        <f t="shared" si="361"/>
        <v>0</v>
      </c>
      <c r="P573" s="26" t="s">
        <v>696</v>
      </c>
      <c r="Q573" s="160" t="s">
        <v>20</v>
      </c>
      <c r="R573" s="160" t="s">
        <v>20</v>
      </c>
      <c r="S573" s="26" t="s">
        <v>697</v>
      </c>
      <c r="T573" s="165" t="str">
        <f t="shared" si="362"/>
        <v>Not Used</v>
      </c>
      <c r="U573" s="162"/>
      <c r="V573" s="55"/>
      <c r="W573" s="51" t="b">
        <f t="shared" si="363"/>
        <v>1</v>
      </c>
      <c r="X573" s="51" t="str">
        <f t="shared" si="364"/>
        <v>Not Used</v>
      </c>
      <c r="Y573" s="51" t="str">
        <f t="shared" si="365"/>
        <v>Not Used</v>
      </c>
      <c r="Z573" s="51" t="str">
        <f t="shared" si="366"/>
        <v>Not Used</v>
      </c>
      <c r="AA573" s="51" t="str">
        <f t="shared" si="366"/>
        <v>Not Used</v>
      </c>
      <c r="AB573" s="51" t="str">
        <f t="shared" si="367"/>
        <v>Not Used</v>
      </c>
      <c r="AC573" s="51" t="b">
        <f t="shared" si="368"/>
        <v>1</v>
      </c>
      <c r="AD573" s="51">
        <f>COUNTIF($X$5:$X$573, "Not Used")</f>
        <v>569</v>
      </c>
      <c r="AE573" s="51">
        <f>COUNTIF($X$5:$X$573, "TRUE")</f>
        <v>0</v>
      </c>
      <c r="AF573" s="51" t="b">
        <f t="shared" si="369"/>
        <v>1</v>
      </c>
      <c r="AI573" s="51" t="b">
        <f t="shared" si="370"/>
        <v>0</v>
      </c>
      <c r="AJ573" s="51" t="b">
        <f t="shared" si="371"/>
        <v>0</v>
      </c>
      <c r="AK573" s="51" t="b">
        <f t="shared" si="372"/>
        <v>0</v>
      </c>
      <c r="AL573" s="51" t="b">
        <f t="shared" si="373"/>
        <v>0</v>
      </c>
      <c r="AM573" s="51" t="b">
        <f t="shared" si="374"/>
        <v>0</v>
      </c>
      <c r="AN573" s="51"/>
      <c r="AO573" s="51" t="b">
        <f t="shared" si="375"/>
        <v>0</v>
      </c>
      <c r="AP573" s="51" t="str">
        <f t="shared" si="397"/>
        <v>Not in MMS</v>
      </c>
      <c r="AQ573" s="51" t="b">
        <f t="shared" si="376"/>
        <v>0</v>
      </c>
      <c r="AR573" s="51" t="b">
        <f t="shared" si="377"/>
        <v>0</v>
      </c>
      <c r="AS573" s="51" t="str">
        <f t="shared" si="378"/>
        <v/>
      </c>
      <c r="AT573" s="51" t="str">
        <f t="shared" si="379"/>
        <v/>
      </c>
      <c r="AU573" s="51" t="str">
        <f t="shared" si="380"/>
        <v/>
      </c>
      <c r="AV573" s="51" t="str">
        <f t="shared" si="381"/>
        <v/>
      </c>
      <c r="AW573" s="51" t="str">
        <f t="shared" si="382"/>
        <v/>
      </c>
      <c r="AX573" s="51" t="str">
        <f t="shared" si="383"/>
        <v/>
      </c>
      <c r="AY573" s="51" t="str">
        <f t="shared" si="384"/>
        <v/>
      </c>
      <c r="AZ573" s="51" t="str">
        <f t="shared" si="385"/>
        <v/>
      </c>
      <c r="BA573" s="51" t="str">
        <f t="shared" si="386"/>
        <v/>
      </c>
      <c r="BB573" s="51" t="str">
        <f t="shared" si="387"/>
        <v/>
      </c>
      <c r="BC573" s="51" t="str">
        <f t="shared" si="388"/>
        <v/>
      </c>
      <c r="BD573" s="51" t="str">
        <f t="shared" si="389"/>
        <v/>
      </c>
      <c r="BE573" s="51" t="str">
        <f t="shared" si="390"/>
        <v/>
      </c>
      <c r="BF573" s="51" t="str">
        <f t="shared" si="391"/>
        <v/>
      </c>
      <c r="BG573" s="51" t="str">
        <f t="shared" si="392"/>
        <v/>
      </c>
      <c r="BH573" s="51" t="b">
        <f t="shared" si="393"/>
        <v>0</v>
      </c>
      <c r="BI573" s="51" t="str">
        <f t="shared" si="394"/>
        <v/>
      </c>
      <c r="BJ573" s="51" t="str">
        <f t="shared" si="395"/>
        <v/>
      </c>
      <c r="BK573" s="51" t="b">
        <f t="shared" si="396"/>
        <v>0</v>
      </c>
      <c r="BL573" s="192"/>
    </row>
    <row r="574" spans="1:64" ht="13.5" thickBot="1" x14ac:dyDescent="0.25">
      <c r="A574" s="185" t="s">
        <v>1249</v>
      </c>
      <c r="B574" s="194" t="s">
        <v>695</v>
      </c>
      <c r="C574" s="194" t="s">
        <v>695</v>
      </c>
      <c r="D574" s="194" t="s">
        <v>695</v>
      </c>
      <c r="E574" s="193" t="s">
        <v>694</v>
      </c>
      <c r="F574" s="160" t="s">
        <v>20</v>
      </c>
      <c r="G574" s="161"/>
      <c r="H574" s="186" t="str">
        <f t="shared" si="354"/>
        <v>N/A</v>
      </c>
      <c r="I574" s="186" t="b">
        <f t="shared" si="355"/>
        <v>1</v>
      </c>
      <c r="J574" s="186" t="str">
        <f t="shared" si="356"/>
        <v>N/A</v>
      </c>
      <c r="K574" s="186" t="b">
        <f t="shared" si="357"/>
        <v>1</v>
      </c>
      <c r="L574" s="186" t="str">
        <f t="shared" si="358"/>
        <v>N/A</v>
      </c>
      <c r="M574" s="186" t="b">
        <f t="shared" si="359"/>
        <v>1</v>
      </c>
      <c r="N574" s="186" t="str">
        <f t="shared" si="360"/>
        <v>Used?</v>
      </c>
      <c r="O574" s="186" t="b">
        <f t="shared" si="361"/>
        <v>0</v>
      </c>
      <c r="P574" s="26" t="s">
        <v>696</v>
      </c>
      <c r="Q574" s="160" t="s">
        <v>20</v>
      </c>
      <c r="R574" s="160" t="s">
        <v>20</v>
      </c>
      <c r="S574" s="26" t="s">
        <v>697</v>
      </c>
      <c r="T574" s="165" t="str">
        <f t="shared" si="362"/>
        <v>Not Used</v>
      </c>
      <c r="U574" s="162"/>
      <c r="V574" s="55"/>
      <c r="W574" s="51" t="b">
        <f t="shared" si="363"/>
        <v>1</v>
      </c>
      <c r="X574" s="51" t="str">
        <f t="shared" si="364"/>
        <v>Not Used</v>
      </c>
      <c r="Y574" s="51" t="str">
        <f t="shared" si="365"/>
        <v>Not Used</v>
      </c>
      <c r="Z574" s="51" t="str">
        <f t="shared" si="366"/>
        <v>Not Used</v>
      </c>
      <c r="AA574" s="51" t="str">
        <f t="shared" si="366"/>
        <v>Not Used</v>
      </c>
      <c r="AB574" s="51" t="str">
        <f t="shared" si="367"/>
        <v>Not Used</v>
      </c>
      <c r="AC574" s="51" t="b">
        <f t="shared" si="368"/>
        <v>1</v>
      </c>
      <c r="AD574" s="51">
        <f>COUNTIF($X$5:$X$574, "Not Used")</f>
        <v>570</v>
      </c>
      <c r="AE574" s="51">
        <f>COUNTIF($X$5:$X$574, "TRUE")</f>
        <v>0</v>
      </c>
      <c r="AF574" s="51" t="b">
        <f t="shared" si="369"/>
        <v>1</v>
      </c>
      <c r="AI574" s="51" t="b">
        <f t="shared" si="370"/>
        <v>0</v>
      </c>
      <c r="AJ574" s="51" t="b">
        <f t="shared" si="371"/>
        <v>0</v>
      </c>
      <c r="AK574" s="51" t="b">
        <f t="shared" si="372"/>
        <v>0</v>
      </c>
      <c r="AL574" s="51" t="b">
        <f t="shared" si="373"/>
        <v>0</v>
      </c>
      <c r="AM574" s="51" t="b">
        <f t="shared" si="374"/>
        <v>0</v>
      </c>
      <c r="AN574" s="51"/>
      <c r="AO574" s="51" t="b">
        <f t="shared" si="375"/>
        <v>0</v>
      </c>
      <c r="AP574" s="51" t="str">
        <f t="shared" si="397"/>
        <v>Not in MMS</v>
      </c>
      <c r="AQ574" s="51" t="b">
        <f t="shared" si="376"/>
        <v>0</v>
      </c>
      <c r="AR574" s="51" t="b">
        <f t="shared" si="377"/>
        <v>0</v>
      </c>
      <c r="AS574" s="51" t="str">
        <f t="shared" si="378"/>
        <v/>
      </c>
      <c r="AT574" s="51" t="str">
        <f t="shared" si="379"/>
        <v/>
      </c>
      <c r="AU574" s="51" t="str">
        <f t="shared" si="380"/>
        <v/>
      </c>
      <c r="AV574" s="51" t="str">
        <f t="shared" si="381"/>
        <v/>
      </c>
      <c r="AW574" s="51" t="str">
        <f t="shared" si="382"/>
        <v/>
      </c>
      <c r="AX574" s="51" t="str">
        <f t="shared" si="383"/>
        <v/>
      </c>
      <c r="AY574" s="51" t="str">
        <f t="shared" si="384"/>
        <v/>
      </c>
      <c r="AZ574" s="51" t="str">
        <f t="shared" si="385"/>
        <v/>
      </c>
      <c r="BA574" s="51" t="str">
        <f t="shared" si="386"/>
        <v/>
      </c>
      <c r="BB574" s="51" t="str">
        <f t="shared" si="387"/>
        <v/>
      </c>
      <c r="BC574" s="51" t="str">
        <f t="shared" si="388"/>
        <v/>
      </c>
      <c r="BD574" s="51" t="str">
        <f t="shared" si="389"/>
        <v/>
      </c>
      <c r="BE574" s="51" t="str">
        <f t="shared" si="390"/>
        <v/>
      </c>
      <c r="BF574" s="51" t="str">
        <f t="shared" si="391"/>
        <v/>
      </c>
      <c r="BG574" s="51" t="str">
        <f t="shared" si="392"/>
        <v/>
      </c>
      <c r="BH574" s="51" t="b">
        <f t="shared" si="393"/>
        <v>0</v>
      </c>
      <c r="BI574" s="51" t="str">
        <f t="shared" si="394"/>
        <v/>
      </c>
      <c r="BJ574" s="51" t="str">
        <f t="shared" si="395"/>
        <v/>
      </c>
      <c r="BK574" s="51" t="b">
        <f t="shared" si="396"/>
        <v>0</v>
      </c>
      <c r="BL574" s="192"/>
    </row>
    <row r="575" spans="1:64" ht="13.5" thickBot="1" x14ac:dyDescent="0.25">
      <c r="A575" s="185" t="s">
        <v>1250</v>
      </c>
      <c r="B575" s="194" t="s">
        <v>695</v>
      </c>
      <c r="C575" s="194" t="s">
        <v>695</v>
      </c>
      <c r="D575" s="194" t="s">
        <v>695</v>
      </c>
      <c r="E575" s="193" t="s">
        <v>694</v>
      </c>
      <c r="F575" s="160" t="s">
        <v>20</v>
      </c>
      <c r="G575" s="161"/>
      <c r="H575" s="186" t="str">
        <f t="shared" si="354"/>
        <v>N/A</v>
      </c>
      <c r="I575" s="186" t="b">
        <f t="shared" si="355"/>
        <v>1</v>
      </c>
      <c r="J575" s="186" t="str">
        <f t="shared" si="356"/>
        <v>N/A</v>
      </c>
      <c r="K575" s="186" t="b">
        <f t="shared" si="357"/>
        <v>1</v>
      </c>
      <c r="L575" s="186" t="str">
        <f t="shared" si="358"/>
        <v>N/A</v>
      </c>
      <c r="M575" s="186" t="b">
        <f t="shared" si="359"/>
        <v>1</v>
      </c>
      <c r="N575" s="186" t="str">
        <f t="shared" si="360"/>
        <v>Used?</v>
      </c>
      <c r="O575" s="186" t="b">
        <f t="shared" si="361"/>
        <v>0</v>
      </c>
      <c r="P575" s="26" t="s">
        <v>696</v>
      </c>
      <c r="Q575" s="160" t="s">
        <v>20</v>
      </c>
      <c r="R575" s="160" t="s">
        <v>20</v>
      </c>
      <c r="S575" s="26" t="s">
        <v>697</v>
      </c>
      <c r="T575" s="165" t="str">
        <f t="shared" si="362"/>
        <v>Not Used</v>
      </c>
      <c r="U575" s="162"/>
      <c r="V575" s="55"/>
      <c r="W575" s="51" t="b">
        <f t="shared" si="363"/>
        <v>1</v>
      </c>
      <c r="X575" s="51" t="str">
        <f t="shared" si="364"/>
        <v>Not Used</v>
      </c>
      <c r="Y575" s="51" t="str">
        <f t="shared" si="365"/>
        <v>Not Used</v>
      </c>
      <c r="Z575" s="51" t="str">
        <f t="shared" si="366"/>
        <v>Not Used</v>
      </c>
      <c r="AA575" s="51" t="str">
        <f t="shared" si="366"/>
        <v>Not Used</v>
      </c>
      <c r="AB575" s="51" t="str">
        <f t="shared" si="367"/>
        <v>Not Used</v>
      </c>
      <c r="AC575" s="51" t="b">
        <f t="shared" si="368"/>
        <v>1</v>
      </c>
      <c r="AD575" s="51">
        <f>COUNTIF($X$5:$X$575, "Not Used")</f>
        <v>571</v>
      </c>
      <c r="AE575" s="51">
        <f>COUNTIF($X$5:$X$575, "TRUE")</f>
        <v>0</v>
      </c>
      <c r="AF575" s="51" t="b">
        <f t="shared" si="369"/>
        <v>1</v>
      </c>
      <c r="AI575" s="51" t="b">
        <f t="shared" si="370"/>
        <v>0</v>
      </c>
      <c r="AJ575" s="51" t="b">
        <f t="shared" si="371"/>
        <v>0</v>
      </c>
      <c r="AK575" s="51" t="b">
        <f t="shared" si="372"/>
        <v>0</v>
      </c>
      <c r="AL575" s="51" t="b">
        <f t="shared" si="373"/>
        <v>0</v>
      </c>
      <c r="AM575" s="51" t="b">
        <f t="shared" si="374"/>
        <v>0</v>
      </c>
      <c r="AN575" s="51"/>
      <c r="AO575" s="51" t="b">
        <f t="shared" si="375"/>
        <v>0</v>
      </c>
      <c r="AP575" s="51" t="str">
        <f t="shared" si="397"/>
        <v>Not in MMS</v>
      </c>
      <c r="AQ575" s="51" t="b">
        <f t="shared" si="376"/>
        <v>0</v>
      </c>
      <c r="AR575" s="51" t="b">
        <f t="shared" si="377"/>
        <v>0</v>
      </c>
      <c r="AS575" s="51" t="str">
        <f t="shared" si="378"/>
        <v/>
      </c>
      <c r="AT575" s="51" t="str">
        <f t="shared" si="379"/>
        <v/>
      </c>
      <c r="AU575" s="51" t="str">
        <f t="shared" si="380"/>
        <v/>
      </c>
      <c r="AV575" s="51" t="str">
        <f t="shared" si="381"/>
        <v/>
      </c>
      <c r="AW575" s="51" t="str">
        <f t="shared" si="382"/>
        <v/>
      </c>
      <c r="AX575" s="51" t="str">
        <f t="shared" si="383"/>
        <v/>
      </c>
      <c r="AY575" s="51" t="str">
        <f t="shared" si="384"/>
        <v/>
      </c>
      <c r="AZ575" s="51" t="str">
        <f t="shared" si="385"/>
        <v/>
      </c>
      <c r="BA575" s="51" t="str">
        <f t="shared" si="386"/>
        <v/>
      </c>
      <c r="BB575" s="51" t="str">
        <f t="shared" si="387"/>
        <v/>
      </c>
      <c r="BC575" s="51" t="str">
        <f t="shared" si="388"/>
        <v/>
      </c>
      <c r="BD575" s="51" t="str">
        <f t="shared" si="389"/>
        <v/>
      </c>
      <c r="BE575" s="51" t="str">
        <f t="shared" si="390"/>
        <v/>
      </c>
      <c r="BF575" s="51" t="str">
        <f t="shared" si="391"/>
        <v/>
      </c>
      <c r="BG575" s="51" t="str">
        <f t="shared" si="392"/>
        <v/>
      </c>
      <c r="BH575" s="51" t="b">
        <f t="shared" si="393"/>
        <v>0</v>
      </c>
      <c r="BI575" s="51" t="str">
        <f t="shared" si="394"/>
        <v/>
      </c>
      <c r="BJ575" s="51" t="str">
        <f t="shared" si="395"/>
        <v/>
      </c>
      <c r="BK575" s="51" t="b">
        <f t="shared" si="396"/>
        <v>0</v>
      </c>
      <c r="BL575" s="192"/>
    </row>
    <row r="576" spans="1:64" ht="13.5" thickBot="1" x14ac:dyDescent="0.25">
      <c r="A576" s="185" t="s">
        <v>1251</v>
      </c>
      <c r="B576" s="194" t="s">
        <v>695</v>
      </c>
      <c r="C576" s="194" t="s">
        <v>695</v>
      </c>
      <c r="D576" s="194" t="s">
        <v>695</v>
      </c>
      <c r="E576" s="193" t="s">
        <v>694</v>
      </c>
      <c r="F576" s="160" t="s">
        <v>20</v>
      </c>
      <c r="G576" s="161"/>
      <c r="H576" s="186" t="str">
        <f t="shared" si="354"/>
        <v>N/A</v>
      </c>
      <c r="I576" s="186" t="b">
        <f t="shared" si="355"/>
        <v>1</v>
      </c>
      <c r="J576" s="186" t="str">
        <f t="shared" si="356"/>
        <v>N/A</v>
      </c>
      <c r="K576" s="186" t="b">
        <f t="shared" si="357"/>
        <v>1</v>
      </c>
      <c r="L576" s="186" t="str">
        <f t="shared" si="358"/>
        <v>N/A</v>
      </c>
      <c r="M576" s="186" t="b">
        <f t="shared" si="359"/>
        <v>1</v>
      </c>
      <c r="N576" s="186" t="str">
        <f t="shared" si="360"/>
        <v>Used?</v>
      </c>
      <c r="O576" s="186" t="b">
        <f t="shared" si="361"/>
        <v>0</v>
      </c>
      <c r="P576" s="26" t="s">
        <v>696</v>
      </c>
      <c r="Q576" s="160" t="s">
        <v>20</v>
      </c>
      <c r="R576" s="160" t="s">
        <v>20</v>
      </c>
      <c r="S576" s="26" t="s">
        <v>697</v>
      </c>
      <c r="T576" s="165" t="str">
        <f t="shared" si="362"/>
        <v>Not Used</v>
      </c>
      <c r="U576" s="162"/>
      <c r="V576" s="55"/>
      <c r="W576" s="51" t="b">
        <f t="shared" si="363"/>
        <v>1</v>
      </c>
      <c r="X576" s="51" t="str">
        <f t="shared" si="364"/>
        <v>Not Used</v>
      </c>
      <c r="Y576" s="51" t="str">
        <f t="shared" si="365"/>
        <v>Not Used</v>
      </c>
      <c r="Z576" s="51" t="str">
        <f t="shared" si="366"/>
        <v>Not Used</v>
      </c>
      <c r="AA576" s="51" t="str">
        <f t="shared" si="366"/>
        <v>Not Used</v>
      </c>
      <c r="AB576" s="51" t="str">
        <f t="shared" si="367"/>
        <v>Not Used</v>
      </c>
      <c r="AC576" s="51" t="b">
        <f t="shared" si="368"/>
        <v>1</v>
      </c>
      <c r="AD576" s="51">
        <f>COUNTIF($X$5:$X$576, "Not Used")</f>
        <v>572</v>
      </c>
      <c r="AE576" s="51">
        <f>COUNTIF($X$5:$X$576, "TRUE")</f>
        <v>0</v>
      </c>
      <c r="AF576" s="51" t="b">
        <f t="shared" si="369"/>
        <v>1</v>
      </c>
      <c r="AI576" s="51" t="b">
        <f t="shared" si="370"/>
        <v>0</v>
      </c>
      <c r="AJ576" s="51" t="b">
        <f t="shared" si="371"/>
        <v>0</v>
      </c>
      <c r="AK576" s="51" t="b">
        <f t="shared" si="372"/>
        <v>0</v>
      </c>
      <c r="AL576" s="51" t="b">
        <f t="shared" si="373"/>
        <v>0</v>
      </c>
      <c r="AM576" s="51" t="b">
        <f t="shared" si="374"/>
        <v>0</v>
      </c>
      <c r="AN576" s="51"/>
      <c r="AO576" s="51" t="b">
        <f t="shared" si="375"/>
        <v>0</v>
      </c>
      <c r="AP576" s="51" t="str">
        <f t="shared" si="397"/>
        <v>Not in MMS</v>
      </c>
      <c r="AQ576" s="51" t="b">
        <f t="shared" si="376"/>
        <v>0</v>
      </c>
      <c r="AR576" s="51" t="b">
        <f t="shared" si="377"/>
        <v>0</v>
      </c>
      <c r="AS576" s="51" t="str">
        <f t="shared" si="378"/>
        <v/>
      </c>
      <c r="AT576" s="51" t="str">
        <f t="shared" si="379"/>
        <v/>
      </c>
      <c r="AU576" s="51" t="str">
        <f t="shared" si="380"/>
        <v/>
      </c>
      <c r="AV576" s="51" t="str">
        <f t="shared" si="381"/>
        <v/>
      </c>
      <c r="AW576" s="51" t="str">
        <f t="shared" si="382"/>
        <v/>
      </c>
      <c r="AX576" s="51" t="str">
        <f t="shared" si="383"/>
        <v/>
      </c>
      <c r="AY576" s="51" t="str">
        <f t="shared" si="384"/>
        <v/>
      </c>
      <c r="AZ576" s="51" t="str">
        <f t="shared" si="385"/>
        <v/>
      </c>
      <c r="BA576" s="51" t="str">
        <f t="shared" si="386"/>
        <v/>
      </c>
      <c r="BB576" s="51" t="str">
        <f t="shared" si="387"/>
        <v/>
      </c>
      <c r="BC576" s="51" t="str">
        <f t="shared" si="388"/>
        <v/>
      </c>
      <c r="BD576" s="51" t="str">
        <f t="shared" si="389"/>
        <v/>
      </c>
      <c r="BE576" s="51" t="str">
        <f t="shared" si="390"/>
        <v/>
      </c>
      <c r="BF576" s="51" t="str">
        <f t="shared" si="391"/>
        <v/>
      </c>
      <c r="BG576" s="51" t="str">
        <f t="shared" si="392"/>
        <v/>
      </c>
      <c r="BH576" s="51" t="b">
        <f t="shared" si="393"/>
        <v>0</v>
      </c>
      <c r="BI576" s="51" t="str">
        <f t="shared" si="394"/>
        <v/>
      </c>
      <c r="BJ576" s="51" t="str">
        <f t="shared" si="395"/>
        <v/>
      </c>
      <c r="BK576" s="51" t="b">
        <f t="shared" si="396"/>
        <v>0</v>
      </c>
      <c r="BL576" s="192"/>
    </row>
    <row r="577" spans="1:64" ht="13.5" thickBot="1" x14ac:dyDescent="0.25">
      <c r="A577" s="185" t="s">
        <v>1252</v>
      </c>
      <c r="B577" s="194" t="s">
        <v>695</v>
      </c>
      <c r="C577" s="194" t="s">
        <v>695</v>
      </c>
      <c r="D577" s="194" t="s">
        <v>695</v>
      </c>
      <c r="E577" s="193" t="s">
        <v>694</v>
      </c>
      <c r="F577" s="160" t="s">
        <v>20</v>
      </c>
      <c r="G577" s="161"/>
      <c r="H577" s="186" t="str">
        <f t="shared" si="354"/>
        <v>N/A</v>
      </c>
      <c r="I577" s="186" t="b">
        <f t="shared" si="355"/>
        <v>1</v>
      </c>
      <c r="J577" s="186" t="str">
        <f t="shared" si="356"/>
        <v>N/A</v>
      </c>
      <c r="K577" s="186" t="b">
        <f t="shared" si="357"/>
        <v>1</v>
      </c>
      <c r="L577" s="186" t="str">
        <f t="shared" si="358"/>
        <v>N/A</v>
      </c>
      <c r="M577" s="186" t="b">
        <f t="shared" si="359"/>
        <v>1</v>
      </c>
      <c r="N577" s="186" t="str">
        <f t="shared" si="360"/>
        <v>Used?</v>
      </c>
      <c r="O577" s="186" t="b">
        <f t="shared" si="361"/>
        <v>0</v>
      </c>
      <c r="P577" s="26" t="s">
        <v>696</v>
      </c>
      <c r="Q577" s="160" t="s">
        <v>20</v>
      </c>
      <c r="R577" s="160" t="s">
        <v>20</v>
      </c>
      <c r="S577" s="26" t="s">
        <v>697</v>
      </c>
      <c r="T577" s="165" t="str">
        <f t="shared" si="362"/>
        <v>Not Used</v>
      </c>
      <c r="U577" s="162"/>
      <c r="V577" s="55"/>
      <c r="W577" s="51" t="b">
        <f t="shared" si="363"/>
        <v>1</v>
      </c>
      <c r="X577" s="51" t="str">
        <f t="shared" si="364"/>
        <v>Not Used</v>
      </c>
      <c r="Y577" s="51" t="str">
        <f t="shared" si="365"/>
        <v>Not Used</v>
      </c>
      <c r="Z577" s="51" t="str">
        <f t="shared" si="366"/>
        <v>Not Used</v>
      </c>
      <c r="AA577" s="51" t="str">
        <f t="shared" si="366"/>
        <v>Not Used</v>
      </c>
      <c r="AB577" s="51" t="str">
        <f t="shared" si="367"/>
        <v>Not Used</v>
      </c>
      <c r="AC577" s="51" t="b">
        <f t="shared" si="368"/>
        <v>1</v>
      </c>
      <c r="AD577" s="51">
        <f>COUNTIF($X$5:$X$577, "Not Used")</f>
        <v>573</v>
      </c>
      <c r="AE577" s="51">
        <f>COUNTIF($X$5:$X$577, "TRUE")</f>
        <v>0</v>
      </c>
      <c r="AF577" s="51" t="b">
        <f t="shared" si="369"/>
        <v>1</v>
      </c>
      <c r="AI577" s="51" t="b">
        <f t="shared" si="370"/>
        <v>0</v>
      </c>
      <c r="AJ577" s="51" t="b">
        <f t="shared" si="371"/>
        <v>0</v>
      </c>
      <c r="AK577" s="51" t="b">
        <f t="shared" si="372"/>
        <v>0</v>
      </c>
      <c r="AL577" s="51" t="b">
        <f t="shared" si="373"/>
        <v>0</v>
      </c>
      <c r="AM577" s="51" t="b">
        <f t="shared" si="374"/>
        <v>0</v>
      </c>
      <c r="AN577" s="51"/>
      <c r="AO577" s="51" t="b">
        <f t="shared" si="375"/>
        <v>0</v>
      </c>
      <c r="AP577" s="51" t="str">
        <f t="shared" si="397"/>
        <v>Not in MMS</v>
      </c>
      <c r="AQ577" s="51" t="b">
        <f t="shared" si="376"/>
        <v>0</v>
      </c>
      <c r="AR577" s="51" t="b">
        <f t="shared" si="377"/>
        <v>0</v>
      </c>
      <c r="AS577" s="51" t="str">
        <f t="shared" si="378"/>
        <v/>
      </c>
      <c r="AT577" s="51" t="str">
        <f t="shared" si="379"/>
        <v/>
      </c>
      <c r="AU577" s="51" t="str">
        <f t="shared" si="380"/>
        <v/>
      </c>
      <c r="AV577" s="51" t="str">
        <f t="shared" si="381"/>
        <v/>
      </c>
      <c r="AW577" s="51" t="str">
        <f t="shared" si="382"/>
        <v/>
      </c>
      <c r="AX577" s="51" t="str">
        <f t="shared" si="383"/>
        <v/>
      </c>
      <c r="AY577" s="51" t="str">
        <f t="shared" si="384"/>
        <v/>
      </c>
      <c r="AZ577" s="51" t="str">
        <f t="shared" si="385"/>
        <v/>
      </c>
      <c r="BA577" s="51" t="str">
        <f t="shared" si="386"/>
        <v/>
      </c>
      <c r="BB577" s="51" t="str">
        <f t="shared" si="387"/>
        <v/>
      </c>
      <c r="BC577" s="51" t="str">
        <f t="shared" si="388"/>
        <v/>
      </c>
      <c r="BD577" s="51" t="str">
        <f t="shared" si="389"/>
        <v/>
      </c>
      <c r="BE577" s="51" t="str">
        <f t="shared" si="390"/>
        <v/>
      </c>
      <c r="BF577" s="51" t="str">
        <f t="shared" si="391"/>
        <v/>
      </c>
      <c r="BG577" s="51" t="str">
        <f t="shared" si="392"/>
        <v/>
      </c>
      <c r="BH577" s="51" t="b">
        <f t="shared" si="393"/>
        <v>0</v>
      </c>
      <c r="BI577" s="51" t="str">
        <f t="shared" si="394"/>
        <v/>
      </c>
      <c r="BJ577" s="51" t="str">
        <f t="shared" si="395"/>
        <v/>
      </c>
      <c r="BK577" s="51" t="b">
        <f t="shared" si="396"/>
        <v>0</v>
      </c>
      <c r="BL577" s="192"/>
    </row>
    <row r="578" spans="1:64" ht="13.5" thickBot="1" x14ac:dyDescent="0.25">
      <c r="A578" s="185" t="s">
        <v>1253</v>
      </c>
      <c r="B578" s="194" t="s">
        <v>695</v>
      </c>
      <c r="C578" s="194" t="s">
        <v>695</v>
      </c>
      <c r="D578" s="194" t="s">
        <v>695</v>
      </c>
      <c r="E578" s="193" t="s">
        <v>694</v>
      </c>
      <c r="F578" s="160" t="s">
        <v>20</v>
      </c>
      <c r="G578" s="161"/>
      <c r="H578" s="186" t="str">
        <f t="shared" si="354"/>
        <v>N/A</v>
      </c>
      <c r="I578" s="186" t="b">
        <f t="shared" si="355"/>
        <v>1</v>
      </c>
      <c r="J578" s="186" t="str">
        <f t="shared" si="356"/>
        <v>N/A</v>
      </c>
      <c r="K578" s="186" t="b">
        <f t="shared" si="357"/>
        <v>1</v>
      </c>
      <c r="L578" s="186" t="str">
        <f t="shared" si="358"/>
        <v>N/A</v>
      </c>
      <c r="M578" s="186" t="b">
        <f t="shared" si="359"/>
        <v>1</v>
      </c>
      <c r="N578" s="186" t="str">
        <f t="shared" si="360"/>
        <v>Used?</v>
      </c>
      <c r="O578" s="186" t="b">
        <f t="shared" si="361"/>
        <v>0</v>
      </c>
      <c r="P578" s="26" t="s">
        <v>696</v>
      </c>
      <c r="Q578" s="160" t="s">
        <v>20</v>
      </c>
      <c r="R578" s="160" t="s">
        <v>20</v>
      </c>
      <c r="S578" s="26" t="s">
        <v>697</v>
      </c>
      <c r="T578" s="165" t="str">
        <f t="shared" si="362"/>
        <v>Not Used</v>
      </c>
      <c r="U578" s="162"/>
      <c r="V578" s="55"/>
      <c r="W578" s="51" t="b">
        <f t="shared" si="363"/>
        <v>1</v>
      </c>
      <c r="X578" s="51" t="str">
        <f t="shared" si="364"/>
        <v>Not Used</v>
      </c>
      <c r="Y578" s="51" t="str">
        <f t="shared" si="365"/>
        <v>Not Used</v>
      </c>
      <c r="Z578" s="51" t="str">
        <f t="shared" si="366"/>
        <v>Not Used</v>
      </c>
      <c r="AA578" s="51" t="str">
        <f t="shared" si="366"/>
        <v>Not Used</v>
      </c>
      <c r="AB578" s="51" t="str">
        <f t="shared" si="367"/>
        <v>Not Used</v>
      </c>
      <c r="AC578" s="51" t="b">
        <f t="shared" si="368"/>
        <v>1</v>
      </c>
      <c r="AD578" s="51">
        <f>COUNTIF($X$5:$X$578, "Not Used")</f>
        <v>574</v>
      </c>
      <c r="AE578" s="51">
        <f>COUNTIF($X$5:$X$578, "TRUE")</f>
        <v>0</v>
      </c>
      <c r="AF578" s="51" t="b">
        <f t="shared" si="369"/>
        <v>1</v>
      </c>
      <c r="AI578" s="51" t="b">
        <f t="shared" si="370"/>
        <v>0</v>
      </c>
      <c r="AJ578" s="51" t="b">
        <f t="shared" si="371"/>
        <v>0</v>
      </c>
      <c r="AK578" s="51" t="b">
        <f t="shared" si="372"/>
        <v>0</v>
      </c>
      <c r="AL578" s="51" t="b">
        <f t="shared" si="373"/>
        <v>0</v>
      </c>
      <c r="AM578" s="51" t="b">
        <f t="shared" si="374"/>
        <v>0</v>
      </c>
      <c r="AN578" s="51"/>
      <c r="AO578" s="51" t="b">
        <f t="shared" si="375"/>
        <v>0</v>
      </c>
      <c r="AP578" s="51" t="str">
        <f t="shared" si="397"/>
        <v>Not in MMS</v>
      </c>
      <c r="AQ578" s="51" t="b">
        <f t="shared" si="376"/>
        <v>0</v>
      </c>
      <c r="AR578" s="51" t="b">
        <f t="shared" si="377"/>
        <v>0</v>
      </c>
      <c r="AS578" s="51" t="str">
        <f t="shared" si="378"/>
        <v/>
      </c>
      <c r="AT578" s="51" t="str">
        <f t="shared" si="379"/>
        <v/>
      </c>
      <c r="AU578" s="51" t="str">
        <f t="shared" si="380"/>
        <v/>
      </c>
      <c r="AV578" s="51" t="str">
        <f t="shared" si="381"/>
        <v/>
      </c>
      <c r="AW578" s="51" t="str">
        <f t="shared" si="382"/>
        <v/>
      </c>
      <c r="AX578" s="51" t="str">
        <f t="shared" si="383"/>
        <v/>
      </c>
      <c r="AY578" s="51" t="str">
        <f t="shared" si="384"/>
        <v/>
      </c>
      <c r="AZ578" s="51" t="str">
        <f t="shared" si="385"/>
        <v/>
      </c>
      <c r="BA578" s="51" t="str">
        <f t="shared" si="386"/>
        <v/>
      </c>
      <c r="BB578" s="51" t="str">
        <f t="shared" si="387"/>
        <v/>
      </c>
      <c r="BC578" s="51" t="str">
        <f t="shared" si="388"/>
        <v/>
      </c>
      <c r="BD578" s="51" t="str">
        <f t="shared" si="389"/>
        <v/>
      </c>
      <c r="BE578" s="51" t="str">
        <f t="shared" si="390"/>
        <v/>
      </c>
      <c r="BF578" s="51" t="str">
        <f t="shared" si="391"/>
        <v/>
      </c>
      <c r="BG578" s="51" t="str">
        <f t="shared" si="392"/>
        <v/>
      </c>
      <c r="BH578" s="51" t="b">
        <f t="shared" si="393"/>
        <v>0</v>
      </c>
      <c r="BI578" s="51" t="str">
        <f t="shared" si="394"/>
        <v/>
      </c>
      <c r="BJ578" s="51" t="str">
        <f t="shared" si="395"/>
        <v/>
      </c>
      <c r="BK578" s="51" t="b">
        <f t="shared" si="396"/>
        <v>0</v>
      </c>
      <c r="BL578" s="192"/>
    </row>
    <row r="579" spans="1:64" ht="13.5" thickBot="1" x14ac:dyDescent="0.25">
      <c r="A579" s="185" t="s">
        <v>1254</v>
      </c>
      <c r="B579" s="194" t="s">
        <v>695</v>
      </c>
      <c r="C579" s="194" t="s">
        <v>695</v>
      </c>
      <c r="D579" s="194" t="s">
        <v>695</v>
      </c>
      <c r="E579" s="193" t="s">
        <v>694</v>
      </c>
      <c r="F579" s="160" t="s">
        <v>20</v>
      </c>
      <c r="G579" s="161"/>
      <c r="H579" s="186" t="str">
        <f t="shared" si="354"/>
        <v>N/A</v>
      </c>
      <c r="I579" s="186" t="b">
        <f t="shared" si="355"/>
        <v>1</v>
      </c>
      <c r="J579" s="186" t="str">
        <f t="shared" si="356"/>
        <v>N/A</v>
      </c>
      <c r="K579" s="186" t="b">
        <f t="shared" si="357"/>
        <v>1</v>
      </c>
      <c r="L579" s="186" t="str">
        <f t="shared" si="358"/>
        <v>N/A</v>
      </c>
      <c r="M579" s="186" t="b">
        <f t="shared" si="359"/>
        <v>1</v>
      </c>
      <c r="N579" s="186" t="str">
        <f t="shared" si="360"/>
        <v>Used?</v>
      </c>
      <c r="O579" s="186" t="b">
        <f t="shared" si="361"/>
        <v>0</v>
      </c>
      <c r="P579" s="26" t="s">
        <v>696</v>
      </c>
      <c r="Q579" s="160" t="s">
        <v>20</v>
      </c>
      <c r="R579" s="160" t="s">
        <v>20</v>
      </c>
      <c r="S579" s="26" t="s">
        <v>697</v>
      </c>
      <c r="T579" s="165" t="str">
        <f t="shared" si="362"/>
        <v>Not Used</v>
      </c>
      <c r="U579" s="162"/>
      <c r="V579" s="55"/>
      <c r="W579" s="51" t="b">
        <f t="shared" si="363"/>
        <v>1</v>
      </c>
      <c r="X579" s="51" t="str">
        <f t="shared" si="364"/>
        <v>Not Used</v>
      </c>
      <c r="Y579" s="51" t="str">
        <f t="shared" si="365"/>
        <v>Not Used</v>
      </c>
      <c r="Z579" s="51" t="str">
        <f t="shared" si="366"/>
        <v>Not Used</v>
      </c>
      <c r="AA579" s="51" t="str">
        <f t="shared" si="366"/>
        <v>Not Used</v>
      </c>
      <c r="AB579" s="51" t="str">
        <f t="shared" si="367"/>
        <v>Not Used</v>
      </c>
      <c r="AC579" s="51" t="b">
        <f t="shared" si="368"/>
        <v>1</v>
      </c>
      <c r="AD579" s="51">
        <f>COUNTIF($X$5:$X$579, "Not Used")</f>
        <v>575</v>
      </c>
      <c r="AE579" s="51">
        <f>COUNTIF($X$5:$X$579, "TRUE")</f>
        <v>0</v>
      </c>
      <c r="AF579" s="51" t="b">
        <f t="shared" si="369"/>
        <v>1</v>
      </c>
      <c r="AI579" s="51" t="b">
        <f t="shared" si="370"/>
        <v>0</v>
      </c>
      <c r="AJ579" s="51" t="b">
        <f t="shared" si="371"/>
        <v>0</v>
      </c>
      <c r="AK579" s="51" t="b">
        <f t="shared" si="372"/>
        <v>0</v>
      </c>
      <c r="AL579" s="51" t="b">
        <f t="shared" si="373"/>
        <v>0</v>
      </c>
      <c r="AM579" s="51" t="b">
        <f t="shared" si="374"/>
        <v>0</v>
      </c>
      <c r="AN579" s="51"/>
      <c r="AO579" s="51" t="b">
        <f t="shared" si="375"/>
        <v>0</v>
      </c>
      <c r="AP579" s="51" t="str">
        <f t="shared" si="397"/>
        <v>Not in MMS</v>
      </c>
      <c r="AQ579" s="51" t="b">
        <f t="shared" si="376"/>
        <v>0</v>
      </c>
      <c r="AR579" s="51" t="b">
        <f t="shared" si="377"/>
        <v>0</v>
      </c>
      <c r="AS579" s="51" t="str">
        <f t="shared" si="378"/>
        <v/>
      </c>
      <c r="AT579" s="51" t="str">
        <f t="shared" si="379"/>
        <v/>
      </c>
      <c r="AU579" s="51" t="str">
        <f t="shared" si="380"/>
        <v/>
      </c>
      <c r="AV579" s="51" t="str">
        <f t="shared" si="381"/>
        <v/>
      </c>
      <c r="AW579" s="51" t="str">
        <f t="shared" si="382"/>
        <v/>
      </c>
      <c r="AX579" s="51" t="str">
        <f t="shared" si="383"/>
        <v/>
      </c>
      <c r="AY579" s="51" t="str">
        <f t="shared" si="384"/>
        <v/>
      </c>
      <c r="AZ579" s="51" t="str">
        <f t="shared" si="385"/>
        <v/>
      </c>
      <c r="BA579" s="51" t="str">
        <f t="shared" si="386"/>
        <v/>
      </c>
      <c r="BB579" s="51" t="str">
        <f t="shared" si="387"/>
        <v/>
      </c>
      <c r="BC579" s="51" t="str">
        <f t="shared" si="388"/>
        <v/>
      </c>
      <c r="BD579" s="51" t="str">
        <f t="shared" si="389"/>
        <v/>
      </c>
      <c r="BE579" s="51" t="str">
        <f t="shared" si="390"/>
        <v/>
      </c>
      <c r="BF579" s="51" t="str">
        <f t="shared" si="391"/>
        <v/>
      </c>
      <c r="BG579" s="51" t="str">
        <f t="shared" si="392"/>
        <v/>
      </c>
      <c r="BH579" s="51" t="b">
        <f t="shared" si="393"/>
        <v>0</v>
      </c>
      <c r="BI579" s="51" t="str">
        <f t="shared" si="394"/>
        <v/>
      </c>
      <c r="BJ579" s="51" t="str">
        <f t="shared" si="395"/>
        <v/>
      </c>
      <c r="BK579" s="51" t="b">
        <f t="shared" si="396"/>
        <v>0</v>
      </c>
      <c r="BL579" s="192"/>
    </row>
    <row r="580" spans="1:64" ht="13.5" thickBot="1" x14ac:dyDescent="0.25">
      <c r="A580" s="185" t="s">
        <v>1255</v>
      </c>
      <c r="B580" s="194" t="s">
        <v>695</v>
      </c>
      <c r="C580" s="194" t="s">
        <v>695</v>
      </c>
      <c r="D580" s="194" t="s">
        <v>695</v>
      </c>
      <c r="E580" s="193" t="s">
        <v>694</v>
      </c>
      <c r="F580" s="160" t="s">
        <v>20</v>
      </c>
      <c r="G580" s="161"/>
      <c r="H580" s="186" t="str">
        <f t="shared" si="354"/>
        <v>N/A</v>
      </c>
      <c r="I580" s="186" t="b">
        <f t="shared" si="355"/>
        <v>1</v>
      </c>
      <c r="J580" s="186" t="str">
        <f t="shared" si="356"/>
        <v>N/A</v>
      </c>
      <c r="K580" s="186" t="b">
        <f t="shared" si="357"/>
        <v>1</v>
      </c>
      <c r="L580" s="186" t="str">
        <f t="shared" si="358"/>
        <v>N/A</v>
      </c>
      <c r="M580" s="186" t="b">
        <f t="shared" si="359"/>
        <v>1</v>
      </c>
      <c r="N580" s="186" t="str">
        <f t="shared" si="360"/>
        <v>Used?</v>
      </c>
      <c r="O580" s="186" t="b">
        <f t="shared" si="361"/>
        <v>0</v>
      </c>
      <c r="P580" s="26" t="s">
        <v>696</v>
      </c>
      <c r="Q580" s="160" t="s">
        <v>20</v>
      </c>
      <c r="R580" s="160" t="s">
        <v>20</v>
      </c>
      <c r="S580" s="26" t="s">
        <v>697</v>
      </c>
      <c r="T580" s="165" t="str">
        <f t="shared" si="362"/>
        <v>Not Used</v>
      </c>
      <c r="U580" s="162"/>
      <c r="V580" s="55"/>
      <c r="W580" s="51" t="b">
        <f t="shared" si="363"/>
        <v>1</v>
      </c>
      <c r="X580" s="51" t="str">
        <f t="shared" si="364"/>
        <v>Not Used</v>
      </c>
      <c r="Y580" s="51" t="str">
        <f t="shared" si="365"/>
        <v>Not Used</v>
      </c>
      <c r="Z580" s="51" t="str">
        <f t="shared" si="366"/>
        <v>Not Used</v>
      </c>
      <c r="AA580" s="51" t="str">
        <f t="shared" si="366"/>
        <v>Not Used</v>
      </c>
      <c r="AB580" s="51" t="str">
        <f t="shared" si="367"/>
        <v>Not Used</v>
      </c>
      <c r="AC580" s="51" t="b">
        <f t="shared" si="368"/>
        <v>1</v>
      </c>
      <c r="AD580" s="51">
        <f>COUNTIF($X$5:$X$580, "Not Used")</f>
        <v>576</v>
      </c>
      <c r="AE580" s="51">
        <f>COUNTIF($X$5:$X$580, "TRUE")</f>
        <v>0</v>
      </c>
      <c r="AF580" s="51" t="b">
        <f t="shared" si="369"/>
        <v>1</v>
      </c>
      <c r="AI580" s="51" t="b">
        <f t="shared" si="370"/>
        <v>0</v>
      </c>
      <c r="AJ580" s="51" t="b">
        <f t="shared" si="371"/>
        <v>0</v>
      </c>
      <c r="AK580" s="51" t="b">
        <f t="shared" si="372"/>
        <v>0</v>
      </c>
      <c r="AL580" s="51" t="b">
        <f t="shared" si="373"/>
        <v>0</v>
      </c>
      <c r="AM580" s="51" t="b">
        <f t="shared" si="374"/>
        <v>0</v>
      </c>
      <c r="AN580" s="51"/>
      <c r="AO580" s="51" t="b">
        <f t="shared" si="375"/>
        <v>0</v>
      </c>
      <c r="AP580" s="51" t="str">
        <f t="shared" si="397"/>
        <v>Not in MMS</v>
      </c>
      <c r="AQ580" s="51" t="b">
        <f t="shared" si="376"/>
        <v>0</v>
      </c>
      <c r="AR580" s="51" t="b">
        <f t="shared" si="377"/>
        <v>0</v>
      </c>
      <c r="AS580" s="51" t="str">
        <f t="shared" si="378"/>
        <v/>
      </c>
      <c r="AT580" s="51" t="str">
        <f t="shared" si="379"/>
        <v/>
      </c>
      <c r="AU580" s="51" t="str">
        <f t="shared" si="380"/>
        <v/>
      </c>
      <c r="AV580" s="51" t="str">
        <f t="shared" si="381"/>
        <v/>
      </c>
      <c r="AW580" s="51" t="str">
        <f t="shared" si="382"/>
        <v/>
      </c>
      <c r="AX580" s="51" t="str">
        <f t="shared" si="383"/>
        <v/>
      </c>
      <c r="AY580" s="51" t="str">
        <f t="shared" si="384"/>
        <v/>
      </c>
      <c r="AZ580" s="51" t="str">
        <f t="shared" si="385"/>
        <v/>
      </c>
      <c r="BA580" s="51" t="str">
        <f t="shared" si="386"/>
        <v/>
      </c>
      <c r="BB580" s="51" t="str">
        <f t="shared" si="387"/>
        <v/>
      </c>
      <c r="BC580" s="51" t="str">
        <f t="shared" si="388"/>
        <v/>
      </c>
      <c r="BD580" s="51" t="str">
        <f t="shared" si="389"/>
        <v/>
      </c>
      <c r="BE580" s="51" t="str">
        <f t="shared" si="390"/>
        <v/>
      </c>
      <c r="BF580" s="51" t="str">
        <f t="shared" si="391"/>
        <v/>
      </c>
      <c r="BG580" s="51" t="str">
        <f t="shared" si="392"/>
        <v/>
      </c>
      <c r="BH580" s="51" t="b">
        <f t="shared" si="393"/>
        <v>0</v>
      </c>
      <c r="BI580" s="51" t="str">
        <f t="shared" si="394"/>
        <v/>
      </c>
      <c r="BJ580" s="51" t="str">
        <f t="shared" si="395"/>
        <v/>
      </c>
      <c r="BK580" s="51" t="b">
        <f t="shared" si="396"/>
        <v>0</v>
      </c>
      <c r="BL580" s="192"/>
    </row>
    <row r="581" spans="1:64" ht="13.5" thickBot="1" x14ac:dyDescent="0.25">
      <c r="A581" s="185" t="s">
        <v>1256</v>
      </c>
      <c r="B581" s="194" t="s">
        <v>695</v>
      </c>
      <c r="C581" s="194" t="s">
        <v>695</v>
      </c>
      <c r="D581" s="194" t="s">
        <v>695</v>
      </c>
      <c r="E581" s="193" t="s">
        <v>694</v>
      </c>
      <c r="F581" s="160" t="s">
        <v>20</v>
      </c>
      <c r="G581" s="161"/>
      <c r="H581" s="186" t="str">
        <f t="shared" si="354"/>
        <v>N/A</v>
      </c>
      <c r="I581" s="186" t="b">
        <f t="shared" si="355"/>
        <v>1</v>
      </c>
      <c r="J581" s="186" t="str">
        <f t="shared" si="356"/>
        <v>N/A</v>
      </c>
      <c r="K581" s="186" t="b">
        <f t="shared" si="357"/>
        <v>1</v>
      </c>
      <c r="L581" s="186" t="str">
        <f t="shared" si="358"/>
        <v>N/A</v>
      </c>
      <c r="M581" s="186" t="b">
        <f t="shared" si="359"/>
        <v>1</v>
      </c>
      <c r="N581" s="186" t="str">
        <f t="shared" si="360"/>
        <v>Used?</v>
      </c>
      <c r="O581" s="186" t="b">
        <f t="shared" si="361"/>
        <v>0</v>
      </c>
      <c r="P581" s="26" t="s">
        <v>696</v>
      </c>
      <c r="Q581" s="160" t="s">
        <v>20</v>
      </c>
      <c r="R581" s="160" t="s">
        <v>20</v>
      </c>
      <c r="S581" s="26" t="s">
        <v>697</v>
      </c>
      <c r="T581" s="165" t="str">
        <f t="shared" si="362"/>
        <v>Not Used</v>
      </c>
      <c r="U581" s="162"/>
      <c r="V581" s="55"/>
      <c r="W581" s="51" t="b">
        <f t="shared" si="363"/>
        <v>1</v>
      </c>
      <c r="X581" s="51" t="str">
        <f t="shared" si="364"/>
        <v>Not Used</v>
      </c>
      <c r="Y581" s="51" t="str">
        <f t="shared" si="365"/>
        <v>Not Used</v>
      </c>
      <c r="Z581" s="51" t="str">
        <f t="shared" si="366"/>
        <v>Not Used</v>
      </c>
      <c r="AA581" s="51" t="str">
        <f t="shared" si="366"/>
        <v>Not Used</v>
      </c>
      <c r="AB581" s="51" t="str">
        <f t="shared" si="367"/>
        <v>Not Used</v>
      </c>
      <c r="AC581" s="51" t="b">
        <f t="shared" si="368"/>
        <v>1</v>
      </c>
      <c r="AD581" s="51">
        <f>COUNTIF($X$5:$X$581, "Not Used")</f>
        <v>577</v>
      </c>
      <c r="AE581" s="51">
        <f>COUNTIF($X$5:$X$581, "TRUE")</f>
        <v>0</v>
      </c>
      <c r="AF581" s="51" t="b">
        <f t="shared" si="369"/>
        <v>1</v>
      </c>
      <c r="AI581" s="51" t="b">
        <f t="shared" si="370"/>
        <v>0</v>
      </c>
      <c r="AJ581" s="51" t="b">
        <f t="shared" si="371"/>
        <v>0</v>
      </c>
      <c r="AK581" s="51" t="b">
        <f t="shared" si="372"/>
        <v>0</v>
      </c>
      <c r="AL581" s="51" t="b">
        <f t="shared" si="373"/>
        <v>0</v>
      </c>
      <c r="AM581" s="51" t="b">
        <f t="shared" si="374"/>
        <v>0</v>
      </c>
      <c r="AN581" s="51"/>
      <c r="AO581" s="51" t="b">
        <f t="shared" si="375"/>
        <v>0</v>
      </c>
      <c r="AP581" s="51" t="str">
        <f t="shared" si="397"/>
        <v>Not in MMS</v>
      </c>
      <c r="AQ581" s="51" t="b">
        <f t="shared" si="376"/>
        <v>0</v>
      </c>
      <c r="AR581" s="51" t="b">
        <f t="shared" si="377"/>
        <v>0</v>
      </c>
      <c r="AS581" s="51" t="str">
        <f t="shared" si="378"/>
        <v/>
      </c>
      <c r="AT581" s="51" t="str">
        <f t="shared" si="379"/>
        <v/>
      </c>
      <c r="AU581" s="51" t="str">
        <f t="shared" si="380"/>
        <v/>
      </c>
      <c r="AV581" s="51" t="str">
        <f t="shared" si="381"/>
        <v/>
      </c>
      <c r="AW581" s="51" t="str">
        <f t="shared" si="382"/>
        <v/>
      </c>
      <c r="AX581" s="51" t="str">
        <f t="shared" si="383"/>
        <v/>
      </c>
      <c r="AY581" s="51" t="str">
        <f t="shared" si="384"/>
        <v/>
      </c>
      <c r="AZ581" s="51" t="str">
        <f t="shared" si="385"/>
        <v/>
      </c>
      <c r="BA581" s="51" t="str">
        <f t="shared" si="386"/>
        <v/>
      </c>
      <c r="BB581" s="51" t="str">
        <f t="shared" si="387"/>
        <v/>
      </c>
      <c r="BC581" s="51" t="str">
        <f t="shared" si="388"/>
        <v/>
      </c>
      <c r="BD581" s="51" t="str">
        <f t="shared" si="389"/>
        <v/>
      </c>
      <c r="BE581" s="51" t="str">
        <f t="shared" si="390"/>
        <v/>
      </c>
      <c r="BF581" s="51" t="str">
        <f t="shared" si="391"/>
        <v/>
      </c>
      <c r="BG581" s="51" t="str">
        <f t="shared" si="392"/>
        <v/>
      </c>
      <c r="BH581" s="51" t="b">
        <f t="shared" si="393"/>
        <v>0</v>
      </c>
      <c r="BI581" s="51" t="str">
        <f t="shared" si="394"/>
        <v/>
      </c>
      <c r="BJ581" s="51" t="str">
        <f t="shared" si="395"/>
        <v/>
      </c>
      <c r="BK581" s="51" t="b">
        <f t="shared" si="396"/>
        <v>0</v>
      </c>
      <c r="BL581" s="192"/>
    </row>
    <row r="582" spans="1:64" ht="13.5" thickBot="1" x14ac:dyDescent="0.25">
      <c r="A582" s="185" t="s">
        <v>1257</v>
      </c>
      <c r="B582" s="194" t="s">
        <v>695</v>
      </c>
      <c r="C582" s="194" t="s">
        <v>695</v>
      </c>
      <c r="D582" s="194" t="s">
        <v>695</v>
      </c>
      <c r="E582" s="193" t="s">
        <v>694</v>
      </c>
      <c r="F582" s="160" t="s">
        <v>20</v>
      </c>
      <c r="G582" s="161"/>
      <c r="H582" s="186" t="str">
        <f t="shared" si="354"/>
        <v>N/A</v>
      </c>
      <c r="I582" s="186" t="b">
        <f t="shared" si="355"/>
        <v>1</v>
      </c>
      <c r="J582" s="186" t="str">
        <f t="shared" si="356"/>
        <v>N/A</v>
      </c>
      <c r="K582" s="186" t="b">
        <f t="shared" si="357"/>
        <v>1</v>
      </c>
      <c r="L582" s="186" t="str">
        <f t="shared" si="358"/>
        <v>N/A</v>
      </c>
      <c r="M582" s="186" t="b">
        <f t="shared" si="359"/>
        <v>1</v>
      </c>
      <c r="N582" s="186" t="str">
        <f t="shared" si="360"/>
        <v>Used?</v>
      </c>
      <c r="O582" s="186" t="b">
        <f t="shared" si="361"/>
        <v>0</v>
      </c>
      <c r="P582" s="26" t="s">
        <v>696</v>
      </c>
      <c r="Q582" s="160" t="s">
        <v>20</v>
      </c>
      <c r="R582" s="160" t="s">
        <v>20</v>
      </c>
      <c r="S582" s="26" t="s">
        <v>697</v>
      </c>
      <c r="T582" s="165" t="str">
        <f t="shared" si="362"/>
        <v>Not Used</v>
      </c>
      <c r="U582" s="162"/>
      <c r="V582" s="55"/>
      <c r="W582" s="51" t="b">
        <f t="shared" si="363"/>
        <v>1</v>
      </c>
      <c r="X582" s="51" t="str">
        <f t="shared" si="364"/>
        <v>Not Used</v>
      </c>
      <c r="Y582" s="51" t="str">
        <f t="shared" si="365"/>
        <v>Not Used</v>
      </c>
      <c r="Z582" s="51" t="str">
        <f t="shared" si="366"/>
        <v>Not Used</v>
      </c>
      <c r="AA582" s="51" t="str">
        <f t="shared" si="366"/>
        <v>Not Used</v>
      </c>
      <c r="AB582" s="51" t="str">
        <f t="shared" si="367"/>
        <v>Not Used</v>
      </c>
      <c r="AC582" s="51" t="b">
        <f t="shared" si="368"/>
        <v>1</v>
      </c>
      <c r="AD582" s="51">
        <f>COUNTIF($X$5:$X$582, "Not Used")</f>
        <v>578</v>
      </c>
      <c r="AE582" s="51">
        <f>COUNTIF($X$5:$X$582, "TRUE")</f>
        <v>0</v>
      </c>
      <c r="AF582" s="51" t="b">
        <f t="shared" si="369"/>
        <v>1</v>
      </c>
      <c r="AI582" s="51" t="b">
        <f t="shared" si="370"/>
        <v>0</v>
      </c>
      <c r="AJ582" s="51" t="b">
        <f t="shared" si="371"/>
        <v>0</v>
      </c>
      <c r="AK582" s="51" t="b">
        <f t="shared" si="372"/>
        <v>0</v>
      </c>
      <c r="AL582" s="51" t="b">
        <f t="shared" si="373"/>
        <v>0</v>
      </c>
      <c r="AM582" s="51" t="b">
        <f t="shared" si="374"/>
        <v>0</v>
      </c>
      <c r="AN582" s="51"/>
      <c r="AO582" s="51" t="b">
        <f t="shared" si="375"/>
        <v>0</v>
      </c>
      <c r="AP582" s="51" t="str">
        <f t="shared" si="397"/>
        <v>Not in MMS</v>
      </c>
      <c r="AQ582" s="51" t="b">
        <f t="shared" si="376"/>
        <v>0</v>
      </c>
      <c r="AR582" s="51" t="b">
        <f t="shared" si="377"/>
        <v>0</v>
      </c>
      <c r="AS582" s="51" t="str">
        <f t="shared" si="378"/>
        <v/>
      </c>
      <c r="AT582" s="51" t="str">
        <f t="shared" si="379"/>
        <v/>
      </c>
      <c r="AU582" s="51" t="str">
        <f t="shared" si="380"/>
        <v/>
      </c>
      <c r="AV582" s="51" t="str">
        <f t="shared" si="381"/>
        <v/>
      </c>
      <c r="AW582" s="51" t="str">
        <f t="shared" si="382"/>
        <v/>
      </c>
      <c r="AX582" s="51" t="str">
        <f t="shared" si="383"/>
        <v/>
      </c>
      <c r="AY582" s="51" t="str">
        <f t="shared" si="384"/>
        <v/>
      </c>
      <c r="AZ582" s="51" t="str">
        <f t="shared" si="385"/>
        <v/>
      </c>
      <c r="BA582" s="51" t="str">
        <f t="shared" si="386"/>
        <v/>
      </c>
      <c r="BB582" s="51" t="str">
        <f t="shared" si="387"/>
        <v/>
      </c>
      <c r="BC582" s="51" t="str">
        <f t="shared" si="388"/>
        <v/>
      </c>
      <c r="BD582" s="51" t="str">
        <f t="shared" si="389"/>
        <v/>
      </c>
      <c r="BE582" s="51" t="str">
        <f t="shared" si="390"/>
        <v/>
      </c>
      <c r="BF582" s="51" t="str">
        <f t="shared" si="391"/>
        <v/>
      </c>
      <c r="BG582" s="51" t="str">
        <f t="shared" si="392"/>
        <v/>
      </c>
      <c r="BH582" s="51" t="b">
        <f t="shared" si="393"/>
        <v>0</v>
      </c>
      <c r="BI582" s="51" t="str">
        <f t="shared" si="394"/>
        <v/>
      </c>
      <c r="BJ582" s="51" t="str">
        <f t="shared" si="395"/>
        <v/>
      </c>
      <c r="BK582" s="51" t="b">
        <f t="shared" si="396"/>
        <v>0</v>
      </c>
      <c r="BL582" s="192"/>
    </row>
    <row r="583" spans="1:64" ht="13.5" thickBot="1" x14ac:dyDescent="0.25">
      <c r="A583" s="185" t="s">
        <v>1258</v>
      </c>
      <c r="B583" s="194" t="s">
        <v>695</v>
      </c>
      <c r="C583" s="194" t="s">
        <v>695</v>
      </c>
      <c r="D583" s="194" t="s">
        <v>695</v>
      </c>
      <c r="E583" s="193" t="s">
        <v>694</v>
      </c>
      <c r="F583" s="160" t="s">
        <v>20</v>
      </c>
      <c r="G583" s="161"/>
      <c r="H583" s="186" t="str">
        <f t="shared" si="354"/>
        <v>N/A</v>
      </c>
      <c r="I583" s="186" t="b">
        <f t="shared" si="355"/>
        <v>1</v>
      </c>
      <c r="J583" s="186" t="str">
        <f t="shared" si="356"/>
        <v>N/A</v>
      </c>
      <c r="K583" s="186" t="b">
        <f t="shared" si="357"/>
        <v>1</v>
      </c>
      <c r="L583" s="186" t="str">
        <f t="shared" si="358"/>
        <v>N/A</v>
      </c>
      <c r="M583" s="186" t="b">
        <f t="shared" si="359"/>
        <v>1</v>
      </c>
      <c r="N583" s="186" t="str">
        <f t="shared" si="360"/>
        <v>Used?</v>
      </c>
      <c r="O583" s="186" t="b">
        <f t="shared" si="361"/>
        <v>0</v>
      </c>
      <c r="P583" s="26" t="s">
        <v>696</v>
      </c>
      <c r="Q583" s="160" t="s">
        <v>20</v>
      </c>
      <c r="R583" s="160" t="s">
        <v>20</v>
      </c>
      <c r="S583" s="26" t="s">
        <v>697</v>
      </c>
      <c r="T583" s="165" t="str">
        <f t="shared" si="362"/>
        <v>Not Used</v>
      </c>
      <c r="U583" s="162"/>
      <c r="V583" s="55"/>
      <c r="W583" s="51" t="b">
        <f t="shared" si="363"/>
        <v>1</v>
      </c>
      <c r="X583" s="51" t="str">
        <f t="shared" si="364"/>
        <v>Not Used</v>
      </c>
      <c r="Y583" s="51" t="str">
        <f t="shared" si="365"/>
        <v>Not Used</v>
      </c>
      <c r="Z583" s="51" t="str">
        <f t="shared" si="366"/>
        <v>Not Used</v>
      </c>
      <c r="AA583" s="51" t="str">
        <f t="shared" si="366"/>
        <v>Not Used</v>
      </c>
      <c r="AB583" s="51" t="str">
        <f t="shared" si="367"/>
        <v>Not Used</v>
      </c>
      <c r="AC583" s="51" t="b">
        <f t="shared" si="368"/>
        <v>1</v>
      </c>
      <c r="AD583" s="51">
        <f>COUNTIF($X$5:$X$583, "Not Used")</f>
        <v>579</v>
      </c>
      <c r="AE583" s="51">
        <f>COUNTIF($X$5:$X$583, "TRUE")</f>
        <v>0</v>
      </c>
      <c r="AF583" s="51" t="b">
        <f t="shared" si="369"/>
        <v>1</v>
      </c>
      <c r="AI583" s="51" t="b">
        <f t="shared" si="370"/>
        <v>0</v>
      </c>
      <c r="AJ583" s="51" t="b">
        <f t="shared" si="371"/>
        <v>0</v>
      </c>
      <c r="AK583" s="51" t="b">
        <f t="shared" si="372"/>
        <v>0</v>
      </c>
      <c r="AL583" s="51" t="b">
        <f t="shared" si="373"/>
        <v>0</v>
      </c>
      <c r="AM583" s="51" t="b">
        <f t="shared" si="374"/>
        <v>0</v>
      </c>
      <c r="AN583" s="51"/>
      <c r="AO583" s="51" t="b">
        <f t="shared" si="375"/>
        <v>0</v>
      </c>
      <c r="AP583" s="51" t="str">
        <f t="shared" si="397"/>
        <v>Not in MMS</v>
      </c>
      <c r="AQ583" s="51" t="b">
        <f t="shared" si="376"/>
        <v>0</v>
      </c>
      <c r="AR583" s="51" t="b">
        <f t="shared" si="377"/>
        <v>0</v>
      </c>
      <c r="AS583" s="51" t="str">
        <f t="shared" si="378"/>
        <v/>
      </c>
      <c r="AT583" s="51" t="str">
        <f t="shared" si="379"/>
        <v/>
      </c>
      <c r="AU583" s="51" t="str">
        <f t="shared" si="380"/>
        <v/>
      </c>
      <c r="AV583" s="51" t="str">
        <f t="shared" si="381"/>
        <v/>
      </c>
      <c r="AW583" s="51" t="str">
        <f t="shared" si="382"/>
        <v/>
      </c>
      <c r="AX583" s="51" t="str">
        <f t="shared" si="383"/>
        <v/>
      </c>
      <c r="AY583" s="51" t="str">
        <f t="shared" si="384"/>
        <v/>
      </c>
      <c r="AZ583" s="51" t="str">
        <f t="shared" si="385"/>
        <v/>
      </c>
      <c r="BA583" s="51" t="str">
        <f t="shared" si="386"/>
        <v/>
      </c>
      <c r="BB583" s="51" t="str">
        <f t="shared" si="387"/>
        <v/>
      </c>
      <c r="BC583" s="51" t="str">
        <f t="shared" si="388"/>
        <v/>
      </c>
      <c r="BD583" s="51" t="str">
        <f t="shared" si="389"/>
        <v/>
      </c>
      <c r="BE583" s="51" t="str">
        <f t="shared" si="390"/>
        <v/>
      </c>
      <c r="BF583" s="51" t="str">
        <f t="shared" si="391"/>
        <v/>
      </c>
      <c r="BG583" s="51" t="str">
        <f t="shared" si="392"/>
        <v/>
      </c>
      <c r="BH583" s="51" t="b">
        <f t="shared" si="393"/>
        <v>0</v>
      </c>
      <c r="BI583" s="51" t="str">
        <f t="shared" si="394"/>
        <v/>
      </c>
      <c r="BJ583" s="51" t="str">
        <f t="shared" si="395"/>
        <v/>
      </c>
      <c r="BK583" s="51" t="b">
        <f t="shared" si="396"/>
        <v>0</v>
      </c>
      <c r="BL583" s="192"/>
    </row>
    <row r="584" spans="1:64" ht="13.5" thickBot="1" x14ac:dyDescent="0.25">
      <c r="A584" s="185" t="s">
        <v>1259</v>
      </c>
      <c r="B584" s="194" t="s">
        <v>695</v>
      </c>
      <c r="C584" s="194" t="s">
        <v>695</v>
      </c>
      <c r="D584" s="194" t="s">
        <v>695</v>
      </c>
      <c r="E584" s="193" t="s">
        <v>694</v>
      </c>
      <c r="F584" s="160" t="s">
        <v>20</v>
      </c>
      <c r="G584" s="161"/>
      <c r="H584" s="186" t="str">
        <f t="shared" si="354"/>
        <v>N/A</v>
      </c>
      <c r="I584" s="186" t="b">
        <f t="shared" si="355"/>
        <v>1</v>
      </c>
      <c r="J584" s="186" t="str">
        <f t="shared" si="356"/>
        <v>N/A</v>
      </c>
      <c r="K584" s="186" t="b">
        <f t="shared" si="357"/>
        <v>1</v>
      </c>
      <c r="L584" s="186" t="str">
        <f t="shared" si="358"/>
        <v>N/A</v>
      </c>
      <c r="M584" s="186" t="b">
        <f t="shared" si="359"/>
        <v>1</v>
      </c>
      <c r="N584" s="186" t="str">
        <f t="shared" si="360"/>
        <v>Used?</v>
      </c>
      <c r="O584" s="186" t="b">
        <f t="shared" si="361"/>
        <v>0</v>
      </c>
      <c r="P584" s="26" t="s">
        <v>696</v>
      </c>
      <c r="Q584" s="160" t="s">
        <v>20</v>
      </c>
      <c r="R584" s="160" t="s">
        <v>20</v>
      </c>
      <c r="S584" s="26" t="s">
        <v>697</v>
      </c>
      <c r="T584" s="165" t="str">
        <f t="shared" si="362"/>
        <v>Not Used</v>
      </c>
      <c r="U584" s="162"/>
      <c r="V584" s="55"/>
      <c r="W584" s="51" t="b">
        <f t="shared" si="363"/>
        <v>1</v>
      </c>
      <c r="X584" s="51" t="str">
        <f t="shared" si="364"/>
        <v>Not Used</v>
      </c>
      <c r="Y584" s="51" t="str">
        <f t="shared" si="365"/>
        <v>Not Used</v>
      </c>
      <c r="Z584" s="51" t="str">
        <f t="shared" si="366"/>
        <v>Not Used</v>
      </c>
      <c r="AA584" s="51" t="str">
        <f t="shared" si="366"/>
        <v>Not Used</v>
      </c>
      <c r="AB584" s="51" t="str">
        <f t="shared" si="367"/>
        <v>Not Used</v>
      </c>
      <c r="AC584" s="51" t="b">
        <f t="shared" si="368"/>
        <v>1</v>
      </c>
      <c r="AD584" s="51">
        <f>COUNTIF($X$5:$X$584, "Not Used")</f>
        <v>580</v>
      </c>
      <c r="AE584" s="51">
        <f>COUNTIF($X$5:$X$584, "TRUE")</f>
        <v>0</v>
      </c>
      <c r="AF584" s="51" t="b">
        <f t="shared" si="369"/>
        <v>1</v>
      </c>
      <c r="AI584" s="51" t="b">
        <f t="shared" si="370"/>
        <v>0</v>
      </c>
      <c r="AJ584" s="51" t="b">
        <f t="shared" si="371"/>
        <v>0</v>
      </c>
      <c r="AK584" s="51" t="b">
        <f t="shared" si="372"/>
        <v>0</v>
      </c>
      <c r="AL584" s="51" t="b">
        <f t="shared" si="373"/>
        <v>0</v>
      </c>
      <c r="AM584" s="51" t="b">
        <f t="shared" si="374"/>
        <v>0</v>
      </c>
      <c r="AN584" s="51"/>
      <c r="AO584" s="51" t="b">
        <f t="shared" si="375"/>
        <v>0</v>
      </c>
      <c r="AP584" s="51" t="str">
        <f t="shared" si="397"/>
        <v>Not in MMS</v>
      </c>
      <c r="AQ584" s="51" t="b">
        <f t="shared" si="376"/>
        <v>0</v>
      </c>
      <c r="AR584" s="51" t="b">
        <f t="shared" si="377"/>
        <v>0</v>
      </c>
      <c r="AS584" s="51" t="str">
        <f t="shared" si="378"/>
        <v/>
      </c>
      <c r="AT584" s="51" t="str">
        <f t="shared" si="379"/>
        <v/>
      </c>
      <c r="AU584" s="51" t="str">
        <f t="shared" si="380"/>
        <v/>
      </c>
      <c r="AV584" s="51" t="str">
        <f t="shared" si="381"/>
        <v/>
      </c>
      <c r="AW584" s="51" t="str">
        <f t="shared" si="382"/>
        <v/>
      </c>
      <c r="AX584" s="51" t="str">
        <f t="shared" si="383"/>
        <v/>
      </c>
      <c r="AY584" s="51" t="str">
        <f t="shared" si="384"/>
        <v/>
      </c>
      <c r="AZ584" s="51" t="str">
        <f t="shared" si="385"/>
        <v/>
      </c>
      <c r="BA584" s="51" t="str">
        <f t="shared" si="386"/>
        <v/>
      </c>
      <c r="BB584" s="51" t="str">
        <f t="shared" si="387"/>
        <v/>
      </c>
      <c r="BC584" s="51" t="str">
        <f t="shared" si="388"/>
        <v/>
      </c>
      <c r="BD584" s="51" t="str">
        <f t="shared" si="389"/>
        <v/>
      </c>
      <c r="BE584" s="51" t="str">
        <f t="shared" si="390"/>
        <v/>
      </c>
      <c r="BF584" s="51" t="str">
        <f t="shared" si="391"/>
        <v/>
      </c>
      <c r="BG584" s="51" t="str">
        <f t="shared" si="392"/>
        <v/>
      </c>
      <c r="BH584" s="51" t="b">
        <f t="shared" si="393"/>
        <v>0</v>
      </c>
      <c r="BI584" s="51" t="str">
        <f t="shared" si="394"/>
        <v/>
      </c>
      <c r="BJ584" s="51" t="str">
        <f t="shared" si="395"/>
        <v/>
      </c>
      <c r="BK584" s="51" t="b">
        <f t="shared" si="396"/>
        <v>0</v>
      </c>
      <c r="BL584" s="192"/>
    </row>
    <row r="585" spans="1:64" ht="13.5" thickBot="1" x14ac:dyDescent="0.25">
      <c r="A585" s="185" t="s">
        <v>1260</v>
      </c>
      <c r="B585" s="194" t="s">
        <v>695</v>
      </c>
      <c r="C585" s="194" t="s">
        <v>695</v>
      </c>
      <c r="D585" s="194" t="s">
        <v>695</v>
      </c>
      <c r="E585" s="193" t="s">
        <v>694</v>
      </c>
      <c r="F585" s="160" t="s">
        <v>20</v>
      </c>
      <c r="G585" s="161"/>
      <c r="H585" s="186" t="str">
        <f t="shared" si="354"/>
        <v>N/A</v>
      </c>
      <c r="I585" s="186" t="b">
        <f t="shared" si="355"/>
        <v>1</v>
      </c>
      <c r="J585" s="186" t="str">
        <f t="shared" si="356"/>
        <v>N/A</v>
      </c>
      <c r="K585" s="186" t="b">
        <f t="shared" si="357"/>
        <v>1</v>
      </c>
      <c r="L585" s="186" t="str">
        <f t="shared" si="358"/>
        <v>N/A</v>
      </c>
      <c r="M585" s="186" t="b">
        <f t="shared" si="359"/>
        <v>1</v>
      </c>
      <c r="N585" s="186" t="str">
        <f t="shared" si="360"/>
        <v>Used?</v>
      </c>
      <c r="O585" s="186" t="b">
        <f t="shared" si="361"/>
        <v>0</v>
      </c>
      <c r="P585" s="26" t="s">
        <v>696</v>
      </c>
      <c r="Q585" s="160" t="s">
        <v>20</v>
      </c>
      <c r="R585" s="160" t="s">
        <v>20</v>
      </c>
      <c r="S585" s="26" t="s">
        <v>697</v>
      </c>
      <c r="T585" s="165" t="str">
        <f t="shared" si="362"/>
        <v>Not Used</v>
      </c>
      <c r="U585" s="162"/>
      <c r="V585" s="55"/>
      <c r="W585" s="51" t="b">
        <f t="shared" si="363"/>
        <v>1</v>
      </c>
      <c r="X585" s="51" t="str">
        <f t="shared" si="364"/>
        <v>Not Used</v>
      </c>
      <c r="Y585" s="51" t="str">
        <f t="shared" si="365"/>
        <v>Not Used</v>
      </c>
      <c r="Z585" s="51" t="str">
        <f t="shared" si="366"/>
        <v>Not Used</v>
      </c>
      <c r="AA585" s="51" t="str">
        <f t="shared" si="366"/>
        <v>Not Used</v>
      </c>
      <c r="AB585" s="51" t="str">
        <f t="shared" si="367"/>
        <v>Not Used</v>
      </c>
      <c r="AC585" s="51" t="b">
        <f t="shared" si="368"/>
        <v>1</v>
      </c>
      <c r="AD585" s="51">
        <f>COUNTIF($X$5:$X$585, "Not Used")</f>
        <v>581</v>
      </c>
      <c r="AE585" s="51">
        <f>COUNTIF($X$5:$X$585, "TRUE")</f>
        <v>0</v>
      </c>
      <c r="AF585" s="51" t="b">
        <f t="shared" si="369"/>
        <v>1</v>
      </c>
      <c r="AI585" s="51" t="b">
        <f t="shared" si="370"/>
        <v>0</v>
      </c>
      <c r="AJ585" s="51" t="b">
        <f t="shared" si="371"/>
        <v>0</v>
      </c>
      <c r="AK585" s="51" t="b">
        <f t="shared" si="372"/>
        <v>0</v>
      </c>
      <c r="AL585" s="51" t="b">
        <f t="shared" si="373"/>
        <v>0</v>
      </c>
      <c r="AM585" s="51" t="b">
        <f t="shared" si="374"/>
        <v>0</v>
      </c>
      <c r="AN585" s="51"/>
      <c r="AO585" s="51" t="b">
        <f t="shared" si="375"/>
        <v>0</v>
      </c>
      <c r="AP585" s="51" t="str">
        <f t="shared" si="397"/>
        <v>Not in MMS</v>
      </c>
      <c r="AQ585" s="51" t="b">
        <f t="shared" si="376"/>
        <v>0</v>
      </c>
      <c r="AR585" s="51" t="b">
        <f t="shared" si="377"/>
        <v>0</v>
      </c>
      <c r="AS585" s="51" t="str">
        <f t="shared" si="378"/>
        <v/>
      </c>
      <c r="AT585" s="51" t="str">
        <f t="shared" si="379"/>
        <v/>
      </c>
      <c r="AU585" s="51" t="str">
        <f t="shared" si="380"/>
        <v/>
      </c>
      <c r="AV585" s="51" t="str">
        <f t="shared" si="381"/>
        <v/>
      </c>
      <c r="AW585" s="51" t="str">
        <f t="shared" si="382"/>
        <v/>
      </c>
      <c r="AX585" s="51" t="str">
        <f t="shared" si="383"/>
        <v/>
      </c>
      <c r="AY585" s="51" t="str">
        <f t="shared" si="384"/>
        <v/>
      </c>
      <c r="AZ585" s="51" t="str">
        <f t="shared" si="385"/>
        <v/>
      </c>
      <c r="BA585" s="51" t="str">
        <f t="shared" si="386"/>
        <v/>
      </c>
      <c r="BB585" s="51" t="str">
        <f t="shared" si="387"/>
        <v/>
      </c>
      <c r="BC585" s="51" t="str">
        <f t="shared" si="388"/>
        <v/>
      </c>
      <c r="BD585" s="51" t="str">
        <f t="shared" si="389"/>
        <v/>
      </c>
      <c r="BE585" s="51" t="str">
        <f t="shared" si="390"/>
        <v/>
      </c>
      <c r="BF585" s="51" t="str">
        <f t="shared" si="391"/>
        <v/>
      </c>
      <c r="BG585" s="51" t="str">
        <f t="shared" si="392"/>
        <v/>
      </c>
      <c r="BH585" s="51" t="b">
        <f t="shared" si="393"/>
        <v>0</v>
      </c>
      <c r="BI585" s="51" t="str">
        <f t="shared" si="394"/>
        <v/>
      </c>
      <c r="BJ585" s="51" t="str">
        <f t="shared" si="395"/>
        <v/>
      </c>
      <c r="BK585" s="51" t="b">
        <f t="shared" si="396"/>
        <v>0</v>
      </c>
      <c r="BL585" s="192"/>
    </row>
    <row r="586" spans="1:64" ht="13.5" thickBot="1" x14ac:dyDescent="0.25">
      <c r="A586" s="185" t="s">
        <v>1261</v>
      </c>
      <c r="B586" s="194" t="s">
        <v>695</v>
      </c>
      <c r="C586" s="194" t="s">
        <v>695</v>
      </c>
      <c r="D586" s="194" t="s">
        <v>695</v>
      </c>
      <c r="E586" s="193" t="s">
        <v>694</v>
      </c>
      <c r="F586" s="160" t="s">
        <v>20</v>
      </c>
      <c r="G586" s="161"/>
      <c r="H586" s="186" t="str">
        <f t="shared" si="354"/>
        <v>N/A</v>
      </c>
      <c r="I586" s="186" t="b">
        <f t="shared" si="355"/>
        <v>1</v>
      </c>
      <c r="J586" s="186" t="str">
        <f t="shared" si="356"/>
        <v>N/A</v>
      </c>
      <c r="K586" s="186" t="b">
        <f t="shared" si="357"/>
        <v>1</v>
      </c>
      <c r="L586" s="186" t="str">
        <f t="shared" si="358"/>
        <v>N/A</v>
      </c>
      <c r="M586" s="186" t="b">
        <f t="shared" si="359"/>
        <v>1</v>
      </c>
      <c r="N586" s="186" t="str">
        <f t="shared" si="360"/>
        <v>Used?</v>
      </c>
      <c r="O586" s="186" t="b">
        <f t="shared" si="361"/>
        <v>0</v>
      </c>
      <c r="P586" s="26" t="s">
        <v>696</v>
      </c>
      <c r="Q586" s="160" t="s">
        <v>20</v>
      </c>
      <c r="R586" s="160" t="s">
        <v>20</v>
      </c>
      <c r="S586" s="26" t="s">
        <v>697</v>
      </c>
      <c r="T586" s="165" t="str">
        <f t="shared" si="362"/>
        <v>Not Used</v>
      </c>
      <c r="U586" s="162"/>
      <c r="V586" s="55"/>
      <c r="W586" s="51" t="b">
        <f t="shared" si="363"/>
        <v>1</v>
      </c>
      <c r="X586" s="51" t="str">
        <f t="shared" si="364"/>
        <v>Not Used</v>
      </c>
      <c r="Y586" s="51" t="str">
        <f t="shared" si="365"/>
        <v>Not Used</v>
      </c>
      <c r="Z586" s="51" t="str">
        <f t="shared" si="366"/>
        <v>Not Used</v>
      </c>
      <c r="AA586" s="51" t="str">
        <f t="shared" si="366"/>
        <v>Not Used</v>
      </c>
      <c r="AB586" s="51" t="str">
        <f t="shared" si="367"/>
        <v>Not Used</v>
      </c>
      <c r="AC586" s="51" t="b">
        <f t="shared" si="368"/>
        <v>1</v>
      </c>
      <c r="AD586" s="51">
        <f>COUNTIF($X$5:$X$586, "Not Used")</f>
        <v>582</v>
      </c>
      <c r="AE586" s="51">
        <f>COUNTIF($X$5:$X$586, "TRUE")</f>
        <v>0</v>
      </c>
      <c r="AF586" s="51" t="b">
        <f t="shared" si="369"/>
        <v>1</v>
      </c>
      <c r="AI586" s="51" t="b">
        <f t="shared" si="370"/>
        <v>0</v>
      </c>
      <c r="AJ586" s="51" t="b">
        <f t="shared" si="371"/>
        <v>0</v>
      </c>
      <c r="AK586" s="51" t="b">
        <f t="shared" si="372"/>
        <v>0</v>
      </c>
      <c r="AL586" s="51" t="b">
        <f t="shared" si="373"/>
        <v>0</v>
      </c>
      <c r="AM586" s="51" t="b">
        <f t="shared" si="374"/>
        <v>0</v>
      </c>
      <c r="AN586" s="51"/>
      <c r="AO586" s="51" t="b">
        <f t="shared" si="375"/>
        <v>0</v>
      </c>
      <c r="AP586" s="51" t="str">
        <f t="shared" si="397"/>
        <v>Not in MMS</v>
      </c>
      <c r="AQ586" s="51" t="b">
        <f t="shared" si="376"/>
        <v>0</v>
      </c>
      <c r="AR586" s="51" t="b">
        <f t="shared" si="377"/>
        <v>0</v>
      </c>
      <c r="AS586" s="51" t="str">
        <f t="shared" si="378"/>
        <v/>
      </c>
      <c r="AT586" s="51" t="str">
        <f t="shared" si="379"/>
        <v/>
      </c>
      <c r="AU586" s="51" t="str">
        <f t="shared" si="380"/>
        <v/>
      </c>
      <c r="AV586" s="51" t="str">
        <f t="shared" si="381"/>
        <v/>
      </c>
      <c r="AW586" s="51" t="str">
        <f t="shared" si="382"/>
        <v/>
      </c>
      <c r="AX586" s="51" t="str">
        <f t="shared" si="383"/>
        <v/>
      </c>
      <c r="AY586" s="51" t="str">
        <f t="shared" si="384"/>
        <v/>
      </c>
      <c r="AZ586" s="51" t="str">
        <f t="shared" si="385"/>
        <v/>
      </c>
      <c r="BA586" s="51" t="str">
        <f t="shared" si="386"/>
        <v/>
      </c>
      <c r="BB586" s="51" t="str">
        <f t="shared" si="387"/>
        <v/>
      </c>
      <c r="BC586" s="51" t="str">
        <f t="shared" si="388"/>
        <v/>
      </c>
      <c r="BD586" s="51" t="str">
        <f t="shared" si="389"/>
        <v/>
      </c>
      <c r="BE586" s="51" t="str">
        <f t="shared" si="390"/>
        <v/>
      </c>
      <c r="BF586" s="51" t="str">
        <f t="shared" si="391"/>
        <v/>
      </c>
      <c r="BG586" s="51" t="str">
        <f t="shared" si="392"/>
        <v/>
      </c>
      <c r="BH586" s="51" t="b">
        <f t="shared" si="393"/>
        <v>0</v>
      </c>
      <c r="BI586" s="51" t="str">
        <f t="shared" si="394"/>
        <v/>
      </c>
      <c r="BJ586" s="51" t="str">
        <f t="shared" si="395"/>
        <v/>
      </c>
      <c r="BK586" s="51" t="b">
        <f t="shared" si="396"/>
        <v>0</v>
      </c>
      <c r="BL586" s="192"/>
    </row>
    <row r="587" spans="1:64" ht="13.5" thickBot="1" x14ac:dyDescent="0.25">
      <c r="A587" s="185" t="s">
        <v>1262</v>
      </c>
      <c r="B587" s="194" t="s">
        <v>695</v>
      </c>
      <c r="C587" s="194" t="s">
        <v>695</v>
      </c>
      <c r="D587" s="194" t="s">
        <v>695</v>
      </c>
      <c r="E587" s="193" t="s">
        <v>694</v>
      </c>
      <c r="F587" s="160" t="s">
        <v>20</v>
      </c>
      <c r="G587" s="161"/>
      <c r="H587" s="186" t="str">
        <f t="shared" si="354"/>
        <v>N/A</v>
      </c>
      <c r="I587" s="186" t="b">
        <f t="shared" si="355"/>
        <v>1</v>
      </c>
      <c r="J587" s="186" t="str">
        <f t="shared" si="356"/>
        <v>N/A</v>
      </c>
      <c r="K587" s="186" t="b">
        <f t="shared" si="357"/>
        <v>1</v>
      </c>
      <c r="L587" s="186" t="str">
        <f t="shared" si="358"/>
        <v>N/A</v>
      </c>
      <c r="M587" s="186" t="b">
        <f t="shared" si="359"/>
        <v>1</v>
      </c>
      <c r="N587" s="186" t="str">
        <f t="shared" si="360"/>
        <v>Used?</v>
      </c>
      <c r="O587" s="186" t="b">
        <f t="shared" si="361"/>
        <v>0</v>
      </c>
      <c r="P587" s="26" t="s">
        <v>696</v>
      </c>
      <c r="Q587" s="160" t="s">
        <v>20</v>
      </c>
      <c r="R587" s="160" t="s">
        <v>20</v>
      </c>
      <c r="S587" s="26" t="s">
        <v>697</v>
      </c>
      <c r="T587" s="165" t="str">
        <f t="shared" si="362"/>
        <v>Not Used</v>
      </c>
      <c r="U587" s="162"/>
      <c r="V587" s="55"/>
      <c r="W587" s="51" t="b">
        <f t="shared" si="363"/>
        <v>1</v>
      </c>
      <c r="X587" s="51" t="str">
        <f t="shared" si="364"/>
        <v>Not Used</v>
      </c>
      <c r="Y587" s="51" t="str">
        <f t="shared" si="365"/>
        <v>Not Used</v>
      </c>
      <c r="Z587" s="51" t="str">
        <f t="shared" si="366"/>
        <v>Not Used</v>
      </c>
      <c r="AA587" s="51" t="str">
        <f t="shared" si="366"/>
        <v>Not Used</v>
      </c>
      <c r="AB587" s="51" t="str">
        <f t="shared" si="367"/>
        <v>Not Used</v>
      </c>
      <c r="AC587" s="51" t="b">
        <f t="shared" si="368"/>
        <v>1</v>
      </c>
      <c r="AD587" s="51">
        <f>COUNTIF($X$5:$X$587, "Not Used")</f>
        <v>583</v>
      </c>
      <c r="AE587" s="51">
        <f>COUNTIF($X$5:$X$587, "TRUE")</f>
        <v>0</v>
      </c>
      <c r="AF587" s="51" t="b">
        <f t="shared" si="369"/>
        <v>1</v>
      </c>
      <c r="AI587" s="51" t="b">
        <f t="shared" si="370"/>
        <v>0</v>
      </c>
      <c r="AJ587" s="51" t="b">
        <f t="shared" si="371"/>
        <v>0</v>
      </c>
      <c r="AK587" s="51" t="b">
        <f t="shared" si="372"/>
        <v>0</v>
      </c>
      <c r="AL587" s="51" t="b">
        <f t="shared" si="373"/>
        <v>0</v>
      </c>
      <c r="AM587" s="51" t="b">
        <f t="shared" si="374"/>
        <v>0</v>
      </c>
      <c r="AN587" s="51"/>
      <c r="AO587" s="51" t="b">
        <f t="shared" si="375"/>
        <v>0</v>
      </c>
      <c r="AP587" s="51" t="str">
        <f t="shared" si="397"/>
        <v>Not in MMS</v>
      </c>
      <c r="AQ587" s="51" t="b">
        <f t="shared" si="376"/>
        <v>0</v>
      </c>
      <c r="AR587" s="51" t="b">
        <f t="shared" si="377"/>
        <v>0</v>
      </c>
      <c r="AS587" s="51" t="str">
        <f t="shared" si="378"/>
        <v/>
      </c>
      <c r="AT587" s="51" t="str">
        <f t="shared" si="379"/>
        <v/>
      </c>
      <c r="AU587" s="51" t="str">
        <f t="shared" si="380"/>
        <v/>
      </c>
      <c r="AV587" s="51" t="str">
        <f t="shared" si="381"/>
        <v/>
      </c>
      <c r="AW587" s="51" t="str">
        <f t="shared" si="382"/>
        <v/>
      </c>
      <c r="AX587" s="51" t="str">
        <f t="shared" si="383"/>
        <v/>
      </c>
      <c r="AY587" s="51" t="str">
        <f t="shared" si="384"/>
        <v/>
      </c>
      <c r="AZ587" s="51" t="str">
        <f t="shared" si="385"/>
        <v/>
      </c>
      <c r="BA587" s="51" t="str">
        <f t="shared" si="386"/>
        <v/>
      </c>
      <c r="BB587" s="51" t="str">
        <f t="shared" si="387"/>
        <v/>
      </c>
      <c r="BC587" s="51" t="str">
        <f t="shared" si="388"/>
        <v/>
      </c>
      <c r="BD587" s="51" t="str">
        <f t="shared" si="389"/>
        <v/>
      </c>
      <c r="BE587" s="51" t="str">
        <f t="shared" si="390"/>
        <v/>
      </c>
      <c r="BF587" s="51" t="str">
        <f t="shared" si="391"/>
        <v/>
      </c>
      <c r="BG587" s="51" t="str">
        <f t="shared" si="392"/>
        <v/>
      </c>
      <c r="BH587" s="51" t="b">
        <f t="shared" si="393"/>
        <v>0</v>
      </c>
      <c r="BI587" s="51" t="str">
        <f t="shared" si="394"/>
        <v/>
      </c>
      <c r="BJ587" s="51" t="str">
        <f t="shared" si="395"/>
        <v/>
      </c>
      <c r="BK587" s="51" t="b">
        <f t="shared" si="396"/>
        <v>0</v>
      </c>
      <c r="BL587" s="192"/>
    </row>
    <row r="588" spans="1:64" ht="13.5" thickBot="1" x14ac:dyDescent="0.25">
      <c r="A588" s="185" t="s">
        <v>1263</v>
      </c>
      <c r="B588" s="194" t="s">
        <v>695</v>
      </c>
      <c r="C588" s="194" t="s">
        <v>695</v>
      </c>
      <c r="D588" s="194" t="s">
        <v>695</v>
      </c>
      <c r="E588" s="193" t="s">
        <v>694</v>
      </c>
      <c r="F588" s="160" t="s">
        <v>20</v>
      </c>
      <c r="G588" s="161"/>
      <c r="H588" s="186" t="str">
        <f t="shared" si="354"/>
        <v>N/A</v>
      </c>
      <c r="I588" s="186" t="b">
        <f t="shared" si="355"/>
        <v>1</v>
      </c>
      <c r="J588" s="186" t="str">
        <f t="shared" si="356"/>
        <v>N/A</v>
      </c>
      <c r="K588" s="186" t="b">
        <f t="shared" si="357"/>
        <v>1</v>
      </c>
      <c r="L588" s="186" t="str">
        <f t="shared" si="358"/>
        <v>N/A</v>
      </c>
      <c r="M588" s="186" t="b">
        <f t="shared" si="359"/>
        <v>1</v>
      </c>
      <c r="N588" s="186" t="str">
        <f t="shared" si="360"/>
        <v>Used?</v>
      </c>
      <c r="O588" s="186" t="b">
        <f t="shared" si="361"/>
        <v>0</v>
      </c>
      <c r="P588" s="26" t="s">
        <v>696</v>
      </c>
      <c r="Q588" s="160" t="s">
        <v>20</v>
      </c>
      <c r="R588" s="160" t="s">
        <v>20</v>
      </c>
      <c r="S588" s="26" t="s">
        <v>697</v>
      </c>
      <c r="T588" s="165" t="str">
        <f t="shared" si="362"/>
        <v>Not Used</v>
      </c>
      <c r="U588" s="162"/>
      <c r="V588" s="55"/>
      <c r="W588" s="51" t="b">
        <f t="shared" si="363"/>
        <v>1</v>
      </c>
      <c r="X588" s="51" t="str">
        <f t="shared" si="364"/>
        <v>Not Used</v>
      </c>
      <c r="Y588" s="51" t="str">
        <f t="shared" si="365"/>
        <v>Not Used</v>
      </c>
      <c r="Z588" s="51" t="str">
        <f t="shared" si="366"/>
        <v>Not Used</v>
      </c>
      <c r="AA588" s="51" t="str">
        <f t="shared" si="366"/>
        <v>Not Used</v>
      </c>
      <c r="AB588" s="51" t="str">
        <f t="shared" si="367"/>
        <v>Not Used</v>
      </c>
      <c r="AC588" s="51" t="b">
        <f t="shared" si="368"/>
        <v>1</v>
      </c>
      <c r="AD588" s="51">
        <f>COUNTIF($X$5:$X$588, "Not Used")</f>
        <v>584</v>
      </c>
      <c r="AE588" s="51">
        <f>COUNTIF($X$5:$X$588, "TRUE")</f>
        <v>0</v>
      </c>
      <c r="AF588" s="51" t="b">
        <f t="shared" si="369"/>
        <v>1</v>
      </c>
      <c r="AI588" s="51" t="b">
        <f t="shared" si="370"/>
        <v>0</v>
      </c>
      <c r="AJ588" s="51" t="b">
        <f t="shared" si="371"/>
        <v>0</v>
      </c>
      <c r="AK588" s="51" t="b">
        <f t="shared" si="372"/>
        <v>0</v>
      </c>
      <c r="AL588" s="51" t="b">
        <f t="shared" si="373"/>
        <v>0</v>
      </c>
      <c r="AM588" s="51" t="b">
        <f t="shared" si="374"/>
        <v>0</v>
      </c>
      <c r="AN588" s="51"/>
      <c r="AO588" s="51" t="b">
        <f t="shared" si="375"/>
        <v>0</v>
      </c>
      <c r="AP588" s="51" t="str">
        <f t="shared" si="397"/>
        <v>Not in MMS</v>
      </c>
      <c r="AQ588" s="51" t="b">
        <f t="shared" si="376"/>
        <v>0</v>
      </c>
      <c r="AR588" s="51" t="b">
        <f t="shared" si="377"/>
        <v>0</v>
      </c>
      <c r="AS588" s="51" t="str">
        <f t="shared" si="378"/>
        <v/>
      </c>
      <c r="AT588" s="51" t="str">
        <f t="shared" si="379"/>
        <v/>
      </c>
      <c r="AU588" s="51" t="str">
        <f t="shared" si="380"/>
        <v/>
      </c>
      <c r="AV588" s="51" t="str">
        <f t="shared" si="381"/>
        <v/>
      </c>
      <c r="AW588" s="51" t="str">
        <f t="shared" si="382"/>
        <v/>
      </c>
      <c r="AX588" s="51" t="str">
        <f t="shared" si="383"/>
        <v/>
      </c>
      <c r="AY588" s="51" t="str">
        <f t="shared" si="384"/>
        <v/>
      </c>
      <c r="AZ588" s="51" t="str">
        <f t="shared" si="385"/>
        <v/>
      </c>
      <c r="BA588" s="51" t="str">
        <f t="shared" si="386"/>
        <v/>
      </c>
      <c r="BB588" s="51" t="str">
        <f t="shared" si="387"/>
        <v/>
      </c>
      <c r="BC588" s="51" t="str">
        <f t="shared" si="388"/>
        <v/>
      </c>
      <c r="BD588" s="51" t="str">
        <f t="shared" si="389"/>
        <v/>
      </c>
      <c r="BE588" s="51" t="str">
        <f t="shared" si="390"/>
        <v/>
      </c>
      <c r="BF588" s="51" t="str">
        <f t="shared" si="391"/>
        <v/>
      </c>
      <c r="BG588" s="51" t="str">
        <f t="shared" si="392"/>
        <v/>
      </c>
      <c r="BH588" s="51" t="b">
        <f t="shared" si="393"/>
        <v>0</v>
      </c>
      <c r="BI588" s="51" t="str">
        <f t="shared" si="394"/>
        <v/>
      </c>
      <c r="BJ588" s="51" t="str">
        <f t="shared" si="395"/>
        <v/>
      </c>
      <c r="BK588" s="51" t="b">
        <f t="shared" si="396"/>
        <v>0</v>
      </c>
      <c r="BL588" s="192"/>
    </row>
    <row r="589" spans="1:64" ht="13.5" thickBot="1" x14ac:dyDescent="0.25">
      <c r="A589" s="185" t="s">
        <v>1264</v>
      </c>
      <c r="B589" s="194" t="s">
        <v>695</v>
      </c>
      <c r="C589" s="194" t="s">
        <v>695</v>
      </c>
      <c r="D589" s="194" t="s">
        <v>695</v>
      </c>
      <c r="E589" s="193" t="s">
        <v>694</v>
      </c>
      <c r="F589" s="160" t="s">
        <v>20</v>
      </c>
      <c r="G589" s="161"/>
      <c r="H589" s="186" t="str">
        <f t="shared" si="354"/>
        <v>N/A</v>
      </c>
      <c r="I589" s="186" t="b">
        <f t="shared" si="355"/>
        <v>1</v>
      </c>
      <c r="J589" s="186" t="str">
        <f t="shared" si="356"/>
        <v>N/A</v>
      </c>
      <c r="K589" s="186" t="b">
        <f t="shared" si="357"/>
        <v>1</v>
      </c>
      <c r="L589" s="186" t="str">
        <f t="shared" si="358"/>
        <v>N/A</v>
      </c>
      <c r="M589" s="186" t="b">
        <f t="shared" si="359"/>
        <v>1</v>
      </c>
      <c r="N589" s="186" t="str">
        <f t="shared" si="360"/>
        <v>Used?</v>
      </c>
      <c r="O589" s="186" t="b">
        <f t="shared" si="361"/>
        <v>0</v>
      </c>
      <c r="P589" s="26" t="s">
        <v>696</v>
      </c>
      <c r="Q589" s="160" t="s">
        <v>20</v>
      </c>
      <c r="R589" s="160" t="s">
        <v>20</v>
      </c>
      <c r="S589" s="26" t="s">
        <v>697</v>
      </c>
      <c r="T589" s="165" t="str">
        <f t="shared" si="362"/>
        <v>Not Used</v>
      </c>
      <c r="U589" s="162"/>
      <c r="V589" s="55"/>
      <c r="W589" s="51" t="b">
        <f t="shared" si="363"/>
        <v>1</v>
      </c>
      <c r="X589" s="51" t="str">
        <f t="shared" si="364"/>
        <v>Not Used</v>
      </c>
      <c r="Y589" s="51" t="str">
        <f t="shared" si="365"/>
        <v>Not Used</v>
      </c>
      <c r="Z589" s="51" t="str">
        <f t="shared" si="366"/>
        <v>Not Used</v>
      </c>
      <c r="AA589" s="51" t="str">
        <f t="shared" si="366"/>
        <v>Not Used</v>
      </c>
      <c r="AB589" s="51" t="str">
        <f t="shared" si="367"/>
        <v>Not Used</v>
      </c>
      <c r="AC589" s="51" t="b">
        <f t="shared" si="368"/>
        <v>1</v>
      </c>
      <c r="AD589" s="51">
        <f>COUNTIF($X$5:$X$589, "Not Used")</f>
        <v>585</v>
      </c>
      <c r="AE589" s="51">
        <f>COUNTIF($X$5:$X$589, "TRUE")</f>
        <v>0</v>
      </c>
      <c r="AF589" s="51" t="b">
        <f t="shared" si="369"/>
        <v>1</v>
      </c>
      <c r="AI589" s="51" t="b">
        <f t="shared" si="370"/>
        <v>0</v>
      </c>
      <c r="AJ589" s="51" t="b">
        <f t="shared" si="371"/>
        <v>0</v>
      </c>
      <c r="AK589" s="51" t="b">
        <f t="shared" si="372"/>
        <v>0</v>
      </c>
      <c r="AL589" s="51" t="b">
        <f t="shared" si="373"/>
        <v>0</v>
      </c>
      <c r="AM589" s="51" t="b">
        <f t="shared" si="374"/>
        <v>0</v>
      </c>
      <c r="AN589" s="51"/>
      <c r="AO589" s="51" t="b">
        <f t="shared" si="375"/>
        <v>0</v>
      </c>
      <c r="AP589" s="51" t="str">
        <f t="shared" si="397"/>
        <v>Not in MMS</v>
      </c>
      <c r="AQ589" s="51" t="b">
        <f t="shared" si="376"/>
        <v>0</v>
      </c>
      <c r="AR589" s="51" t="b">
        <f t="shared" si="377"/>
        <v>0</v>
      </c>
      <c r="AS589" s="51" t="str">
        <f t="shared" si="378"/>
        <v/>
      </c>
      <c r="AT589" s="51" t="str">
        <f t="shared" si="379"/>
        <v/>
      </c>
      <c r="AU589" s="51" t="str">
        <f t="shared" si="380"/>
        <v/>
      </c>
      <c r="AV589" s="51" t="str">
        <f t="shared" si="381"/>
        <v/>
      </c>
      <c r="AW589" s="51" t="str">
        <f t="shared" si="382"/>
        <v/>
      </c>
      <c r="AX589" s="51" t="str">
        <f t="shared" si="383"/>
        <v/>
      </c>
      <c r="AY589" s="51" t="str">
        <f t="shared" si="384"/>
        <v/>
      </c>
      <c r="AZ589" s="51" t="str">
        <f t="shared" si="385"/>
        <v/>
      </c>
      <c r="BA589" s="51" t="str">
        <f t="shared" si="386"/>
        <v/>
      </c>
      <c r="BB589" s="51" t="str">
        <f t="shared" si="387"/>
        <v/>
      </c>
      <c r="BC589" s="51" t="str">
        <f t="shared" si="388"/>
        <v/>
      </c>
      <c r="BD589" s="51" t="str">
        <f t="shared" si="389"/>
        <v/>
      </c>
      <c r="BE589" s="51" t="str">
        <f t="shared" si="390"/>
        <v/>
      </c>
      <c r="BF589" s="51" t="str">
        <f t="shared" si="391"/>
        <v/>
      </c>
      <c r="BG589" s="51" t="str">
        <f t="shared" si="392"/>
        <v/>
      </c>
      <c r="BH589" s="51" t="b">
        <f t="shared" si="393"/>
        <v>0</v>
      </c>
      <c r="BI589" s="51" t="str">
        <f t="shared" si="394"/>
        <v/>
      </c>
      <c r="BJ589" s="51" t="str">
        <f t="shared" si="395"/>
        <v/>
      </c>
      <c r="BK589" s="51" t="b">
        <f t="shared" si="396"/>
        <v>0</v>
      </c>
      <c r="BL589" s="192"/>
    </row>
    <row r="590" spans="1:64" ht="13.5" thickBot="1" x14ac:dyDescent="0.25">
      <c r="A590" s="185" t="s">
        <v>1265</v>
      </c>
      <c r="B590" s="194" t="s">
        <v>695</v>
      </c>
      <c r="C590" s="194" t="s">
        <v>695</v>
      </c>
      <c r="D590" s="194" t="s">
        <v>695</v>
      </c>
      <c r="E590" s="193" t="s">
        <v>694</v>
      </c>
      <c r="F590" s="160" t="s">
        <v>20</v>
      </c>
      <c r="G590" s="161"/>
      <c r="H590" s="186" t="str">
        <f t="shared" si="354"/>
        <v>N/A</v>
      </c>
      <c r="I590" s="186" t="b">
        <f t="shared" si="355"/>
        <v>1</v>
      </c>
      <c r="J590" s="186" t="str">
        <f t="shared" si="356"/>
        <v>N/A</v>
      </c>
      <c r="K590" s="186" t="b">
        <f t="shared" si="357"/>
        <v>1</v>
      </c>
      <c r="L590" s="186" t="str">
        <f t="shared" si="358"/>
        <v>N/A</v>
      </c>
      <c r="M590" s="186" t="b">
        <f t="shared" si="359"/>
        <v>1</v>
      </c>
      <c r="N590" s="186" t="str">
        <f t="shared" si="360"/>
        <v>Used?</v>
      </c>
      <c r="O590" s="186" t="b">
        <f t="shared" si="361"/>
        <v>0</v>
      </c>
      <c r="P590" s="26" t="s">
        <v>696</v>
      </c>
      <c r="Q590" s="160" t="s">
        <v>20</v>
      </c>
      <c r="R590" s="160" t="s">
        <v>20</v>
      </c>
      <c r="S590" s="26" t="s">
        <v>697</v>
      </c>
      <c r="T590" s="165" t="str">
        <f t="shared" si="362"/>
        <v>Not Used</v>
      </c>
      <c r="U590" s="162"/>
      <c r="V590" s="55"/>
      <c r="W590" s="51" t="b">
        <f t="shared" si="363"/>
        <v>1</v>
      </c>
      <c r="X590" s="51" t="str">
        <f t="shared" si="364"/>
        <v>Not Used</v>
      </c>
      <c r="Y590" s="51" t="str">
        <f t="shared" si="365"/>
        <v>Not Used</v>
      </c>
      <c r="Z590" s="51" t="str">
        <f t="shared" si="366"/>
        <v>Not Used</v>
      </c>
      <c r="AA590" s="51" t="str">
        <f t="shared" si="366"/>
        <v>Not Used</v>
      </c>
      <c r="AB590" s="51" t="str">
        <f t="shared" si="367"/>
        <v>Not Used</v>
      </c>
      <c r="AC590" s="51" t="b">
        <f t="shared" si="368"/>
        <v>1</v>
      </c>
      <c r="AD590" s="51">
        <f>COUNTIF($X$5:$X$590, "Not Used")</f>
        <v>586</v>
      </c>
      <c r="AE590" s="51">
        <f>COUNTIF($X$5:$X$590, "TRUE")</f>
        <v>0</v>
      </c>
      <c r="AF590" s="51" t="b">
        <f t="shared" si="369"/>
        <v>1</v>
      </c>
      <c r="AI590" s="51" t="b">
        <f t="shared" si="370"/>
        <v>0</v>
      </c>
      <c r="AJ590" s="51" t="b">
        <f t="shared" si="371"/>
        <v>0</v>
      </c>
      <c r="AK590" s="51" t="b">
        <f t="shared" si="372"/>
        <v>0</v>
      </c>
      <c r="AL590" s="51" t="b">
        <f t="shared" si="373"/>
        <v>0</v>
      </c>
      <c r="AM590" s="51" t="b">
        <f t="shared" si="374"/>
        <v>0</v>
      </c>
      <c r="AN590" s="51"/>
      <c r="AO590" s="51" t="b">
        <f t="shared" si="375"/>
        <v>0</v>
      </c>
      <c r="AP590" s="51" t="str">
        <f t="shared" si="397"/>
        <v>Not in MMS</v>
      </c>
      <c r="AQ590" s="51" t="b">
        <f t="shared" si="376"/>
        <v>0</v>
      </c>
      <c r="AR590" s="51" t="b">
        <f t="shared" si="377"/>
        <v>0</v>
      </c>
      <c r="AS590" s="51" t="str">
        <f t="shared" si="378"/>
        <v/>
      </c>
      <c r="AT590" s="51" t="str">
        <f t="shared" si="379"/>
        <v/>
      </c>
      <c r="AU590" s="51" t="str">
        <f t="shared" si="380"/>
        <v/>
      </c>
      <c r="AV590" s="51" t="str">
        <f t="shared" si="381"/>
        <v/>
      </c>
      <c r="AW590" s="51" t="str">
        <f t="shared" si="382"/>
        <v/>
      </c>
      <c r="AX590" s="51" t="str">
        <f t="shared" si="383"/>
        <v/>
      </c>
      <c r="AY590" s="51" t="str">
        <f t="shared" si="384"/>
        <v/>
      </c>
      <c r="AZ590" s="51" t="str">
        <f t="shared" si="385"/>
        <v/>
      </c>
      <c r="BA590" s="51" t="str">
        <f t="shared" si="386"/>
        <v/>
      </c>
      <c r="BB590" s="51" t="str">
        <f t="shared" si="387"/>
        <v/>
      </c>
      <c r="BC590" s="51" t="str">
        <f t="shared" si="388"/>
        <v/>
      </c>
      <c r="BD590" s="51" t="str">
        <f t="shared" si="389"/>
        <v/>
      </c>
      <c r="BE590" s="51" t="str">
        <f t="shared" si="390"/>
        <v/>
      </c>
      <c r="BF590" s="51" t="str">
        <f t="shared" si="391"/>
        <v/>
      </c>
      <c r="BG590" s="51" t="str">
        <f t="shared" si="392"/>
        <v/>
      </c>
      <c r="BH590" s="51" t="b">
        <f t="shared" si="393"/>
        <v>0</v>
      </c>
      <c r="BI590" s="51" t="str">
        <f t="shared" si="394"/>
        <v/>
      </c>
      <c r="BJ590" s="51" t="str">
        <f t="shared" si="395"/>
        <v/>
      </c>
      <c r="BK590" s="51" t="b">
        <f t="shared" si="396"/>
        <v>0</v>
      </c>
      <c r="BL590" s="192"/>
    </row>
    <row r="591" spans="1:64" ht="13.5" thickBot="1" x14ac:dyDescent="0.25">
      <c r="A591" s="185" t="s">
        <v>1266</v>
      </c>
      <c r="B591" s="194" t="s">
        <v>695</v>
      </c>
      <c r="C591" s="194" t="s">
        <v>695</v>
      </c>
      <c r="D591" s="194" t="s">
        <v>695</v>
      </c>
      <c r="E591" s="193" t="s">
        <v>694</v>
      </c>
      <c r="F591" s="160" t="s">
        <v>20</v>
      </c>
      <c r="G591" s="161"/>
      <c r="H591" s="186" t="str">
        <f t="shared" si="354"/>
        <v>N/A</v>
      </c>
      <c r="I591" s="186" t="b">
        <f t="shared" si="355"/>
        <v>1</v>
      </c>
      <c r="J591" s="186" t="str">
        <f t="shared" si="356"/>
        <v>N/A</v>
      </c>
      <c r="K591" s="186" t="b">
        <f t="shared" si="357"/>
        <v>1</v>
      </c>
      <c r="L591" s="186" t="str">
        <f t="shared" si="358"/>
        <v>N/A</v>
      </c>
      <c r="M591" s="186" t="b">
        <f t="shared" si="359"/>
        <v>1</v>
      </c>
      <c r="N591" s="186" t="str">
        <f t="shared" si="360"/>
        <v>Used?</v>
      </c>
      <c r="O591" s="186" t="b">
        <f t="shared" si="361"/>
        <v>0</v>
      </c>
      <c r="P591" s="26" t="s">
        <v>696</v>
      </c>
      <c r="Q591" s="160" t="s">
        <v>20</v>
      </c>
      <c r="R591" s="160" t="s">
        <v>20</v>
      </c>
      <c r="S591" s="26" t="s">
        <v>697</v>
      </c>
      <c r="T591" s="165" t="str">
        <f t="shared" si="362"/>
        <v>Not Used</v>
      </c>
      <c r="U591" s="162"/>
      <c r="V591" s="55"/>
      <c r="W591" s="51" t="b">
        <f t="shared" si="363"/>
        <v>1</v>
      </c>
      <c r="X591" s="51" t="str">
        <f t="shared" si="364"/>
        <v>Not Used</v>
      </c>
      <c r="Y591" s="51" t="str">
        <f t="shared" si="365"/>
        <v>Not Used</v>
      </c>
      <c r="Z591" s="51" t="str">
        <f t="shared" si="366"/>
        <v>Not Used</v>
      </c>
      <c r="AA591" s="51" t="str">
        <f t="shared" si="366"/>
        <v>Not Used</v>
      </c>
      <c r="AB591" s="51" t="str">
        <f t="shared" si="367"/>
        <v>Not Used</v>
      </c>
      <c r="AC591" s="51" t="b">
        <f t="shared" si="368"/>
        <v>1</v>
      </c>
      <c r="AD591" s="51">
        <f>COUNTIF($X$5:$X$591, "Not Used")</f>
        <v>587</v>
      </c>
      <c r="AE591" s="51">
        <f>COUNTIF($X$5:$X$591, "TRUE")</f>
        <v>0</v>
      </c>
      <c r="AF591" s="51" t="b">
        <f t="shared" si="369"/>
        <v>1</v>
      </c>
      <c r="AI591" s="51" t="b">
        <f t="shared" si="370"/>
        <v>0</v>
      </c>
      <c r="AJ591" s="51" t="b">
        <f t="shared" si="371"/>
        <v>0</v>
      </c>
      <c r="AK591" s="51" t="b">
        <f t="shared" si="372"/>
        <v>0</v>
      </c>
      <c r="AL591" s="51" t="b">
        <f t="shared" si="373"/>
        <v>0</v>
      </c>
      <c r="AM591" s="51" t="b">
        <f t="shared" si="374"/>
        <v>0</v>
      </c>
      <c r="AN591" s="51"/>
      <c r="AO591" s="51" t="b">
        <f t="shared" si="375"/>
        <v>0</v>
      </c>
      <c r="AP591" s="51" t="str">
        <f t="shared" si="397"/>
        <v>Not in MMS</v>
      </c>
      <c r="AQ591" s="51" t="b">
        <f t="shared" si="376"/>
        <v>0</v>
      </c>
      <c r="AR591" s="51" t="b">
        <f t="shared" si="377"/>
        <v>0</v>
      </c>
      <c r="AS591" s="51" t="str">
        <f t="shared" si="378"/>
        <v/>
      </c>
      <c r="AT591" s="51" t="str">
        <f t="shared" si="379"/>
        <v/>
      </c>
      <c r="AU591" s="51" t="str">
        <f t="shared" si="380"/>
        <v/>
      </c>
      <c r="AV591" s="51" t="str">
        <f t="shared" si="381"/>
        <v/>
      </c>
      <c r="AW591" s="51" t="str">
        <f t="shared" si="382"/>
        <v/>
      </c>
      <c r="AX591" s="51" t="str">
        <f t="shared" si="383"/>
        <v/>
      </c>
      <c r="AY591" s="51" t="str">
        <f t="shared" si="384"/>
        <v/>
      </c>
      <c r="AZ591" s="51" t="str">
        <f t="shared" si="385"/>
        <v/>
      </c>
      <c r="BA591" s="51" t="str">
        <f t="shared" si="386"/>
        <v/>
      </c>
      <c r="BB591" s="51" t="str">
        <f t="shared" si="387"/>
        <v/>
      </c>
      <c r="BC591" s="51" t="str">
        <f t="shared" si="388"/>
        <v/>
      </c>
      <c r="BD591" s="51" t="str">
        <f t="shared" si="389"/>
        <v/>
      </c>
      <c r="BE591" s="51" t="str">
        <f t="shared" si="390"/>
        <v/>
      </c>
      <c r="BF591" s="51" t="str">
        <f t="shared" si="391"/>
        <v/>
      </c>
      <c r="BG591" s="51" t="str">
        <f t="shared" si="392"/>
        <v/>
      </c>
      <c r="BH591" s="51" t="b">
        <f t="shared" si="393"/>
        <v>0</v>
      </c>
      <c r="BI591" s="51" t="str">
        <f t="shared" si="394"/>
        <v/>
      </c>
      <c r="BJ591" s="51" t="str">
        <f t="shared" si="395"/>
        <v/>
      </c>
      <c r="BK591" s="51" t="b">
        <f t="shared" si="396"/>
        <v>0</v>
      </c>
      <c r="BL591" s="192"/>
    </row>
    <row r="592" spans="1:64" ht="13.5" thickBot="1" x14ac:dyDescent="0.25">
      <c r="A592" s="185" t="s">
        <v>1267</v>
      </c>
      <c r="B592" s="194" t="s">
        <v>695</v>
      </c>
      <c r="C592" s="194" t="s">
        <v>695</v>
      </c>
      <c r="D592" s="194" t="s">
        <v>695</v>
      </c>
      <c r="E592" s="193" t="s">
        <v>694</v>
      </c>
      <c r="F592" s="160" t="s">
        <v>20</v>
      </c>
      <c r="G592" s="161"/>
      <c r="H592" s="186" t="str">
        <f t="shared" si="354"/>
        <v>N/A</v>
      </c>
      <c r="I592" s="186" t="b">
        <f t="shared" si="355"/>
        <v>1</v>
      </c>
      <c r="J592" s="186" t="str">
        <f t="shared" si="356"/>
        <v>N/A</v>
      </c>
      <c r="K592" s="186" t="b">
        <f t="shared" si="357"/>
        <v>1</v>
      </c>
      <c r="L592" s="186" t="str">
        <f t="shared" si="358"/>
        <v>N/A</v>
      </c>
      <c r="M592" s="186" t="b">
        <f t="shared" si="359"/>
        <v>1</v>
      </c>
      <c r="N592" s="186" t="str">
        <f t="shared" si="360"/>
        <v>Used?</v>
      </c>
      <c r="O592" s="186" t="b">
        <f t="shared" si="361"/>
        <v>0</v>
      </c>
      <c r="P592" s="26" t="s">
        <v>696</v>
      </c>
      <c r="Q592" s="160" t="s">
        <v>20</v>
      </c>
      <c r="R592" s="160" t="s">
        <v>20</v>
      </c>
      <c r="S592" s="26" t="s">
        <v>697</v>
      </c>
      <c r="T592" s="165" t="str">
        <f t="shared" si="362"/>
        <v>Not Used</v>
      </c>
      <c r="U592" s="162"/>
      <c r="V592" s="55"/>
      <c r="W592" s="51" t="b">
        <f t="shared" si="363"/>
        <v>1</v>
      </c>
      <c r="X592" s="51" t="str">
        <f t="shared" si="364"/>
        <v>Not Used</v>
      </c>
      <c r="Y592" s="51" t="str">
        <f t="shared" si="365"/>
        <v>Not Used</v>
      </c>
      <c r="Z592" s="51" t="str">
        <f t="shared" si="366"/>
        <v>Not Used</v>
      </c>
      <c r="AA592" s="51" t="str">
        <f t="shared" si="366"/>
        <v>Not Used</v>
      </c>
      <c r="AB592" s="51" t="str">
        <f t="shared" si="367"/>
        <v>Not Used</v>
      </c>
      <c r="AC592" s="51" t="b">
        <f t="shared" si="368"/>
        <v>1</v>
      </c>
      <c r="AD592" s="51">
        <f>COUNTIF($X$5:$X$592, "Not Used")</f>
        <v>588</v>
      </c>
      <c r="AE592" s="51">
        <f>COUNTIF($X$5:$X$592, "TRUE")</f>
        <v>0</v>
      </c>
      <c r="AF592" s="51" t="b">
        <f t="shared" si="369"/>
        <v>1</v>
      </c>
      <c r="AI592" s="51" t="b">
        <f t="shared" si="370"/>
        <v>0</v>
      </c>
      <c r="AJ592" s="51" t="b">
        <f t="shared" si="371"/>
        <v>0</v>
      </c>
      <c r="AK592" s="51" t="b">
        <f t="shared" si="372"/>
        <v>0</v>
      </c>
      <c r="AL592" s="51" t="b">
        <f t="shared" si="373"/>
        <v>0</v>
      </c>
      <c r="AM592" s="51" t="b">
        <f t="shared" si="374"/>
        <v>0</v>
      </c>
      <c r="AN592" s="51"/>
      <c r="AO592" s="51" t="b">
        <f t="shared" si="375"/>
        <v>0</v>
      </c>
      <c r="AP592" s="51" t="str">
        <f t="shared" si="397"/>
        <v>Not in MMS</v>
      </c>
      <c r="AQ592" s="51" t="b">
        <f t="shared" si="376"/>
        <v>0</v>
      </c>
      <c r="AR592" s="51" t="b">
        <f t="shared" si="377"/>
        <v>0</v>
      </c>
      <c r="AS592" s="51" t="str">
        <f t="shared" si="378"/>
        <v/>
      </c>
      <c r="AT592" s="51" t="str">
        <f t="shared" si="379"/>
        <v/>
      </c>
      <c r="AU592" s="51" t="str">
        <f t="shared" si="380"/>
        <v/>
      </c>
      <c r="AV592" s="51" t="str">
        <f t="shared" si="381"/>
        <v/>
      </c>
      <c r="AW592" s="51" t="str">
        <f t="shared" si="382"/>
        <v/>
      </c>
      <c r="AX592" s="51" t="str">
        <f t="shared" si="383"/>
        <v/>
      </c>
      <c r="AY592" s="51" t="str">
        <f t="shared" si="384"/>
        <v/>
      </c>
      <c r="AZ592" s="51" t="str">
        <f t="shared" si="385"/>
        <v/>
      </c>
      <c r="BA592" s="51" t="str">
        <f t="shared" si="386"/>
        <v/>
      </c>
      <c r="BB592" s="51" t="str">
        <f t="shared" si="387"/>
        <v/>
      </c>
      <c r="BC592" s="51" t="str">
        <f t="shared" si="388"/>
        <v/>
      </c>
      <c r="BD592" s="51" t="str">
        <f t="shared" si="389"/>
        <v/>
      </c>
      <c r="BE592" s="51" t="str">
        <f t="shared" si="390"/>
        <v/>
      </c>
      <c r="BF592" s="51" t="str">
        <f t="shared" si="391"/>
        <v/>
      </c>
      <c r="BG592" s="51" t="str">
        <f t="shared" si="392"/>
        <v/>
      </c>
      <c r="BH592" s="51" t="b">
        <f t="shared" si="393"/>
        <v>0</v>
      </c>
      <c r="BI592" s="51" t="str">
        <f t="shared" si="394"/>
        <v/>
      </c>
      <c r="BJ592" s="51" t="str">
        <f t="shared" si="395"/>
        <v/>
      </c>
      <c r="BK592" s="51" t="b">
        <f t="shared" si="396"/>
        <v>0</v>
      </c>
      <c r="BL592" s="192"/>
    </row>
    <row r="593" spans="1:64" ht="13.5" thickBot="1" x14ac:dyDescent="0.25">
      <c r="A593" s="185" t="s">
        <v>1268</v>
      </c>
      <c r="B593" s="194" t="s">
        <v>695</v>
      </c>
      <c r="C593" s="194" t="s">
        <v>695</v>
      </c>
      <c r="D593" s="194" t="s">
        <v>695</v>
      </c>
      <c r="E593" s="193" t="s">
        <v>694</v>
      </c>
      <c r="F593" s="160" t="s">
        <v>20</v>
      </c>
      <c r="G593" s="161"/>
      <c r="H593" s="186" t="str">
        <f t="shared" si="354"/>
        <v>N/A</v>
      </c>
      <c r="I593" s="186" t="b">
        <f t="shared" si="355"/>
        <v>1</v>
      </c>
      <c r="J593" s="186" t="str">
        <f t="shared" si="356"/>
        <v>N/A</v>
      </c>
      <c r="K593" s="186" t="b">
        <f t="shared" si="357"/>
        <v>1</v>
      </c>
      <c r="L593" s="186" t="str">
        <f t="shared" si="358"/>
        <v>N/A</v>
      </c>
      <c r="M593" s="186" t="b">
        <f t="shared" si="359"/>
        <v>1</v>
      </c>
      <c r="N593" s="186" t="str">
        <f t="shared" si="360"/>
        <v>Used?</v>
      </c>
      <c r="O593" s="186" t="b">
        <f t="shared" si="361"/>
        <v>0</v>
      </c>
      <c r="P593" s="26" t="s">
        <v>696</v>
      </c>
      <c r="Q593" s="160" t="s">
        <v>20</v>
      </c>
      <c r="R593" s="160" t="s">
        <v>20</v>
      </c>
      <c r="S593" s="26" t="s">
        <v>697</v>
      </c>
      <c r="T593" s="165" t="str">
        <f t="shared" si="362"/>
        <v>Not Used</v>
      </c>
      <c r="U593" s="162"/>
      <c r="V593" s="55"/>
      <c r="W593" s="51" t="b">
        <f t="shared" si="363"/>
        <v>1</v>
      </c>
      <c r="X593" s="51" t="str">
        <f t="shared" si="364"/>
        <v>Not Used</v>
      </c>
      <c r="Y593" s="51" t="str">
        <f t="shared" si="365"/>
        <v>Not Used</v>
      </c>
      <c r="Z593" s="51" t="str">
        <f t="shared" si="366"/>
        <v>Not Used</v>
      </c>
      <c r="AA593" s="51" t="str">
        <f t="shared" si="366"/>
        <v>Not Used</v>
      </c>
      <c r="AB593" s="51" t="str">
        <f t="shared" si="367"/>
        <v>Not Used</v>
      </c>
      <c r="AC593" s="51" t="b">
        <f t="shared" si="368"/>
        <v>1</v>
      </c>
      <c r="AD593" s="51">
        <f>COUNTIF($X$5:$X$593, "Not Used")</f>
        <v>589</v>
      </c>
      <c r="AE593" s="51">
        <f>COUNTIF($X$5:$X$593, "TRUE")</f>
        <v>0</v>
      </c>
      <c r="AF593" s="51" t="b">
        <f t="shared" si="369"/>
        <v>1</v>
      </c>
      <c r="AI593" s="51" t="b">
        <f t="shared" si="370"/>
        <v>0</v>
      </c>
      <c r="AJ593" s="51" t="b">
        <f t="shared" si="371"/>
        <v>0</v>
      </c>
      <c r="AK593" s="51" t="b">
        <f t="shared" si="372"/>
        <v>0</v>
      </c>
      <c r="AL593" s="51" t="b">
        <f t="shared" si="373"/>
        <v>0</v>
      </c>
      <c r="AM593" s="51" t="b">
        <f t="shared" si="374"/>
        <v>0</v>
      </c>
      <c r="AN593" s="51"/>
      <c r="AO593" s="51" t="b">
        <f t="shared" si="375"/>
        <v>0</v>
      </c>
      <c r="AP593" s="51" t="str">
        <f t="shared" si="397"/>
        <v>Not in MMS</v>
      </c>
      <c r="AQ593" s="51" t="b">
        <f t="shared" si="376"/>
        <v>0</v>
      </c>
      <c r="AR593" s="51" t="b">
        <f t="shared" si="377"/>
        <v>0</v>
      </c>
      <c r="AS593" s="51" t="str">
        <f t="shared" si="378"/>
        <v/>
      </c>
      <c r="AT593" s="51" t="str">
        <f t="shared" si="379"/>
        <v/>
      </c>
      <c r="AU593" s="51" t="str">
        <f t="shared" si="380"/>
        <v/>
      </c>
      <c r="AV593" s="51" t="str">
        <f t="shared" si="381"/>
        <v/>
      </c>
      <c r="AW593" s="51" t="str">
        <f t="shared" si="382"/>
        <v/>
      </c>
      <c r="AX593" s="51" t="str">
        <f t="shared" si="383"/>
        <v/>
      </c>
      <c r="AY593" s="51" t="str">
        <f t="shared" si="384"/>
        <v/>
      </c>
      <c r="AZ593" s="51" t="str">
        <f t="shared" si="385"/>
        <v/>
      </c>
      <c r="BA593" s="51" t="str">
        <f t="shared" si="386"/>
        <v/>
      </c>
      <c r="BB593" s="51" t="str">
        <f t="shared" si="387"/>
        <v/>
      </c>
      <c r="BC593" s="51" t="str">
        <f t="shared" si="388"/>
        <v/>
      </c>
      <c r="BD593" s="51" t="str">
        <f t="shared" si="389"/>
        <v/>
      </c>
      <c r="BE593" s="51" t="str">
        <f t="shared" si="390"/>
        <v/>
      </c>
      <c r="BF593" s="51" t="str">
        <f t="shared" si="391"/>
        <v/>
      </c>
      <c r="BG593" s="51" t="str">
        <f t="shared" si="392"/>
        <v/>
      </c>
      <c r="BH593" s="51" t="b">
        <f t="shared" si="393"/>
        <v>0</v>
      </c>
      <c r="BI593" s="51" t="str">
        <f t="shared" si="394"/>
        <v/>
      </c>
      <c r="BJ593" s="51" t="str">
        <f t="shared" si="395"/>
        <v/>
      </c>
      <c r="BK593" s="51" t="b">
        <f t="shared" si="396"/>
        <v>0</v>
      </c>
      <c r="BL593" s="192"/>
    </row>
    <row r="594" spans="1:64" ht="13.5" thickBot="1" x14ac:dyDescent="0.25">
      <c r="A594" s="185" t="s">
        <v>1269</v>
      </c>
      <c r="B594" s="194" t="s">
        <v>695</v>
      </c>
      <c r="C594" s="194" t="s">
        <v>695</v>
      </c>
      <c r="D594" s="194" t="s">
        <v>695</v>
      </c>
      <c r="E594" s="193" t="s">
        <v>694</v>
      </c>
      <c r="F594" s="160" t="s">
        <v>20</v>
      </c>
      <c r="G594" s="161"/>
      <c r="H594" s="186" t="str">
        <f t="shared" si="354"/>
        <v>N/A</v>
      </c>
      <c r="I594" s="186" t="b">
        <f t="shared" si="355"/>
        <v>1</v>
      </c>
      <c r="J594" s="186" t="str">
        <f t="shared" si="356"/>
        <v>N/A</v>
      </c>
      <c r="K594" s="186" t="b">
        <f t="shared" si="357"/>
        <v>1</v>
      </c>
      <c r="L594" s="186" t="str">
        <f t="shared" si="358"/>
        <v>N/A</v>
      </c>
      <c r="M594" s="186" t="b">
        <f t="shared" si="359"/>
        <v>1</v>
      </c>
      <c r="N594" s="186" t="str">
        <f t="shared" si="360"/>
        <v>Used?</v>
      </c>
      <c r="O594" s="186" t="b">
        <f t="shared" si="361"/>
        <v>0</v>
      </c>
      <c r="P594" s="26" t="s">
        <v>696</v>
      </c>
      <c r="Q594" s="160" t="s">
        <v>20</v>
      </c>
      <c r="R594" s="160" t="s">
        <v>20</v>
      </c>
      <c r="S594" s="26" t="s">
        <v>697</v>
      </c>
      <c r="T594" s="165" t="str">
        <f t="shared" si="362"/>
        <v>Not Used</v>
      </c>
      <c r="U594" s="162"/>
      <c r="V594" s="55"/>
      <c r="W594" s="51" t="b">
        <f t="shared" si="363"/>
        <v>1</v>
      </c>
      <c r="X594" s="51" t="str">
        <f t="shared" si="364"/>
        <v>Not Used</v>
      </c>
      <c r="Y594" s="51" t="str">
        <f t="shared" si="365"/>
        <v>Not Used</v>
      </c>
      <c r="Z594" s="51" t="str">
        <f t="shared" si="366"/>
        <v>Not Used</v>
      </c>
      <c r="AA594" s="51" t="str">
        <f t="shared" si="366"/>
        <v>Not Used</v>
      </c>
      <c r="AB594" s="51" t="str">
        <f t="shared" si="367"/>
        <v>Not Used</v>
      </c>
      <c r="AC594" s="51" t="b">
        <f t="shared" si="368"/>
        <v>1</v>
      </c>
      <c r="AD594" s="51">
        <f>COUNTIF($X$5:$X$594, "Not Used")</f>
        <v>590</v>
      </c>
      <c r="AE594" s="51">
        <f>COUNTIF($X$5:$X$594, "TRUE")</f>
        <v>0</v>
      </c>
      <c r="AF594" s="51" t="b">
        <f t="shared" si="369"/>
        <v>1</v>
      </c>
      <c r="AI594" s="51" t="b">
        <f t="shared" si="370"/>
        <v>0</v>
      </c>
      <c r="AJ594" s="51" t="b">
        <f t="shared" si="371"/>
        <v>0</v>
      </c>
      <c r="AK594" s="51" t="b">
        <f t="shared" si="372"/>
        <v>0</v>
      </c>
      <c r="AL594" s="51" t="b">
        <f t="shared" si="373"/>
        <v>0</v>
      </c>
      <c r="AM594" s="51" t="b">
        <f t="shared" si="374"/>
        <v>0</v>
      </c>
      <c r="AN594" s="51"/>
      <c r="AO594" s="51" t="b">
        <f t="shared" si="375"/>
        <v>0</v>
      </c>
      <c r="AP594" s="51" t="str">
        <f t="shared" si="397"/>
        <v>Not in MMS</v>
      </c>
      <c r="AQ594" s="51" t="b">
        <f t="shared" si="376"/>
        <v>0</v>
      </c>
      <c r="AR594" s="51" t="b">
        <f t="shared" si="377"/>
        <v>0</v>
      </c>
      <c r="AS594" s="51" t="str">
        <f t="shared" si="378"/>
        <v/>
      </c>
      <c r="AT594" s="51" t="str">
        <f t="shared" si="379"/>
        <v/>
      </c>
      <c r="AU594" s="51" t="str">
        <f t="shared" si="380"/>
        <v/>
      </c>
      <c r="AV594" s="51" t="str">
        <f t="shared" si="381"/>
        <v/>
      </c>
      <c r="AW594" s="51" t="str">
        <f t="shared" si="382"/>
        <v/>
      </c>
      <c r="AX594" s="51" t="str">
        <f t="shared" si="383"/>
        <v/>
      </c>
      <c r="AY594" s="51" t="str">
        <f t="shared" si="384"/>
        <v/>
      </c>
      <c r="AZ594" s="51" t="str">
        <f t="shared" si="385"/>
        <v/>
      </c>
      <c r="BA594" s="51" t="str">
        <f t="shared" si="386"/>
        <v/>
      </c>
      <c r="BB594" s="51" t="str">
        <f t="shared" si="387"/>
        <v/>
      </c>
      <c r="BC594" s="51" t="str">
        <f t="shared" si="388"/>
        <v/>
      </c>
      <c r="BD594" s="51" t="str">
        <f t="shared" si="389"/>
        <v/>
      </c>
      <c r="BE594" s="51" t="str">
        <f t="shared" si="390"/>
        <v/>
      </c>
      <c r="BF594" s="51" t="str">
        <f t="shared" si="391"/>
        <v/>
      </c>
      <c r="BG594" s="51" t="str">
        <f t="shared" si="392"/>
        <v/>
      </c>
      <c r="BH594" s="51" t="b">
        <f t="shared" si="393"/>
        <v>0</v>
      </c>
      <c r="BI594" s="51" t="str">
        <f t="shared" si="394"/>
        <v/>
      </c>
      <c r="BJ594" s="51" t="str">
        <f t="shared" si="395"/>
        <v/>
      </c>
      <c r="BK594" s="51" t="b">
        <f t="shared" si="396"/>
        <v>0</v>
      </c>
      <c r="BL594" s="192"/>
    </row>
    <row r="595" spans="1:64" ht="13.5" thickBot="1" x14ac:dyDescent="0.25">
      <c r="A595" s="185" t="s">
        <v>1270</v>
      </c>
      <c r="B595" s="194" t="s">
        <v>695</v>
      </c>
      <c r="C595" s="194" t="s">
        <v>695</v>
      </c>
      <c r="D595" s="194" t="s">
        <v>695</v>
      </c>
      <c r="E595" s="193" t="s">
        <v>694</v>
      </c>
      <c r="F595" s="160" t="s">
        <v>20</v>
      </c>
      <c r="G595" s="161"/>
      <c r="H595" s="186" t="str">
        <f t="shared" si="354"/>
        <v>N/A</v>
      </c>
      <c r="I595" s="186" t="b">
        <f t="shared" si="355"/>
        <v>1</v>
      </c>
      <c r="J595" s="186" t="str">
        <f t="shared" si="356"/>
        <v>N/A</v>
      </c>
      <c r="K595" s="186" t="b">
        <f t="shared" si="357"/>
        <v>1</v>
      </c>
      <c r="L595" s="186" t="str">
        <f t="shared" si="358"/>
        <v>N/A</v>
      </c>
      <c r="M595" s="186" t="b">
        <f t="shared" si="359"/>
        <v>1</v>
      </c>
      <c r="N595" s="186" t="str">
        <f t="shared" si="360"/>
        <v>Used?</v>
      </c>
      <c r="O595" s="186" t="b">
        <f t="shared" si="361"/>
        <v>0</v>
      </c>
      <c r="P595" s="26" t="s">
        <v>696</v>
      </c>
      <c r="Q595" s="160" t="s">
        <v>20</v>
      </c>
      <c r="R595" s="160" t="s">
        <v>20</v>
      </c>
      <c r="S595" s="26" t="s">
        <v>697</v>
      </c>
      <c r="T595" s="165" t="str">
        <f t="shared" si="362"/>
        <v>Not Used</v>
      </c>
      <c r="U595" s="162"/>
      <c r="V595" s="55"/>
      <c r="W595" s="51" t="b">
        <f t="shared" si="363"/>
        <v>1</v>
      </c>
      <c r="X595" s="51" t="str">
        <f t="shared" si="364"/>
        <v>Not Used</v>
      </c>
      <c r="Y595" s="51" t="str">
        <f t="shared" si="365"/>
        <v>Not Used</v>
      </c>
      <c r="Z595" s="51" t="str">
        <f t="shared" si="366"/>
        <v>Not Used</v>
      </c>
      <c r="AA595" s="51" t="str">
        <f t="shared" si="366"/>
        <v>Not Used</v>
      </c>
      <c r="AB595" s="51" t="str">
        <f t="shared" si="367"/>
        <v>Not Used</v>
      </c>
      <c r="AC595" s="51" t="b">
        <f t="shared" si="368"/>
        <v>1</v>
      </c>
      <c r="AD595" s="51">
        <f>COUNTIF($X$5:$X$595, "Not Used")</f>
        <v>591</v>
      </c>
      <c r="AE595" s="51">
        <f>COUNTIF($X$5:$X$595, "TRUE")</f>
        <v>0</v>
      </c>
      <c r="AF595" s="51" t="b">
        <f t="shared" si="369"/>
        <v>1</v>
      </c>
      <c r="AI595" s="51" t="b">
        <f t="shared" si="370"/>
        <v>0</v>
      </c>
      <c r="AJ595" s="51" t="b">
        <f t="shared" si="371"/>
        <v>0</v>
      </c>
      <c r="AK595" s="51" t="b">
        <f t="shared" si="372"/>
        <v>0</v>
      </c>
      <c r="AL595" s="51" t="b">
        <f t="shared" si="373"/>
        <v>0</v>
      </c>
      <c r="AM595" s="51" t="b">
        <f t="shared" si="374"/>
        <v>0</v>
      </c>
      <c r="AN595" s="51"/>
      <c r="AO595" s="51" t="b">
        <f t="shared" si="375"/>
        <v>0</v>
      </c>
      <c r="AP595" s="51" t="str">
        <f t="shared" si="397"/>
        <v>Not in MMS</v>
      </c>
      <c r="AQ595" s="51" t="b">
        <f t="shared" si="376"/>
        <v>0</v>
      </c>
      <c r="AR595" s="51" t="b">
        <f t="shared" si="377"/>
        <v>0</v>
      </c>
      <c r="AS595" s="51" t="str">
        <f t="shared" si="378"/>
        <v/>
      </c>
      <c r="AT595" s="51" t="str">
        <f t="shared" si="379"/>
        <v/>
      </c>
      <c r="AU595" s="51" t="str">
        <f t="shared" si="380"/>
        <v/>
      </c>
      <c r="AV595" s="51" t="str">
        <f t="shared" si="381"/>
        <v/>
      </c>
      <c r="AW595" s="51" t="str">
        <f t="shared" si="382"/>
        <v/>
      </c>
      <c r="AX595" s="51" t="str">
        <f t="shared" si="383"/>
        <v/>
      </c>
      <c r="AY595" s="51" t="str">
        <f t="shared" si="384"/>
        <v/>
      </c>
      <c r="AZ595" s="51" t="str">
        <f t="shared" si="385"/>
        <v/>
      </c>
      <c r="BA595" s="51" t="str">
        <f t="shared" si="386"/>
        <v/>
      </c>
      <c r="BB595" s="51" t="str">
        <f t="shared" si="387"/>
        <v/>
      </c>
      <c r="BC595" s="51" t="str">
        <f t="shared" si="388"/>
        <v/>
      </c>
      <c r="BD595" s="51" t="str">
        <f t="shared" si="389"/>
        <v/>
      </c>
      <c r="BE595" s="51" t="str">
        <f t="shared" si="390"/>
        <v/>
      </c>
      <c r="BF595" s="51" t="str">
        <f t="shared" si="391"/>
        <v/>
      </c>
      <c r="BG595" s="51" t="str">
        <f t="shared" si="392"/>
        <v/>
      </c>
      <c r="BH595" s="51" t="b">
        <f t="shared" si="393"/>
        <v>0</v>
      </c>
      <c r="BI595" s="51" t="str">
        <f t="shared" si="394"/>
        <v/>
      </c>
      <c r="BJ595" s="51" t="str">
        <f t="shared" si="395"/>
        <v/>
      </c>
      <c r="BK595" s="51" t="b">
        <f t="shared" si="396"/>
        <v>0</v>
      </c>
      <c r="BL595" s="192"/>
    </row>
    <row r="596" spans="1:64" ht="13.5" thickBot="1" x14ac:dyDescent="0.25">
      <c r="A596" s="185" t="s">
        <v>1271</v>
      </c>
      <c r="B596" s="194" t="s">
        <v>695</v>
      </c>
      <c r="C596" s="194" t="s">
        <v>695</v>
      </c>
      <c r="D596" s="194" t="s">
        <v>695</v>
      </c>
      <c r="E596" s="193" t="s">
        <v>694</v>
      </c>
      <c r="F596" s="160" t="s">
        <v>20</v>
      </c>
      <c r="G596" s="161"/>
      <c r="H596" s="186" t="str">
        <f t="shared" si="354"/>
        <v>N/A</v>
      </c>
      <c r="I596" s="186" t="b">
        <f t="shared" si="355"/>
        <v>1</v>
      </c>
      <c r="J596" s="186" t="str">
        <f t="shared" si="356"/>
        <v>N/A</v>
      </c>
      <c r="K596" s="186" t="b">
        <f t="shared" si="357"/>
        <v>1</v>
      </c>
      <c r="L596" s="186" t="str">
        <f t="shared" si="358"/>
        <v>N/A</v>
      </c>
      <c r="M596" s="186" t="b">
        <f t="shared" si="359"/>
        <v>1</v>
      </c>
      <c r="N596" s="186" t="str">
        <f t="shared" si="360"/>
        <v>Used?</v>
      </c>
      <c r="O596" s="186" t="b">
        <f t="shared" si="361"/>
        <v>0</v>
      </c>
      <c r="P596" s="26" t="s">
        <v>696</v>
      </c>
      <c r="Q596" s="160" t="s">
        <v>20</v>
      </c>
      <c r="R596" s="160" t="s">
        <v>20</v>
      </c>
      <c r="S596" s="26" t="s">
        <v>697</v>
      </c>
      <c r="T596" s="165" t="str">
        <f t="shared" si="362"/>
        <v>Not Used</v>
      </c>
      <c r="U596" s="162"/>
      <c r="V596" s="55"/>
      <c r="W596" s="51" t="b">
        <f t="shared" si="363"/>
        <v>1</v>
      </c>
      <c r="X596" s="51" t="str">
        <f t="shared" si="364"/>
        <v>Not Used</v>
      </c>
      <c r="Y596" s="51" t="str">
        <f t="shared" si="365"/>
        <v>Not Used</v>
      </c>
      <c r="Z596" s="51" t="str">
        <f t="shared" si="366"/>
        <v>Not Used</v>
      </c>
      <c r="AA596" s="51" t="str">
        <f t="shared" si="366"/>
        <v>Not Used</v>
      </c>
      <c r="AB596" s="51" t="str">
        <f t="shared" si="367"/>
        <v>Not Used</v>
      </c>
      <c r="AC596" s="51" t="b">
        <f t="shared" si="368"/>
        <v>1</v>
      </c>
      <c r="AD596" s="51">
        <f>COUNTIF($X$5:$X$596, "Not Used")</f>
        <v>592</v>
      </c>
      <c r="AE596" s="51">
        <f>COUNTIF($X$5:$X$596, "TRUE")</f>
        <v>0</v>
      </c>
      <c r="AF596" s="51" t="b">
        <f t="shared" si="369"/>
        <v>1</v>
      </c>
      <c r="AI596" s="51" t="b">
        <f t="shared" si="370"/>
        <v>0</v>
      </c>
      <c r="AJ596" s="51" t="b">
        <f t="shared" si="371"/>
        <v>0</v>
      </c>
      <c r="AK596" s="51" t="b">
        <f t="shared" si="372"/>
        <v>0</v>
      </c>
      <c r="AL596" s="51" t="b">
        <f t="shared" si="373"/>
        <v>0</v>
      </c>
      <c r="AM596" s="51" t="b">
        <f t="shared" si="374"/>
        <v>0</v>
      </c>
      <c r="AN596" s="51"/>
      <c r="AO596" s="51" t="b">
        <f t="shared" si="375"/>
        <v>0</v>
      </c>
      <c r="AP596" s="51" t="str">
        <f t="shared" si="397"/>
        <v>Not in MMS</v>
      </c>
      <c r="AQ596" s="51" t="b">
        <f t="shared" si="376"/>
        <v>0</v>
      </c>
      <c r="AR596" s="51" t="b">
        <f t="shared" si="377"/>
        <v>0</v>
      </c>
      <c r="AS596" s="51" t="str">
        <f t="shared" si="378"/>
        <v/>
      </c>
      <c r="AT596" s="51" t="str">
        <f t="shared" si="379"/>
        <v/>
      </c>
      <c r="AU596" s="51" t="str">
        <f t="shared" si="380"/>
        <v/>
      </c>
      <c r="AV596" s="51" t="str">
        <f t="shared" si="381"/>
        <v/>
      </c>
      <c r="AW596" s="51" t="str">
        <f t="shared" si="382"/>
        <v/>
      </c>
      <c r="AX596" s="51" t="str">
        <f t="shared" si="383"/>
        <v/>
      </c>
      <c r="AY596" s="51" t="str">
        <f t="shared" si="384"/>
        <v/>
      </c>
      <c r="AZ596" s="51" t="str">
        <f t="shared" si="385"/>
        <v/>
      </c>
      <c r="BA596" s="51" t="str">
        <f t="shared" si="386"/>
        <v/>
      </c>
      <c r="BB596" s="51" t="str">
        <f t="shared" si="387"/>
        <v/>
      </c>
      <c r="BC596" s="51" t="str">
        <f t="shared" si="388"/>
        <v/>
      </c>
      <c r="BD596" s="51" t="str">
        <f t="shared" si="389"/>
        <v/>
      </c>
      <c r="BE596" s="51" t="str">
        <f t="shared" si="390"/>
        <v/>
      </c>
      <c r="BF596" s="51" t="str">
        <f t="shared" si="391"/>
        <v/>
      </c>
      <c r="BG596" s="51" t="str">
        <f t="shared" si="392"/>
        <v/>
      </c>
      <c r="BH596" s="51" t="b">
        <f t="shared" si="393"/>
        <v>0</v>
      </c>
      <c r="BI596" s="51" t="str">
        <f t="shared" si="394"/>
        <v/>
      </c>
      <c r="BJ596" s="51" t="str">
        <f t="shared" si="395"/>
        <v/>
      </c>
      <c r="BK596" s="51" t="b">
        <f t="shared" si="396"/>
        <v>0</v>
      </c>
      <c r="BL596" s="192"/>
    </row>
    <row r="597" spans="1:64" ht="13.5" thickBot="1" x14ac:dyDescent="0.25">
      <c r="A597" s="185" t="s">
        <v>1272</v>
      </c>
      <c r="B597" s="194" t="s">
        <v>695</v>
      </c>
      <c r="C597" s="194" t="s">
        <v>695</v>
      </c>
      <c r="D597" s="194" t="s">
        <v>695</v>
      </c>
      <c r="E597" s="193" t="s">
        <v>694</v>
      </c>
      <c r="F597" s="160" t="s">
        <v>20</v>
      </c>
      <c r="G597" s="161"/>
      <c r="H597" s="186" t="str">
        <f t="shared" ref="H597:H660" si="398">IF(B597="YES",(IF(F597="Yes",TRUE,(IF(F597="YES WITH MODIFICATION",(IF((NOT(ISBLANK(U597))),"Used with modification","Change Request?")),(IF(F597="N/A",(IF((NOT(ISBLANK(G597))),"Not Used","Rationale?")),(IF(F597="&lt;Select&gt;","Used?",FALSE)))))))),"N/A")</f>
        <v>N/A</v>
      </c>
      <c r="I597" s="186" t="b">
        <f t="shared" ref="I597:I660" si="399">IF(B597="YES",OR(IF(F597="YES",TRUE,FALSE),IF(AND(F597="YES WITH MODIFICATION",NOT(ISBLANK(U597))),TRUE,FALSE),(IF(F597="N/A",NOT(ISBLANK(G597))))),TRUE)</f>
        <v>1</v>
      </c>
      <c r="J597" s="186" t="str">
        <f t="shared" ref="J597:J660" si="400">IF(C597="YES",(IF(F597="YES",TRUE,(IF(F597="YES WITH MODIFICATION",(IF((NOT(ISBLANK(U597))),"Used with modification","Change Request?")),(IF(F597="N/A",(IF((NOT(ISBLANK(G597))),"Not Used","Rationale?")),(IF(F597="&lt;Select&gt;","Used?",FALSE)))))))),"N/A")</f>
        <v>N/A</v>
      </c>
      <c r="K597" s="186" t="b">
        <f t="shared" ref="K597:K660" si="401">IF(C597="YES",OR(IF(F597="YES",TRUE,FALSE),IF(AND(F597="YES WITH MODIFICATION",NOT(ISBLANK(U597))),TRUE,FALSE),(IF(F597="N/A",NOT(ISBLANK(G597))))),TRUE)</f>
        <v>1</v>
      </c>
      <c r="L597" s="186" t="str">
        <f t="shared" ref="L597:L660" si="402">IF(D597="YES",(IF(F597="YES",TRUE,(IF(F597="YES WITH MODIFICATION",(IF((NOT(ISBLANK(U597))),"Used with modification","Change Request?")),(IF(F597="N/A",(IF((NOT(ISBLANK(G597))),"Not Used","Rationale?")),(IF(F597="&lt;Select&gt;","Used?",FALSE)))))))),"N/A")</f>
        <v>N/A</v>
      </c>
      <c r="M597" s="186" t="b">
        <f t="shared" ref="M597:M660" si="403">IF(D597="YES",OR(IF(F597="YES",TRUE,FALSE),IF(AND(F597="YES WITH MODIFICATION",NOT(ISBLANK(U597))),TRUE,FALSE),(IF(F597="N/A",NOT(ISBLANK(G597))))),TRUE)</f>
        <v>1</v>
      </c>
      <c r="N597" s="186" t="str">
        <f t="shared" ref="N597:N660" si="404">IF(E597="YES",(IF(F597="YES",TRUE,(IF(F597="YES WITH MODIFICATION",(IF((NOT(ISBLANK(U597))),"Used with modification","Change Request?")),(IF(F597="N/A",(IF((NOT(ISBLANK(G597))),"Not Used","Rationale?")),(IF(F597="&lt;Select&gt;","Used?",FALSE)))))))),"N/A")</f>
        <v>Used?</v>
      </c>
      <c r="O597" s="186" t="b">
        <f t="shared" ref="O597:O660" si="405">IF(E597="YES",OR(IF(F597="YES",TRUE,FALSE),IF(AND(F597="YES WITH MODIFICATION",NOT(ISBLANK(U597))),TRUE,FALSE),(IF(F597="N/A",NOT(ISBLANK(G597))))),TRUE)</f>
        <v>0</v>
      </c>
      <c r="P597" s="26" t="s">
        <v>696</v>
      </c>
      <c r="Q597" s="160" t="s">
        <v>20</v>
      </c>
      <c r="R597" s="160" t="s">
        <v>20</v>
      </c>
      <c r="S597" s="26" t="s">
        <v>697</v>
      </c>
      <c r="T597" s="165" t="str">
        <f t="shared" ref="T597:T660" si="406">IF(NOT(OR(F597="Yes",F597="YES WITH MODIFICATION")),"Not Used",(AND(X597=Y597,X597=(OR(Z597=TRUE,AA597=TRUE)), X597=AB597, X597=AC597)))</f>
        <v>Not Used</v>
      </c>
      <c r="U597" s="162"/>
      <c r="V597" s="55"/>
      <c r="W597" s="51" t="b">
        <f t="shared" ref="W597:W660" si="407">IF(T597=TRUE,TRUE,(IF(T597="Not Used", TRUE,FALSE)))</f>
        <v>1</v>
      </c>
      <c r="X597" s="51" t="str">
        <f t="shared" ref="X597:X660" si="408">IF(OR(F597="YES",F597="YES WITH MODIFICATION"),TRUE,"Not Used")</f>
        <v>Not Used</v>
      </c>
      <c r="Y597" s="51" t="str">
        <f t="shared" ref="Y597:Y660" si="409">IF(OR(P597="SC §3.X.X.X", ISBLANK(P597)),"Not Used", TRUE)</f>
        <v>Not Used</v>
      </c>
      <c r="Z597" s="51" t="str">
        <f t="shared" ref="Z597:AA660" si="410">IF(OR(Q597="&lt;Select&gt;",(ISBLANK(Q597))),"Not Used",TRUE)</f>
        <v>Not Used</v>
      </c>
      <c r="AA597" s="51" t="str">
        <f t="shared" si="410"/>
        <v>Not Used</v>
      </c>
      <c r="AB597" s="51" t="str">
        <f t="shared" ref="AB597:AB660" si="411">IF(OR(S597="&lt;enter location here&gt;",(ISBLANK(S597))),"Not Used",TRUE)</f>
        <v>Not Used</v>
      </c>
      <c r="AC597" s="51" t="b">
        <f t="shared" ref="AC597:AC660" si="412">IF(F597="YES WITH MODIFICATION",IF(NOT(ISBLANK(U597)),TRUE,FALSE),TRUE)</f>
        <v>1</v>
      </c>
      <c r="AD597" s="51">
        <f>COUNTIF($X$5:$X$597, "Not Used")</f>
        <v>593</v>
      </c>
      <c r="AE597" s="51">
        <f>COUNTIF($X$5:$X$597, "TRUE")</f>
        <v>0</v>
      </c>
      <c r="AF597" s="51" t="b">
        <f t="shared" ref="AF597:AF660" si="413">IF(F597="&lt;Select&gt;", TRUE,FALSE)</f>
        <v>1</v>
      </c>
      <c r="AI597" s="51" t="b">
        <f t="shared" ref="AI597:AI660" si="414">IF(F597="N/A", TRUE, FALSE)</f>
        <v>0</v>
      </c>
      <c r="AJ597" s="51" t="b">
        <f t="shared" ref="AJ597:AJ660" si="415">IF(AI597=TRUE, IF(NOT(ISBLANK(G597)), TRUE, FALSE))</f>
        <v>0</v>
      </c>
      <c r="AK597" s="51" t="b">
        <f t="shared" ref="AK597:AK660" si="416">IF(F597="YES WITH MODIFICATION", TRUE, FALSE)</f>
        <v>0</v>
      </c>
      <c r="AL597" s="51" t="b">
        <f t="shared" ref="AL597:AL660" si="417">IF(ISBLANK(U597), FALSE, TRUE)</f>
        <v>0</v>
      </c>
      <c r="AM597" s="51" t="b">
        <f t="shared" ref="AM597:AM660" si="418">IF(AND(AK597=TRUE, AL597=TRUE), TRUE, FALSE)</f>
        <v>0</v>
      </c>
      <c r="AN597" s="51"/>
      <c r="AO597" s="51" t="b">
        <f t="shared" ref="AO597:AO660" si="419">IF(AND(F597="YES WITH MODIFICATION", NOT(ISBLANK(U597))), TRUE, FALSE)</f>
        <v>0</v>
      </c>
      <c r="AP597" s="51" t="str">
        <f t="shared" si="397"/>
        <v>Not in MMS</v>
      </c>
      <c r="AQ597" s="51" t="b">
        <f t="shared" ref="AQ597:AQ660" si="420">IF(S597="&lt;enter location here&gt;", FALSE, TRUE)</f>
        <v>0</v>
      </c>
      <c r="AR597" s="51" t="b">
        <f t="shared" ref="AR597:AR660" si="421">IF(F597="&lt;Select&gt;", FALSE, IF(T597=FALSE, FALSE, TRUE))</f>
        <v>0</v>
      </c>
      <c r="AS597" s="51" t="str">
        <f t="shared" ref="AS597:AS660" si="422">IF(ISNUMBER(SEARCH("Tier 1 Sub MMS",AP597)), IF(F597="&lt;Select&gt;", FALSE, IF(AND(F597="N/A", J597="Rationale?"), FALSE, TRUE)), "")</f>
        <v/>
      </c>
      <c r="AT597" s="51" t="str">
        <f t="shared" ref="AT597:AT660" si="423">IF(ISNUMBER(SEARCH("Tier 1 MMS",AP597)), IF(F597="&lt;Select&gt;", FALSE, IF(AND(F597="N/A", H597="Rationale?"), FALSE, TRUE)), "")</f>
        <v/>
      </c>
      <c r="AU597" s="51" t="str">
        <f t="shared" ref="AU597:AU660" si="424">IF(ISNUMBER(SEARCH("Tier 1 MMS",AP597)), IF(F597="&lt;Select&gt;", FALSE, IF(AND(F597="YES WITH MODIFICATION", H597="Change Request?"), FALSE, TRUE)), "")</f>
        <v/>
      </c>
      <c r="AV597" s="51" t="str">
        <f t="shared" ref="AV597:AV660" si="425">IF(ISNUMBER(SEARCH("Tier 1 MMS",AP597)), IF(AK597=TRUE, TRUE, ""),"")</f>
        <v/>
      </c>
      <c r="AW597" s="51" t="str">
        <f t="shared" ref="AW597:AW660" si="426">IF(ISNUMBER(SEARCH("Tier 1 MMS",AP597)), IF(AL597=TRUE, TRUE, ""),"")</f>
        <v/>
      </c>
      <c r="AX597" s="51" t="str">
        <f t="shared" ref="AX597:AX660" si="427">IF(ISNUMBER(SEARCH("Tier 1 MMS",AP597)), IF(AI597=TRUE, TRUE, ""),"")</f>
        <v/>
      </c>
      <c r="AY597" s="51" t="str">
        <f t="shared" ref="AY597:AY660" si="428">IF(ISNUMBER(SEARCH("Tier 1 MMS",AP597)), IF(AJ597=TRUE, TRUE, ""),"")</f>
        <v/>
      </c>
      <c r="AZ597" s="51" t="str">
        <f t="shared" ref="AZ597:AZ660" si="429">IF(ISNUMBER(SEARCH("Tier 1 Sub MMS",AP597)), IF(AK597=TRUE, TRUE, ""),"")</f>
        <v/>
      </c>
      <c r="BA597" s="51" t="str">
        <f t="shared" ref="BA597:BA660" si="430">IF(ISNUMBER(SEARCH("Tier 1 Sub MMS",AP597)), IF(AL597=TRUE, TRUE, ""),"")</f>
        <v/>
      </c>
      <c r="BB597" s="51" t="str">
        <f t="shared" ref="BB597:BB660" si="431">IF(ISNUMBER(SEARCH("Tier 1 Sub MMS",AP597)), IF(AI597=TRUE, TRUE, ""),"")</f>
        <v/>
      </c>
      <c r="BC597" s="51" t="str">
        <f t="shared" ref="BC597:BC660" si="432">IF(ISNUMBER(SEARCH("Tier 1 Sub MMS",AP597)), IF(AJ597=TRUE, TRUE, ""),"")</f>
        <v/>
      </c>
      <c r="BD597" s="51" t="str">
        <f t="shared" ref="BD597:BD660" si="433">IF(ISNUMBER(SEARCH("Tier 2 MMS",AP597)), IF(AK597=TRUE, TRUE, ""),"")</f>
        <v/>
      </c>
      <c r="BE597" s="51" t="str">
        <f t="shared" ref="BE597:BE660" si="434">IF(ISNUMBER(SEARCH("Tier 2 MMS",AP597)), IF(AL597=TRUE, TRUE, ""),"")</f>
        <v/>
      </c>
      <c r="BF597" s="51" t="str">
        <f t="shared" ref="BF597:BF660" si="435">IF(ISNUMBER(SEARCH("Tier 2 MMS",AP597)), IF(AI597=TRUE, TRUE, ""),"")</f>
        <v/>
      </c>
      <c r="BG597" s="51" t="str">
        <f t="shared" ref="BG597:BG660" si="436">IF(ISNUMBER(SEARCH("Tier 2 MMS",AP597)), IF(AJ597=TRUE, TRUE, ""),"")</f>
        <v/>
      </c>
      <c r="BH597" s="51" t="b">
        <f t="shared" ref="BH597:BH660" si="437" xml:space="preserve"> IF(OR(F597="&lt;Select&gt;", AQ597=FALSE), FALSE, TRUE)</f>
        <v>0</v>
      </c>
      <c r="BI597" s="51" t="str">
        <f t="shared" ref="BI597:BI660" si="438">IF(E597="YES", "", IF(E597="NO", IF(F597="N/A",TRUE,IF(F597="YES",FALSE))))</f>
        <v/>
      </c>
      <c r="BJ597" s="51" t="str">
        <f t="shared" ref="BJ597:BJ660" si="439">IF(E597="YES", "", IF(E597="NO", IF(AND(F597="N/A", NOT(ISBLANK(G597))), TRUE, IF(AND(F597="YES",AL597=TRUE),TRUE,FALSE))))</f>
        <v/>
      </c>
      <c r="BK597" s="51" t="b">
        <f t="shared" ref="BK597:BK660" si="440" xml:space="preserve"> IF(OR(F597="&lt;Select&gt;", T597=FALSE), FALSE, TRUE)</f>
        <v>0</v>
      </c>
      <c r="BL597" s="192"/>
    </row>
    <row r="598" spans="1:64" ht="13.5" thickBot="1" x14ac:dyDescent="0.25">
      <c r="A598" s="185" t="s">
        <v>1273</v>
      </c>
      <c r="B598" s="194" t="s">
        <v>695</v>
      </c>
      <c r="C598" s="194" t="s">
        <v>695</v>
      </c>
      <c r="D598" s="194" t="s">
        <v>695</v>
      </c>
      <c r="E598" s="193" t="s">
        <v>694</v>
      </c>
      <c r="F598" s="160" t="s">
        <v>20</v>
      </c>
      <c r="G598" s="161"/>
      <c r="H598" s="186" t="str">
        <f t="shared" si="398"/>
        <v>N/A</v>
      </c>
      <c r="I598" s="186" t="b">
        <f t="shared" si="399"/>
        <v>1</v>
      </c>
      <c r="J598" s="186" t="str">
        <f t="shared" si="400"/>
        <v>N/A</v>
      </c>
      <c r="K598" s="186" t="b">
        <f t="shared" si="401"/>
        <v>1</v>
      </c>
      <c r="L598" s="186" t="str">
        <f t="shared" si="402"/>
        <v>N/A</v>
      </c>
      <c r="M598" s="186" t="b">
        <f t="shared" si="403"/>
        <v>1</v>
      </c>
      <c r="N598" s="186" t="str">
        <f t="shared" si="404"/>
        <v>Used?</v>
      </c>
      <c r="O598" s="186" t="b">
        <f t="shared" si="405"/>
        <v>0</v>
      </c>
      <c r="P598" s="26" t="s">
        <v>696</v>
      </c>
      <c r="Q598" s="160" t="s">
        <v>20</v>
      </c>
      <c r="R598" s="160" t="s">
        <v>20</v>
      </c>
      <c r="S598" s="26" t="s">
        <v>697</v>
      </c>
      <c r="T598" s="165" t="str">
        <f t="shared" si="406"/>
        <v>Not Used</v>
      </c>
      <c r="U598" s="162"/>
      <c r="V598" s="55"/>
      <c r="W598" s="51" t="b">
        <f t="shared" si="407"/>
        <v>1</v>
      </c>
      <c r="X598" s="51" t="str">
        <f t="shared" si="408"/>
        <v>Not Used</v>
      </c>
      <c r="Y598" s="51" t="str">
        <f t="shared" si="409"/>
        <v>Not Used</v>
      </c>
      <c r="Z598" s="51" t="str">
        <f t="shared" si="410"/>
        <v>Not Used</v>
      </c>
      <c r="AA598" s="51" t="str">
        <f t="shared" si="410"/>
        <v>Not Used</v>
      </c>
      <c r="AB598" s="51" t="str">
        <f t="shared" si="411"/>
        <v>Not Used</v>
      </c>
      <c r="AC598" s="51" t="b">
        <f t="shared" si="412"/>
        <v>1</v>
      </c>
      <c r="AD598" s="51">
        <f>COUNTIF($X$5:$X$598, "Not Used")</f>
        <v>594</v>
      </c>
      <c r="AE598" s="51">
        <f>COUNTIF($X$5:$X$598, "TRUE")</f>
        <v>0</v>
      </c>
      <c r="AF598" s="51" t="b">
        <f t="shared" si="413"/>
        <v>1</v>
      </c>
      <c r="AI598" s="51" t="b">
        <f t="shared" si="414"/>
        <v>0</v>
      </c>
      <c r="AJ598" s="51" t="b">
        <f t="shared" si="415"/>
        <v>0</v>
      </c>
      <c r="AK598" s="51" t="b">
        <f t="shared" si="416"/>
        <v>0</v>
      </c>
      <c r="AL598" s="51" t="b">
        <f t="shared" si="417"/>
        <v>0</v>
      </c>
      <c r="AM598" s="51" t="b">
        <f t="shared" si="418"/>
        <v>0</v>
      </c>
      <c r="AN598" s="51"/>
      <c r="AO598" s="51" t="b">
        <f t="shared" si="419"/>
        <v>0</v>
      </c>
      <c r="AP598" s="51" t="str">
        <f t="shared" ref="AP598:AP661" si="441">IF(AND(B598="YES", C598="YES", D598="YES"), "Tier 1 MMS, Tier 1 Sub MMS, Tier 2 MMS", IF(AND(B598="YES", C598="YES"), "Tier 1 MMS, Tier 1 Sub MMS", IF(AND(B598="YES", D598="YES"), "Tier 1 MMS, Tier 2 MMS", IF(AND(C598="YES", D598="YES"), "Tier 1 Sub MMS, Tier 2 MMS", IF(B598="YES", "Tier 1 MMS", IF(C598="YES", "Tier 1 Sub MMS", IF(D598="YES", "Tier 2 MMS", "Not in MMS")))))))</f>
        <v>Not in MMS</v>
      </c>
      <c r="AQ598" s="51" t="b">
        <f t="shared" si="420"/>
        <v>0</v>
      </c>
      <c r="AR598" s="51" t="b">
        <f t="shared" si="421"/>
        <v>0</v>
      </c>
      <c r="AS598" s="51" t="str">
        <f t="shared" si="422"/>
        <v/>
      </c>
      <c r="AT598" s="51" t="str">
        <f t="shared" si="423"/>
        <v/>
      </c>
      <c r="AU598" s="51" t="str">
        <f t="shared" si="424"/>
        <v/>
      </c>
      <c r="AV598" s="51" t="str">
        <f t="shared" si="425"/>
        <v/>
      </c>
      <c r="AW598" s="51" t="str">
        <f t="shared" si="426"/>
        <v/>
      </c>
      <c r="AX598" s="51" t="str">
        <f t="shared" si="427"/>
        <v/>
      </c>
      <c r="AY598" s="51" t="str">
        <f t="shared" si="428"/>
        <v/>
      </c>
      <c r="AZ598" s="51" t="str">
        <f t="shared" si="429"/>
        <v/>
      </c>
      <c r="BA598" s="51" t="str">
        <f t="shared" si="430"/>
        <v/>
      </c>
      <c r="BB598" s="51" t="str">
        <f t="shared" si="431"/>
        <v/>
      </c>
      <c r="BC598" s="51" t="str">
        <f t="shared" si="432"/>
        <v/>
      </c>
      <c r="BD598" s="51" t="str">
        <f t="shared" si="433"/>
        <v/>
      </c>
      <c r="BE598" s="51" t="str">
        <f t="shared" si="434"/>
        <v/>
      </c>
      <c r="BF598" s="51" t="str">
        <f t="shared" si="435"/>
        <v/>
      </c>
      <c r="BG598" s="51" t="str">
        <f t="shared" si="436"/>
        <v/>
      </c>
      <c r="BH598" s="51" t="b">
        <f t="shared" si="437"/>
        <v>0</v>
      </c>
      <c r="BI598" s="51" t="str">
        <f t="shared" si="438"/>
        <v/>
      </c>
      <c r="BJ598" s="51" t="str">
        <f t="shared" si="439"/>
        <v/>
      </c>
      <c r="BK598" s="51" t="b">
        <f t="shared" si="440"/>
        <v>0</v>
      </c>
      <c r="BL598" s="192"/>
    </row>
    <row r="599" spans="1:64" ht="13.5" thickBot="1" x14ac:dyDescent="0.25">
      <c r="A599" s="185" t="s">
        <v>1274</v>
      </c>
      <c r="B599" s="194" t="s">
        <v>695</v>
      </c>
      <c r="C599" s="194" t="s">
        <v>695</v>
      </c>
      <c r="D599" s="194" t="s">
        <v>695</v>
      </c>
      <c r="E599" s="193" t="s">
        <v>694</v>
      </c>
      <c r="F599" s="160" t="s">
        <v>20</v>
      </c>
      <c r="G599" s="161"/>
      <c r="H599" s="186" t="str">
        <f t="shared" si="398"/>
        <v>N/A</v>
      </c>
      <c r="I599" s="186" t="b">
        <f t="shared" si="399"/>
        <v>1</v>
      </c>
      <c r="J599" s="186" t="str">
        <f t="shared" si="400"/>
        <v>N/A</v>
      </c>
      <c r="K599" s="186" t="b">
        <f t="shared" si="401"/>
        <v>1</v>
      </c>
      <c r="L599" s="186" t="str">
        <f t="shared" si="402"/>
        <v>N/A</v>
      </c>
      <c r="M599" s="186" t="b">
        <f t="shared" si="403"/>
        <v>1</v>
      </c>
      <c r="N599" s="186" t="str">
        <f t="shared" si="404"/>
        <v>Used?</v>
      </c>
      <c r="O599" s="186" t="b">
        <f t="shared" si="405"/>
        <v>0</v>
      </c>
      <c r="P599" s="26" t="s">
        <v>696</v>
      </c>
      <c r="Q599" s="160" t="s">
        <v>20</v>
      </c>
      <c r="R599" s="160" t="s">
        <v>20</v>
      </c>
      <c r="S599" s="26" t="s">
        <v>697</v>
      </c>
      <c r="T599" s="165" t="str">
        <f t="shared" si="406"/>
        <v>Not Used</v>
      </c>
      <c r="U599" s="162"/>
      <c r="V599" s="55"/>
      <c r="W599" s="51" t="b">
        <f t="shared" si="407"/>
        <v>1</v>
      </c>
      <c r="X599" s="51" t="str">
        <f t="shared" si="408"/>
        <v>Not Used</v>
      </c>
      <c r="Y599" s="51" t="str">
        <f t="shared" si="409"/>
        <v>Not Used</v>
      </c>
      <c r="Z599" s="51" t="str">
        <f t="shared" si="410"/>
        <v>Not Used</v>
      </c>
      <c r="AA599" s="51" t="str">
        <f t="shared" si="410"/>
        <v>Not Used</v>
      </c>
      <c r="AB599" s="51" t="str">
        <f t="shared" si="411"/>
        <v>Not Used</v>
      </c>
      <c r="AC599" s="51" t="b">
        <f t="shared" si="412"/>
        <v>1</v>
      </c>
      <c r="AD599" s="51">
        <f>COUNTIF($X$5:$X$599, "Not Used")</f>
        <v>595</v>
      </c>
      <c r="AE599" s="51">
        <f>COUNTIF($X$5:$X$599, "TRUE")</f>
        <v>0</v>
      </c>
      <c r="AF599" s="51" t="b">
        <f t="shared" si="413"/>
        <v>1</v>
      </c>
      <c r="AI599" s="51" t="b">
        <f t="shared" si="414"/>
        <v>0</v>
      </c>
      <c r="AJ599" s="51" t="b">
        <f t="shared" si="415"/>
        <v>0</v>
      </c>
      <c r="AK599" s="51" t="b">
        <f t="shared" si="416"/>
        <v>0</v>
      </c>
      <c r="AL599" s="51" t="b">
        <f t="shared" si="417"/>
        <v>0</v>
      </c>
      <c r="AM599" s="51" t="b">
        <f t="shared" si="418"/>
        <v>0</v>
      </c>
      <c r="AN599" s="51"/>
      <c r="AO599" s="51" t="b">
        <f t="shared" si="419"/>
        <v>0</v>
      </c>
      <c r="AP599" s="51" t="str">
        <f t="shared" si="441"/>
        <v>Not in MMS</v>
      </c>
      <c r="AQ599" s="51" t="b">
        <f t="shared" si="420"/>
        <v>0</v>
      </c>
      <c r="AR599" s="51" t="b">
        <f t="shared" si="421"/>
        <v>0</v>
      </c>
      <c r="AS599" s="51" t="str">
        <f t="shared" si="422"/>
        <v/>
      </c>
      <c r="AT599" s="51" t="str">
        <f t="shared" si="423"/>
        <v/>
      </c>
      <c r="AU599" s="51" t="str">
        <f t="shared" si="424"/>
        <v/>
      </c>
      <c r="AV599" s="51" t="str">
        <f t="shared" si="425"/>
        <v/>
      </c>
      <c r="AW599" s="51" t="str">
        <f t="shared" si="426"/>
        <v/>
      </c>
      <c r="AX599" s="51" t="str">
        <f t="shared" si="427"/>
        <v/>
      </c>
      <c r="AY599" s="51" t="str">
        <f t="shared" si="428"/>
        <v/>
      </c>
      <c r="AZ599" s="51" t="str">
        <f t="shared" si="429"/>
        <v/>
      </c>
      <c r="BA599" s="51" t="str">
        <f t="shared" si="430"/>
        <v/>
      </c>
      <c r="BB599" s="51" t="str">
        <f t="shared" si="431"/>
        <v/>
      </c>
      <c r="BC599" s="51" t="str">
        <f t="shared" si="432"/>
        <v/>
      </c>
      <c r="BD599" s="51" t="str">
        <f t="shared" si="433"/>
        <v/>
      </c>
      <c r="BE599" s="51" t="str">
        <f t="shared" si="434"/>
        <v/>
      </c>
      <c r="BF599" s="51" t="str">
        <f t="shared" si="435"/>
        <v/>
      </c>
      <c r="BG599" s="51" t="str">
        <f t="shared" si="436"/>
        <v/>
      </c>
      <c r="BH599" s="51" t="b">
        <f t="shared" si="437"/>
        <v>0</v>
      </c>
      <c r="BI599" s="51" t="str">
        <f t="shared" si="438"/>
        <v/>
      </c>
      <c r="BJ599" s="51" t="str">
        <f t="shared" si="439"/>
        <v/>
      </c>
      <c r="BK599" s="51" t="b">
        <f t="shared" si="440"/>
        <v>0</v>
      </c>
      <c r="BL599" s="192"/>
    </row>
    <row r="600" spans="1:64" ht="13.5" thickBot="1" x14ac:dyDescent="0.25">
      <c r="A600" s="185" t="s">
        <v>1275</v>
      </c>
      <c r="B600" s="194" t="s">
        <v>695</v>
      </c>
      <c r="C600" s="194" t="s">
        <v>695</v>
      </c>
      <c r="D600" s="194" t="s">
        <v>695</v>
      </c>
      <c r="E600" s="193" t="s">
        <v>694</v>
      </c>
      <c r="F600" s="160" t="s">
        <v>20</v>
      </c>
      <c r="G600" s="161"/>
      <c r="H600" s="186" t="str">
        <f t="shared" si="398"/>
        <v>N/A</v>
      </c>
      <c r="I600" s="186" t="b">
        <f t="shared" si="399"/>
        <v>1</v>
      </c>
      <c r="J600" s="186" t="str">
        <f t="shared" si="400"/>
        <v>N/A</v>
      </c>
      <c r="K600" s="186" t="b">
        <f t="shared" si="401"/>
        <v>1</v>
      </c>
      <c r="L600" s="186" t="str">
        <f t="shared" si="402"/>
        <v>N/A</v>
      </c>
      <c r="M600" s="186" t="b">
        <f t="shared" si="403"/>
        <v>1</v>
      </c>
      <c r="N600" s="186" t="str">
        <f t="shared" si="404"/>
        <v>Used?</v>
      </c>
      <c r="O600" s="186" t="b">
        <f t="shared" si="405"/>
        <v>0</v>
      </c>
      <c r="P600" s="26" t="s">
        <v>696</v>
      </c>
      <c r="Q600" s="160" t="s">
        <v>20</v>
      </c>
      <c r="R600" s="160" t="s">
        <v>20</v>
      </c>
      <c r="S600" s="26" t="s">
        <v>697</v>
      </c>
      <c r="T600" s="165" t="str">
        <f t="shared" si="406"/>
        <v>Not Used</v>
      </c>
      <c r="U600" s="162"/>
      <c r="V600" s="55"/>
      <c r="W600" s="51" t="b">
        <f t="shared" si="407"/>
        <v>1</v>
      </c>
      <c r="X600" s="51" t="str">
        <f t="shared" si="408"/>
        <v>Not Used</v>
      </c>
      <c r="Y600" s="51" t="str">
        <f t="shared" si="409"/>
        <v>Not Used</v>
      </c>
      <c r="Z600" s="51" t="str">
        <f t="shared" si="410"/>
        <v>Not Used</v>
      </c>
      <c r="AA600" s="51" t="str">
        <f t="shared" si="410"/>
        <v>Not Used</v>
      </c>
      <c r="AB600" s="51" t="str">
        <f t="shared" si="411"/>
        <v>Not Used</v>
      </c>
      <c r="AC600" s="51" t="b">
        <f t="shared" si="412"/>
        <v>1</v>
      </c>
      <c r="AD600" s="51">
        <f>COUNTIF($X$5:$X$600, "Not Used")</f>
        <v>596</v>
      </c>
      <c r="AE600" s="51">
        <f>COUNTIF($X$5:$X$600, "TRUE")</f>
        <v>0</v>
      </c>
      <c r="AF600" s="51" t="b">
        <f t="shared" si="413"/>
        <v>1</v>
      </c>
      <c r="AI600" s="51" t="b">
        <f t="shared" si="414"/>
        <v>0</v>
      </c>
      <c r="AJ600" s="51" t="b">
        <f t="shared" si="415"/>
        <v>0</v>
      </c>
      <c r="AK600" s="51" t="b">
        <f t="shared" si="416"/>
        <v>0</v>
      </c>
      <c r="AL600" s="51" t="b">
        <f t="shared" si="417"/>
        <v>0</v>
      </c>
      <c r="AM600" s="51" t="b">
        <f t="shared" si="418"/>
        <v>0</v>
      </c>
      <c r="AN600" s="51"/>
      <c r="AO600" s="51" t="b">
        <f t="shared" si="419"/>
        <v>0</v>
      </c>
      <c r="AP600" s="51" t="str">
        <f t="shared" si="441"/>
        <v>Not in MMS</v>
      </c>
      <c r="AQ600" s="51" t="b">
        <f t="shared" si="420"/>
        <v>0</v>
      </c>
      <c r="AR600" s="51" t="b">
        <f t="shared" si="421"/>
        <v>0</v>
      </c>
      <c r="AS600" s="51" t="str">
        <f t="shared" si="422"/>
        <v/>
      </c>
      <c r="AT600" s="51" t="str">
        <f t="shared" si="423"/>
        <v/>
      </c>
      <c r="AU600" s="51" t="str">
        <f t="shared" si="424"/>
        <v/>
      </c>
      <c r="AV600" s="51" t="str">
        <f t="shared" si="425"/>
        <v/>
      </c>
      <c r="AW600" s="51" t="str">
        <f t="shared" si="426"/>
        <v/>
      </c>
      <c r="AX600" s="51" t="str">
        <f t="shared" si="427"/>
        <v/>
      </c>
      <c r="AY600" s="51" t="str">
        <f t="shared" si="428"/>
        <v/>
      </c>
      <c r="AZ600" s="51" t="str">
        <f t="shared" si="429"/>
        <v/>
      </c>
      <c r="BA600" s="51" t="str">
        <f t="shared" si="430"/>
        <v/>
      </c>
      <c r="BB600" s="51" t="str">
        <f t="shared" si="431"/>
        <v/>
      </c>
      <c r="BC600" s="51" t="str">
        <f t="shared" si="432"/>
        <v/>
      </c>
      <c r="BD600" s="51" t="str">
        <f t="shared" si="433"/>
        <v/>
      </c>
      <c r="BE600" s="51" t="str">
        <f t="shared" si="434"/>
        <v/>
      </c>
      <c r="BF600" s="51" t="str">
        <f t="shared" si="435"/>
        <v/>
      </c>
      <c r="BG600" s="51" t="str">
        <f t="shared" si="436"/>
        <v/>
      </c>
      <c r="BH600" s="51" t="b">
        <f t="shared" si="437"/>
        <v>0</v>
      </c>
      <c r="BI600" s="51" t="str">
        <f t="shared" si="438"/>
        <v/>
      </c>
      <c r="BJ600" s="51" t="str">
        <f t="shared" si="439"/>
        <v/>
      </c>
      <c r="BK600" s="51" t="b">
        <f t="shared" si="440"/>
        <v>0</v>
      </c>
      <c r="BL600" s="192"/>
    </row>
    <row r="601" spans="1:64" ht="13.5" thickBot="1" x14ac:dyDescent="0.25">
      <c r="A601" s="185" t="s">
        <v>1276</v>
      </c>
      <c r="B601" s="194" t="s">
        <v>695</v>
      </c>
      <c r="C601" s="194" t="s">
        <v>695</v>
      </c>
      <c r="D601" s="194" t="s">
        <v>695</v>
      </c>
      <c r="E601" s="193" t="s">
        <v>694</v>
      </c>
      <c r="F601" s="160" t="s">
        <v>20</v>
      </c>
      <c r="G601" s="161"/>
      <c r="H601" s="186" t="str">
        <f t="shared" si="398"/>
        <v>N/A</v>
      </c>
      <c r="I601" s="186" t="b">
        <f t="shared" si="399"/>
        <v>1</v>
      </c>
      <c r="J601" s="186" t="str">
        <f t="shared" si="400"/>
        <v>N/A</v>
      </c>
      <c r="K601" s="186" t="b">
        <f t="shared" si="401"/>
        <v>1</v>
      </c>
      <c r="L601" s="186" t="str">
        <f t="shared" si="402"/>
        <v>N/A</v>
      </c>
      <c r="M601" s="186" t="b">
        <f t="shared" si="403"/>
        <v>1</v>
      </c>
      <c r="N601" s="186" t="str">
        <f t="shared" si="404"/>
        <v>Used?</v>
      </c>
      <c r="O601" s="186" t="b">
        <f t="shared" si="405"/>
        <v>0</v>
      </c>
      <c r="P601" s="26" t="s">
        <v>696</v>
      </c>
      <c r="Q601" s="160" t="s">
        <v>20</v>
      </c>
      <c r="R601" s="160" t="s">
        <v>20</v>
      </c>
      <c r="S601" s="26" t="s">
        <v>697</v>
      </c>
      <c r="T601" s="165" t="str">
        <f t="shared" si="406"/>
        <v>Not Used</v>
      </c>
      <c r="U601" s="162"/>
      <c r="V601" s="55"/>
      <c r="W601" s="51" t="b">
        <f t="shared" si="407"/>
        <v>1</v>
      </c>
      <c r="X601" s="51" t="str">
        <f t="shared" si="408"/>
        <v>Not Used</v>
      </c>
      <c r="Y601" s="51" t="str">
        <f t="shared" si="409"/>
        <v>Not Used</v>
      </c>
      <c r="Z601" s="51" t="str">
        <f t="shared" si="410"/>
        <v>Not Used</v>
      </c>
      <c r="AA601" s="51" t="str">
        <f t="shared" si="410"/>
        <v>Not Used</v>
      </c>
      <c r="AB601" s="51" t="str">
        <f t="shared" si="411"/>
        <v>Not Used</v>
      </c>
      <c r="AC601" s="51" t="b">
        <f t="shared" si="412"/>
        <v>1</v>
      </c>
      <c r="AD601" s="51">
        <f>COUNTIF($X$5:$X$601, "Not Used")</f>
        <v>597</v>
      </c>
      <c r="AE601" s="51">
        <f>COUNTIF($X$5:$X$601, "TRUE")</f>
        <v>0</v>
      </c>
      <c r="AF601" s="51" t="b">
        <f t="shared" si="413"/>
        <v>1</v>
      </c>
      <c r="AI601" s="51" t="b">
        <f t="shared" si="414"/>
        <v>0</v>
      </c>
      <c r="AJ601" s="51" t="b">
        <f t="shared" si="415"/>
        <v>0</v>
      </c>
      <c r="AK601" s="51" t="b">
        <f t="shared" si="416"/>
        <v>0</v>
      </c>
      <c r="AL601" s="51" t="b">
        <f t="shared" si="417"/>
        <v>0</v>
      </c>
      <c r="AM601" s="51" t="b">
        <f t="shared" si="418"/>
        <v>0</v>
      </c>
      <c r="AN601" s="51"/>
      <c r="AO601" s="51" t="b">
        <f t="shared" si="419"/>
        <v>0</v>
      </c>
      <c r="AP601" s="51" t="str">
        <f t="shared" si="441"/>
        <v>Not in MMS</v>
      </c>
      <c r="AQ601" s="51" t="b">
        <f t="shared" si="420"/>
        <v>0</v>
      </c>
      <c r="AR601" s="51" t="b">
        <f t="shared" si="421"/>
        <v>0</v>
      </c>
      <c r="AS601" s="51" t="str">
        <f t="shared" si="422"/>
        <v/>
      </c>
      <c r="AT601" s="51" t="str">
        <f t="shared" si="423"/>
        <v/>
      </c>
      <c r="AU601" s="51" t="str">
        <f t="shared" si="424"/>
        <v/>
      </c>
      <c r="AV601" s="51" t="str">
        <f t="shared" si="425"/>
        <v/>
      </c>
      <c r="AW601" s="51" t="str">
        <f t="shared" si="426"/>
        <v/>
      </c>
      <c r="AX601" s="51" t="str">
        <f t="shared" si="427"/>
        <v/>
      </c>
      <c r="AY601" s="51" t="str">
        <f t="shared" si="428"/>
        <v/>
      </c>
      <c r="AZ601" s="51" t="str">
        <f t="shared" si="429"/>
        <v/>
      </c>
      <c r="BA601" s="51" t="str">
        <f t="shared" si="430"/>
        <v/>
      </c>
      <c r="BB601" s="51" t="str">
        <f t="shared" si="431"/>
        <v/>
      </c>
      <c r="BC601" s="51" t="str">
        <f t="shared" si="432"/>
        <v/>
      </c>
      <c r="BD601" s="51" t="str">
        <f t="shared" si="433"/>
        <v/>
      </c>
      <c r="BE601" s="51" t="str">
        <f t="shared" si="434"/>
        <v/>
      </c>
      <c r="BF601" s="51" t="str">
        <f t="shared" si="435"/>
        <v/>
      </c>
      <c r="BG601" s="51" t="str">
        <f t="shared" si="436"/>
        <v/>
      </c>
      <c r="BH601" s="51" t="b">
        <f t="shared" si="437"/>
        <v>0</v>
      </c>
      <c r="BI601" s="51" t="str">
        <f t="shared" si="438"/>
        <v/>
      </c>
      <c r="BJ601" s="51" t="str">
        <f t="shared" si="439"/>
        <v/>
      </c>
      <c r="BK601" s="51" t="b">
        <f t="shared" si="440"/>
        <v>0</v>
      </c>
      <c r="BL601" s="192"/>
    </row>
    <row r="602" spans="1:64" ht="13.5" thickBot="1" x14ac:dyDescent="0.25">
      <c r="A602" s="185" t="s">
        <v>1277</v>
      </c>
      <c r="B602" s="194" t="s">
        <v>695</v>
      </c>
      <c r="C602" s="194" t="s">
        <v>695</v>
      </c>
      <c r="D602" s="194" t="s">
        <v>695</v>
      </c>
      <c r="E602" s="193" t="s">
        <v>694</v>
      </c>
      <c r="F602" s="160" t="s">
        <v>20</v>
      </c>
      <c r="G602" s="161"/>
      <c r="H602" s="186" t="str">
        <f t="shared" si="398"/>
        <v>N/A</v>
      </c>
      <c r="I602" s="186" t="b">
        <f t="shared" si="399"/>
        <v>1</v>
      </c>
      <c r="J602" s="186" t="str">
        <f t="shared" si="400"/>
        <v>N/A</v>
      </c>
      <c r="K602" s="186" t="b">
        <f t="shared" si="401"/>
        <v>1</v>
      </c>
      <c r="L602" s="186" t="str">
        <f t="shared" si="402"/>
        <v>N/A</v>
      </c>
      <c r="M602" s="186" t="b">
        <f t="shared" si="403"/>
        <v>1</v>
      </c>
      <c r="N602" s="186" t="str">
        <f t="shared" si="404"/>
        <v>Used?</v>
      </c>
      <c r="O602" s="186" t="b">
        <f t="shared" si="405"/>
        <v>0</v>
      </c>
      <c r="P602" s="26" t="s">
        <v>696</v>
      </c>
      <c r="Q602" s="160" t="s">
        <v>20</v>
      </c>
      <c r="R602" s="160" t="s">
        <v>20</v>
      </c>
      <c r="S602" s="26" t="s">
        <v>697</v>
      </c>
      <c r="T602" s="165" t="str">
        <f t="shared" si="406"/>
        <v>Not Used</v>
      </c>
      <c r="U602" s="162"/>
      <c r="V602" s="55"/>
      <c r="W602" s="51" t="b">
        <f t="shared" si="407"/>
        <v>1</v>
      </c>
      <c r="X602" s="51" t="str">
        <f t="shared" si="408"/>
        <v>Not Used</v>
      </c>
      <c r="Y602" s="51" t="str">
        <f t="shared" si="409"/>
        <v>Not Used</v>
      </c>
      <c r="Z602" s="51" t="str">
        <f t="shared" si="410"/>
        <v>Not Used</v>
      </c>
      <c r="AA602" s="51" t="str">
        <f t="shared" si="410"/>
        <v>Not Used</v>
      </c>
      <c r="AB602" s="51" t="str">
        <f t="shared" si="411"/>
        <v>Not Used</v>
      </c>
      <c r="AC602" s="51" t="b">
        <f t="shared" si="412"/>
        <v>1</v>
      </c>
      <c r="AD602" s="51">
        <f>COUNTIF($X$5:$X$602, "Not Used")</f>
        <v>598</v>
      </c>
      <c r="AE602" s="51">
        <f>COUNTIF($X$5:$X$602, "TRUE")</f>
        <v>0</v>
      </c>
      <c r="AF602" s="51" t="b">
        <f t="shared" si="413"/>
        <v>1</v>
      </c>
      <c r="AI602" s="51" t="b">
        <f t="shared" si="414"/>
        <v>0</v>
      </c>
      <c r="AJ602" s="51" t="b">
        <f t="shared" si="415"/>
        <v>0</v>
      </c>
      <c r="AK602" s="51" t="b">
        <f t="shared" si="416"/>
        <v>0</v>
      </c>
      <c r="AL602" s="51" t="b">
        <f t="shared" si="417"/>
        <v>0</v>
      </c>
      <c r="AM602" s="51" t="b">
        <f t="shared" si="418"/>
        <v>0</v>
      </c>
      <c r="AN602" s="51"/>
      <c r="AO602" s="51" t="b">
        <f t="shared" si="419"/>
        <v>0</v>
      </c>
      <c r="AP602" s="51" t="str">
        <f t="shared" si="441"/>
        <v>Not in MMS</v>
      </c>
      <c r="AQ602" s="51" t="b">
        <f t="shared" si="420"/>
        <v>0</v>
      </c>
      <c r="AR602" s="51" t="b">
        <f t="shared" si="421"/>
        <v>0</v>
      </c>
      <c r="AS602" s="51" t="str">
        <f t="shared" si="422"/>
        <v/>
      </c>
      <c r="AT602" s="51" t="str">
        <f t="shared" si="423"/>
        <v/>
      </c>
      <c r="AU602" s="51" t="str">
        <f t="shared" si="424"/>
        <v/>
      </c>
      <c r="AV602" s="51" t="str">
        <f t="shared" si="425"/>
        <v/>
      </c>
      <c r="AW602" s="51" t="str">
        <f t="shared" si="426"/>
        <v/>
      </c>
      <c r="AX602" s="51" t="str">
        <f t="shared" si="427"/>
        <v/>
      </c>
      <c r="AY602" s="51" t="str">
        <f t="shared" si="428"/>
        <v/>
      </c>
      <c r="AZ602" s="51" t="str">
        <f t="shared" si="429"/>
        <v/>
      </c>
      <c r="BA602" s="51" t="str">
        <f t="shared" si="430"/>
        <v/>
      </c>
      <c r="BB602" s="51" t="str">
        <f t="shared" si="431"/>
        <v/>
      </c>
      <c r="BC602" s="51" t="str">
        <f t="shared" si="432"/>
        <v/>
      </c>
      <c r="BD602" s="51" t="str">
        <f t="shared" si="433"/>
        <v/>
      </c>
      <c r="BE602" s="51" t="str">
        <f t="shared" si="434"/>
        <v/>
      </c>
      <c r="BF602" s="51" t="str">
        <f t="shared" si="435"/>
        <v/>
      </c>
      <c r="BG602" s="51" t="str">
        <f t="shared" si="436"/>
        <v/>
      </c>
      <c r="BH602" s="51" t="b">
        <f t="shared" si="437"/>
        <v>0</v>
      </c>
      <c r="BI602" s="51" t="str">
        <f t="shared" si="438"/>
        <v/>
      </c>
      <c r="BJ602" s="51" t="str">
        <f t="shared" si="439"/>
        <v/>
      </c>
      <c r="BK602" s="51" t="b">
        <f t="shared" si="440"/>
        <v>0</v>
      </c>
      <c r="BL602" s="192"/>
    </row>
    <row r="603" spans="1:64" ht="13.5" thickBot="1" x14ac:dyDescent="0.25">
      <c r="A603" s="185" t="s">
        <v>1278</v>
      </c>
      <c r="B603" s="194" t="s">
        <v>695</v>
      </c>
      <c r="C603" s="194" t="s">
        <v>695</v>
      </c>
      <c r="D603" s="194" t="s">
        <v>695</v>
      </c>
      <c r="E603" s="193" t="s">
        <v>694</v>
      </c>
      <c r="F603" s="160" t="s">
        <v>20</v>
      </c>
      <c r="G603" s="161"/>
      <c r="H603" s="186" t="str">
        <f t="shared" si="398"/>
        <v>N/A</v>
      </c>
      <c r="I603" s="186" t="b">
        <f t="shared" si="399"/>
        <v>1</v>
      </c>
      <c r="J603" s="186" t="str">
        <f t="shared" si="400"/>
        <v>N/A</v>
      </c>
      <c r="K603" s="186" t="b">
        <f t="shared" si="401"/>
        <v>1</v>
      </c>
      <c r="L603" s="186" t="str">
        <f t="shared" si="402"/>
        <v>N/A</v>
      </c>
      <c r="M603" s="186" t="b">
        <f t="shared" si="403"/>
        <v>1</v>
      </c>
      <c r="N603" s="186" t="str">
        <f t="shared" si="404"/>
        <v>Used?</v>
      </c>
      <c r="O603" s="186" t="b">
        <f t="shared" si="405"/>
        <v>0</v>
      </c>
      <c r="P603" s="26" t="s">
        <v>696</v>
      </c>
      <c r="Q603" s="160" t="s">
        <v>20</v>
      </c>
      <c r="R603" s="160" t="s">
        <v>20</v>
      </c>
      <c r="S603" s="26" t="s">
        <v>697</v>
      </c>
      <c r="T603" s="165" t="str">
        <f t="shared" si="406"/>
        <v>Not Used</v>
      </c>
      <c r="U603" s="162"/>
      <c r="V603" s="55"/>
      <c r="W603" s="51" t="b">
        <f t="shared" si="407"/>
        <v>1</v>
      </c>
      <c r="X603" s="51" t="str">
        <f t="shared" si="408"/>
        <v>Not Used</v>
      </c>
      <c r="Y603" s="51" t="str">
        <f t="shared" si="409"/>
        <v>Not Used</v>
      </c>
      <c r="Z603" s="51" t="str">
        <f t="shared" si="410"/>
        <v>Not Used</v>
      </c>
      <c r="AA603" s="51" t="str">
        <f t="shared" si="410"/>
        <v>Not Used</v>
      </c>
      <c r="AB603" s="51" t="str">
        <f t="shared" si="411"/>
        <v>Not Used</v>
      </c>
      <c r="AC603" s="51" t="b">
        <f t="shared" si="412"/>
        <v>1</v>
      </c>
      <c r="AD603" s="51">
        <f>COUNTIF($X$5:$X$603, "Not Used")</f>
        <v>599</v>
      </c>
      <c r="AE603" s="51">
        <f>COUNTIF($X$5:$X$603, "TRUE")</f>
        <v>0</v>
      </c>
      <c r="AF603" s="51" t="b">
        <f t="shared" si="413"/>
        <v>1</v>
      </c>
      <c r="AI603" s="51" t="b">
        <f t="shared" si="414"/>
        <v>0</v>
      </c>
      <c r="AJ603" s="51" t="b">
        <f t="shared" si="415"/>
        <v>0</v>
      </c>
      <c r="AK603" s="51" t="b">
        <f t="shared" si="416"/>
        <v>0</v>
      </c>
      <c r="AL603" s="51" t="b">
        <f t="shared" si="417"/>
        <v>0</v>
      </c>
      <c r="AM603" s="51" t="b">
        <f t="shared" si="418"/>
        <v>0</v>
      </c>
      <c r="AN603" s="51"/>
      <c r="AO603" s="51" t="b">
        <f t="shared" si="419"/>
        <v>0</v>
      </c>
      <c r="AP603" s="51" t="str">
        <f t="shared" si="441"/>
        <v>Not in MMS</v>
      </c>
      <c r="AQ603" s="51" t="b">
        <f t="shared" si="420"/>
        <v>0</v>
      </c>
      <c r="AR603" s="51" t="b">
        <f t="shared" si="421"/>
        <v>0</v>
      </c>
      <c r="AS603" s="51" t="str">
        <f t="shared" si="422"/>
        <v/>
      </c>
      <c r="AT603" s="51" t="str">
        <f t="shared" si="423"/>
        <v/>
      </c>
      <c r="AU603" s="51" t="str">
        <f t="shared" si="424"/>
        <v/>
      </c>
      <c r="AV603" s="51" t="str">
        <f t="shared" si="425"/>
        <v/>
      </c>
      <c r="AW603" s="51" t="str">
        <f t="shared" si="426"/>
        <v/>
      </c>
      <c r="AX603" s="51" t="str">
        <f t="shared" si="427"/>
        <v/>
      </c>
      <c r="AY603" s="51" t="str">
        <f t="shared" si="428"/>
        <v/>
      </c>
      <c r="AZ603" s="51" t="str">
        <f t="shared" si="429"/>
        <v/>
      </c>
      <c r="BA603" s="51" t="str">
        <f t="shared" si="430"/>
        <v/>
      </c>
      <c r="BB603" s="51" t="str">
        <f t="shared" si="431"/>
        <v/>
      </c>
      <c r="BC603" s="51" t="str">
        <f t="shared" si="432"/>
        <v/>
      </c>
      <c r="BD603" s="51" t="str">
        <f t="shared" si="433"/>
        <v/>
      </c>
      <c r="BE603" s="51" t="str">
        <f t="shared" si="434"/>
        <v/>
      </c>
      <c r="BF603" s="51" t="str">
        <f t="shared" si="435"/>
        <v/>
      </c>
      <c r="BG603" s="51" t="str">
        <f t="shared" si="436"/>
        <v/>
      </c>
      <c r="BH603" s="51" t="b">
        <f t="shared" si="437"/>
        <v>0</v>
      </c>
      <c r="BI603" s="51" t="str">
        <f t="shared" si="438"/>
        <v/>
      </c>
      <c r="BJ603" s="51" t="str">
        <f t="shared" si="439"/>
        <v/>
      </c>
      <c r="BK603" s="51" t="b">
        <f t="shared" si="440"/>
        <v>0</v>
      </c>
      <c r="BL603" s="192"/>
    </row>
    <row r="604" spans="1:64" ht="13.5" thickBot="1" x14ac:dyDescent="0.25">
      <c r="A604" s="185" t="s">
        <v>1279</v>
      </c>
      <c r="B604" s="194" t="s">
        <v>695</v>
      </c>
      <c r="C604" s="194" t="s">
        <v>695</v>
      </c>
      <c r="D604" s="194" t="s">
        <v>695</v>
      </c>
      <c r="E604" s="193" t="s">
        <v>694</v>
      </c>
      <c r="F604" s="160" t="s">
        <v>20</v>
      </c>
      <c r="G604" s="161"/>
      <c r="H604" s="186" t="str">
        <f t="shared" si="398"/>
        <v>N/A</v>
      </c>
      <c r="I604" s="186" t="b">
        <f t="shared" si="399"/>
        <v>1</v>
      </c>
      <c r="J604" s="186" t="str">
        <f t="shared" si="400"/>
        <v>N/A</v>
      </c>
      <c r="K604" s="186" t="b">
        <f t="shared" si="401"/>
        <v>1</v>
      </c>
      <c r="L604" s="186" t="str">
        <f t="shared" si="402"/>
        <v>N/A</v>
      </c>
      <c r="M604" s="186" t="b">
        <f t="shared" si="403"/>
        <v>1</v>
      </c>
      <c r="N604" s="186" t="str">
        <f t="shared" si="404"/>
        <v>Used?</v>
      </c>
      <c r="O604" s="186" t="b">
        <f t="shared" si="405"/>
        <v>0</v>
      </c>
      <c r="P604" s="26" t="s">
        <v>696</v>
      </c>
      <c r="Q604" s="160" t="s">
        <v>20</v>
      </c>
      <c r="R604" s="160" t="s">
        <v>20</v>
      </c>
      <c r="S604" s="26" t="s">
        <v>697</v>
      </c>
      <c r="T604" s="165" t="str">
        <f t="shared" si="406"/>
        <v>Not Used</v>
      </c>
      <c r="U604" s="162"/>
      <c r="V604" s="55"/>
      <c r="W604" s="51" t="b">
        <f t="shared" si="407"/>
        <v>1</v>
      </c>
      <c r="X604" s="51" t="str">
        <f t="shared" si="408"/>
        <v>Not Used</v>
      </c>
      <c r="Y604" s="51" t="str">
        <f t="shared" si="409"/>
        <v>Not Used</v>
      </c>
      <c r="Z604" s="51" t="str">
        <f t="shared" si="410"/>
        <v>Not Used</v>
      </c>
      <c r="AA604" s="51" t="str">
        <f t="shared" si="410"/>
        <v>Not Used</v>
      </c>
      <c r="AB604" s="51" t="str">
        <f t="shared" si="411"/>
        <v>Not Used</v>
      </c>
      <c r="AC604" s="51" t="b">
        <f t="shared" si="412"/>
        <v>1</v>
      </c>
      <c r="AD604" s="51">
        <f>COUNTIF($X$5:$X$604, "Not Used")</f>
        <v>600</v>
      </c>
      <c r="AE604" s="51">
        <f>COUNTIF($X$5:$X$604, "TRUE")</f>
        <v>0</v>
      </c>
      <c r="AF604" s="51" t="b">
        <f t="shared" si="413"/>
        <v>1</v>
      </c>
      <c r="AI604" s="51" t="b">
        <f t="shared" si="414"/>
        <v>0</v>
      </c>
      <c r="AJ604" s="51" t="b">
        <f t="shared" si="415"/>
        <v>0</v>
      </c>
      <c r="AK604" s="51" t="b">
        <f t="shared" si="416"/>
        <v>0</v>
      </c>
      <c r="AL604" s="51" t="b">
        <f t="shared" si="417"/>
        <v>0</v>
      </c>
      <c r="AM604" s="51" t="b">
        <f t="shared" si="418"/>
        <v>0</v>
      </c>
      <c r="AN604" s="51"/>
      <c r="AO604" s="51" t="b">
        <f t="shared" si="419"/>
        <v>0</v>
      </c>
      <c r="AP604" s="51" t="str">
        <f t="shared" si="441"/>
        <v>Not in MMS</v>
      </c>
      <c r="AQ604" s="51" t="b">
        <f t="shared" si="420"/>
        <v>0</v>
      </c>
      <c r="AR604" s="51" t="b">
        <f t="shared" si="421"/>
        <v>0</v>
      </c>
      <c r="AS604" s="51" t="str">
        <f t="shared" si="422"/>
        <v/>
      </c>
      <c r="AT604" s="51" t="str">
        <f t="shared" si="423"/>
        <v/>
      </c>
      <c r="AU604" s="51" t="str">
        <f t="shared" si="424"/>
        <v/>
      </c>
      <c r="AV604" s="51" t="str">
        <f t="shared" si="425"/>
        <v/>
      </c>
      <c r="AW604" s="51" t="str">
        <f t="shared" si="426"/>
        <v/>
      </c>
      <c r="AX604" s="51" t="str">
        <f t="shared" si="427"/>
        <v/>
      </c>
      <c r="AY604" s="51" t="str">
        <f t="shared" si="428"/>
        <v/>
      </c>
      <c r="AZ604" s="51" t="str">
        <f t="shared" si="429"/>
        <v/>
      </c>
      <c r="BA604" s="51" t="str">
        <f t="shared" si="430"/>
        <v/>
      </c>
      <c r="BB604" s="51" t="str">
        <f t="shared" si="431"/>
        <v/>
      </c>
      <c r="BC604" s="51" t="str">
        <f t="shared" si="432"/>
        <v/>
      </c>
      <c r="BD604" s="51" t="str">
        <f t="shared" si="433"/>
        <v/>
      </c>
      <c r="BE604" s="51" t="str">
        <f t="shared" si="434"/>
        <v/>
      </c>
      <c r="BF604" s="51" t="str">
        <f t="shared" si="435"/>
        <v/>
      </c>
      <c r="BG604" s="51" t="str">
        <f t="shared" si="436"/>
        <v/>
      </c>
      <c r="BH604" s="51" t="b">
        <f t="shared" si="437"/>
        <v>0</v>
      </c>
      <c r="BI604" s="51" t="str">
        <f t="shared" si="438"/>
        <v/>
      </c>
      <c r="BJ604" s="51" t="str">
        <f t="shared" si="439"/>
        <v/>
      </c>
      <c r="BK604" s="51" t="b">
        <f t="shared" si="440"/>
        <v>0</v>
      </c>
      <c r="BL604" s="192"/>
    </row>
    <row r="605" spans="1:64" ht="13.5" thickBot="1" x14ac:dyDescent="0.25">
      <c r="A605" s="185" t="s">
        <v>1280</v>
      </c>
      <c r="B605" s="194" t="s">
        <v>695</v>
      </c>
      <c r="C605" s="194" t="s">
        <v>695</v>
      </c>
      <c r="D605" s="194" t="s">
        <v>695</v>
      </c>
      <c r="E605" s="193" t="s">
        <v>694</v>
      </c>
      <c r="F605" s="160" t="s">
        <v>20</v>
      </c>
      <c r="G605" s="161"/>
      <c r="H605" s="186" t="str">
        <f t="shared" si="398"/>
        <v>N/A</v>
      </c>
      <c r="I605" s="186" t="b">
        <f t="shared" si="399"/>
        <v>1</v>
      </c>
      <c r="J605" s="186" t="str">
        <f t="shared" si="400"/>
        <v>N/A</v>
      </c>
      <c r="K605" s="186" t="b">
        <f t="shared" si="401"/>
        <v>1</v>
      </c>
      <c r="L605" s="186" t="str">
        <f t="shared" si="402"/>
        <v>N/A</v>
      </c>
      <c r="M605" s="186" t="b">
        <f t="shared" si="403"/>
        <v>1</v>
      </c>
      <c r="N605" s="186" t="str">
        <f t="shared" si="404"/>
        <v>Used?</v>
      </c>
      <c r="O605" s="186" t="b">
        <f t="shared" si="405"/>
        <v>0</v>
      </c>
      <c r="P605" s="26" t="s">
        <v>696</v>
      </c>
      <c r="Q605" s="160" t="s">
        <v>20</v>
      </c>
      <c r="R605" s="160" t="s">
        <v>20</v>
      </c>
      <c r="S605" s="26" t="s">
        <v>697</v>
      </c>
      <c r="T605" s="165" t="str">
        <f t="shared" si="406"/>
        <v>Not Used</v>
      </c>
      <c r="U605" s="162"/>
      <c r="V605" s="55"/>
      <c r="W605" s="51" t="b">
        <f t="shared" si="407"/>
        <v>1</v>
      </c>
      <c r="X605" s="51" t="str">
        <f t="shared" si="408"/>
        <v>Not Used</v>
      </c>
      <c r="Y605" s="51" t="str">
        <f t="shared" si="409"/>
        <v>Not Used</v>
      </c>
      <c r="Z605" s="51" t="str">
        <f t="shared" si="410"/>
        <v>Not Used</v>
      </c>
      <c r="AA605" s="51" t="str">
        <f t="shared" si="410"/>
        <v>Not Used</v>
      </c>
      <c r="AB605" s="51" t="str">
        <f t="shared" si="411"/>
        <v>Not Used</v>
      </c>
      <c r="AC605" s="51" t="b">
        <f t="shared" si="412"/>
        <v>1</v>
      </c>
      <c r="AD605" s="51">
        <f>COUNTIF($X$5:$X$605, "Not Used")</f>
        <v>601</v>
      </c>
      <c r="AE605" s="51">
        <f>COUNTIF($X$5:$X$605, "TRUE")</f>
        <v>0</v>
      </c>
      <c r="AF605" s="51" t="b">
        <f t="shared" si="413"/>
        <v>1</v>
      </c>
      <c r="AI605" s="51" t="b">
        <f t="shared" si="414"/>
        <v>0</v>
      </c>
      <c r="AJ605" s="51" t="b">
        <f t="shared" si="415"/>
        <v>0</v>
      </c>
      <c r="AK605" s="51" t="b">
        <f t="shared" si="416"/>
        <v>0</v>
      </c>
      <c r="AL605" s="51" t="b">
        <f t="shared" si="417"/>
        <v>0</v>
      </c>
      <c r="AM605" s="51" t="b">
        <f t="shared" si="418"/>
        <v>0</v>
      </c>
      <c r="AN605" s="51"/>
      <c r="AO605" s="51" t="b">
        <f t="shared" si="419"/>
        <v>0</v>
      </c>
      <c r="AP605" s="51" t="str">
        <f t="shared" si="441"/>
        <v>Not in MMS</v>
      </c>
      <c r="AQ605" s="51" t="b">
        <f t="shared" si="420"/>
        <v>0</v>
      </c>
      <c r="AR605" s="51" t="b">
        <f t="shared" si="421"/>
        <v>0</v>
      </c>
      <c r="AS605" s="51" t="str">
        <f t="shared" si="422"/>
        <v/>
      </c>
      <c r="AT605" s="51" t="str">
        <f t="shared" si="423"/>
        <v/>
      </c>
      <c r="AU605" s="51" t="str">
        <f t="shared" si="424"/>
        <v/>
      </c>
      <c r="AV605" s="51" t="str">
        <f t="shared" si="425"/>
        <v/>
      </c>
      <c r="AW605" s="51" t="str">
        <f t="shared" si="426"/>
        <v/>
      </c>
      <c r="AX605" s="51" t="str">
        <f t="shared" si="427"/>
        <v/>
      </c>
      <c r="AY605" s="51" t="str">
        <f t="shared" si="428"/>
        <v/>
      </c>
      <c r="AZ605" s="51" t="str">
        <f t="shared" si="429"/>
        <v/>
      </c>
      <c r="BA605" s="51" t="str">
        <f t="shared" si="430"/>
        <v/>
      </c>
      <c r="BB605" s="51" t="str">
        <f t="shared" si="431"/>
        <v/>
      </c>
      <c r="BC605" s="51" t="str">
        <f t="shared" si="432"/>
        <v/>
      </c>
      <c r="BD605" s="51" t="str">
        <f t="shared" si="433"/>
        <v/>
      </c>
      <c r="BE605" s="51" t="str">
        <f t="shared" si="434"/>
        <v/>
      </c>
      <c r="BF605" s="51" t="str">
        <f t="shared" si="435"/>
        <v/>
      </c>
      <c r="BG605" s="51" t="str">
        <f t="shared" si="436"/>
        <v/>
      </c>
      <c r="BH605" s="51" t="b">
        <f t="shared" si="437"/>
        <v>0</v>
      </c>
      <c r="BI605" s="51" t="str">
        <f t="shared" si="438"/>
        <v/>
      </c>
      <c r="BJ605" s="51" t="str">
        <f t="shared" si="439"/>
        <v/>
      </c>
      <c r="BK605" s="51" t="b">
        <f t="shared" si="440"/>
        <v>0</v>
      </c>
      <c r="BL605" s="192"/>
    </row>
    <row r="606" spans="1:64" ht="13.5" thickBot="1" x14ac:dyDescent="0.25">
      <c r="A606" s="185" t="s">
        <v>1281</v>
      </c>
      <c r="B606" s="194" t="s">
        <v>695</v>
      </c>
      <c r="C606" s="194" t="s">
        <v>695</v>
      </c>
      <c r="D606" s="194" t="s">
        <v>695</v>
      </c>
      <c r="E606" s="193" t="s">
        <v>694</v>
      </c>
      <c r="F606" s="160" t="s">
        <v>20</v>
      </c>
      <c r="G606" s="161"/>
      <c r="H606" s="186" t="str">
        <f t="shared" si="398"/>
        <v>N/A</v>
      </c>
      <c r="I606" s="186" t="b">
        <f t="shared" si="399"/>
        <v>1</v>
      </c>
      <c r="J606" s="186" t="str">
        <f t="shared" si="400"/>
        <v>N/A</v>
      </c>
      <c r="K606" s="186" t="b">
        <f t="shared" si="401"/>
        <v>1</v>
      </c>
      <c r="L606" s="186" t="str">
        <f t="shared" si="402"/>
        <v>N/A</v>
      </c>
      <c r="M606" s="186" t="b">
        <f t="shared" si="403"/>
        <v>1</v>
      </c>
      <c r="N606" s="186" t="str">
        <f t="shared" si="404"/>
        <v>Used?</v>
      </c>
      <c r="O606" s="186" t="b">
        <f t="shared" si="405"/>
        <v>0</v>
      </c>
      <c r="P606" s="26" t="s">
        <v>696</v>
      </c>
      <c r="Q606" s="160" t="s">
        <v>20</v>
      </c>
      <c r="R606" s="160" t="s">
        <v>20</v>
      </c>
      <c r="S606" s="26" t="s">
        <v>697</v>
      </c>
      <c r="T606" s="165" t="str">
        <f t="shared" si="406"/>
        <v>Not Used</v>
      </c>
      <c r="U606" s="162"/>
      <c r="V606" s="55"/>
      <c r="W606" s="51" t="b">
        <f t="shared" si="407"/>
        <v>1</v>
      </c>
      <c r="X606" s="51" t="str">
        <f t="shared" si="408"/>
        <v>Not Used</v>
      </c>
      <c r="Y606" s="51" t="str">
        <f t="shared" si="409"/>
        <v>Not Used</v>
      </c>
      <c r="Z606" s="51" t="str">
        <f t="shared" si="410"/>
        <v>Not Used</v>
      </c>
      <c r="AA606" s="51" t="str">
        <f t="shared" si="410"/>
        <v>Not Used</v>
      </c>
      <c r="AB606" s="51" t="str">
        <f t="shared" si="411"/>
        <v>Not Used</v>
      </c>
      <c r="AC606" s="51" t="b">
        <f t="shared" si="412"/>
        <v>1</v>
      </c>
      <c r="AD606" s="51">
        <f>COUNTIF($X$5:$X$606, "Not Used")</f>
        <v>602</v>
      </c>
      <c r="AE606" s="51">
        <f>COUNTIF($X$5:$X$606, "TRUE")</f>
        <v>0</v>
      </c>
      <c r="AF606" s="51" t="b">
        <f t="shared" si="413"/>
        <v>1</v>
      </c>
      <c r="AI606" s="51" t="b">
        <f t="shared" si="414"/>
        <v>0</v>
      </c>
      <c r="AJ606" s="51" t="b">
        <f t="shared" si="415"/>
        <v>0</v>
      </c>
      <c r="AK606" s="51" t="b">
        <f t="shared" si="416"/>
        <v>0</v>
      </c>
      <c r="AL606" s="51" t="b">
        <f t="shared" si="417"/>
        <v>0</v>
      </c>
      <c r="AM606" s="51" t="b">
        <f t="shared" si="418"/>
        <v>0</v>
      </c>
      <c r="AN606" s="51"/>
      <c r="AO606" s="51" t="b">
        <f t="shared" si="419"/>
        <v>0</v>
      </c>
      <c r="AP606" s="51" t="str">
        <f t="shared" si="441"/>
        <v>Not in MMS</v>
      </c>
      <c r="AQ606" s="51" t="b">
        <f t="shared" si="420"/>
        <v>0</v>
      </c>
      <c r="AR606" s="51" t="b">
        <f t="shared" si="421"/>
        <v>0</v>
      </c>
      <c r="AS606" s="51" t="str">
        <f t="shared" si="422"/>
        <v/>
      </c>
      <c r="AT606" s="51" t="str">
        <f t="shared" si="423"/>
        <v/>
      </c>
      <c r="AU606" s="51" t="str">
        <f t="shared" si="424"/>
        <v/>
      </c>
      <c r="AV606" s="51" t="str">
        <f t="shared" si="425"/>
        <v/>
      </c>
      <c r="AW606" s="51" t="str">
        <f t="shared" si="426"/>
        <v/>
      </c>
      <c r="AX606" s="51" t="str">
        <f t="shared" si="427"/>
        <v/>
      </c>
      <c r="AY606" s="51" t="str">
        <f t="shared" si="428"/>
        <v/>
      </c>
      <c r="AZ606" s="51" t="str">
        <f t="shared" si="429"/>
        <v/>
      </c>
      <c r="BA606" s="51" t="str">
        <f t="shared" si="430"/>
        <v/>
      </c>
      <c r="BB606" s="51" t="str">
        <f t="shared" si="431"/>
        <v/>
      </c>
      <c r="BC606" s="51" t="str">
        <f t="shared" si="432"/>
        <v/>
      </c>
      <c r="BD606" s="51" t="str">
        <f t="shared" si="433"/>
        <v/>
      </c>
      <c r="BE606" s="51" t="str">
        <f t="shared" si="434"/>
        <v/>
      </c>
      <c r="BF606" s="51" t="str">
        <f t="shared" si="435"/>
        <v/>
      </c>
      <c r="BG606" s="51" t="str">
        <f t="shared" si="436"/>
        <v/>
      </c>
      <c r="BH606" s="51" t="b">
        <f t="shared" si="437"/>
        <v>0</v>
      </c>
      <c r="BI606" s="51" t="str">
        <f t="shared" si="438"/>
        <v/>
      </c>
      <c r="BJ606" s="51" t="str">
        <f t="shared" si="439"/>
        <v/>
      </c>
      <c r="BK606" s="51" t="b">
        <f t="shared" si="440"/>
        <v>0</v>
      </c>
      <c r="BL606" s="192"/>
    </row>
    <row r="607" spans="1:64" ht="13.5" thickBot="1" x14ac:dyDescent="0.25">
      <c r="A607" s="185" t="s">
        <v>1282</v>
      </c>
      <c r="B607" s="194" t="s">
        <v>695</v>
      </c>
      <c r="C607" s="194" t="s">
        <v>695</v>
      </c>
      <c r="D607" s="194" t="s">
        <v>695</v>
      </c>
      <c r="E607" s="193" t="s">
        <v>694</v>
      </c>
      <c r="F607" s="160" t="s">
        <v>20</v>
      </c>
      <c r="G607" s="161"/>
      <c r="H607" s="186" t="str">
        <f t="shared" si="398"/>
        <v>N/A</v>
      </c>
      <c r="I607" s="186" t="b">
        <f t="shared" si="399"/>
        <v>1</v>
      </c>
      <c r="J607" s="186" t="str">
        <f t="shared" si="400"/>
        <v>N/A</v>
      </c>
      <c r="K607" s="186" t="b">
        <f t="shared" si="401"/>
        <v>1</v>
      </c>
      <c r="L607" s="186" t="str">
        <f t="shared" si="402"/>
        <v>N/A</v>
      </c>
      <c r="M607" s="186" t="b">
        <f t="shared" si="403"/>
        <v>1</v>
      </c>
      <c r="N607" s="186" t="str">
        <f t="shared" si="404"/>
        <v>Used?</v>
      </c>
      <c r="O607" s="186" t="b">
        <f t="shared" si="405"/>
        <v>0</v>
      </c>
      <c r="P607" s="26" t="s">
        <v>696</v>
      </c>
      <c r="Q607" s="160" t="s">
        <v>20</v>
      </c>
      <c r="R607" s="160" t="s">
        <v>20</v>
      </c>
      <c r="S607" s="26" t="s">
        <v>697</v>
      </c>
      <c r="T607" s="165" t="str">
        <f t="shared" si="406"/>
        <v>Not Used</v>
      </c>
      <c r="U607" s="162"/>
      <c r="V607" s="55"/>
      <c r="W607" s="51" t="b">
        <f t="shared" si="407"/>
        <v>1</v>
      </c>
      <c r="X607" s="51" t="str">
        <f t="shared" si="408"/>
        <v>Not Used</v>
      </c>
      <c r="Y607" s="51" t="str">
        <f t="shared" si="409"/>
        <v>Not Used</v>
      </c>
      <c r="Z607" s="51" t="str">
        <f t="shared" si="410"/>
        <v>Not Used</v>
      </c>
      <c r="AA607" s="51" t="str">
        <f t="shared" si="410"/>
        <v>Not Used</v>
      </c>
      <c r="AB607" s="51" t="str">
        <f t="shared" si="411"/>
        <v>Not Used</v>
      </c>
      <c r="AC607" s="51" t="b">
        <f t="shared" si="412"/>
        <v>1</v>
      </c>
      <c r="AD607" s="51">
        <f>COUNTIF($X$5:$X$607, "Not Used")</f>
        <v>603</v>
      </c>
      <c r="AE607" s="51">
        <f>COUNTIF($X$5:$X$607, "TRUE")</f>
        <v>0</v>
      </c>
      <c r="AF607" s="51" t="b">
        <f t="shared" si="413"/>
        <v>1</v>
      </c>
      <c r="AI607" s="51" t="b">
        <f t="shared" si="414"/>
        <v>0</v>
      </c>
      <c r="AJ607" s="51" t="b">
        <f t="shared" si="415"/>
        <v>0</v>
      </c>
      <c r="AK607" s="51" t="b">
        <f t="shared" si="416"/>
        <v>0</v>
      </c>
      <c r="AL607" s="51" t="b">
        <f t="shared" si="417"/>
        <v>0</v>
      </c>
      <c r="AM607" s="51" t="b">
        <f t="shared" si="418"/>
        <v>0</v>
      </c>
      <c r="AN607" s="51"/>
      <c r="AO607" s="51" t="b">
        <f t="shared" si="419"/>
        <v>0</v>
      </c>
      <c r="AP607" s="51" t="str">
        <f t="shared" si="441"/>
        <v>Not in MMS</v>
      </c>
      <c r="AQ607" s="51" t="b">
        <f t="shared" si="420"/>
        <v>0</v>
      </c>
      <c r="AR607" s="51" t="b">
        <f t="shared" si="421"/>
        <v>0</v>
      </c>
      <c r="AS607" s="51" t="str">
        <f t="shared" si="422"/>
        <v/>
      </c>
      <c r="AT607" s="51" t="str">
        <f t="shared" si="423"/>
        <v/>
      </c>
      <c r="AU607" s="51" t="str">
        <f t="shared" si="424"/>
        <v/>
      </c>
      <c r="AV607" s="51" t="str">
        <f t="shared" si="425"/>
        <v/>
      </c>
      <c r="AW607" s="51" t="str">
        <f t="shared" si="426"/>
        <v/>
      </c>
      <c r="AX607" s="51" t="str">
        <f t="shared" si="427"/>
        <v/>
      </c>
      <c r="AY607" s="51" t="str">
        <f t="shared" si="428"/>
        <v/>
      </c>
      <c r="AZ607" s="51" t="str">
        <f t="shared" si="429"/>
        <v/>
      </c>
      <c r="BA607" s="51" t="str">
        <f t="shared" si="430"/>
        <v/>
      </c>
      <c r="BB607" s="51" t="str">
        <f t="shared" si="431"/>
        <v/>
      </c>
      <c r="BC607" s="51" t="str">
        <f t="shared" si="432"/>
        <v/>
      </c>
      <c r="BD607" s="51" t="str">
        <f t="shared" si="433"/>
        <v/>
      </c>
      <c r="BE607" s="51" t="str">
        <f t="shared" si="434"/>
        <v/>
      </c>
      <c r="BF607" s="51" t="str">
        <f t="shared" si="435"/>
        <v/>
      </c>
      <c r="BG607" s="51" t="str">
        <f t="shared" si="436"/>
        <v/>
      </c>
      <c r="BH607" s="51" t="b">
        <f t="shared" si="437"/>
        <v>0</v>
      </c>
      <c r="BI607" s="51" t="str">
        <f t="shared" si="438"/>
        <v/>
      </c>
      <c r="BJ607" s="51" t="str">
        <f t="shared" si="439"/>
        <v/>
      </c>
      <c r="BK607" s="51" t="b">
        <f t="shared" si="440"/>
        <v>0</v>
      </c>
      <c r="BL607" s="192"/>
    </row>
    <row r="608" spans="1:64" ht="13.5" thickBot="1" x14ac:dyDescent="0.25">
      <c r="A608" s="185" t="s">
        <v>1283</v>
      </c>
      <c r="B608" s="194" t="s">
        <v>695</v>
      </c>
      <c r="C608" s="194" t="s">
        <v>695</v>
      </c>
      <c r="D608" s="194" t="s">
        <v>695</v>
      </c>
      <c r="E608" s="193" t="s">
        <v>694</v>
      </c>
      <c r="F608" s="160" t="s">
        <v>20</v>
      </c>
      <c r="G608" s="161"/>
      <c r="H608" s="186" t="str">
        <f t="shared" si="398"/>
        <v>N/A</v>
      </c>
      <c r="I608" s="186" t="b">
        <f t="shared" si="399"/>
        <v>1</v>
      </c>
      <c r="J608" s="186" t="str">
        <f t="shared" si="400"/>
        <v>N/A</v>
      </c>
      <c r="K608" s="186" t="b">
        <f t="shared" si="401"/>
        <v>1</v>
      </c>
      <c r="L608" s="186" t="str">
        <f t="shared" si="402"/>
        <v>N/A</v>
      </c>
      <c r="M608" s="186" t="b">
        <f t="shared" si="403"/>
        <v>1</v>
      </c>
      <c r="N608" s="186" t="str">
        <f t="shared" si="404"/>
        <v>Used?</v>
      </c>
      <c r="O608" s="186" t="b">
        <f t="shared" si="405"/>
        <v>0</v>
      </c>
      <c r="P608" s="26" t="s">
        <v>696</v>
      </c>
      <c r="Q608" s="160" t="s">
        <v>20</v>
      </c>
      <c r="R608" s="160" t="s">
        <v>20</v>
      </c>
      <c r="S608" s="26" t="s">
        <v>697</v>
      </c>
      <c r="T608" s="165" t="str">
        <f t="shared" si="406"/>
        <v>Not Used</v>
      </c>
      <c r="U608" s="162"/>
      <c r="V608" s="55"/>
      <c r="W608" s="51" t="b">
        <f t="shared" si="407"/>
        <v>1</v>
      </c>
      <c r="X608" s="51" t="str">
        <f t="shared" si="408"/>
        <v>Not Used</v>
      </c>
      <c r="Y608" s="51" t="str">
        <f t="shared" si="409"/>
        <v>Not Used</v>
      </c>
      <c r="Z608" s="51" t="str">
        <f t="shared" si="410"/>
        <v>Not Used</v>
      </c>
      <c r="AA608" s="51" t="str">
        <f t="shared" si="410"/>
        <v>Not Used</v>
      </c>
      <c r="AB608" s="51" t="str">
        <f t="shared" si="411"/>
        <v>Not Used</v>
      </c>
      <c r="AC608" s="51" t="b">
        <f t="shared" si="412"/>
        <v>1</v>
      </c>
      <c r="AD608" s="51">
        <f>COUNTIF($X$5:$X$608, "Not Used")</f>
        <v>604</v>
      </c>
      <c r="AE608" s="51">
        <f>COUNTIF($X$5:$X$608, "TRUE")</f>
        <v>0</v>
      </c>
      <c r="AF608" s="51" t="b">
        <f t="shared" si="413"/>
        <v>1</v>
      </c>
      <c r="AI608" s="51" t="b">
        <f t="shared" si="414"/>
        <v>0</v>
      </c>
      <c r="AJ608" s="51" t="b">
        <f t="shared" si="415"/>
        <v>0</v>
      </c>
      <c r="AK608" s="51" t="b">
        <f t="shared" si="416"/>
        <v>0</v>
      </c>
      <c r="AL608" s="51" t="b">
        <f t="shared" si="417"/>
        <v>0</v>
      </c>
      <c r="AM608" s="51" t="b">
        <f t="shared" si="418"/>
        <v>0</v>
      </c>
      <c r="AN608" s="51"/>
      <c r="AO608" s="51" t="b">
        <f t="shared" si="419"/>
        <v>0</v>
      </c>
      <c r="AP608" s="51" t="str">
        <f t="shared" si="441"/>
        <v>Not in MMS</v>
      </c>
      <c r="AQ608" s="51" t="b">
        <f t="shared" si="420"/>
        <v>0</v>
      </c>
      <c r="AR608" s="51" t="b">
        <f t="shared" si="421"/>
        <v>0</v>
      </c>
      <c r="AS608" s="51" t="str">
        <f t="shared" si="422"/>
        <v/>
      </c>
      <c r="AT608" s="51" t="str">
        <f t="shared" si="423"/>
        <v/>
      </c>
      <c r="AU608" s="51" t="str">
        <f t="shared" si="424"/>
        <v/>
      </c>
      <c r="AV608" s="51" t="str">
        <f t="shared" si="425"/>
        <v/>
      </c>
      <c r="AW608" s="51" t="str">
        <f t="shared" si="426"/>
        <v/>
      </c>
      <c r="AX608" s="51" t="str">
        <f t="shared" si="427"/>
        <v/>
      </c>
      <c r="AY608" s="51" t="str">
        <f t="shared" si="428"/>
        <v/>
      </c>
      <c r="AZ608" s="51" t="str">
        <f t="shared" si="429"/>
        <v/>
      </c>
      <c r="BA608" s="51" t="str">
        <f t="shared" si="430"/>
        <v/>
      </c>
      <c r="BB608" s="51" t="str">
        <f t="shared" si="431"/>
        <v/>
      </c>
      <c r="BC608" s="51" t="str">
        <f t="shared" si="432"/>
        <v/>
      </c>
      <c r="BD608" s="51" t="str">
        <f t="shared" si="433"/>
        <v/>
      </c>
      <c r="BE608" s="51" t="str">
        <f t="shared" si="434"/>
        <v/>
      </c>
      <c r="BF608" s="51" t="str">
        <f t="shared" si="435"/>
        <v/>
      </c>
      <c r="BG608" s="51" t="str">
        <f t="shared" si="436"/>
        <v/>
      </c>
      <c r="BH608" s="51" t="b">
        <f t="shared" si="437"/>
        <v>0</v>
      </c>
      <c r="BI608" s="51" t="str">
        <f t="shared" si="438"/>
        <v/>
      </c>
      <c r="BJ608" s="51" t="str">
        <f t="shared" si="439"/>
        <v/>
      </c>
      <c r="BK608" s="51" t="b">
        <f t="shared" si="440"/>
        <v>0</v>
      </c>
      <c r="BL608" s="192"/>
    </row>
    <row r="609" spans="1:64" ht="13.5" thickBot="1" x14ac:dyDescent="0.25">
      <c r="A609" s="185" t="s">
        <v>1284</v>
      </c>
      <c r="B609" s="194" t="s">
        <v>695</v>
      </c>
      <c r="C609" s="194" t="s">
        <v>695</v>
      </c>
      <c r="D609" s="194" t="s">
        <v>695</v>
      </c>
      <c r="E609" s="193" t="s">
        <v>694</v>
      </c>
      <c r="F609" s="160" t="s">
        <v>20</v>
      </c>
      <c r="G609" s="161"/>
      <c r="H609" s="186" t="str">
        <f t="shared" si="398"/>
        <v>N/A</v>
      </c>
      <c r="I609" s="186" t="b">
        <f t="shared" si="399"/>
        <v>1</v>
      </c>
      <c r="J609" s="186" t="str">
        <f t="shared" si="400"/>
        <v>N/A</v>
      </c>
      <c r="K609" s="186" t="b">
        <f t="shared" si="401"/>
        <v>1</v>
      </c>
      <c r="L609" s="186" t="str">
        <f t="shared" si="402"/>
        <v>N/A</v>
      </c>
      <c r="M609" s="186" t="b">
        <f t="shared" si="403"/>
        <v>1</v>
      </c>
      <c r="N609" s="186" t="str">
        <f t="shared" si="404"/>
        <v>Used?</v>
      </c>
      <c r="O609" s="186" t="b">
        <f t="shared" si="405"/>
        <v>0</v>
      </c>
      <c r="P609" s="26" t="s">
        <v>696</v>
      </c>
      <c r="Q609" s="160" t="s">
        <v>20</v>
      </c>
      <c r="R609" s="160" t="s">
        <v>20</v>
      </c>
      <c r="S609" s="26" t="s">
        <v>697</v>
      </c>
      <c r="T609" s="165" t="str">
        <f t="shared" si="406"/>
        <v>Not Used</v>
      </c>
      <c r="U609" s="162"/>
      <c r="V609" s="55"/>
      <c r="W609" s="51" t="b">
        <f t="shared" si="407"/>
        <v>1</v>
      </c>
      <c r="X609" s="51" t="str">
        <f t="shared" si="408"/>
        <v>Not Used</v>
      </c>
      <c r="Y609" s="51" t="str">
        <f t="shared" si="409"/>
        <v>Not Used</v>
      </c>
      <c r="Z609" s="51" t="str">
        <f t="shared" si="410"/>
        <v>Not Used</v>
      </c>
      <c r="AA609" s="51" t="str">
        <f t="shared" si="410"/>
        <v>Not Used</v>
      </c>
      <c r="AB609" s="51" t="str">
        <f t="shared" si="411"/>
        <v>Not Used</v>
      </c>
      <c r="AC609" s="51" t="b">
        <f t="shared" si="412"/>
        <v>1</v>
      </c>
      <c r="AD609" s="51">
        <f>COUNTIF($X$5:$X$609, "Not Used")</f>
        <v>605</v>
      </c>
      <c r="AE609" s="51">
        <f>COUNTIF($X$5:$X$609, "TRUE")</f>
        <v>0</v>
      </c>
      <c r="AF609" s="51" t="b">
        <f t="shared" si="413"/>
        <v>1</v>
      </c>
      <c r="AI609" s="51" t="b">
        <f t="shared" si="414"/>
        <v>0</v>
      </c>
      <c r="AJ609" s="51" t="b">
        <f t="shared" si="415"/>
        <v>0</v>
      </c>
      <c r="AK609" s="51" t="b">
        <f t="shared" si="416"/>
        <v>0</v>
      </c>
      <c r="AL609" s="51" t="b">
        <f t="shared" si="417"/>
        <v>0</v>
      </c>
      <c r="AM609" s="51" t="b">
        <f t="shared" si="418"/>
        <v>0</v>
      </c>
      <c r="AN609" s="51"/>
      <c r="AO609" s="51" t="b">
        <f t="shared" si="419"/>
        <v>0</v>
      </c>
      <c r="AP609" s="51" t="str">
        <f t="shared" si="441"/>
        <v>Not in MMS</v>
      </c>
      <c r="AQ609" s="51" t="b">
        <f t="shared" si="420"/>
        <v>0</v>
      </c>
      <c r="AR609" s="51" t="b">
        <f t="shared" si="421"/>
        <v>0</v>
      </c>
      <c r="AS609" s="51" t="str">
        <f t="shared" si="422"/>
        <v/>
      </c>
      <c r="AT609" s="51" t="str">
        <f t="shared" si="423"/>
        <v/>
      </c>
      <c r="AU609" s="51" t="str">
        <f t="shared" si="424"/>
        <v/>
      </c>
      <c r="AV609" s="51" t="str">
        <f t="shared" si="425"/>
        <v/>
      </c>
      <c r="AW609" s="51" t="str">
        <f t="shared" si="426"/>
        <v/>
      </c>
      <c r="AX609" s="51" t="str">
        <f t="shared" si="427"/>
        <v/>
      </c>
      <c r="AY609" s="51" t="str">
        <f t="shared" si="428"/>
        <v/>
      </c>
      <c r="AZ609" s="51" t="str">
        <f t="shared" si="429"/>
        <v/>
      </c>
      <c r="BA609" s="51" t="str">
        <f t="shared" si="430"/>
        <v/>
      </c>
      <c r="BB609" s="51" t="str">
        <f t="shared" si="431"/>
        <v/>
      </c>
      <c r="BC609" s="51" t="str">
        <f t="shared" si="432"/>
        <v/>
      </c>
      <c r="BD609" s="51" t="str">
        <f t="shared" si="433"/>
        <v/>
      </c>
      <c r="BE609" s="51" t="str">
        <f t="shared" si="434"/>
        <v/>
      </c>
      <c r="BF609" s="51" t="str">
        <f t="shared" si="435"/>
        <v/>
      </c>
      <c r="BG609" s="51" t="str">
        <f t="shared" si="436"/>
        <v/>
      </c>
      <c r="BH609" s="51" t="b">
        <f t="shared" si="437"/>
        <v>0</v>
      </c>
      <c r="BI609" s="51" t="str">
        <f t="shared" si="438"/>
        <v/>
      </c>
      <c r="BJ609" s="51" t="str">
        <f t="shared" si="439"/>
        <v/>
      </c>
      <c r="BK609" s="51" t="b">
        <f t="shared" si="440"/>
        <v>0</v>
      </c>
      <c r="BL609" s="192"/>
    </row>
    <row r="610" spans="1:64" ht="13.5" thickBot="1" x14ac:dyDescent="0.25">
      <c r="A610" s="185" t="s">
        <v>1285</v>
      </c>
      <c r="B610" s="194" t="s">
        <v>695</v>
      </c>
      <c r="C610" s="194" t="s">
        <v>695</v>
      </c>
      <c r="D610" s="194" t="s">
        <v>695</v>
      </c>
      <c r="E610" s="193" t="s">
        <v>694</v>
      </c>
      <c r="F610" s="160" t="s">
        <v>20</v>
      </c>
      <c r="G610" s="161"/>
      <c r="H610" s="186" t="str">
        <f t="shared" si="398"/>
        <v>N/A</v>
      </c>
      <c r="I610" s="186" t="b">
        <f t="shared" si="399"/>
        <v>1</v>
      </c>
      <c r="J610" s="186" t="str">
        <f t="shared" si="400"/>
        <v>N/A</v>
      </c>
      <c r="K610" s="186" t="b">
        <f t="shared" si="401"/>
        <v>1</v>
      </c>
      <c r="L610" s="186" t="str">
        <f t="shared" si="402"/>
        <v>N/A</v>
      </c>
      <c r="M610" s="186" t="b">
        <f t="shared" si="403"/>
        <v>1</v>
      </c>
      <c r="N610" s="186" t="str">
        <f t="shared" si="404"/>
        <v>Used?</v>
      </c>
      <c r="O610" s="186" t="b">
        <f t="shared" si="405"/>
        <v>0</v>
      </c>
      <c r="P610" s="26" t="s">
        <v>696</v>
      </c>
      <c r="Q610" s="160" t="s">
        <v>20</v>
      </c>
      <c r="R610" s="160" t="s">
        <v>20</v>
      </c>
      <c r="S610" s="26" t="s">
        <v>697</v>
      </c>
      <c r="T610" s="165" t="str">
        <f t="shared" si="406"/>
        <v>Not Used</v>
      </c>
      <c r="U610" s="162"/>
      <c r="V610" s="55"/>
      <c r="W610" s="51" t="b">
        <f t="shared" si="407"/>
        <v>1</v>
      </c>
      <c r="X610" s="51" t="str">
        <f t="shared" si="408"/>
        <v>Not Used</v>
      </c>
      <c r="Y610" s="51" t="str">
        <f t="shared" si="409"/>
        <v>Not Used</v>
      </c>
      <c r="Z610" s="51" t="str">
        <f t="shared" si="410"/>
        <v>Not Used</v>
      </c>
      <c r="AA610" s="51" t="str">
        <f t="shared" si="410"/>
        <v>Not Used</v>
      </c>
      <c r="AB610" s="51" t="str">
        <f t="shared" si="411"/>
        <v>Not Used</v>
      </c>
      <c r="AC610" s="51" t="b">
        <f t="shared" si="412"/>
        <v>1</v>
      </c>
      <c r="AD610" s="51">
        <f>COUNTIF($X$5:$X$610, "Not Used")</f>
        <v>606</v>
      </c>
      <c r="AE610" s="51">
        <f>COUNTIF($X$5:$X$610, "TRUE")</f>
        <v>0</v>
      </c>
      <c r="AF610" s="51" t="b">
        <f t="shared" si="413"/>
        <v>1</v>
      </c>
      <c r="AI610" s="51" t="b">
        <f t="shared" si="414"/>
        <v>0</v>
      </c>
      <c r="AJ610" s="51" t="b">
        <f t="shared" si="415"/>
        <v>0</v>
      </c>
      <c r="AK610" s="51" t="b">
        <f t="shared" si="416"/>
        <v>0</v>
      </c>
      <c r="AL610" s="51" t="b">
        <f t="shared" si="417"/>
        <v>0</v>
      </c>
      <c r="AM610" s="51" t="b">
        <f t="shared" si="418"/>
        <v>0</v>
      </c>
      <c r="AN610" s="51"/>
      <c r="AO610" s="51" t="b">
        <f t="shared" si="419"/>
        <v>0</v>
      </c>
      <c r="AP610" s="51" t="str">
        <f t="shared" si="441"/>
        <v>Not in MMS</v>
      </c>
      <c r="AQ610" s="51" t="b">
        <f t="shared" si="420"/>
        <v>0</v>
      </c>
      <c r="AR610" s="51" t="b">
        <f t="shared" si="421"/>
        <v>0</v>
      </c>
      <c r="AS610" s="51" t="str">
        <f t="shared" si="422"/>
        <v/>
      </c>
      <c r="AT610" s="51" t="str">
        <f t="shared" si="423"/>
        <v/>
      </c>
      <c r="AU610" s="51" t="str">
        <f t="shared" si="424"/>
        <v/>
      </c>
      <c r="AV610" s="51" t="str">
        <f t="shared" si="425"/>
        <v/>
      </c>
      <c r="AW610" s="51" t="str">
        <f t="shared" si="426"/>
        <v/>
      </c>
      <c r="AX610" s="51" t="str">
        <f t="shared" si="427"/>
        <v/>
      </c>
      <c r="AY610" s="51" t="str">
        <f t="shared" si="428"/>
        <v/>
      </c>
      <c r="AZ610" s="51" t="str">
        <f t="shared" si="429"/>
        <v/>
      </c>
      <c r="BA610" s="51" t="str">
        <f t="shared" si="430"/>
        <v/>
      </c>
      <c r="BB610" s="51" t="str">
        <f t="shared" si="431"/>
        <v/>
      </c>
      <c r="BC610" s="51" t="str">
        <f t="shared" si="432"/>
        <v/>
      </c>
      <c r="BD610" s="51" t="str">
        <f t="shared" si="433"/>
        <v/>
      </c>
      <c r="BE610" s="51" t="str">
        <f t="shared" si="434"/>
        <v/>
      </c>
      <c r="BF610" s="51" t="str">
        <f t="shared" si="435"/>
        <v/>
      </c>
      <c r="BG610" s="51" t="str">
        <f t="shared" si="436"/>
        <v/>
      </c>
      <c r="BH610" s="51" t="b">
        <f t="shared" si="437"/>
        <v>0</v>
      </c>
      <c r="BI610" s="51" t="str">
        <f t="shared" si="438"/>
        <v/>
      </c>
      <c r="BJ610" s="51" t="str">
        <f t="shared" si="439"/>
        <v/>
      </c>
      <c r="BK610" s="51" t="b">
        <f t="shared" si="440"/>
        <v>0</v>
      </c>
      <c r="BL610" s="192"/>
    </row>
    <row r="611" spans="1:64" ht="13.5" thickBot="1" x14ac:dyDescent="0.25">
      <c r="A611" s="185" t="s">
        <v>1286</v>
      </c>
      <c r="B611" s="194" t="s">
        <v>695</v>
      </c>
      <c r="C611" s="194" t="s">
        <v>695</v>
      </c>
      <c r="D611" s="194" t="s">
        <v>695</v>
      </c>
      <c r="E611" s="193" t="s">
        <v>694</v>
      </c>
      <c r="F611" s="160" t="s">
        <v>20</v>
      </c>
      <c r="G611" s="161"/>
      <c r="H611" s="186" t="str">
        <f t="shared" si="398"/>
        <v>N/A</v>
      </c>
      <c r="I611" s="186" t="b">
        <f t="shared" si="399"/>
        <v>1</v>
      </c>
      <c r="J611" s="186" t="str">
        <f t="shared" si="400"/>
        <v>N/A</v>
      </c>
      <c r="K611" s="186" t="b">
        <f t="shared" si="401"/>
        <v>1</v>
      </c>
      <c r="L611" s="186" t="str">
        <f t="shared" si="402"/>
        <v>N/A</v>
      </c>
      <c r="M611" s="186" t="b">
        <f t="shared" si="403"/>
        <v>1</v>
      </c>
      <c r="N611" s="186" t="str">
        <f t="shared" si="404"/>
        <v>Used?</v>
      </c>
      <c r="O611" s="186" t="b">
        <f t="shared" si="405"/>
        <v>0</v>
      </c>
      <c r="P611" s="26" t="s">
        <v>696</v>
      </c>
      <c r="Q611" s="160" t="s">
        <v>20</v>
      </c>
      <c r="R611" s="160" t="s">
        <v>20</v>
      </c>
      <c r="S611" s="26" t="s">
        <v>697</v>
      </c>
      <c r="T611" s="165" t="str">
        <f t="shared" si="406"/>
        <v>Not Used</v>
      </c>
      <c r="U611" s="162"/>
      <c r="V611" s="55"/>
      <c r="W611" s="51" t="b">
        <f t="shared" si="407"/>
        <v>1</v>
      </c>
      <c r="X611" s="51" t="str">
        <f t="shared" si="408"/>
        <v>Not Used</v>
      </c>
      <c r="Y611" s="51" t="str">
        <f t="shared" si="409"/>
        <v>Not Used</v>
      </c>
      <c r="Z611" s="51" t="str">
        <f t="shared" si="410"/>
        <v>Not Used</v>
      </c>
      <c r="AA611" s="51" t="str">
        <f t="shared" si="410"/>
        <v>Not Used</v>
      </c>
      <c r="AB611" s="51" t="str">
        <f t="shared" si="411"/>
        <v>Not Used</v>
      </c>
      <c r="AC611" s="51" t="b">
        <f t="shared" si="412"/>
        <v>1</v>
      </c>
      <c r="AD611" s="51">
        <f>COUNTIF($X$5:$X$611, "Not Used")</f>
        <v>607</v>
      </c>
      <c r="AE611" s="51">
        <f>COUNTIF($X$5:$X$611, "TRUE")</f>
        <v>0</v>
      </c>
      <c r="AF611" s="51" t="b">
        <f t="shared" si="413"/>
        <v>1</v>
      </c>
      <c r="AI611" s="51" t="b">
        <f t="shared" si="414"/>
        <v>0</v>
      </c>
      <c r="AJ611" s="51" t="b">
        <f t="shared" si="415"/>
        <v>0</v>
      </c>
      <c r="AK611" s="51" t="b">
        <f t="shared" si="416"/>
        <v>0</v>
      </c>
      <c r="AL611" s="51" t="b">
        <f t="shared" si="417"/>
        <v>0</v>
      </c>
      <c r="AM611" s="51" t="b">
        <f t="shared" si="418"/>
        <v>0</v>
      </c>
      <c r="AN611" s="51"/>
      <c r="AO611" s="51" t="b">
        <f t="shared" si="419"/>
        <v>0</v>
      </c>
      <c r="AP611" s="51" t="str">
        <f t="shared" si="441"/>
        <v>Not in MMS</v>
      </c>
      <c r="AQ611" s="51" t="b">
        <f t="shared" si="420"/>
        <v>0</v>
      </c>
      <c r="AR611" s="51" t="b">
        <f t="shared" si="421"/>
        <v>0</v>
      </c>
      <c r="AS611" s="51" t="str">
        <f t="shared" si="422"/>
        <v/>
      </c>
      <c r="AT611" s="51" t="str">
        <f t="shared" si="423"/>
        <v/>
      </c>
      <c r="AU611" s="51" t="str">
        <f t="shared" si="424"/>
        <v/>
      </c>
      <c r="AV611" s="51" t="str">
        <f t="shared" si="425"/>
        <v/>
      </c>
      <c r="AW611" s="51" t="str">
        <f t="shared" si="426"/>
        <v/>
      </c>
      <c r="AX611" s="51" t="str">
        <f t="shared" si="427"/>
        <v/>
      </c>
      <c r="AY611" s="51" t="str">
        <f t="shared" si="428"/>
        <v/>
      </c>
      <c r="AZ611" s="51" t="str">
        <f t="shared" si="429"/>
        <v/>
      </c>
      <c r="BA611" s="51" t="str">
        <f t="shared" si="430"/>
        <v/>
      </c>
      <c r="BB611" s="51" t="str">
        <f t="shared" si="431"/>
        <v/>
      </c>
      <c r="BC611" s="51" t="str">
        <f t="shared" si="432"/>
        <v/>
      </c>
      <c r="BD611" s="51" t="str">
        <f t="shared" si="433"/>
        <v/>
      </c>
      <c r="BE611" s="51" t="str">
        <f t="shared" si="434"/>
        <v/>
      </c>
      <c r="BF611" s="51" t="str">
        <f t="shared" si="435"/>
        <v/>
      </c>
      <c r="BG611" s="51" t="str">
        <f t="shared" si="436"/>
        <v/>
      </c>
      <c r="BH611" s="51" t="b">
        <f t="shared" si="437"/>
        <v>0</v>
      </c>
      <c r="BI611" s="51" t="str">
        <f t="shared" si="438"/>
        <v/>
      </c>
      <c r="BJ611" s="51" t="str">
        <f t="shared" si="439"/>
        <v/>
      </c>
      <c r="BK611" s="51" t="b">
        <f t="shared" si="440"/>
        <v>0</v>
      </c>
      <c r="BL611" s="192"/>
    </row>
    <row r="612" spans="1:64" ht="13.5" thickBot="1" x14ac:dyDescent="0.25">
      <c r="A612" s="185" t="s">
        <v>1287</v>
      </c>
      <c r="B612" s="194" t="s">
        <v>695</v>
      </c>
      <c r="C612" s="194" t="s">
        <v>695</v>
      </c>
      <c r="D612" s="194" t="s">
        <v>695</v>
      </c>
      <c r="E612" s="193" t="s">
        <v>694</v>
      </c>
      <c r="F612" s="160" t="s">
        <v>20</v>
      </c>
      <c r="G612" s="161"/>
      <c r="H612" s="186" t="str">
        <f t="shared" si="398"/>
        <v>N/A</v>
      </c>
      <c r="I612" s="186" t="b">
        <f t="shared" si="399"/>
        <v>1</v>
      </c>
      <c r="J612" s="186" t="str">
        <f t="shared" si="400"/>
        <v>N/A</v>
      </c>
      <c r="K612" s="186" t="b">
        <f t="shared" si="401"/>
        <v>1</v>
      </c>
      <c r="L612" s="186" t="str">
        <f t="shared" si="402"/>
        <v>N/A</v>
      </c>
      <c r="M612" s="186" t="b">
        <f t="shared" si="403"/>
        <v>1</v>
      </c>
      <c r="N612" s="186" t="str">
        <f t="shared" si="404"/>
        <v>Used?</v>
      </c>
      <c r="O612" s="186" t="b">
        <f t="shared" si="405"/>
        <v>0</v>
      </c>
      <c r="P612" s="26" t="s">
        <v>696</v>
      </c>
      <c r="Q612" s="160" t="s">
        <v>20</v>
      </c>
      <c r="R612" s="160" t="s">
        <v>20</v>
      </c>
      <c r="S612" s="26" t="s">
        <v>697</v>
      </c>
      <c r="T612" s="165" t="str">
        <f t="shared" si="406"/>
        <v>Not Used</v>
      </c>
      <c r="U612" s="162"/>
      <c r="V612" s="55"/>
      <c r="W612" s="51" t="b">
        <f t="shared" si="407"/>
        <v>1</v>
      </c>
      <c r="X612" s="51" t="str">
        <f t="shared" si="408"/>
        <v>Not Used</v>
      </c>
      <c r="Y612" s="51" t="str">
        <f t="shared" si="409"/>
        <v>Not Used</v>
      </c>
      <c r="Z612" s="51" t="str">
        <f t="shared" si="410"/>
        <v>Not Used</v>
      </c>
      <c r="AA612" s="51" t="str">
        <f t="shared" si="410"/>
        <v>Not Used</v>
      </c>
      <c r="AB612" s="51" t="str">
        <f t="shared" si="411"/>
        <v>Not Used</v>
      </c>
      <c r="AC612" s="51" t="b">
        <f t="shared" si="412"/>
        <v>1</v>
      </c>
      <c r="AD612" s="51">
        <f>COUNTIF($X$5:$X$612, "Not Used")</f>
        <v>608</v>
      </c>
      <c r="AE612" s="51">
        <f>COUNTIF($X$5:$X$612, "TRUE")</f>
        <v>0</v>
      </c>
      <c r="AF612" s="51" t="b">
        <f t="shared" si="413"/>
        <v>1</v>
      </c>
      <c r="AI612" s="51" t="b">
        <f t="shared" si="414"/>
        <v>0</v>
      </c>
      <c r="AJ612" s="51" t="b">
        <f t="shared" si="415"/>
        <v>0</v>
      </c>
      <c r="AK612" s="51" t="b">
        <f t="shared" si="416"/>
        <v>0</v>
      </c>
      <c r="AL612" s="51" t="b">
        <f t="shared" si="417"/>
        <v>0</v>
      </c>
      <c r="AM612" s="51" t="b">
        <f t="shared" si="418"/>
        <v>0</v>
      </c>
      <c r="AN612" s="51"/>
      <c r="AO612" s="51" t="b">
        <f t="shared" si="419"/>
        <v>0</v>
      </c>
      <c r="AP612" s="51" t="str">
        <f t="shared" si="441"/>
        <v>Not in MMS</v>
      </c>
      <c r="AQ612" s="51" t="b">
        <f t="shared" si="420"/>
        <v>0</v>
      </c>
      <c r="AR612" s="51" t="b">
        <f t="shared" si="421"/>
        <v>0</v>
      </c>
      <c r="AS612" s="51" t="str">
        <f t="shared" si="422"/>
        <v/>
      </c>
      <c r="AT612" s="51" t="str">
        <f t="shared" si="423"/>
        <v/>
      </c>
      <c r="AU612" s="51" t="str">
        <f t="shared" si="424"/>
        <v/>
      </c>
      <c r="AV612" s="51" t="str">
        <f t="shared" si="425"/>
        <v/>
      </c>
      <c r="AW612" s="51" t="str">
        <f t="shared" si="426"/>
        <v/>
      </c>
      <c r="AX612" s="51" t="str">
        <f t="shared" si="427"/>
        <v/>
      </c>
      <c r="AY612" s="51" t="str">
        <f t="shared" si="428"/>
        <v/>
      </c>
      <c r="AZ612" s="51" t="str">
        <f t="shared" si="429"/>
        <v/>
      </c>
      <c r="BA612" s="51" t="str">
        <f t="shared" si="430"/>
        <v/>
      </c>
      <c r="BB612" s="51" t="str">
        <f t="shared" si="431"/>
        <v/>
      </c>
      <c r="BC612" s="51" t="str">
        <f t="shared" si="432"/>
        <v/>
      </c>
      <c r="BD612" s="51" t="str">
        <f t="shared" si="433"/>
        <v/>
      </c>
      <c r="BE612" s="51" t="str">
        <f t="shared" si="434"/>
        <v/>
      </c>
      <c r="BF612" s="51" t="str">
        <f t="shared" si="435"/>
        <v/>
      </c>
      <c r="BG612" s="51" t="str">
        <f t="shared" si="436"/>
        <v/>
      </c>
      <c r="BH612" s="51" t="b">
        <f t="shared" si="437"/>
        <v>0</v>
      </c>
      <c r="BI612" s="51" t="str">
        <f t="shared" si="438"/>
        <v/>
      </c>
      <c r="BJ612" s="51" t="str">
        <f t="shared" si="439"/>
        <v/>
      </c>
      <c r="BK612" s="51" t="b">
        <f t="shared" si="440"/>
        <v>0</v>
      </c>
      <c r="BL612" s="192"/>
    </row>
    <row r="613" spans="1:64" ht="13.5" thickBot="1" x14ac:dyDescent="0.25">
      <c r="A613" s="185" t="s">
        <v>1288</v>
      </c>
      <c r="B613" s="194" t="s">
        <v>695</v>
      </c>
      <c r="C613" s="194" t="s">
        <v>695</v>
      </c>
      <c r="D613" s="194" t="s">
        <v>695</v>
      </c>
      <c r="E613" s="193" t="s">
        <v>694</v>
      </c>
      <c r="F613" s="160" t="s">
        <v>20</v>
      </c>
      <c r="G613" s="161"/>
      <c r="H613" s="186" t="str">
        <f t="shared" si="398"/>
        <v>N/A</v>
      </c>
      <c r="I613" s="186" t="b">
        <f t="shared" si="399"/>
        <v>1</v>
      </c>
      <c r="J613" s="186" t="str">
        <f t="shared" si="400"/>
        <v>N/A</v>
      </c>
      <c r="K613" s="186" t="b">
        <f t="shared" si="401"/>
        <v>1</v>
      </c>
      <c r="L613" s="186" t="str">
        <f t="shared" si="402"/>
        <v>N/A</v>
      </c>
      <c r="M613" s="186" t="b">
        <f t="shared" si="403"/>
        <v>1</v>
      </c>
      <c r="N613" s="186" t="str">
        <f t="shared" si="404"/>
        <v>Used?</v>
      </c>
      <c r="O613" s="186" t="b">
        <f t="shared" si="405"/>
        <v>0</v>
      </c>
      <c r="P613" s="26" t="s">
        <v>696</v>
      </c>
      <c r="Q613" s="160" t="s">
        <v>20</v>
      </c>
      <c r="R613" s="160" t="s">
        <v>20</v>
      </c>
      <c r="S613" s="26" t="s">
        <v>697</v>
      </c>
      <c r="T613" s="165" t="str">
        <f t="shared" si="406"/>
        <v>Not Used</v>
      </c>
      <c r="U613" s="162"/>
      <c r="V613" s="55"/>
      <c r="W613" s="51" t="b">
        <f t="shared" si="407"/>
        <v>1</v>
      </c>
      <c r="X613" s="51" t="str">
        <f t="shared" si="408"/>
        <v>Not Used</v>
      </c>
      <c r="Y613" s="51" t="str">
        <f t="shared" si="409"/>
        <v>Not Used</v>
      </c>
      <c r="Z613" s="51" t="str">
        <f t="shared" si="410"/>
        <v>Not Used</v>
      </c>
      <c r="AA613" s="51" t="str">
        <f t="shared" si="410"/>
        <v>Not Used</v>
      </c>
      <c r="AB613" s="51" t="str">
        <f t="shared" si="411"/>
        <v>Not Used</v>
      </c>
      <c r="AC613" s="51" t="b">
        <f t="shared" si="412"/>
        <v>1</v>
      </c>
      <c r="AD613" s="51">
        <f>COUNTIF($X$5:$X$613, "Not Used")</f>
        <v>609</v>
      </c>
      <c r="AE613" s="51">
        <f>COUNTIF($X$5:$X$613, "TRUE")</f>
        <v>0</v>
      </c>
      <c r="AF613" s="51" t="b">
        <f t="shared" si="413"/>
        <v>1</v>
      </c>
      <c r="AI613" s="51" t="b">
        <f t="shared" si="414"/>
        <v>0</v>
      </c>
      <c r="AJ613" s="51" t="b">
        <f t="shared" si="415"/>
        <v>0</v>
      </c>
      <c r="AK613" s="51" t="b">
        <f t="shared" si="416"/>
        <v>0</v>
      </c>
      <c r="AL613" s="51" t="b">
        <f t="shared" si="417"/>
        <v>0</v>
      </c>
      <c r="AM613" s="51" t="b">
        <f t="shared" si="418"/>
        <v>0</v>
      </c>
      <c r="AN613" s="51"/>
      <c r="AO613" s="51" t="b">
        <f t="shared" si="419"/>
        <v>0</v>
      </c>
      <c r="AP613" s="51" t="str">
        <f t="shared" si="441"/>
        <v>Not in MMS</v>
      </c>
      <c r="AQ613" s="51" t="b">
        <f t="shared" si="420"/>
        <v>0</v>
      </c>
      <c r="AR613" s="51" t="b">
        <f t="shared" si="421"/>
        <v>0</v>
      </c>
      <c r="AS613" s="51" t="str">
        <f t="shared" si="422"/>
        <v/>
      </c>
      <c r="AT613" s="51" t="str">
        <f t="shared" si="423"/>
        <v/>
      </c>
      <c r="AU613" s="51" t="str">
        <f t="shared" si="424"/>
        <v/>
      </c>
      <c r="AV613" s="51" t="str">
        <f t="shared" si="425"/>
        <v/>
      </c>
      <c r="AW613" s="51" t="str">
        <f t="shared" si="426"/>
        <v/>
      </c>
      <c r="AX613" s="51" t="str">
        <f t="shared" si="427"/>
        <v/>
      </c>
      <c r="AY613" s="51" t="str">
        <f t="shared" si="428"/>
        <v/>
      </c>
      <c r="AZ613" s="51" t="str">
        <f t="shared" si="429"/>
        <v/>
      </c>
      <c r="BA613" s="51" t="str">
        <f t="shared" si="430"/>
        <v/>
      </c>
      <c r="BB613" s="51" t="str">
        <f t="shared" si="431"/>
        <v/>
      </c>
      <c r="BC613" s="51" t="str">
        <f t="shared" si="432"/>
        <v/>
      </c>
      <c r="BD613" s="51" t="str">
        <f t="shared" si="433"/>
        <v/>
      </c>
      <c r="BE613" s="51" t="str">
        <f t="shared" si="434"/>
        <v/>
      </c>
      <c r="BF613" s="51" t="str">
        <f t="shared" si="435"/>
        <v/>
      </c>
      <c r="BG613" s="51" t="str">
        <f t="shared" si="436"/>
        <v/>
      </c>
      <c r="BH613" s="51" t="b">
        <f t="shared" si="437"/>
        <v>0</v>
      </c>
      <c r="BI613" s="51" t="str">
        <f t="shared" si="438"/>
        <v/>
      </c>
      <c r="BJ613" s="51" t="str">
        <f t="shared" si="439"/>
        <v/>
      </c>
      <c r="BK613" s="51" t="b">
        <f t="shared" si="440"/>
        <v>0</v>
      </c>
      <c r="BL613" s="192"/>
    </row>
    <row r="614" spans="1:64" ht="13.5" thickBot="1" x14ac:dyDescent="0.25">
      <c r="A614" s="185" t="s">
        <v>1289</v>
      </c>
      <c r="B614" s="194" t="s">
        <v>695</v>
      </c>
      <c r="C614" s="194" t="s">
        <v>695</v>
      </c>
      <c r="D614" s="194" t="s">
        <v>695</v>
      </c>
      <c r="E614" s="193" t="s">
        <v>694</v>
      </c>
      <c r="F614" s="160" t="s">
        <v>20</v>
      </c>
      <c r="G614" s="161"/>
      <c r="H614" s="186" t="str">
        <f t="shared" si="398"/>
        <v>N/A</v>
      </c>
      <c r="I614" s="186" t="b">
        <f t="shared" si="399"/>
        <v>1</v>
      </c>
      <c r="J614" s="186" t="str">
        <f t="shared" si="400"/>
        <v>N/A</v>
      </c>
      <c r="K614" s="186" t="b">
        <f t="shared" si="401"/>
        <v>1</v>
      </c>
      <c r="L614" s="186" t="str">
        <f t="shared" si="402"/>
        <v>N/A</v>
      </c>
      <c r="M614" s="186" t="b">
        <f t="shared" si="403"/>
        <v>1</v>
      </c>
      <c r="N614" s="186" t="str">
        <f t="shared" si="404"/>
        <v>Used?</v>
      </c>
      <c r="O614" s="186" t="b">
        <f t="shared" si="405"/>
        <v>0</v>
      </c>
      <c r="P614" s="26" t="s">
        <v>696</v>
      </c>
      <c r="Q614" s="160" t="s">
        <v>20</v>
      </c>
      <c r="R614" s="160" t="s">
        <v>20</v>
      </c>
      <c r="S614" s="26" t="s">
        <v>697</v>
      </c>
      <c r="T614" s="165" t="str">
        <f t="shared" si="406"/>
        <v>Not Used</v>
      </c>
      <c r="U614" s="162"/>
      <c r="V614" s="55"/>
      <c r="W614" s="51" t="b">
        <f t="shared" si="407"/>
        <v>1</v>
      </c>
      <c r="X614" s="51" t="str">
        <f t="shared" si="408"/>
        <v>Not Used</v>
      </c>
      <c r="Y614" s="51" t="str">
        <f t="shared" si="409"/>
        <v>Not Used</v>
      </c>
      <c r="Z614" s="51" t="str">
        <f t="shared" si="410"/>
        <v>Not Used</v>
      </c>
      <c r="AA614" s="51" t="str">
        <f t="shared" si="410"/>
        <v>Not Used</v>
      </c>
      <c r="AB614" s="51" t="str">
        <f t="shared" si="411"/>
        <v>Not Used</v>
      </c>
      <c r="AC614" s="51" t="b">
        <f t="shared" si="412"/>
        <v>1</v>
      </c>
      <c r="AD614" s="51">
        <f>COUNTIF($X$5:$X$614, "Not Used")</f>
        <v>610</v>
      </c>
      <c r="AE614" s="51">
        <f>COUNTIF($X$5:$X$614, "TRUE")</f>
        <v>0</v>
      </c>
      <c r="AF614" s="51" t="b">
        <f t="shared" si="413"/>
        <v>1</v>
      </c>
      <c r="AI614" s="51" t="b">
        <f t="shared" si="414"/>
        <v>0</v>
      </c>
      <c r="AJ614" s="51" t="b">
        <f t="shared" si="415"/>
        <v>0</v>
      </c>
      <c r="AK614" s="51" t="b">
        <f t="shared" si="416"/>
        <v>0</v>
      </c>
      <c r="AL614" s="51" t="b">
        <f t="shared" si="417"/>
        <v>0</v>
      </c>
      <c r="AM614" s="51" t="b">
        <f t="shared" si="418"/>
        <v>0</v>
      </c>
      <c r="AN614" s="51"/>
      <c r="AO614" s="51" t="b">
        <f t="shared" si="419"/>
        <v>0</v>
      </c>
      <c r="AP614" s="51" t="str">
        <f t="shared" si="441"/>
        <v>Not in MMS</v>
      </c>
      <c r="AQ614" s="51" t="b">
        <f t="shared" si="420"/>
        <v>0</v>
      </c>
      <c r="AR614" s="51" t="b">
        <f t="shared" si="421"/>
        <v>0</v>
      </c>
      <c r="AS614" s="51" t="str">
        <f t="shared" si="422"/>
        <v/>
      </c>
      <c r="AT614" s="51" t="str">
        <f t="shared" si="423"/>
        <v/>
      </c>
      <c r="AU614" s="51" t="str">
        <f t="shared" si="424"/>
        <v/>
      </c>
      <c r="AV614" s="51" t="str">
        <f t="shared" si="425"/>
        <v/>
      </c>
      <c r="AW614" s="51" t="str">
        <f t="shared" si="426"/>
        <v/>
      </c>
      <c r="AX614" s="51" t="str">
        <f t="shared" si="427"/>
        <v/>
      </c>
      <c r="AY614" s="51" t="str">
        <f t="shared" si="428"/>
        <v/>
      </c>
      <c r="AZ614" s="51" t="str">
        <f t="shared" si="429"/>
        <v/>
      </c>
      <c r="BA614" s="51" t="str">
        <f t="shared" si="430"/>
        <v/>
      </c>
      <c r="BB614" s="51" t="str">
        <f t="shared" si="431"/>
        <v/>
      </c>
      <c r="BC614" s="51" t="str">
        <f t="shared" si="432"/>
        <v/>
      </c>
      <c r="BD614" s="51" t="str">
        <f t="shared" si="433"/>
        <v/>
      </c>
      <c r="BE614" s="51" t="str">
        <f t="shared" si="434"/>
        <v/>
      </c>
      <c r="BF614" s="51" t="str">
        <f t="shared" si="435"/>
        <v/>
      </c>
      <c r="BG614" s="51" t="str">
        <f t="shared" si="436"/>
        <v/>
      </c>
      <c r="BH614" s="51" t="b">
        <f t="shared" si="437"/>
        <v>0</v>
      </c>
      <c r="BI614" s="51" t="str">
        <f t="shared" si="438"/>
        <v/>
      </c>
      <c r="BJ614" s="51" t="str">
        <f t="shared" si="439"/>
        <v/>
      </c>
      <c r="BK614" s="51" t="b">
        <f t="shared" si="440"/>
        <v>0</v>
      </c>
      <c r="BL614" s="192"/>
    </row>
    <row r="615" spans="1:64" ht="13.5" thickBot="1" x14ac:dyDescent="0.25">
      <c r="A615" s="185" t="s">
        <v>1290</v>
      </c>
      <c r="B615" s="194" t="s">
        <v>695</v>
      </c>
      <c r="C615" s="194" t="s">
        <v>695</v>
      </c>
      <c r="D615" s="194" t="s">
        <v>695</v>
      </c>
      <c r="E615" s="193" t="s">
        <v>694</v>
      </c>
      <c r="F615" s="160" t="s">
        <v>20</v>
      </c>
      <c r="G615" s="161"/>
      <c r="H615" s="186" t="str">
        <f t="shared" si="398"/>
        <v>N/A</v>
      </c>
      <c r="I615" s="186" t="b">
        <f t="shared" si="399"/>
        <v>1</v>
      </c>
      <c r="J615" s="186" t="str">
        <f t="shared" si="400"/>
        <v>N/A</v>
      </c>
      <c r="K615" s="186" t="b">
        <f t="shared" si="401"/>
        <v>1</v>
      </c>
      <c r="L615" s="186" t="str">
        <f t="shared" si="402"/>
        <v>N/A</v>
      </c>
      <c r="M615" s="186" t="b">
        <f t="shared" si="403"/>
        <v>1</v>
      </c>
      <c r="N615" s="186" t="str">
        <f t="shared" si="404"/>
        <v>Used?</v>
      </c>
      <c r="O615" s="186" t="b">
        <f t="shared" si="405"/>
        <v>0</v>
      </c>
      <c r="P615" s="26" t="s">
        <v>696</v>
      </c>
      <c r="Q615" s="160" t="s">
        <v>20</v>
      </c>
      <c r="R615" s="160" t="s">
        <v>20</v>
      </c>
      <c r="S615" s="26" t="s">
        <v>697</v>
      </c>
      <c r="T615" s="165" t="str">
        <f t="shared" si="406"/>
        <v>Not Used</v>
      </c>
      <c r="U615" s="162"/>
      <c r="V615" s="55"/>
      <c r="W615" s="51" t="b">
        <f t="shared" si="407"/>
        <v>1</v>
      </c>
      <c r="X615" s="51" t="str">
        <f t="shared" si="408"/>
        <v>Not Used</v>
      </c>
      <c r="Y615" s="51" t="str">
        <f t="shared" si="409"/>
        <v>Not Used</v>
      </c>
      <c r="Z615" s="51" t="str">
        <f t="shared" si="410"/>
        <v>Not Used</v>
      </c>
      <c r="AA615" s="51" t="str">
        <f t="shared" si="410"/>
        <v>Not Used</v>
      </c>
      <c r="AB615" s="51" t="str">
        <f t="shared" si="411"/>
        <v>Not Used</v>
      </c>
      <c r="AC615" s="51" t="b">
        <f t="shared" si="412"/>
        <v>1</v>
      </c>
      <c r="AD615" s="51">
        <f>COUNTIF($X$5:$X$615, "Not Used")</f>
        <v>611</v>
      </c>
      <c r="AE615" s="51">
        <f>COUNTIF($X$5:$X$615, "TRUE")</f>
        <v>0</v>
      </c>
      <c r="AF615" s="51" t="b">
        <f t="shared" si="413"/>
        <v>1</v>
      </c>
      <c r="AI615" s="51" t="b">
        <f t="shared" si="414"/>
        <v>0</v>
      </c>
      <c r="AJ615" s="51" t="b">
        <f t="shared" si="415"/>
        <v>0</v>
      </c>
      <c r="AK615" s="51" t="b">
        <f t="shared" si="416"/>
        <v>0</v>
      </c>
      <c r="AL615" s="51" t="b">
        <f t="shared" si="417"/>
        <v>0</v>
      </c>
      <c r="AM615" s="51" t="b">
        <f t="shared" si="418"/>
        <v>0</v>
      </c>
      <c r="AN615" s="51"/>
      <c r="AO615" s="51" t="b">
        <f t="shared" si="419"/>
        <v>0</v>
      </c>
      <c r="AP615" s="51" t="str">
        <f t="shared" si="441"/>
        <v>Not in MMS</v>
      </c>
      <c r="AQ615" s="51" t="b">
        <f t="shared" si="420"/>
        <v>0</v>
      </c>
      <c r="AR615" s="51" t="b">
        <f t="shared" si="421"/>
        <v>0</v>
      </c>
      <c r="AS615" s="51" t="str">
        <f t="shared" si="422"/>
        <v/>
      </c>
      <c r="AT615" s="51" t="str">
        <f t="shared" si="423"/>
        <v/>
      </c>
      <c r="AU615" s="51" t="str">
        <f t="shared" si="424"/>
        <v/>
      </c>
      <c r="AV615" s="51" t="str">
        <f t="shared" si="425"/>
        <v/>
      </c>
      <c r="AW615" s="51" t="str">
        <f t="shared" si="426"/>
        <v/>
      </c>
      <c r="AX615" s="51" t="str">
        <f t="shared" si="427"/>
        <v/>
      </c>
      <c r="AY615" s="51" t="str">
        <f t="shared" si="428"/>
        <v/>
      </c>
      <c r="AZ615" s="51" t="str">
        <f t="shared" si="429"/>
        <v/>
      </c>
      <c r="BA615" s="51" t="str">
        <f t="shared" si="430"/>
        <v/>
      </c>
      <c r="BB615" s="51" t="str">
        <f t="shared" si="431"/>
        <v/>
      </c>
      <c r="BC615" s="51" t="str">
        <f t="shared" si="432"/>
        <v/>
      </c>
      <c r="BD615" s="51" t="str">
        <f t="shared" si="433"/>
        <v/>
      </c>
      <c r="BE615" s="51" t="str">
        <f t="shared" si="434"/>
        <v/>
      </c>
      <c r="BF615" s="51" t="str">
        <f t="shared" si="435"/>
        <v/>
      </c>
      <c r="BG615" s="51" t="str">
        <f t="shared" si="436"/>
        <v/>
      </c>
      <c r="BH615" s="51" t="b">
        <f t="shared" si="437"/>
        <v>0</v>
      </c>
      <c r="BI615" s="51" t="str">
        <f t="shared" si="438"/>
        <v/>
      </c>
      <c r="BJ615" s="51" t="str">
        <f t="shared" si="439"/>
        <v/>
      </c>
      <c r="BK615" s="51" t="b">
        <f t="shared" si="440"/>
        <v>0</v>
      </c>
      <c r="BL615" s="192"/>
    </row>
    <row r="616" spans="1:64" ht="13.5" thickBot="1" x14ac:dyDescent="0.25">
      <c r="A616" s="185" t="s">
        <v>1291</v>
      </c>
      <c r="B616" s="194" t="s">
        <v>695</v>
      </c>
      <c r="C616" s="194" t="s">
        <v>695</v>
      </c>
      <c r="D616" s="194" t="s">
        <v>695</v>
      </c>
      <c r="E616" s="193" t="s">
        <v>694</v>
      </c>
      <c r="F616" s="160" t="s">
        <v>20</v>
      </c>
      <c r="G616" s="161"/>
      <c r="H616" s="186" t="str">
        <f t="shared" si="398"/>
        <v>N/A</v>
      </c>
      <c r="I616" s="186" t="b">
        <f t="shared" si="399"/>
        <v>1</v>
      </c>
      <c r="J616" s="186" t="str">
        <f t="shared" si="400"/>
        <v>N/A</v>
      </c>
      <c r="K616" s="186" t="b">
        <f t="shared" si="401"/>
        <v>1</v>
      </c>
      <c r="L616" s="186" t="str">
        <f t="shared" si="402"/>
        <v>N/A</v>
      </c>
      <c r="M616" s="186" t="b">
        <f t="shared" si="403"/>
        <v>1</v>
      </c>
      <c r="N616" s="186" t="str">
        <f t="shared" si="404"/>
        <v>Used?</v>
      </c>
      <c r="O616" s="186" t="b">
        <f t="shared" si="405"/>
        <v>0</v>
      </c>
      <c r="P616" s="26" t="s">
        <v>696</v>
      </c>
      <c r="Q616" s="160" t="s">
        <v>20</v>
      </c>
      <c r="R616" s="160" t="s">
        <v>20</v>
      </c>
      <c r="S616" s="26" t="s">
        <v>697</v>
      </c>
      <c r="T616" s="165" t="str">
        <f t="shared" si="406"/>
        <v>Not Used</v>
      </c>
      <c r="U616" s="162"/>
      <c r="V616" s="55"/>
      <c r="W616" s="51" t="b">
        <f t="shared" si="407"/>
        <v>1</v>
      </c>
      <c r="X616" s="51" t="str">
        <f t="shared" si="408"/>
        <v>Not Used</v>
      </c>
      <c r="Y616" s="51" t="str">
        <f t="shared" si="409"/>
        <v>Not Used</v>
      </c>
      <c r="Z616" s="51" t="str">
        <f t="shared" si="410"/>
        <v>Not Used</v>
      </c>
      <c r="AA616" s="51" t="str">
        <f t="shared" si="410"/>
        <v>Not Used</v>
      </c>
      <c r="AB616" s="51" t="str">
        <f t="shared" si="411"/>
        <v>Not Used</v>
      </c>
      <c r="AC616" s="51" t="b">
        <f t="shared" si="412"/>
        <v>1</v>
      </c>
      <c r="AD616" s="51">
        <f>COUNTIF($X$5:$X$616, "Not Used")</f>
        <v>612</v>
      </c>
      <c r="AE616" s="51">
        <f>COUNTIF($X$5:$X$616, "TRUE")</f>
        <v>0</v>
      </c>
      <c r="AF616" s="51" t="b">
        <f t="shared" si="413"/>
        <v>1</v>
      </c>
      <c r="AI616" s="51" t="b">
        <f t="shared" si="414"/>
        <v>0</v>
      </c>
      <c r="AJ616" s="51" t="b">
        <f t="shared" si="415"/>
        <v>0</v>
      </c>
      <c r="AK616" s="51" t="b">
        <f t="shared" si="416"/>
        <v>0</v>
      </c>
      <c r="AL616" s="51" t="b">
        <f t="shared" si="417"/>
        <v>0</v>
      </c>
      <c r="AM616" s="51" t="b">
        <f t="shared" si="418"/>
        <v>0</v>
      </c>
      <c r="AN616" s="51"/>
      <c r="AO616" s="51" t="b">
        <f t="shared" si="419"/>
        <v>0</v>
      </c>
      <c r="AP616" s="51" t="str">
        <f t="shared" si="441"/>
        <v>Not in MMS</v>
      </c>
      <c r="AQ616" s="51" t="b">
        <f t="shared" si="420"/>
        <v>0</v>
      </c>
      <c r="AR616" s="51" t="b">
        <f t="shared" si="421"/>
        <v>0</v>
      </c>
      <c r="AS616" s="51" t="str">
        <f t="shared" si="422"/>
        <v/>
      </c>
      <c r="AT616" s="51" t="str">
        <f t="shared" si="423"/>
        <v/>
      </c>
      <c r="AU616" s="51" t="str">
        <f t="shared" si="424"/>
        <v/>
      </c>
      <c r="AV616" s="51" t="str">
        <f t="shared" si="425"/>
        <v/>
      </c>
      <c r="AW616" s="51" t="str">
        <f t="shared" si="426"/>
        <v/>
      </c>
      <c r="AX616" s="51" t="str">
        <f t="shared" si="427"/>
        <v/>
      </c>
      <c r="AY616" s="51" t="str">
        <f t="shared" si="428"/>
        <v/>
      </c>
      <c r="AZ616" s="51" t="str">
        <f t="shared" si="429"/>
        <v/>
      </c>
      <c r="BA616" s="51" t="str">
        <f t="shared" si="430"/>
        <v/>
      </c>
      <c r="BB616" s="51" t="str">
        <f t="shared" si="431"/>
        <v/>
      </c>
      <c r="BC616" s="51" t="str">
        <f t="shared" si="432"/>
        <v/>
      </c>
      <c r="BD616" s="51" t="str">
        <f t="shared" si="433"/>
        <v/>
      </c>
      <c r="BE616" s="51" t="str">
        <f t="shared" si="434"/>
        <v/>
      </c>
      <c r="BF616" s="51" t="str">
        <f t="shared" si="435"/>
        <v/>
      </c>
      <c r="BG616" s="51" t="str">
        <f t="shared" si="436"/>
        <v/>
      </c>
      <c r="BH616" s="51" t="b">
        <f t="shared" si="437"/>
        <v>0</v>
      </c>
      <c r="BI616" s="51" t="str">
        <f t="shared" si="438"/>
        <v/>
      </c>
      <c r="BJ616" s="51" t="str">
        <f t="shared" si="439"/>
        <v/>
      </c>
      <c r="BK616" s="51" t="b">
        <f t="shared" si="440"/>
        <v>0</v>
      </c>
      <c r="BL616" s="192"/>
    </row>
    <row r="617" spans="1:64" ht="13.5" thickBot="1" x14ac:dyDescent="0.25">
      <c r="A617" s="185" t="s">
        <v>1292</v>
      </c>
      <c r="B617" s="194" t="s">
        <v>695</v>
      </c>
      <c r="C617" s="194" t="s">
        <v>695</v>
      </c>
      <c r="D617" s="194" t="s">
        <v>695</v>
      </c>
      <c r="E617" s="193" t="s">
        <v>694</v>
      </c>
      <c r="F617" s="160" t="s">
        <v>20</v>
      </c>
      <c r="G617" s="161"/>
      <c r="H617" s="186" t="str">
        <f t="shared" si="398"/>
        <v>N/A</v>
      </c>
      <c r="I617" s="186" t="b">
        <f t="shared" si="399"/>
        <v>1</v>
      </c>
      <c r="J617" s="186" t="str">
        <f t="shared" si="400"/>
        <v>N/A</v>
      </c>
      <c r="K617" s="186" t="b">
        <f t="shared" si="401"/>
        <v>1</v>
      </c>
      <c r="L617" s="186" t="str">
        <f t="shared" si="402"/>
        <v>N/A</v>
      </c>
      <c r="M617" s="186" t="b">
        <f t="shared" si="403"/>
        <v>1</v>
      </c>
      <c r="N617" s="186" t="str">
        <f t="shared" si="404"/>
        <v>Used?</v>
      </c>
      <c r="O617" s="186" t="b">
        <f t="shared" si="405"/>
        <v>0</v>
      </c>
      <c r="P617" s="26" t="s">
        <v>696</v>
      </c>
      <c r="Q617" s="160" t="s">
        <v>20</v>
      </c>
      <c r="R617" s="160" t="s">
        <v>20</v>
      </c>
      <c r="S617" s="26" t="s">
        <v>697</v>
      </c>
      <c r="T617" s="165" t="str">
        <f t="shared" si="406"/>
        <v>Not Used</v>
      </c>
      <c r="U617" s="162"/>
      <c r="V617" s="55"/>
      <c r="W617" s="51" t="b">
        <f t="shared" si="407"/>
        <v>1</v>
      </c>
      <c r="X617" s="51" t="str">
        <f t="shared" si="408"/>
        <v>Not Used</v>
      </c>
      <c r="Y617" s="51" t="str">
        <f t="shared" si="409"/>
        <v>Not Used</v>
      </c>
      <c r="Z617" s="51" t="str">
        <f t="shared" si="410"/>
        <v>Not Used</v>
      </c>
      <c r="AA617" s="51" t="str">
        <f t="shared" si="410"/>
        <v>Not Used</v>
      </c>
      <c r="AB617" s="51" t="str">
        <f t="shared" si="411"/>
        <v>Not Used</v>
      </c>
      <c r="AC617" s="51" t="b">
        <f t="shared" si="412"/>
        <v>1</v>
      </c>
      <c r="AD617" s="51">
        <f>COUNTIF($X$5:$X$617, "Not Used")</f>
        <v>613</v>
      </c>
      <c r="AE617" s="51">
        <f>COUNTIF($X$5:$X$617, "TRUE")</f>
        <v>0</v>
      </c>
      <c r="AF617" s="51" t="b">
        <f t="shared" si="413"/>
        <v>1</v>
      </c>
      <c r="AI617" s="51" t="b">
        <f t="shared" si="414"/>
        <v>0</v>
      </c>
      <c r="AJ617" s="51" t="b">
        <f t="shared" si="415"/>
        <v>0</v>
      </c>
      <c r="AK617" s="51" t="b">
        <f t="shared" si="416"/>
        <v>0</v>
      </c>
      <c r="AL617" s="51" t="b">
        <f t="shared" si="417"/>
        <v>0</v>
      </c>
      <c r="AM617" s="51" t="b">
        <f t="shared" si="418"/>
        <v>0</v>
      </c>
      <c r="AN617" s="51"/>
      <c r="AO617" s="51" t="b">
        <f t="shared" si="419"/>
        <v>0</v>
      </c>
      <c r="AP617" s="51" t="str">
        <f t="shared" si="441"/>
        <v>Not in MMS</v>
      </c>
      <c r="AQ617" s="51" t="b">
        <f t="shared" si="420"/>
        <v>0</v>
      </c>
      <c r="AR617" s="51" t="b">
        <f t="shared" si="421"/>
        <v>0</v>
      </c>
      <c r="AS617" s="51" t="str">
        <f t="shared" si="422"/>
        <v/>
      </c>
      <c r="AT617" s="51" t="str">
        <f t="shared" si="423"/>
        <v/>
      </c>
      <c r="AU617" s="51" t="str">
        <f t="shared" si="424"/>
        <v/>
      </c>
      <c r="AV617" s="51" t="str">
        <f t="shared" si="425"/>
        <v/>
      </c>
      <c r="AW617" s="51" t="str">
        <f t="shared" si="426"/>
        <v/>
      </c>
      <c r="AX617" s="51" t="str">
        <f t="shared" si="427"/>
        <v/>
      </c>
      <c r="AY617" s="51" t="str">
        <f t="shared" si="428"/>
        <v/>
      </c>
      <c r="AZ617" s="51" t="str">
        <f t="shared" si="429"/>
        <v/>
      </c>
      <c r="BA617" s="51" t="str">
        <f t="shared" si="430"/>
        <v/>
      </c>
      <c r="BB617" s="51" t="str">
        <f t="shared" si="431"/>
        <v/>
      </c>
      <c r="BC617" s="51" t="str">
        <f t="shared" si="432"/>
        <v/>
      </c>
      <c r="BD617" s="51" t="str">
        <f t="shared" si="433"/>
        <v/>
      </c>
      <c r="BE617" s="51" t="str">
        <f t="shared" si="434"/>
        <v/>
      </c>
      <c r="BF617" s="51" t="str">
        <f t="shared" si="435"/>
        <v/>
      </c>
      <c r="BG617" s="51" t="str">
        <f t="shared" si="436"/>
        <v/>
      </c>
      <c r="BH617" s="51" t="b">
        <f t="shared" si="437"/>
        <v>0</v>
      </c>
      <c r="BI617" s="51" t="str">
        <f t="shared" si="438"/>
        <v/>
      </c>
      <c r="BJ617" s="51" t="str">
        <f t="shared" si="439"/>
        <v/>
      </c>
      <c r="BK617" s="51" t="b">
        <f t="shared" si="440"/>
        <v>0</v>
      </c>
      <c r="BL617" s="192"/>
    </row>
    <row r="618" spans="1:64" ht="13.5" thickBot="1" x14ac:dyDescent="0.25">
      <c r="A618" s="185" t="s">
        <v>1293</v>
      </c>
      <c r="B618" s="194" t="s">
        <v>695</v>
      </c>
      <c r="C618" s="194" t="s">
        <v>695</v>
      </c>
      <c r="D618" s="194" t="s">
        <v>695</v>
      </c>
      <c r="E618" s="193" t="s">
        <v>694</v>
      </c>
      <c r="F618" s="160" t="s">
        <v>20</v>
      </c>
      <c r="G618" s="161"/>
      <c r="H618" s="186" t="str">
        <f t="shared" si="398"/>
        <v>N/A</v>
      </c>
      <c r="I618" s="186" t="b">
        <f t="shared" si="399"/>
        <v>1</v>
      </c>
      <c r="J618" s="186" t="str">
        <f t="shared" si="400"/>
        <v>N/A</v>
      </c>
      <c r="K618" s="186" t="b">
        <f t="shared" si="401"/>
        <v>1</v>
      </c>
      <c r="L618" s="186" t="str">
        <f t="shared" si="402"/>
        <v>N/A</v>
      </c>
      <c r="M618" s="186" t="b">
        <f t="shared" si="403"/>
        <v>1</v>
      </c>
      <c r="N618" s="186" t="str">
        <f t="shared" si="404"/>
        <v>Used?</v>
      </c>
      <c r="O618" s="186" t="b">
        <f t="shared" si="405"/>
        <v>0</v>
      </c>
      <c r="P618" s="26" t="s">
        <v>696</v>
      </c>
      <c r="Q618" s="160" t="s">
        <v>20</v>
      </c>
      <c r="R618" s="160" t="s">
        <v>20</v>
      </c>
      <c r="S618" s="26" t="s">
        <v>697</v>
      </c>
      <c r="T618" s="165" t="str">
        <f t="shared" si="406"/>
        <v>Not Used</v>
      </c>
      <c r="U618" s="162"/>
      <c r="V618" s="55"/>
      <c r="W618" s="51" t="b">
        <f t="shared" si="407"/>
        <v>1</v>
      </c>
      <c r="X618" s="51" t="str">
        <f t="shared" si="408"/>
        <v>Not Used</v>
      </c>
      <c r="Y618" s="51" t="str">
        <f t="shared" si="409"/>
        <v>Not Used</v>
      </c>
      <c r="Z618" s="51" t="str">
        <f t="shared" si="410"/>
        <v>Not Used</v>
      </c>
      <c r="AA618" s="51" t="str">
        <f t="shared" si="410"/>
        <v>Not Used</v>
      </c>
      <c r="AB618" s="51" t="str">
        <f t="shared" si="411"/>
        <v>Not Used</v>
      </c>
      <c r="AC618" s="51" t="b">
        <f t="shared" si="412"/>
        <v>1</v>
      </c>
      <c r="AD618" s="51">
        <f>COUNTIF($X$5:$X$618, "Not Used")</f>
        <v>614</v>
      </c>
      <c r="AE618" s="51">
        <f>COUNTIF($X$5:$X$618, "TRUE")</f>
        <v>0</v>
      </c>
      <c r="AF618" s="51" t="b">
        <f t="shared" si="413"/>
        <v>1</v>
      </c>
      <c r="AI618" s="51" t="b">
        <f t="shared" si="414"/>
        <v>0</v>
      </c>
      <c r="AJ618" s="51" t="b">
        <f t="shared" si="415"/>
        <v>0</v>
      </c>
      <c r="AK618" s="51" t="b">
        <f t="shared" si="416"/>
        <v>0</v>
      </c>
      <c r="AL618" s="51" t="b">
        <f t="shared" si="417"/>
        <v>0</v>
      </c>
      <c r="AM618" s="51" t="b">
        <f t="shared" si="418"/>
        <v>0</v>
      </c>
      <c r="AN618" s="51"/>
      <c r="AO618" s="51" t="b">
        <f t="shared" si="419"/>
        <v>0</v>
      </c>
      <c r="AP618" s="51" t="str">
        <f t="shared" si="441"/>
        <v>Not in MMS</v>
      </c>
      <c r="AQ618" s="51" t="b">
        <f t="shared" si="420"/>
        <v>0</v>
      </c>
      <c r="AR618" s="51" t="b">
        <f t="shared" si="421"/>
        <v>0</v>
      </c>
      <c r="AS618" s="51" t="str">
        <f t="shared" si="422"/>
        <v/>
      </c>
      <c r="AT618" s="51" t="str">
        <f t="shared" si="423"/>
        <v/>
      </c>
      <c r="AU618" s="51" t="str">
        <f t="shared" si="424"/>
        <v/>
      </c>
      <c r="AV618" s="51" t="str">
        <f t="shared" si="425"/>
        <v/>
      </c>
      <c r="AW618" s="51" t="str">
        <f t="shared" si="426"/>
        <v/>
      </c>
      <c r="AX618" s="51" t="str">
        <f t="shared" si="427"/>
        <v/>
      </c>
      <c r="AY618" s="51" t="str">
        <f t="shared" si="428"/>
        <v/>
      </c>
      <c r="AZ618" s="51" t="str">
        <f t="shared" si="429"/>
        <v/>
      </c>
      <c r="BA618" s="51" t="str">
        <f t="shared" si="430"/>
        <v/>
      </c>
      <c r="BB618" s="51" t="str">
        <f t="shared" si="431"/>
        <v/>
      </c>
      <c r="BC618" s="51" t="str">
        <f t="shared" si="432"/>
        <v/>
      </c>
      <c r="BD618" s="51" t="str">
        <f t="shared" si="433"/>
        <v/>
      </c>
      <c r="BE618" s="51" t="str">
        <f t="shared" si="434"/>
        <v/>
      </c>
      <c r="BF618" s="51" t="str">
        <f t="shared" si="435"/>
        <v/>
      </c>
      <c r="BG618" s="51" t="str">
        <f t="shared" si="436"/>
        <v/>
      </c>
      <c r="BH618" s="51" t="b">
        <f t="shared" si="437"/>
        <v>0</v>
      </c>
      <c r="BI618" s="51" t="str">
        <f t="shared" si="438"/>
        <v/>
      </c>
      <c r="BJ618" s="51" t="str">
        <f t="shared" si="439"/>
        <v/>
      </c>
      <c r="BK618" s="51" t="b">
        <f t="shared" si="440"/>
        <v>0</v>
      </c>
      <c r="BL618" s="192"/>
    </row>
    <row r="619" spans="1:64" ht="13.5" thickBot="1" x14ac:dyDescent="0.25">
      <c r="A619" s="185" t="s">
        <v>1294</v>
      </c>
      <c r="B619" s="194" t="s">
        <v>695</v>
      </c>
      <c r="C619" s="194" t="s">
        <v>695</v>
      </c>
      <c r="D619" s="194" t="s">
        <v>695</v>
      </c>
      <c r="E619" s="193" t="s">
        <v>694</v>
      </c>
      <c r="F619" s="160" t="s">
        <v>20</v>
      </c>
      <c r="G619" s="161"/>
      <c r="H619" s="186" t="str">
        <f t="shared" si="398"/>
        <v>N/A</v>
      </c>
      <c r="I619" s="186" t="b">
        <f t="shared" si="399"/>
        <v>1</v>
      </c>
      <c r="J619" s="186" t="str">
        <f t="shared" si="400"/>
        <v>N/A</v>
      </c>
      <c r="K619" s="186" t="b">
        <f t="shared" si="401"/>
        <v>1</v>
      </c>
      <c r="L619" s="186" t="str">
        <f t="shared" si="402"/>
        <v>N/A</v>
      </c>
      <c r="M619" s="186" t="b">
        <f t="shared" si="403"/>
        <v>1</v>
      </c>
      <c r="N619" s="186" t="str">
        <f t="shared" si="404"/>
        <v>Used?</v>
      </c>
      <c r="O619" s="186" t="b">
        <f t="shared" si="405"/>
        <v>0</v>
      </c>
      <c r="P619" s="26" t="s">
        <v>696</v>
      </c>
      <c r="Q619" s="160" t="s">
        <v>20</v>
      </c>
      <c r="R619" s="160" t="s">
        <v>20</v>
      </c>
      <c r="S619" s="26" t="s">
        <v>697</v>
      </c>
      <c r="T619" s="165" t="str">
        <f t="shared" si="406"/>
        <v>Not Used</v>
      </c>
      <c r="U619" s="162"/>
      <c r="V619" s="55"/>
      <c r="W619" s="51" t="b">
        <f t="shared" si="407"/>
        <v>1</v>
      </c>
      <c r="X619" s="51" t="str">
        <f t="shared" si="408"/>
        <v>Not Used</v>
      </c>
      <c r="Y619" s="51" t="str">
        <f t="shared" si="409"/>
        <v>Not Used</v>
      </c>
      <c r="Z619" s="51" t="str">
        <f t="shared" si="410"/>
        <v>Not Used</v>
      </c>
      <c r="AA619" s="51" t="str">
        <f t="shared" si="410"/>
        <v>Not Used</v>
      </c>
      <c r="AB619" s="51" t="str">
        <f t="shared" si="411"/>
        <v>Not Used</v>
      </c>
      <c r="AC619" s="51" t="b">
        <f t="shared" si="412"/>
        <v>1</v>
      </c>
      <c r="AD619" s="51">
        <f>COUNTIF($X$5:$X$619, "Not Used")</f>
        <v>615</v>
      </c>
      <c r="AE619" s="51">
        <f>COUNTIF($X$5:$X$619, "TRUE")</f>
        <v>0</v>
      </c>
      <c r="AF619" s="51" t="b">
        <f t="shared" si="413"/>
        <v>1</v>
      </c>
      <c r="AI619" s="51" t="b">
        <f t="shared" si="414"/>
        <v>0</v>
      </c>
      <c r="AJ619" s="51" t="b">
        <f t="shared" si="415"/>
        <v>0</v>
      </c>
      <c r="AK619" s="51" t="b">
        <f t="shared" si="416"/>
        <v>0</v>
      </c>
      <c r="AL619" s="51" t="b">
        <f t="shared" si="417"/>
        <v>0</v>
      </c>
      <c r="AM619" s="51" t="b">
        <f t="shared" si="418"/>
        <v>0</v>
      </c>
      <c r="AN619" s="51"/>
      <c r="AO619" s="51" t="b">
        <f t="shared" si="419"/>
        <v>0</v>
      </c>
      <c r="AP619" s="51" t="str">
        <f t="shared" si="441"/>
        <v>Not in MMS</v>
      </c>
      <c r="AQ619" s="51" t="b">
        <f t="shared" si="420"/>
        <v>0</v>
      </c>
      <c r="AR619" s="51" t="b">
        <f t="shared" si="421"/>
        <v>0</v>
      </c>
      <c r="AS619" s="51" t="str">
        <f t="shared" si="422"/>
        <v/>
      </c>
      <c r="AT619" s="51" t="str">
        <f t="shared" si="423"/>
        <v/>
      </c>
      <c r="AU619" s="51" t="str">
        <f t="shared" si="424"/>
        <v/>
      </c>
      <c r="AV619" s="51" t="str">
        <f t="shared" si="425"/>
        <v/>
      </c>
      <c r="AW619" s="51" t="str">
        <f t="shared" si="426"/>
        <v/>
      </c>
      <c r="AX619" s="51" t="str">
        <f t="shared" si="427"/>
        <v/>
      </c>
      <c r="AY619" s="51" t="str">
        <f t="shared" si="428"/>
        <v/>
      </c>
      <c r="AZ619" s="51" t="str">
        <f t="shared" si="429"/>
        <v/>
      </c>
      <c r="BA619" s="51" t="str">
        <f t="shared" si="430"/>
        <v/>
      </c>
      <c r="BB619" s="51" t="str">
        <f t="shared" si="431"/>
        <v/>
      </c>
      <c r="BC619" s="51" t="str">
        <f t="shared" si="432"/>
        <v/>
      </c>
      <c r="BD619" s="51" t="str">
        <f t="shared" si="433"/>
        <v/>
      </c>
      <c r="BE619" s="51" t="str">
        <f t="shared" si="434"/>
        <v/>
      </c>
      <c r="BF619" s="51" t="str">
        <f t="shared" si="435"/>
        <v/>
      </c>
      <c r="BG619" s="51" t="str">
        <f t="shared" si="436"/>
        <v/>
      </c>
      <c r="BH619" s="51" t="b">
        <f t="shared" si="437"/>
        <v>0</v>
      </c>
      <c r="BI619" s="51" t="str">
        <f t="shared" si="438"/>
        <v/>
      </c>
      <c r="BJ619" s="51" t="str">
        <f t="shared" si="439"/>
        <v/>
      </c>
      <c r="BK619" s="51" t="b">
        <f t="shared" si="440"/>
        <v>0</v>
      </c>
      <c r="BL619" s="192"/>
    </row>
    <row r="620" spans="1:64" ht="13.5" thickBot="1" x14ac:dyDescent="0.25">
      <c r="A620" s="185" t="s">
        <v>1295</v>
      </c>
      <c r="B620" s="194" t="s">
        <v>695</v>
      </c>
      <c r="C620" s="194" t="s">
        <v>695</v>
      </c>
      <c r="D620" s="194" t="s">
        <v>695</v>
      </c>
      <c r="E620" s="193" t="s">
        <v>694</v>
      </c>
      <c r="F620" s="160" t="s">
        <v>20</v>
      </c>
      <c r="G620" s="161"/>
      <c r="H620" s="186" t="str">
        <f t="shared" si="398"/>
        <v>N/A</v>
      </c>
      <c r="I620" s="186" t="b">
        <f t="shared" si="399"/>
        <v>1</v>
      </c>
      <c r="J620" s="186" t="str">
        <f t="shared" si="400"/>
        <v>N/A</v>
      </c>
      <c r="K620" s="186" t="b">
        <f t="shared" si="401"/>
        <v>1</v>
      </c>
      <c r="L620" s="186" t="str">
        <f t="shared" si="402"/>
        <v>N/A</v>
      </c>
      <c r="M620" s="186" t="b">
        <f t="shared" si="403"/>
        <v>1</v>
      </c>
      <c r="N620" s="186" t="str">
        <f t="shared" si="404"/>
        <v>Used?</v>
      </c>
      <c r="O620" s="186" t="b">
        <f t="shared" si="405"/>
        <v>0</v>
      </c>
      <c r="P620" s="26" t="s">
        <v>696</v>
      </c>
      <c r="Q620" s="160" t="s">
        <v>20</v>
      </c>
      <c r="R620" s="160" t="s">
        <v>20</v>
      </c>
      <c r="S620" s="26" t="s">
        <v>697</v>
      </c>
      <c r="T620" s="165" t="str">
        <f t="shared" si="406"/>
        <v>Not Used</v>
      </c>
      <c r="U620" s="162"/>
      <c r="V620" s="55"/>
      <c r="W620" s="51" t="b">
        <f t="shared" si="407"/>
        <v>1</v>
      </c>
      <c r="X620" s="51" t="str">
        <f t="shared" si="408"/>
        <v>Not Used</v>
      </c>
      <c r="Y620" s="51" t="str">
        <f t="shared" si="409"/>
        <v>Not Used</v>
      </c>
      <c r="Z620" s="51" t="str">
        <f t="shared" si="410"/>
        <v>Not Used</v>
      </c>
      <c r="AA620" s="51" t="str">
        <f t="shared" si="410"/>
        <v>Not Used</v>
      </c>
      <c r="AB620" s="51" t="str">
        <f t="shared" si="411"/>
        <v>Not Used</v>
      </c>
      <c r="AC620" s="51" t="b">
        <f t="shared" si="412"/>
        <v>1</v>
      </c>
      <c r="AD620" s="51">
        <f>COUNTIF($X$5:$X$620, "Not Used")</f>
        <v>616</v>
      </c>
      <c r="AE620" s="51">
        <f>COUNTIF($X$5:$X$620, "TRUE")</f>
        <v>0</v>
      </c>
      <c r="AF620" s="51" t="b">
        <f t="shared" si="413"/>
        <v>1</v>
      </c>
      <c r="AI620" s="51" t="b">
        <f t="shared" si="414"/>
        <v>0</v>
      </c>
      <c r="AJ620" s="51" t="b">
        <f t="shared" si="415"/>
        <v>0</v>
      </c>
      <c r="AK620" s="51" t="b">
        <f t="shared" si="416"/>
        <v>0</v>
      </c>
      <c r="AL620" s="51" t="b">
        <f t="shared" si="417"/>
        <v>0</v>
      </c>
      <c r="AM620" s="51" t="b">
        <f t="shared" si="418"/>
        <v>0</v>
      </c>
      <c r="AN620" s="51"/>
      <c r="AO620" s="51" t="b">
        <f t="shared" si="419"/>
        <v>0</v>
      </c>
      <c r="AP620" s="51" t="str">
        <f t="shared" si="441"/>
        <v>Not in MMS</v>
      </c>
      <c r="AQ620" s="51" t="b">
        <f t="shared" si="420"/>
        <v>0</v>
      </c>
      <c r="AR620" s="51" t="b">
        <f t="shared" si="421"/>
        <v>0</v>
      </c>
      <c r="AS620" s="51" t="str">
        <f t="shared" si="422"/>
        <v/>
      </c>
      <c r="AT620" s="51" t="str">
        <f t="shared" si="423"/>
        <v/>
      </c>
      <c r="AU620" s="51" t="str">
        <f t="shared" si="424"/>
        <v/>
      </c>
      <c r="AV620" s="51" t="str">
        <f t="shared" si="425"/>
        <v/>
      </c>
      <c r="AW620" s="51" t="str">
        <f t="shared" si="426"/>
        <v/>
      </c>
      <c r="AX620" s="51" t="str">
        <f t="shared" si="427"/>
        <v/>
      </c>
      <c r="AY620" s="51" t="str">
        <f t="shared" si="428"/>
        <v/>
      </c>
      <c r="AZ620" s="51" t="str">
        <f t="shared" si="429"/>
        <v/>
      </c>
      <c r="BA620" s="51" t="str">
        <f t="shared" si="430"/>
        <v/>
      </c>
      <c r="BB620" s="51" t="str">
        <f t="shared" si="431"/>
        <v/>
      </c>
      <c r="BC620" s="51" t="str">
        <f t="shared" si="432"/>
        <v/>
      </c>
      <c r="BD620" s="51" t="str">
        <f t="shared" si="433"/>
        <v/>
      </c>
      <c r="BE620" s="51" t="str">
        <f t="shared" si="434"/>
        <v/>
      </c>
      <c r="BF620" s="51" t="str">
        <f t="shared" si="435"/>
        <v/>
      </c>
      <c r="BG620" s="51" t="str">
        <f t="shared" si="436"/>
        <v/>
      </c>
      <c r="BH620" s="51" t="b">
        <f t="shared" si="437"/>
        <v>0</v>
      </c>
      <c r="BI620" s="51" t="str">
        <f t="shared" si="438"/>
        <v/>
      </c>
      <c r="BJ620" s="51" t="str">
        <f t="shared" si="439"/>
        <v/>
      </c>
      <c r="BK620" s="51" t="b">
        <f t="shared" si="440"/>
        <v>0</v>
      </c>
      <c r="BL620" s="192"/>
    </row>
    <row r="621" spans="1:64" ht="13.5" thickBot="1" x14ac:dyDescent="0.25">
      <c r="A621" s="185" t="s">
        <v>1296</v>
      </c>
      <c r="B621" s="194" t="s">
        <v>695</v>
      </c>
      <c r="C621" s="194" t="s">
        <v>695</v>
      </c>
      <c r="D621" s="194" t="s">
        <v>695</v>
      </c>
      <c r="E621" s="193" t="s">
        <v>694</v>
      </c>
      <c r="F621" s="160" t="s">
        <v>20</v>
      </c>
      <c r="G621" s="161"/>
      <c r="H621" s="186" t="str">
        <f t="shared" si="398"/>
        <v>N/A</v>
      </c>
      <c r="I621" s="186" t="b">
        <f t="shared" si="399"/>
        <v>1</v>
      </c>
      <c r="J621" s="186" t="str">
        <f t="shared" si="400"/>
        <v>N/A</v>
      </c>
      <c r="K621" s="186" t="b">
        <f t="shared" si="401"/>
        <v>1</v>
      </c>
      <c r="L621" s="186" t="str">
        <f t="shared" si="402"/>
        <v>N/A</v>
      </c>
      <c r="M621" s="186" t="b">
        <f t="shared" si="403"/>
        <v>1</v>
      </c>
      <c r="N621" s="186" t="str">
        <f t="shared" si="404"/>
        <v>Used?</v>
      </c>
      <c r="O621" s="186" t="b">
        <f t="shared" si="405"/>
        <v>0</v>
      </c>
      <c r="P621" s="26" t="s">
        <v>696</v>
      </c>
      <c r="Q621" s="160" t="s">
        <v>20</v>
      </c>
      <c r="R621" s="160" t="s">
        <v>20</v>
      </c>
      <c r="S621" s="26" t="s">
        <v>697</v>
      </c>
      <c r="T621" s="165" t="str">
        <f t="shared" si="406"/>
        <v>Not Used</v>
      </c>
      <c r="U621" s="162"/>
      <c r="V621" s="55"/>
      <c r="W621" s="51" t="b">
        <f t="shared" si="407"/>
        <v>1</v>
      </c>
      <c r="X621" s="51" t="str">
        <f t="shared" si="408"/>
        <v>Not Used</v>
      </c>
      <c r="Y621" s="51" t="str">
        <f t="shared" si="409"/>
        <v>Not Used</v>
      </c>
      <c r="Z621" s="51" t="str">
        <f t="shared" si="410"/>
        <v>Not Used</v>
      </c>
      <c r="AA621" s="51" t="str">
        <f t="shared" si="410"/>
        <v>Not Used</v>
      </c>
      <c r="AB621" s="51" t="str">
        <f t="shared" si="411"/>
        <v>Not Used</v>
      </c>
      <c r="AC621" s="51" t="b">
        <f t="shared" si="412"/>
        <v>1</v>
      </c>
      <c r="AD621" s="51">
        <f>COUNTIF($X$5:$X$621, "Not Used")</f>
        <v>617</v>
      </c>
      <c r="AE621" s="51">
        <f>COUNTIF($X$5:$X$621, "TRUE")</f>
        <v>0</v>
      </c>
      <c r="AF621" s="51" t="b">
        <f t="shared" si="413"/>
        <v>1</v>
      </c>
      <c r="AI621" s="51" t="b">
        <f t="shared" si="414"/>
        <v>0</v>
      </c>
      <c r="AJ621" s="51" t="b">
        <f t="shared" si="415"/>
        <v>0</v>
      </c>
      <c r="AK621" s="51" t="b">
        <f t="shared" si="416"/>
        <v>0</v>
      </c>
      <c r="AL621" s="51" t="b">
        <f t="shared" si="417"/>
        <v>0</v>
      </c>
      <c r="AM621" s="51" t="b">
        <f t="shared" si="418"/>
        <v>0</v>
      </c>
      <c r="AN621" s="51"/>
      <c r="AO621" s="51" t="b">
        <f t="shared" si="419"/>
        <v>0</v>
      </c>
      <c r="AP621" s="51" t="str">
        <f t="shared" si="441"/>
        <v>Not in MMS</v>
      </c>
      <c r="AQ621" s="51" t="b">
        <f t="shared" si="420"/>
        <v>0</v>
      </c>
      <c r="AR621" s="51" t="b">
        <f t="shared" si="421"/>
        <v>0</v>
      </c>
      <c r="AS621" s="51" t="str">
        <f t="shared" si="422"/>
        <v/>
      </c>
      <c r="AT621" s="51" t="str">
        <f t="shared" si="423"/>
        <v/>
      </c>
      <c r="AU621" s="51" t="str">
        <f t="shared" si="424"/>
        <v/>
      </c>
      <c r="AV621" s="51" t="str">
        <f t="shared" si="425"/>
        <v/>
      </c>
      <c r="AW621" s="51" t="str">
        <f t="shared" si="426"/>
        <v/>
      </c>
      <c r="AX621" s="51" t="str">
        <f t="shared" si="427"/>
        <v/>
      </c>
      <c r="AY621" s="51" t="str">
        <f t="shared" si="428"/>
        <v/>
      </c>
      <c r="AZ621" s="51" t="str">
        <f t="shared" si="429"/>
        <v/>
      </c>
      <c r="BA621" s="51" t="str">
        <f t="shared" si="430"/>
        <v/>
      </c>
      <c r="BB621" s="51" t="str">
        <f t="shared" si="431"/>
        <v/>
      </c>
      <c r="BC621" s="51" t="str">
        <f t="shared" si="432"/>
        <v/>
      </c>
      <c r="BD621" s="51" t="str">
        <f t="shared" si="433"/>
        <v/>
      </c>
      <c r="BE621" s="51" t="str">
        <f t="shared" si="434"/>
        <v/>
      </c>
      <c r="BF621" s="51" t="str">
        <f t="shared" si="435"/>
        <v/>
      </c>
      <c r="BG621" s="51" t="str">
        <f t="shared" si="436"/>
        <v/>
      </c>
      <c r="BH621" s="51" t="b">
        <f t="shared" si="437"/>
        <v>0</v>
      </c>
      <c r="BI621" s="51" t="str">
        <f t="shared" si="438"/>
        <v/>
      </c>
      <c r="BJ621" s="51" t="str">
        <f t="shared" si="439"/>
        <v/>
      </c>
      <c r="BK621" s="51" t="b">
        <f t="shared" si="440"/>
        <v>0</v>
      </c>
      <c r="BL621" s="192"/>
    </row>
    <row r="622" spans="1:64" ht="13.5" thickBot="1" x14ac:dyDescent="0.25">
      <c r="A622" s="185" t="s">
        <v>1297</v>
      </c>
      <c r="B622" s="194" t="s">
        <v>695</v>
      </c>
      <c r="C622" s="194" t="s">
        <v>695</v>
      </c>
      <c r="D622" s="194" t="s">
        <v>695</v>
      </c>
      <c r="E622" s="193" t="s">
        <v>694</v>
      </c>
      <c r="F622" s="160" t="s">
        <v>20</v>
      </c>
      <c r="G622" s="161"/>
      <c r="H622" s="186" t="str">
        <f t="shared" si="398"/>
        <v>N/A</v>
      </c>
      <c r="I622" s="186" t="b">
        <f t="shared" si="399"/>
        <v>1</v>
      </c>
      <c r="J622" s="186" t="str">
        <f t="shared" si="400"/>
        <v>N/A</v>
      </c>
      <c r="K622" s="186" t="b">
        <f t="shared" si="401"/>
        <v>1</v>
      </c>
      <c r="L622" s="186" t="str">
        <f t="shared" si="402"/>
        <v>N/A</v>
      </c>
      <c r="M622" s="186" t="b">
        <f t="shared" si="403"/>
        <v>1</v>
      </c>
      <c r="N622" s="186" t="str">
        <f t="shared" si="404"/>
        <v>Used?</v>
      </c>
      <c r="O622" s="186" t="b">
        <f t="shared" si="405"/>
        <v>0</v>
      </c>
      <c r="P622" s="26" t="s">
        <v>696</v>
      </c>
      <c r="Q622" s="160" t="s">
        <v>20</v>
      </c>
      <c r="R622" s="160" t="s">
        <v>20</v>
      </c>
      <c r="S622" s="26" t="s">
        <v>697</v>
      </c>
      <c r="T622" s="165" t="str">
        <f t="shared" si="406"/>
        <v>Not Used</v>
      </c>
      <c r="U622" s="162"/>
      <c r="V622" s="55"/>
      <c r="W622" s="51" t="b">
        <f t="shared" si="407"/>
        <v>1</v>
      </c>
      <c r="X622" s="51" t="str">
        <f t="shared" si="408"/>
        <v>Not Used</v>
      </c>
      <c r="Y622" s="51" t="str">
        <f t="shared" si="409"/>
        <v>Not Used</v>
      </c>
      <c r="Z622" s="51" t="str">
        <f t="shared" si="410"/>
        <v>Not Used</v>
      </c>
      <c r="AA622" s="51" t="str">
        <f t="shared" si="410"/>
        <v>Not Used</v>
      </c>
      <c r="AB622" s="51" t="str">
        <f t="shared" si="411"/>
        <v>Not Used</v>
      </c>
      <c r="AC622" s="51" t="b">
        <f t="shared" si="412"/>
        <v>1</v>
      </c>
      <c r="AD622" s="51">
        <f>COUNTIF($X$5:$X$622, "Not Used")</f>
        <v>618</v>
      </c>
      <c r="AE622" s="51">
        <f>COUNTIF($X$5:$X$622, "TRUE")</f>
        <v>0</v>
      </c>
      <c r="AF622" s="51" t="b">
        <f t="shared" si="413"/>
        <v>1</v>
      </c>
      <c r="AI622" s="51" t="b">
        <f t="shared" si="414"/>
        <v>0</v>
      </c>
      <c r="AJ622" s="51" t="b">
        <f t="shared" si="415"/>
        <v>0</v>
      </c>
      <c r="AK622" s="51" t="b">
        <f t="shared" si="416"/>
        <v>0</v>
      </c>
      <c r="AL622" s="51" t="b">
        <f t="shared" si="417"/>
        <v>0</v>
      </c>
      <c r="AM622" s="51" t="b">
        <f t="shared" si="418"/>
        <v>0</v>
      </c>
      <c r="AN622" s="51"/>
      <c r="AO622" s="51" t="b">
        <f t="shared" si="419"/>
        <v>0</v>
      </c>
      <c r="AP622" s="51" t="str">
        <f t="shared" si="441"/>
        <v>Not in MMS</v>
      </c>
      <c r="AQ622" s="51" t="b">
        <f t="shared" si="420"/>
        <v>0</v>
      </c>
      <c r="AR622" s="51" t="b">
        <f t="shared" si="421"/>
        <v>0</v>
      </c>
      <c r="AS622" s="51" t="str">
        <f t="shared" si="422"/>
        <v/>
      </c>
      <c r="AT622" s="51" t="str">
        <f t="shared" si="423"/>
        <v/>
      </c>
      <c r="AU622" s="51" t="str">
        <f t="shared" si="424"/>
        <v/>
      </c>
      <c r="AV622" s="51" t="str">
        <f t="shared" si="425"/>
        <v/>
      </c>
      <c r="AW622" s="51" t="str">
        <f t="shared" si="426"/>
        <v/>
      </c>
      <c r="AX622" s="51" t="str">
        <f t="shared" si="427"/>
        <v/>
      </c>
      <c r="AY622" s="51" t="str">
        <f t="shared" si="428"/>
        <v/>
      </c>
      <c r="AZ622" s="51" t="str">
        <f t="shared" si="429"/>
        <v/>
      </c>
      <c r="BA622" s="51" t="str">
        <f t="shared" si="430"/>
        <v/>
      </c>
      <c r="BB622" s="51" t="str">
        <f t="shared" si="431"/>
        <v/>
      </c>
      <c r="BC622" s="51" t="str">
        <f t="shared" si="432"/>
        <v/>
      </c>
      <c r="BD622" s="51" t="str">
        <f t="shared" si="433"/>
        <v/>
      </c>
      <c r="BE622" s="51" t="str">
        <f t="shared" si="434"/>
        <v/>
      </c>
      <c r="BF622" s="51" t="str">
        <f t="shared" si="435"/>
        <v/>
      </c>
      <c r="BG622" s="51" t="str">
        <f t="shared" si="436"/>
        <v/>
      </c>
      <c r="BH622" s="51" t="b">
        <f t="shared" si="437"/>
        <v>0</v>
      </c>
      <c r="BI622" s="51" t="str">
        <f t="shared" si="438"/>
        <v/>
      </c>
      <c r="BJ622" s="51" t="str">
        <f t="shared" si="439"/>
        <v/>
      </c>
      <c r="BK622" s="51" t="b">
        <f t="shared" si="440"/>
        <v>0</v>
      </c>
      <c r="BL622" s="192"/>
    </row>
    <row r="623" spans="1:64" ht="13.5" thickBot="1" x14ac:dyDescent="0.25">
      <c r="A623" s="185" t="s">
        <v>1298</v>
      </c>
      <c r="B623" s="194" t="s">
        <v>695</v>
      </c>
      <c r="C623" s="194" t="s">
        <v>695</v>
      </c>
      <c r="D623" s="194" t="s">
        <v>695</v>
      </c>
      <c r="E623" s="193" t="s">
        <v>694</v>
      </c>
      <c r="F623" s="160" t="s">
        <v>20</v>
      </c>
      <c r="G623" s="161"/>
      <c r="H623" s="186" t="str">
        <f t="shared" si="398"/>
        <v>N/A</v>
      </c>
      <c r="I623" s="186" t="b">
        <f t="shared" si="399"/>
        <v>1</v>
      </c>
      <c r="J623" s="186" t="str">
        <f t="shared" si="400"/>
        <v>N/A</v>
      </c>
      <c r="K623" s="186" t="b">
        <f t="shared" si="401"/>
        <v>1</v>
      </c>
      <c r="L623" s="186" t="str">
        <f t="shared" si="402"/>
        <v>N/A</v>
      </c>
      <c r="M623" s="186" t="b">
        <f t="shared" si="403"/>
        <v>1</v>
      </c>
      <c r="N623" s="186" t="str">
        <f t="shared" si="404"/>
        <v>Used?</v>
      </c>
      <c r="O623" s="186" t="b">
        <f t="shared" si="405"/>
        <v>0</v>
      </c>
      <c r="P623" s="26" t="s">
        <v>696</v>
      </c>
      <c r="Q623" s="160" t="s">
        <v>20</v>
      </c>
      <c r="R623" s="160" t="s">
        <v>20</v>
      </c>
      <c r="S623" s="26" t="s">
        <v>697</v>
      </c>
      <c r="T623" s="165" t="str">
        <f t="shared" si="406"/>
        <v>Not Used</v>
      </c>
      <c r="U623" s="162"/>
      <c r="V623" s="55"/>
      <c r="W623" s="51" t="b">
        <f t="shared" si="407"/>
        <v>1</v>
      </c>
      <c r="X623" s="51" t="str">
        <f t="shared" si="408"/>
        <v>Not Used</v>
      </c>
      <c r="Y623" s="51" t="str">
        <f t="shared" si="409"/>
        <v>Not Used</v>
      </c>
      <c r="Z623" s="51" t="str">
        <f t="shared" si="410"/>
        <v>Not Used</v>
      </c>
      <c r="AA623" s="51" t="str">
        <f t="shared" si="410"/>
        <v>Not Used</v>
      </c>
      <c r="AB623" s="51" t="str">
        <f t="shared" si="411"/>
        <v>Not Used</v>
      </c>
      <c r="AC623" s="51" t="b">
        <f t="shared" si="412"/>
        <v>1</v>
      </c>
      <c r="AD623" s="51">
        <f>COUNTIF($X$5:$X$623, "Not Used")</f>
        <v>619</v>
      </c>
      <c r="AE623" s="51">
        <f>COUNTIF($X$5:$X$623, "TRUE")</f>
        <v>0</v>
      </c>
      <c r="AF623" s="51" t="b">
        <f t="shared" si="413"/>
        <v>1</v>
      </c>
      <c r="AI623" s="51" t="b">
        <f t="shared" si="414"/>
        <v>0</v>
      </c>
      <c r="AJ623" s="51" t="b">
        <f t="shared" si="415"/>
        <v>0</v>
      </c>
      <c r="AK623" s="51" t="b">
        <f t="shared" si="416"/>
        <v>0</v>
      </c>
      <c r="AL623" s="51" t="b">
        <f t="shared" si="417"/>
        <v>0</v>
      </c>
      <c r="AM623" s="51" t="b">
        <f t="shared" si="418"/>
        <v>0</v>
      </c>
      <c r="AN623" s="51"/>
      <c r="AO623" s="51" t="b">
        <f t="shared" si="419"/>
        <v>0</v>
      </c>
      <c r="AP623" s="51" t="str">
        <f t="shared" si="441"/>
        <v>Not in MMS</v>
      </c>
      <c r="AQ623" s="51" t="b">
        <f t="shared" si="420"/>
        <v>0</v>
      </c>
      <c r="AR623" s="51" t="b">
        <f t="shared" si="421"/>
        <v>0</v>
      </c>
      <c r="AS623" s="51" t="str">
        <f t="shared" si="422"/>
        <v/>
      </c>
      <c r="AT623" s="51" t="str">
        <f t="shared" si="423"/>
        <v/>
      </c>
      <c r="AU623" s="51" t="str">
        <f t="shared" si="424"/>
        <v/>
      </c>
      <c r="AV623" s="51" t="str">
        <f t="shared" si="425"/>
        <v/>
      </c>
      <c r="AW623" s="51" t="str">
        <f t="shared" si="426"/>
        <v/>
      </c>
      <c r="AX623" s="51" t="str">
        <f t="shared" si="427"/>
        <v/>
      </c>
      <c r="AY623" s="51" t="str">
        <f t="shared" si="428"/>
        <v/>
      </c>
      <c r="AZ623" s="51" t="str">
        <f t="shared" si="429"/>
        <v/>
      </c>
      <c r="BA623" s="51" t="str">
        <f t="shared" si="430"/>
        <v/>
      </c>
      <c r="BB623" s="51" t="str">
        <f t="shared" si="431"/>
        <v/>
      </c>
      <c r="BC623" s="51" t="str">
        <f t="shared" si="432"/>
        <v/>
      </c>
      <c r="BD623" s="51" t="str">
        <f t="shared" si="433"/>
        <v/>
      </c>
      <c r="BE623" s="51" t="str">
        <f t="shared" si="434"/>
        <v/>
      </c>
      <c r="BF623" s="51" t="str">
        <f t="shared" si="435"/>
        <v/>
      </c>
      <c r="BG623" s="51" t="str">
        <f t="shared" si="436"/>
        <v/>
      </c>
      <c r="BH623" s="51" t="b">
        <f t="shared" si="437"/>
        <v>0</v>
      </c>
      <c r="BI623" s="51" t="str">
        <f t="shared" si="438"/>
        <v/>
      </c>
      <c r="BJ623" s="51" t="str">
        <f t="shared" si="439"/>
        <v/>
      </c>
      <c r="BK623" s="51" t="b">
        <f t="shared" si="440"/>
        <v>0</v>
      </c>
      <c r="BL623" s="192"/>
    </row>
    <row r="624" spans="1:64" ht="13.5" thickBot="1" x14ac:dyDescent="0.25">
      <c r="A624" s="185" t="s">
        <v>1908</v>
      </c>
      <c r="B624" s="194" t="s">
        <v>695</v>
      </c>
      <c r="C624" s="194" t="s">
        <v>695</v>
      </c>
      <c r="D624" s="194" t="s">
        <v>695</v>
      </c>
      <c r="E624" s="193" t="s">
        <v>694</v>
      </c>
      <c r="F624" s="160" t="s">
        <v>20</v>
      </c>
      <c r="G624" s="161"/>
      <c r="H624" s="186" t="str">
        <f t="shared" si="398"/>
        <v>N/A</v>
      </c>
      <c r="I624" s="186" t="b">
        <f t="shared" si="399"/>
        <v>1</v>
      </c>
      <c r="J624" s="186" t="str">
        <f t="shared" si="400"/>
        <v>N/A</v>
      </c>
      <c r="K624" s="186" t="b">
        <f t="shared" si="401"/>
        <v>1</v>
      </c>
      <c r="L624" s="186" t="str">
        <f t="shared" si="402"/>
        <v>N/A</v>
      </c>
      <c r="M624" s="186" t="b">
        <f t="shared" si="403"/>
        <v>1</v>
      </c>
      <c r="N624" s="186" t="str">
        <f t="shared" si="404"/>
        <v>Used?</v>
      </c>
      <c r="O624" s="186" t="b">
        <f t="shared" si="405"/>
        <v>0</v>
      </c>
      <c r="P624" s="26" t="s">
        <v>696</v>
      </c>
      <c r="Q624" s="160" t="s">
        <v>20</v>
      </c>
      <c r="R624" s="160" t="s">
        <v>20</v>
      </c>
      <c r="S624" s="26" t="s">
        <v>697</v>
      </c>
      <c r="T624" s="165" t="str">
        <f t="shared" si="406"/>
        <v>Not Used</v>
      </c>
      <c r="U624" s="162"/>
      <c r="V624" s="55"/>
      <c r="W624" s="51" t="b">
        <f t="shared" si="407"/>
        <v>1</v>
      </c>
      <c r="X624" s="51" t="str">
        <f t="shared" si="408"/>
        <v>Not Used</v>
      </c>
      <c r="Y624" s="51" t="str">
        <f t="shared" si="409"/>
        <v>Not Used</v>
      </c>
      <c r="Z624" s="51" t="str">
        <f t="shared" si="410"/>
        <v>Not Used</v>
      </c>
      <c r="AA624" s="51" t="str">
        <f t="shared" si="410"/>
        <v>Not Used</v>
      </c>
      <c r="AB624" s="51" t="str">
        <f t="shared" si="411"/>
        <v>Not Used</v>
      </c>
      <c r="AC624" s="51" t="b">
        <f t="shared" si="412"/>
        <v>1</v>
      </c>
      <c r="AD624" s="51">
        <f>COUNTIF($X$5:$X$626, "Not Used")</f>
        <v>622</v>
      </c>
      <c r="AE624" s="51">
        <f>COUNTIF($X$5:$X$626, "TRUE")</f>
        <v>0</v>
      </c>
      <c r="AF624" s="51" t="b">
        <f t="shared" si="413"/>
        <v>1</v>
      </c>
      <c r="AI624" s="51" t="b">
        <f t="shared" si="414"/>
        <v>0</v>
      </c>
      <c r="AJ624" s="51" t="b">
        <f t="shared" si="415"/>
        <v>0</v>
      </c>
      <c r="AK624" s="51" t="b">
        <f t="shared" si="416"/>
        <v>0</v>
      </c>
      <c r="AL624" s="51" t="b">
        <f t="shared" si="417"/>
        <v>0</v>
      </c>
      <c r="AM624" s="51" t="b">
        <f t="shared" si="418"/>
        <v>0</v>
      </c>
      <c r="AN624" s="51"/>
      <c r="AO624" s="51" t="b">
        <f t="shared" si="419"/>
        <v>0</v>
      </c>
      <c r="AP624" s="51" t="str">
        <f t="shared" si="441"/>
        <v>Not in MMS</v>
      </c>
      <c r="AQ624" s="51" t="b">
        <f t="shared" si="420"/>
        <v>0</v>
      </c>
      <c r="AR624" s="51" t="b">
        <f t="shared" si="421"/>
        <v>0</v>
      </c>
      <c r="AS624" s="51" t="str">
        <f t="shared" si="422"/>
        <v/>
      </c>
      <c r="AT624" s="51" t="str">
        <f t="shared" si="423"/>
        <v/>
      </c>
      <c r="AU624" s="51" t="str">
        <f t="shared" si="424"/>
        <v/>
      </c>
      <c r="AV624" s="51" t="str">
        <f t="shared" si="425"/>
        <v/>
      </c>
      <c r="AW624" s="51" t="str">
        <f t="shared" si="426"/>
        <v/>
      </c>
      <c r="AX624" s="51" t="str">
        <f t="shared" si="427"/>
        <v/>
      </c>
      <c r="AY624" s="51" t="str">
        <f t="shared" si="428"/>
        <v/>
      </c>
      <c r="AZ624" s="51" t="str">
        <f t="shared" si="429"/>
        <v/>
      </c>
      <c r="BA624" s="51" t="str">
        <f t="shared" si="430"/>
        <v/>
      </c>
      <c r="BB624" s="51" t="str">
        <f t="shared" si="431"/>
        <v/>
      </c>
      <c r="BC624" s="51" t="str">
        <f t="shared" si="432"/>
        <v/>
      </c>
      <c r="BD624" s="51" t="str">
        <f t="shared" si="433"/>
        <v/>
      </c>
      <c r="BE624" s="51" t="str">
        <f t="shared" si="434"/>
        <v/>
      </c>
      <c r="BF624" s="51" t="str">
        <f t="shared" si="435"/>
        <v/>
      </c>
      <c r="BG624" s="51" t="str">
        <f t="shared" si="436"/>
        <v/>
      </c>
      <c r="BH624" s="51" t="b">
        <f t="shared" si="437"/>
        <v>0</v>
      </c>
      <c r="BI624" s="51" t="str">
        <f t="shared" si="438"/>
        <v/>
      </c>
      <c r="BJ624" s="51" t="str">
        <f t="shared" si="439"/>
        <v/>
      </c>
      <c r="BK624" s="51" t="b">
        <f t="shared" si="440"/>
        <v>0</v>
      </c>
      <c r="BL624" s="192"/>
    </row>
    <row r="625" spans="1:64" ht="13.5" thickBot="1" x14ac:dyDescent="0.25">
      <c r="A625" s="185" t="s">
        <v>1909</v>
      </c>
      <c r="B625" s="194" t="s">
        <v>695</v>
      </c>
      <c r="C625" s="194" t="s">
        <v>695</v>
      </c>
      <c r="D625" s="194" t="s">
        <v>695</v>
      </c>
      <c r="E625" s="193" t="s">
        <v>694</v>
      </c>
      <c r="F625" s="160" t="s">
        <v>20</v>
      </c>
      <c r="G625" s="161"/>
      <c r="H625" s="186" t="str">
        <f t="shared" si="398"/>
        <v>N/A</v>
      </c>
      <c r="I625" s="186" t="b">
        <f t="shared" si="399"/>
        <v>1</v>
      </c>
      <c r="J625" s="186" t="str">
        <f t="shared" si="400"/>
        <v>N/A</v>
      </c>
      <c r="K625" s="186" t="b">
        <f t="shared" si="401"/>
        <v>1</v>
      </c>
      <c r="L625" s="186" t="str">
        <f t="shared" si="402"/>
        <v>N/A</v>
      </c>
      <c r="M625" s="186" t="b">
        <f t="shared" si="403"/>
        <v>1</v>
      </c>
      <c r="N625" s="186" t="str">
        <f t="shared" si="404"/>
        <v>Used?</v>
      </c>
      <c r="O625" s="186" t="b">
        <f t="shared" si="405"/>
        <v>0</v>
      </c>
      <c r="P625" s="26" t="s">
        <v>696</v>
      </c>
      <c r="Q625" s="160" t="s">
        <v>20</v>
      </c>
      <c r="R625" s="160" t="s">
        <v>20</v>
      </c>
      <c r="S625" s="26" t="s">
        <v>697</v>
      </c>
      <c r="T625" s="165" t="str">
        <f t="shared" si="406"/>
        <v>Not Used</v>
      </c>
      <c r="U625" s="162"/>
      <c r="V625" s="55"/>
      <c r="W625" s="51" t="b">
        <f t="shared" si="407"/>
        <v>1</v>
      </c>
      <c r="X625" s="51" t="str">
        <f t="shared" si="408"/>
        <v>Not Used</v>
      </c>
      <c r="Y625" s="51" t="str">
        <f t="shared" si="409"/>
        <v>Not Used</v>
      </c>
      <c r="Z625" s="51" t="str">
        <f t="shared" si="410"/>
        <v>Not Used</v>
      </c>
      <c r="AA625" s="51" t="str">
        <f t="shared" si="410"/>
        <v>Not Used</v>
      </c>
      <c r="AB625" s="51" t="str">
        <f t="shared" si="411"/>
        <v>Not Used</v>
      </c>
      <c r="AC625" s="51" t="b">
        <f t="shared" si="412"/>
        <v>1</v>
      </c>
      <c r="AD625" s="51">
        <f>COUNTIF($X$5:$X$626, "Not Used")</f>
        <v>622</v>
      </c>
      <c r="AE625" s="51">
        <f>COUNTIF($X$5:$X$626, "TRUE")</f>
        <v>0</v>
      </c>
      <c r="AF625" s="51" t="b">
        <f t="shared" si="413"/>
        <v>1</v>
      </c>
      <c r="AI625" s="51" t="b">
        <f t="shared" si="414"/>
        <v>0</v>
      </c>
      <c r="AJ625" s="51" t="b">
        <f t="shared" si="415"/>
        <v>0</v>
      </c>
      <c r="AK625" s="51" t="b">
        <f t="shared" si="416"/>
        <v>0</v>
      </c>
      <c r="AL625" s="51" t="b">
        <f t="shared" si="417"/>
        <v>0</v>
      </c>
      <c r="AM625" s="51" t="b">
        <f t="shared" si="418"/>
        <v>0</v>
      </c>
      <c r="AN625" s="51"/>
      <c r="AO625" s="51" t="b">
        <f t="shared" si="419"/>
        <v>0</v>
      </c>
      <c r="AP625" s="51" t="str">
        <f t="shared" si="441"/>
        <v>Not in MMS</v>
      </c>
      <c r="AQ625" s="51" t="b">
        <f t="shared" si="420"/>
        <v>0</v>
      </c>
      <c r="AR625" s="51" t="b">
        <f t="shared" si="421"/>
        <v>0</v>
      </c>
      <c r="AS625" s="51" t="str">
        <f t="shared" si="422"/>
        <v/>
      </c>
      <c r="AT625" s="51" t="str">
        <f t="shared" si="423"/>
        <v/>
      </c>
      <c r="AU625" s="51" t="str">
        <f t="shared" si="424"/>
        <v/>
      </c>
      <c r="AV625" s="51" t="str">
        <f t="shared" si="425"/>
        <v/>
      </c>
      <c r="AW625" s="51" t="str">
        <f t="shared" si="426"/>
        <v/>
      </c>
      <c r="AX625" s="51" t="str">
        <f t="shared" si="427"/>
        <v/>
      </c>
      <c r="AY625" s="51" t="str">
        <f t="shared" si="428"/>
        <v/>
      </c>
      <c r="AZ625" s="51" t="str">
        <f t="shared" si="429"/>
        <v/>
      </c>
      <c r="BA625" s="51" t="str">
        <f t="shared" si="430"/>
        <v/>
      </c>
      <c r="BB625" s="51" t="str">
        <f t="shared" si="431"/>
        <v/>
      </c>
      <c r="BC625" s="51" t="str">
        <f t="shared" si="432"/>
        <v/>
      </c>
      <c r="BD625" s="51" t="str">
        <f t="shared" si="433"/>
        <v/>
      </c>
      <c r="BE625" s="51" t="str">
        <f t="shared" si="434"/>
        <v/>
      </c>
      <c r="BF625" s="51" t="str">
        <f t="shared" si="435"/>
        <v/>
      </c>
      <c r="BG625" s="51" t="str">
        <f t="shared" si="436"/>
        <v/>
      </c>
      <c r="BH625" s="51" t="b">
        <f t="shared" si="437"/>
        <v>0</v>
      </c>
      <c r="BI625" s="51" t="str">
        <f t="shared" si="438"/>
        <v/>
      </c>
      <c r="BJ625" s="51" t="str">
        <f t="shared" si="439"/>
        <v/>
      </c>
      <c r="BK625" s="51" t="b">
        <f t="shared" si="440"/>
        <v>0</v>
      </c>
      <c r="BL625" s="192"/>
    </row>
    <row r="626" spans="1:64" ht="13.5" thickBot="1" x14ac:dyDescent="0.25">
      <c r="A626" s="185" t="s">
        <v>1299</v>
      </c>
      <c r="B626" s="194" t="s">
        <v>695</v>
      </c>
      <c r="C626" s="194" t="s">
        <v>695</v>
      </c>
      <c r="D626" s="194" t="s">
        <v>695</v>
      </c>
      <c r="E626" s="193" t="s">
        <v>694</v>
      </c>
      <c r="F626" s="160" t="s">
        <v>20</v>
      </c>
      <c r="G626" s="161"/>
      <c r="H626" s="186" t="str">
        <f t="shared" si="398"/>
        <v>N/A</v>
      </c>
      <c r="I626" s="186" t="b">
        <f t="shared" si="399"/>
        <v>1</v>
      </c>
      <c r="J626" s="186" t="str">
        <f t="shared" si="400"/>
        <v>N/A</v>
      </c>
      <c r="K626" s="186" t="b">
        <f t="shared" si="401"/>
        <v>1</v>
      </c>
      <c r="L626" s="186" t="str">
        <f t="shared" si="402"/>
        <v>N/A</v>
      </c>
      <c r="M626" s="186" t="b">
        <f t="shared" si="403"/>
        <v>1</v>
      </c>
      <c r="N626" s="186" t="str">
        <f t="shared" si="404"/>
        <v>Used?</v>
      </c>
      <c r="O626" s="186" t="b">
        <f t="shared" si="405"/>
        <v>0</v>
      </c>
      <c r="P626" s="26" t="s">
        <v>696</v>
      </c>
      <c r="Q626" s="160" t="s">
        <v>20</v>
      </c>
      <c r="R626" s="160" t="s">
        <v>20</v>
      </c>
      <c r="S626" s="26" t="s">
        <v>697</v>
      </c>
      <c r="T626" s="165" t="str">
        <f t="shared" si="406"/>
        <v>Not Used</v>
      </c>
      <c r="U626" s="162"/>
      <c r="V626" s="55"/>
      <c r="W626" s="51" t="b">
        <f t="shared" si="407"/>
        <v>1</v>
      </c>
      <c r="X626" s="51" t="str">
        <f t="shared" si="408"/>
        <v>Not Used</v>
      </c>
      <c r="Y626" s="51" t="str">
        <f t="shared" si="409"/>
        <v>Not Used</v>
      </c>
      <c r="Z626" s="51" t="str">
        <f t="shared" si="410"/>
        <v>Not Used</v>
      </c>
      <c r="AA626" s="51" t="str">
        <f t="shared" si="410"/>
        <v>Not Used</v>
      </c>
      <c r="AB626" s="51" t="str">
        <f t="shared" si="411"/>
        <v>Not Used</v>
      </c>
      <c r="AC626" s="51" t="b">
        <f t="shared" si="412"/>
        <v>1</v>
      </c>
      <c r="AD626" s="51">
        <f>COUNTIF($X$5:$X$626, "Not Used")</f>
        <v>622</v>
      </c>
      <c r="AE626" s="51">
        <f>COUNTIF($X$5:$X$626, "TRUE")</f>
        <v>0</v>
      </c>
      <c r="AF626" s="51" t="b">
        <f t="shared" si="413"/>
        <v>1</v>
      </c>
      <c r="AI626" s="51" t="b">
        <f t="shared" si="414"/>
        <v>0</v>
      </c>
      <c r="AJ626" s="51" t="b">
        <f t="shared" si="415"/>
        <v>0</v>
      </c>
      <c r="AK626" s="51" t="b">
        <f t="shared" si="416"/>
        <v>0</v>
      </c>
      <c r="AL626" s="51" t="b">
        <f t="shared" si="417"/>
        <v>0</v>
      </c>
      <c r="AM626" s="51" t="b">
        <f t="shared" si="418"/>
        <v>0</v>
      </c>
      <c r="AN626" s="51"/>
      <c r="AO626" s="51" t="b">
        <f t="shared" si="419"/>
        <v>0</v>
      </c>
      <c r="AP626" s="51" t="str">
        <f t="shared" si="441"/>
        <v>Not in MMS</v>
      </c>
      <c r="AQ626" s="51" t="b">
        <f t="shared" si="420"/>
        <v>0</v>
      </c>
      <c r="AR626" s="51" t="b">
        <f t="shared" si="421"/>
        <v>0</v>
      </c>
      <c r="AS626" s="51" t="str">
        <f t="shared" si="422"/>
        <v/>
      </c>
      <c r="AT626" s="51" t="str">
        <f t="shared" si="423"/>
        <v/>
      </c>
      <c r="AU626" s="51" t="str">
        <f t="shared" si="424"/>
        <v/>
      </c>
      <c r="AV626" s="51" t="str">
        <f t="shared" si="425"/>
        <v/>
      </c>
      <c r="AW626" s="51" t="str">
        <f t="shared" si="426"/>
        <v/>
      </c>
      <c r="AX626" s="51" t="str">
        <f t="shared" si="427"/>
        <v/>
      </c>
      <c r="AY626" s="51" t="str">
        <f t="shared" si="428"/>
        <v/>
      </c>
      <c r="AZ626" s="51" t="str">
        <f t="shared" si="429"/>
        <v/>
      </c>
      <c r="BA626" s="51" t="str">
        <f t="shared" si="430"/>
        <v/>
      </c>
      <c r="BB626" s="51" t="str">
        <f t="shared" si="431"/>
        <v/>
      </c>
      <c r="BC626" s="51" t="str">
        <f t="shared" si="432"/>
        <v/>
      </c>
      <c r="BD626" s="51" t="str">
        <f t="shared" si="433"/>
        <v/>
      </c>
      <c r="BE626" s="51" t="str">
        <f t="shared" si="434"/>
        <v/>
      </c>
      <c r="BF626" s="51" t="str">
        <f t="shared" si="435"/>
        <v/>
      </c>
      <c r="BG626" s="51" t="str">
        <f t="shared" si="436"/>
        <v/>
      </c>
      <c r="BH626" s="51" t="b">
        <f t="shared" si="437"/>
        <v>0</v>
      </c>
      <c r="BI626" s="51" t="str">
        <f t="shared" si="438"/>
        <v/>
      </c>
      <c r="BJ626" s="51" t="str">
        <f t="shared" si="439"/>
        <v/>
      </c>
      <c r="BK626" s="51" t="b">
        <f t="shared" si="440"/>
        <v>0</v>
      </c>
      <c r="BL626" s="192"/>
    </row>
    <row r="627" spans="1:64" ht="13.5" thickBot="1" x14ac:dyDescent="0.25">
      <c r="A627" s="185" t="s">
        <v>1300</v>
      </c>
      <c r="B627" s="194" t="s">
        <v>695</v>
      </c>
      <c r="C627" s="194" t="s">
        <v>695</v>
      </c>
      <c r="D627" s="194" t="s">
        <v>695</v>
      </c>
      <c r="E627" s="193" t="s">
        <v>694</v>
      </c>
      <c r="F627" s="160" t="s">
        <v>20</v>
      </c>
      <c r="G627" s="161"/>
      <c r="H627" s="186" t="str">
        <f t="shared" si="398"/>
        <v>N/A</v>
      </c>
      <c r="I627" s="186" t="b">
        <f t="shared" si="399"/>
        <v>1</v>
      </c>
      <c r="J627" s="186" t="str">
        <f t="shared" si="400"/>
        <v>N/A</v>
      </c>
      <c r="K627" s="186" t="b">
        <f t="shared" si="401"/>
        <v>1</v>
      </c>
      <c r="L627" s="186" t="str">
        <f t="shared" si="402"/>
        <v>N/A</v>
      </c>
      <c r="M627" s="186" t="b">
        <f t="shared" si="403"/>
        <v>1</v>
      </c>
      <c r="N627" s="186" t="str">
        <f t="shared" si="404"/>
        <v>Used?</v>
      </c>
      <c r="O627" s="186" t="b">
        <f t="shared" si="405"/>
        <v>0</v>
      </c>
      <c r="P627" s="26" t="s">
        <v>696</v>
      </c>
      <c r="Q627" s="160" t="s">
        <v>20</v>
      </c>
      <c r="R627" s="160" t="s">
        <v>20</v>
      </c>
      <c r="S627" s="26" t="s">
        <v>697</v>
      </c>
      <c r="T627" s="165" t="str">
        <f t="shared" si="406"/>
        <v>Not Used</v>
      </c>
      <c r="U627" s="162"/>
      <c r="V627" s="55"/>
      <c r="W627" s="51" t="b">
        <f t="shared" si="407"/>
        <v>1</v>
      </c>
      <c r="X627" s="51" t="str">
        <f t="shared" si="408"/>
        <v>Not Used</v>
      </c>
      <c r="Y627" s="51" t="str">
        <f t="shared" si="409"/>
        <v>Not Used</v>
      </c>
      <c r="Z627" s="51" t="str">
        <f t="shared" si="410"/>
        <v>Not Used</v>
      </c>
      <c r="AA627" s="51" t="str">
        <f t="shared" si="410"/>
        <v>Not Used</v>
      </c>
      <c r="AB627" s="51" t="str">
        <f t="shared" si="411"/>
        <v>Not Used</v>
      </c>
      <c r="AC627" s="51" t="b">
        <f t="shared" si="412"/>
        <v>1</v>
      </c>
      <c r="AD627" s="51">
        <f>COUNTIF($X$5:$X$627, "Not Used")</f>
        <v>623</v>
      </c>
      <c r="AE627" s="51">
        <f>COUNTIF($X$5:$X$627, "TRUE")</f>
        <v>0</v>
      </c>
      <c r="AF627" s="51" t="b">
        <f t="shared" si="413"/>
        <v>1</v>
      </c>
      <c r="AI627" s="51" t="b">
        <f t="shared" si="414"/>
        <v>0</v>
      </c>
      <c r="AJ627" s="51" t="b">
        <f t="shared" si="415"/>
        <v>0</v>
      </c>
      <c r="AK627" s="51" t="b">
        <f t="shared" si="416"/>
        <v>0</v>
      </c>
      <c r="AL627" s="51" t="b">
        <f t="shared" si="417"/>
        <v>0</v>
      </c>
      <c r="AM627" s="51" t="b">
        <f t="shared" si="418"/>
        <v>0</v>
      </c>
      <c r="AN627" s="51"/>
      <c r="AO627" s="51" t="b">
        <f t="shared" si="419"/>
        <v>0</v>
      </c>
      <c r="AP627" s="51" t="str">
        <f t="shared" si="441"/>
        <v>Not in MMS</v>
      </c>
      <c r="AQ627" s="51" t="b">
        <f t="shared" si="420"/>
        <v>0</v>
      </c>
      <c r="AR627" s="51" t="b">
        <f t="shared" si="421"/>
        <v>0</v>
      </c>
      <c r="AS627" s="51" t="str">
        <f t="shared" si="422"/>
        <v/>
      </c>
      <c r="AT627" s="51" t="str">
        <f t="shared" si="423"/>
        <v/>
      </c>
      <c r="AU627" s="51" t="str">
        <f t="shared" si="424"/>
        <v/>
      </c>
      <c r="AV627" s="51" t="str">
        <f t="shared" si="425"/>
        <v/>
      </c>
      <c r="AW627" s="51" t="str">
        <f t="shared" si="426"/>
        <v/>
      </c>
      <c r="AX627" s="51" t="str">
        <f t="shared" si="427"/>
        <v/>
      </c>
      <c r="AY627" s="51" t="str">
        <f t="shared" si="428"/>
        <v/>
      </c>
      <c r="AZ627" s="51" t="str">
        <f t="shared" si="429"/>
        <v/>
      </c>
      <c r="BA627" s="51" t="str">
        <f t="shared" si="430"/>
        <v/>
      </c>
      <c r="BB627" s="51" t="str">
        <f t="shared" si="431"/>
        <v/>
      </c>
      <c r="BC627" s="51" t="str">
        <f t="shared" si="432"/>
        <v/>
      </c>
      <c r="BD627" s="51" t="str">
        <f t="shared" si="433"/>
        <v/>
      </c>
      <c r="BE627" s="51" t="str">
        <f t="shared" si="434"/>
        <v/>
      </c>
      <c r="BF627" s="51" t="str">
        <f t="shared" si="435"/>
        <v/>
      </c>
      <c r="BG627" s="51" t="str">
        <f t="shared" si="436"/>
        <v/>
      </c>
      <c r="BH627" s="51" t="b">
        <f t="shared" si="437"/>
        <v>0</v>
      </c>
      <c r="BI627" s="51" t="str">
        <f t="shared" si="438"/>
        <v/>
      </c>
      <c r="BJ627" s="51" t="str">
        <f t="shared" si="439"/>
        <v/>
      </c>
      <c r="BK627" s="51" t="b">
        <f t="shared" si="440"/>
        <v>0</v>
      </c>
      <c r="BL627" s="192"/>
    </row>
    <row r="628" spans="1:64" ht="13.5" thickBot="1" x14ac:dyDescent="0.25">
      <c r="A628" s="185" t="s">
        <v>1301</v>
      </c>
      <c r="B628" s="194" t="s">
        <v>695</v>
      </c>
      <c r="C628" s="194" t="s">
        <v>695</v>
      </c>
      <c r="D628" s="194" t="s">
        <v>695</v>
      </c>
      <c r="E628" s="193" t="s">
        <v>694</v>
      </c>
      <c r="F628" s="160" t="s">
        <v>20</v>
      </c>
      <c r="G628" s="161"/>
      <c r="H628" s="186" t="str">
        <f t="shared" si="398"/>
        <v>N/A</v>
      </c>
      <c r="I628" s="186" t="b">
        <f t="shared" si="399"/>
        <v>1</v>
      </c>
      <c r="J628" s="186" t="str">
        <f t="shared" si="400"/>
        <v>N/A</v>
      </c>
      <c r="K628" s="186" t="b">
        <f t="shared" si="401"/>
        <v>1</v>
      </c>
      <c r="L628" s="186" t="str">
        <f t="shared" si="402"/>
        <v>N/A</v>
      </c>
      <c r="M628" s="186" t="b">
        <f t="shared" si="403"/>
        <v>1</v>
      </c>
      <c r="N628" s="186" t="str">
        <f t="shared" si="404"/>
        <v>Used?</v>
      </c>
      <c r="O628" s="186" t="b">
        <f t="shared" si="405"/>
        <v>0</v>
      </c>
      <c r="P628" s="26" t="s">
        <v>696</v>
      </c>
      <c r="Q628" s="160" t="s">
        <v>20</v>
      </c>
      <c r="R628" s="160" t="s">
        <v>20</v>
      </c>
      <c r="S628" s="26" t="s">
        <v>697</v>
      </c>
      <c r="T628" s="165" t="str">
        <f t="shared" si="406"/>
        <v>Not Used</v>
      </c>
      <c r="U628" s="162"/>
      <c r="V628" s="55"/>
      <c r="W628" s="51" t="b">
        <f t="shared" si="407"/>
        <v>1</v>
      </c>
      <c r="X628" s="51" t="str">
        <f t="shared" si="408"/>
        <v>Not Used</v>
      </c>
      <c r="Y628" s="51" t="str">
        <f t="shared" si="409"/>
        <v>Not Used</v>
      </c>
      <c r="Z628" s="51" t="str">
        <f t="shared" si="410"/>
        <v>Not Used</v>
      </c>
      <c r="AA628" s="51" t="str">
        <f t="shared" si="410"/>
        <v>Not Used</v>
      </c>
      <c r="AB628" s="51" t="str">
        <f t="shared" si="411"/>
        <v>Not Used</v>
      </c>
      <c r="AC628" s="51" t="b">
        <f t="shared" si="412"/>
        <v>1</v>
      </c>
      <c r="AD628" s="51">
        <f>COUNTIF($X$5:$X$628, "Not Used")</f>
        <v>624</v>
      </c>
      <c r="AE628" s="51">
        <f>COUNTIF($X$5:$X$628, "TRUE")</f>
        <v>0</v>
      </c>
      <c r="AF628" s="51" t="b">
        <f t="shared" si="413"/>
        <v>1</v>
      </c>
      <c r="AI628" s="51" t="b">
        <f t="shared" si="414"/>
        <v>0</v>
      </c>
      <c r="AJ628" s="51" t="b">
        <f t="shared" si="415"/>
        <v>0</v>
      </c>
      <c r="AK628" s="51" t="b">
        <f t="shared" si="416"/>
        <v>0</v>
      </c>
      <c r="AL628" s="51" t="b">
        <f t="shared" si="417"/>
        <v>0</v>
      </c>
      <c r="AM628" s="51" t="b">
        <f t="shared" si="418"/>
        <v>0</v>
      </c>
      <c r="AN628" s="51"/>
      <c r="AO628" s="51" t="b">
        <f t="shared" si="419"/>
        <v>0</v>
      </c>
      <c r="AP628" s="51" t="str">
        <f t="shared" si="441"/>
        <v>Not in MMS</v>
      </c>
      <c r="AQ628" s="51" t="b">
        <f t="shared" si="420"/>
        <v>0</v>
      </c>
      <c r="AR628" s="51" t="b">
        <f t="shared" si="421"/>
        <v>0</v>
      </c>
      <c r="AS628" s="51" t="str">
        <f t="shared" si="422"/>
        <v/>
      </c>
      <c r="AT628" s="51" t="str">
        <f t="shared" si="423"/>
        <v/>
      </c>
      <c r="AU628" s="51" t="str">
        <f t="shared" si="424"/>
        <v/>
      </c>
      <c r="AV628" s="51" t="str">
        <f t="shared" si="425"/>
        <v/>
      </c>
      <c r="AW628" s="51" t="str">
        <f t="shared" si="426"/>
        <v/>
      </c>
      <c r="AX628" s="51" t="str">
        <f t="shared" si="427"/>
        <v/>
      </c>
      <c r="AY628" s="51" t="str">
        <f t="shared" si="428"/>
        <v/>
      </c>
      <c r="AZ628" s="51" t="str">
        <f t="shared" si="429"/>
        <v/>
      </c>
      <c r="BA628" s="51" t="str">
        <f t="shared" si="430"/>
        <v/>
      </c>
      <c r="BB628" s="51" t="str">
        <f t="shared" si="431"/>
        <v/>
      </c>
      <c r="BC628" s="51" t="str">
        <f t="shared" si="432"/>
        <v/>
      </c>
      <c r="BD628" s="51" t="str">
        <f t="shared" si="433"/>
        <v/>
      </c>
      <c r="BE628" s="51" t="str">
        <f t="shared" si="434"/>
        <v/>
      </c>
      <c r="BF628" s="51" t="str">
        <f t="shared" si="435"/>
        <v/>
      </c>
      <c r="BG628" s="51" t="str">
        <f t="shared" si="436"/>
        <v/>
      </c>
      <c r="BH628" s="51" t="b">
        <f t="shared" si="437"/>
        <v>0</v>
      </c>
      <c r="BI628" s="51" t="str">
        <f t="shared" si="438"/>
        <v/>
      </c>
      <c r="BJ628" s="51" t="str">
        <f t="shared" si="439"/>
        <v/>
      </c>
      <c r="BK628" s="51" t="b">
        <f t="shared" si="440"/>
        <v>0</v>
      </c>
      <c r="BL628" s="192"/>
    </row>
    <row r="629" spans="1:64" ht="13.5" thickBot="1" x14ac:dyDescent="0.25">
      <c r="A629" s="185" t="s">
        <v>1302</v>
      </c>
      <c r="B629" s="194" t="s">
        <v>695</v>
      </c>
      <c r="C629" s="194" t="s">
        <v>695</v>
      </c>
      <c r="D629" s="194" t="s">
        <v>695</v>
      </c>
      <c r="E629" s="193" t="s">
        <v>694</v>
      </c>
      <c r="F629" s="160" t="s">
        <v>20</v>
      </c>
      <c r="G629" s="161"/>
      <c r="H629" s="186" t="str">
        <f t="shared" si="398"/>
        <v>N/A</v>
      </c>
      <c r="I629" s="186" t="b">
        <f t="shared" si="399"/>
        <v>1</v>
      </c>
      <c r="J629" s="186" t="str">
        <f t="shared" si="400"/>
        <v>N/A</v>
      </c>
      <c r="K629" s="186" t="b">
        <f t="shared" si="401"/>
        <v>1</v>
      </c>
      <c r="L629" s="186" t="str">
        <f t="shared" si="402"/>
        <v>N/A</v>
      </c>
      <c r="M629" s="186" t="b">
        <f t="shared" si="403"/>
        <v>1</v>
      </c>
      <c r="N629" s="186" t="str">
        <f t="shared" si="404"/>
        <v>Used?</v>
      </c>
      <c r="O629" s="186" t="b">
        <f t="shared" si="405"/>
        <v>0</v>
      </c>
      <c r="P629" s="26" t="s">
        <v>696</v>
      </c>
      <c r="Q629" s="160" t="s">
        <v>20</v>
      </c>
      <c r="R629" s="160" t="s">
        <v>20</v>
      </c>
      <c r="S629" s="26" t="s">
        <v>697</v>
      </c>
      <c r="T629" s="165" t="str">
        <f t="shared" si="406"/>
        <v>Not Used</v>
      </c>
      <c r="U629" s="162"/>
      <c r="V629" s="55"/>
      <c r="W629" s="51" t="b">
        <f t="shared" si="407"/>
        <v>1</v>
      </c>
      <c r="X629" s="51" t="str">
        <f t="shared" si="408"/>
        <v>Not Used</v>
      </c>
      <c r="Y629" s="51" t="str">
        <f t="shared" si="409"/>
        <v>Not Used</v>
      </c>
      <c r="Z629" s="51" t="str">
        <f t="shared" si="410"/>
        <v>Not Used</v>
      </c>
      <c r="AA629" s="51" t="str">
        <f t="shared" si="410"/>
        <v>Not Used</v>
      </c>
      <c r="AB629" s="51" t="str">
        <f t="shared" si="411"/>
        <v>Not Used</v>
      </c>
      <c r="AC629" s="51" t="b">
        <f t="shared" si="412"/>
        <v>1</v>
      </c>
      <c r="AD629" s="51">
        <f>COUNTIF($X$5:$X$629, "Not Used")</f>
        <v>625</v>
      </c>
      <c r="AE629" s="51">
        <f>COUNTIF($X$5:$X$629, "TRUE")</f>
        <v>0</v>
      </c>
      <c r="AF629" s="51" t="b">
        <f t="shared" si="413"/>
        <v>1</v>
      </c>
      <c r="AI629" s="51" t="b">
        <f t="shared" si="414"/>
        <v>0</v>
      </c>
      <c r="AJ629" s="51" t="b">
        <f t="shared" si="415"/>
        <v>0</v>
      </c>
      <c r="AK629" s="51" t="b">
        <f t="shared" si="416"/>
        <v>0</v>
      </c>
      <c r="AL629" s="51" t="b">
        <f t="shared" si="417"/>
        <v>0</v>
      </c>
      <c r="AM629" s="51" t="b">
        <f t="shared" si="418"/>
        <v>0</v>
      </c>
      <c r="AN629" s="51"/>
      <c r="AO629" s="51" t="b">
        <f t="shared" si="419"/>
        <v>0</v>
      </c>
      <c r="AP629" s="51" t="str">
        <f t="shared" si="441"/>
        <v>Not in MMS</v>
      </c>
      <c r="AQ629" s="51" t="b">
        <f t="shared" si="420"/>
        <v>0</v>
      </c>
      <c r="AR629" s="51" t="b">
        <f t="shared" si="421"/>
        <v>0</v>
      </c>
      <c r="AS629" s="51" t="str">
        <f t="shared" si="422"/>
        <v/>
      </c>
      <c r="AT629" s="51" t="str">
        <f t="shared" si="423"/>
        <v/>
      </c>
      <c r="AU629" s="51" t="str">
        <f t="shared" si="424"/>
        <v/>
      </c>
      <c r="AV629" s="51" t="str">
        <f t="shared" si="425"/>
        <v/>
      </c>
      <c r="AW629" s="51" t="str">
        <f t="shared" si="426"/>
        <v/>
      </c>
      <c r="AX629" s="51" t="str">
        <f t="shared" si="427"/>
        <v/>
      </c>
      <c r="AY629" s="51" t="str">
        <f t="shared" si="428"/>
        <v/>
      </c>
      <c r="AZ629" s="51" t="str">
        <f t="shared" si="429"/>
        <v/>
      </c>
      <c r="BA629" s="51" t="str">
        <f t="shared" si="430"/>
        <v/>
      </c>
      <c r="BB629" s="51" t="str">
        <f t="shared" si="431"/>
        <v/>
      </c>
      <c r="BC629" s="51" t="str">
        <f t="shared" si="432"/>
        <v/>
      </c>
      <c r="BD629" s="51" t="str">
        <f t="shared" si="433"/>
        <v/>
      </c>
      <c r="BE629" s="51" t="str">
        <f t="shared" si="434"/>
        <v/>
      </c>
      <c r="BF629" s="51" t="str">
        <f t="shared" si="435"/>
        <v/>
      </c>
      <c r="BG629" s="51" t="str">
        <f t="shared" si="436"/>
        <v/>
      </c>
      <c r="BH629" s="51" t="b">
        <f t="shared" si="437"/>
        <v>0</v>
      </c>
      <c r="BI629" s="51" t="str">
        <f t="shared" si="438"/>
        <v/>
      </c>
      <c r="BJ629" s="51" t="str">
        <f t="shared" si="439"/>
        <v/>
      </c>
      <c r="BK629" s="51" t="b">
        <f t="shared" si="440"/>
        <v>0</v>
      </c>
      <c r="BL629" s="192"/>
    </row>
    <row r="630" spans="1:64" ht="13.5" thickBot="1" x14ac:dyDescent="0.25">
      <c r="A630" s="185" t="s">
        <v>1303</v>
      </c>
      <c r="B630" s="194" t="s">
        <v>695</v>
      </c>
      <c r="C630" s="194" t="s">
        <v>695</v>
      </c>
      <c r="D630" s="194" t="s">
        <v>695</v>
      </c>
      <c r="E630" s="193" t="s">
        <v>694</v>
      </c>
      <c r="F630" s="160" t="s">
        <v>20</v>
      </c>
      <c r="G630" s="161"/>
      <c r="H630" s="186" t="str">
        <f t="shared" si="398"/>
        <v>N/A</v>
      </c>
      <c r="I630" s="186" t="b">
        <f t="shared" si="399"/>
        <v>1</v>
      </c>
      <c r="J630" s="186" t="str">
        <f t="shared" si="400"/>
        <v>N/A</v>
      </c>
      <c r="K630" s="186" t="b">
        <f t="shared" si="401"/>
        <v>1</v>
      </c>
      <c r="L630" s="186" t="str">
        <f t="shared" si="402"/>
        <v>N/A</v>
      </c>
      <c r="M630" s="186" t="b">
        <f t="shared" si="403"/>
        <v>1</v>
      </c>
      <c r="N630" s="186" t="str">
        <f t="shared" si="404"/>
        <v>Used?</v>
      </c>
      <c r="O630" s="186" t="b">
        <f t="shared" si="405"/>
        <v>0</v>
      </c>
      <c r="P630" s="26" t="s">
        <v>696</v>
      </c>
      <c r="Q630" s="160" t="s">
        <v>20</v>
      </c>
      <c r="R630" s="160" t="s">
        <v>20</v>
      </c>
      <c r="S630" s="26" t="s">
        <v>697</v>
      </c>
      <c r="T630" s="165" t="str">
        <f t="shared" si="406"/>
        <v>Not Used</v>
      </c>
      <c r="U630" s="162"/>
      <c r="V630" s="55"/>
      <c r="W630" s="51" t="b">
        <f t="shared" si="407"/>
        <v>1</v>
      </c>
      <c r="X630" s="51" t="str">
        <f t="shared" si="408"/>
        <v>Not Used</v>
      </c>
      <c r="Y630" s="51" t="str">
        <f t="shared" si="409"/>
        <v>Not Used</v>
      </c>
      <c r="Z630" s="51" t="str">
        <f t="shared" si="410"/>
        <v>Not Used</v>
      </c>
      <c r="AA630" s="51" t="str">
        <f t="shared" si="410"/>
        <v>Not Used</v>
      </c>
      <c r="AB630" s="51" t="str">
        <f t="shared" si="411"/>
        <v>Not Used</v>
      </c>
      <c r="AC630" s="51" t="b">
        <f t="shared" si="412"/>
        <v>1</v>
      </c>
      <c r="AD630" s="51">
        <f>COUNTIF($X$5:$X$630, "Not Used")</f>
        <v>626</v>
      </c>
      <c r="AE630" s="51">
        <f>COUNTIF($X$5:$X$630, "TRUE")</f>
        <v>0</v>
      </c>
      <c r="AF630" s="51" t="b">
        <f t="shared" si="413"/>
        <v>1</v>
      </c>
      <c r="AI630" s="51" t="b">
        <f t="shared" si="414"/>
        <v>0</v>
      </c>
      <c r="AJ630" s="51" t="b">
        <f t="shared" si="415"/>
        <v>0</v>
      </c>
      <c r="AK630" s="51" t="b">
        <f t="shared" si="416"/>
        <v>0</v>
      </c>
      <c r="AL630" s="51" t="b">
        <f t="shared" si="417"/>
        <v>0</v>
      </c>
      <c r="AM630" s="51" t="b">
        <f t="shared" si="418"/>
        <v>0</v>
      </c>
      <c r="AN630" s="51"/>
      <c r="AO630" s="51" t="b">
        <f t="shared" si="419"/>
        <v>0</v>
      </c>
      <c r="AP630" s="51" t="str">
        <f t="shared" si="441"/>
        <v>Not in MMS</v>
      </c>
      <c r="AQ630" s="51" t="b">
        <f t="shared" si="420"/>
        <v>0</v>
      </c>
      <c r="AR630" s="51" t="b">
        <f t="shared" si="421"/>
        <v>0</v>
      </c>
      <c r="AS630" s="51" t="str">
        <f t="shared" si="422"/>
        <v/>
      </c>
      <c r="AT630" s="51" t="str">
        <f t="shared" si="423"/>
        <v/>
      </c>
      <c r="AU630" s="51" t="str">
        <f t="shared" si="424"/>
        <v/>
      </c>
      <c r="AV630" s="51" t="str">
        <f t="shared" si="425"/>
        <v/>
      </c>
      <c r="AW630" s="51" t="str">
        <f t="shared" si="426"/>
        <v/>
      </c>
      <c r="AX630" s="51" t="str">
        <f t="shared" si="427"/>
        <v/>
      </c>
      <c r="AY630" s="51" t="str">
        <f t="shared" si="428"/>
        <v/>
      </c>
      <c r="AZ630" s="51" t="str">
        <f t="shared" si="429"/>
        <v/>
      </c>
      <c r="BA630" s="51" t="str">
        <f t="shared" si="430"/>
        <v/>
      </c>
      <c r="BB630" s="51" t="str">
        <f t="shared" si="431"/>
        <v/>
      </c>
      <c r="BC630" s="51" t="str">
        <f t="shared" si="432"/>
        <v/>
      </c>
      <c r="BD630" s="51" t="str">
        <f t="shared" si="433"/>
        <v/>
      </c>
      <c r="BE630" s="51" t="str">
        <f t="shared" si="434"/>
        <v/>
      </c>
      <c r="BF630" s="51" t="str">
        <f t="shared" si="435"/>
        <v/>
      </c>
      <c r="BG630" s="51" t="str">
        <f t="shared" si="436"/>
        <v/>
      </c>
      <c r="BH630" s="51" t="b">
        <f t="shared" si="437"/>
        <v>0</v>
      </c>
      <c r="BI630" s="51" t="str">
        <f t="shared" si="438"/>
        <v/>
      </c>
      <c r="BJ630" s="51" t="str">
        <f t="shared" si="439"/>
        <v/>
      </c>
      <c r="BK630" s="51" t="b">
        <f t="shared" si="440"/>
        <v>0</v>
      </c>
      <c r="BL630" s="192"/>
    </row>
    <row r="631" spans="1:64" ht="13.5" thickBot="1" x14ac:dyDescent="0.25">
      <c r="A631" s="185" t="s">
        <v>1304</v>
      </c>
      <c r="B631" s="194" t="s">
        <v>695</v>
      </c>
      <c r="C631" s="194" t="s">
        <v>695</v>
      </c>
      <c r="D631" s="194" t="s">
        <v>695</v>
      </c>
      <c r="E631" s="193" t="s">
        <v>694</v>
      </c>
      <c r="F631" s="160" t="s">
        <v>20</v>
      </c>
      <c r="G631" s="161"/>
      <c r="H631" s="186" t="str">
        <f t="shared" si="398"/>
        <v>N/A</v>
      </c>
      <c r="I631" s="186" t="b">
        <f t="shared" si="399"/>
        <v>1</v>
      </c>
      <c r="J631" s="186" t="str">
        <f t="shared" si="400"/>
        <v>N/A</v>
      </c>
      <c r="K631" s="186" t="b">
        <f t="shared" si="401"/>
        <v>1</v>
      </c>
      <c r="L631" s="186" t="str">
        <f t="shared" si="402"/>
        <v>N/A</v>
      </c>
      <c r="M631" s="186" t="b">
        <f t="shared" si="403"/>
        <v>1</v>
      </c>
      <c r="N631" s="186" t="str">
        <f t="shared" si="404"/>
        <v>Used?</v>
      </c>
      <c r="O631" s="186" t="b">
        <f t="shared" si="405"/>
        <v>0</v>
      </c>
      <c r="P631" s="26" t="s">
        <v>696</v>
      </c>
      <c r="Q631" s="160" t="s">
        <v>20</v>
      </c>
      <c r="R631" s="160" t="s">
        <v>20</v>
      </c>
      <c r="S631" s="26" t="s">
        <v>697</v>
      </c>
      <c r="T631" s="165" t="str">
        <f t="shared" si="406"/>
        <v>Not Used</v>
      </c>
      <c r="U631" s="162"/>
      <c r="V631" s="55"/>
      <c r="W631" s="51" t="b">
        <f t="shared" si="407"/>
        <v>1</v>
      </c>
      <c r="X631" s="51" t="str">
        <f t="shared" si="408"/>
        <v>Not Used</v>
      </c>
      <c r="Y631" s="51" t="str">
        <f t="shared" si="409"/>
        <v>Not Used</v>
      </c>
      <c r="Z631" s="51" t="str">
        <f t="shared" si="410"/>
        <v>Not Used</v>
      </c>
      <c r="AA631" s="51" t="str">
        <f t="shared" si="410"/>
        <v>Not Used</v>
      </c>
      <c r="AB631" s="51" t="str">
        <f t="shared" si="411"/>
        <v>Not Used</v>
      </c>
      <c r="AC631" s="51" t="b">
        <f t="shared" si="412"/>
        <v>1</v>
      </c>
      <c r="AD631" s="51">
        <f>COUNTIF($X$5:$X$631, "Not Used")</f>
        <v>627</v>
      </c>
      <c r="AE631" s="51">
        <f>COUNTIF($X$5:$X$631, "TRUE")</f>
        <v>0</v>
      </c>
      <c r="AF631" s="51" t="b">
        <f t="shared" si="413"/>
        <v>1</v>
      </c>
      <c r="AI631" s="51" t="b">
        <f t="shared" si="414"/>
        <v>0</v>
      </c>
      <c r="AJ631" s="51" t="b">
        <f t="shared" si="415"/>
        <v>0</v>
      </c>
      <c r="AK631" s="51" t="b">
        <f t="shared" si="416"/>
        <v>0</v>
      </c>
      <c r="AL631" s="51" t="b">
        <f t="shared" si="417"/>
        <v>0</v>
      </c>
      <c r="AM631" s="51" t="b">
        <f t="shared" si="418"/>
        <v>0</v>
      </c>
      <c r="AN631" s="51"/>
      <c r="AO631" s="51" t="b">
        <f t="shared" si="419"/>
        <v>0</v>
      </c>
      <c r="AP631" s="51" t="str">
        <f t="shared" si="441"/>
        <v>Not in MMS</v>
      </c>
      <c r="AQ631" s="51" t="b">
        <f t="shared" si="420"/>
        <v>0</v>
      </c>
      <c r="AR631" s="51" t="b">
        <f t="shared" si="421"/>
        <v>0</v>
      </c>
      <c r="AS631" s="51" t="str">
        <f t="shared" si="422"/>
        <v/>
      </c>
      <c r="AT631" s="51" t="str">
        <f t="shared" si="423"/>
        <v/>
      </c>
      <c r="AU631" s="51" t="str">
        <f t="shared" si="424"/>
        <v/>
      </c>
      <c r="AV631" s="51" t="str">
        <f t="shared" si="425"/>
        <v/>
      </c>
      <c r="AW631" s="51" t="str">
        <f t="shared" si="426"/>
        <v/>
      </c>
      <c r="AX631" s="51" t="str">
        <f t="shared" si="427"/>
        <v/>
      </c>
      <c r="AY631" s="51" t="str">
        <f t="shared" si="428"/>
        <v/>
      </c>
      <c r="AZ631" s="51" t="str">
        <f t="shared" si="429"/>
        <v/>
      </c>
      <c r="BA631" s="51" t="str">
        <f t="shared" si="430"/>
        <v/>
      </c>
      <c r="BB631" s="51" t="str">
        <f t="shared" si="431"/>
        <v/>
      </c>
      <c r="BC631" s="51" t="str">
        <f t="shared" si="432"/>
        <v/>
      </c>
      <c r="BD631" s="51" t="str">
        <f t="shared" si="433"/>
        <v/>
      </c>
      <c r="BE631" s="51" t="str">
        <f t="shared" si="434"/>
        <v/>
      </c>
      <c r="BF631" s="51" t="str">
        <f t="shared" si="435"/>
        <v/>
      </c>
      <c r="BG631" s="51" t="str">
        <f t="shared" si="436"/>
        <v/>
      </c>
      <c r="BH631" s="51" t="b">
        <f t="shared" si="437"/>
        <v>0</v>
      </c>
      <c r="BI631" s="51" t="str">
        <f t="shared" si="438"/>
        <v/>
      </c>
      <c r="BJ631" s="51" t="str">
        <f t="shared" si="439"/>
        <v/>
      </c>
      <c r="BK631" s="51" t="b">
        <f t="shared" si="440"/>
        <v>0</v>
      </c>
      <c r="BL631" s="192"/>
    </row>
    <row r="632" spans="1:64" ht="13.5" thickBot="1" x14ac:dyDescent="0.25">
      <c r="A632" s="185" t="s">
        <v>1305</v>
      </c>
      <c r="B632" s="194" t="s">
        <v>695</v>
      </c>
      <c r="C632" s="194" t="s">
        <v>695</v>
      </c>
      <c r="D632" s="194" t="s">
        <v>695</v>
      </c>
      <c r="E632" s="193" t="s">
        <v>694</v>
      </c>
      <c r="F632" s="160" t="s">
        <v>20</v>
      </c>
      <c r="G632" s="161"/>
      <c r="H632" s="186" t="str">
        <f t="shared" si="398"/>
        <v>N/A</v>
      </c>
      <c r="I632" s="186" t="b">
        <f t="shared" si="399"/>
        <v>1</v>
      </c>
      <c r="J632" s="186" t="str">
        <f t="shared" si="400"/>
        <v>N/A</v>
      </c>
      <c r="K632" s="186" t="b">
        <f t="shared" si="401"/>
        <v>1</v>
      </c>
      <c r="L632" s="186" t="str">
        <f t="shared" si="402"/>
        <v>N/A</v>
      </c>
      <c r="M632" s="186" t="b">
        <f t="shared" si="403"/>
        <v>1</v>
      </c>
      <c r="N632" s="186" t="str">
        <f t="shared" si="404"/>
        <v>Used?</v>
      </c>
      <c r="O632" s="186" t="b">
        <f t="shared" si="405"/>
        <v>0</v>
      </c>
      <c r="P632" s="26" t="s">
        <v>696</v>
      </c>
      <c r="Q632" s="160" t="s">
        <v>20</v>
      </c>
      <c r="R632" s="160" t="s">
        <v>20</v>
      </c>
      <c r="S632" s="26" t="s">
        <v>697</v>
      </c>
      <c r="T632" s="165" t="str">
        <f t="shared" si="406"/>
        <v>Not Used</v>
      </c>
      <c r="U632" s="162"/>
      <c r="V632" s="55"/>
      <c r="W632" s="51" t="b">
        <f t="shared" si="407"/>
        <v>1</v>
      </c>
      <c r="X632" s="51" t="str">
        <f t="shared" si="408"/>
        <v>Not Used</v>
      </c>
      <c r="Y632" s="51" t="str">
        <f t="shared" si="409"/>
        <v>Not Used</v>
      </c>
      <c r="Z632" s="51" t="str">
        <f t="shared" si="410"/>
        <v>Not Used</v>
      </c>
      <c r="AA632" s="51" t="str">
        <f t="shared" si="410"/>
        <v>Not Used</v>
      </c>
      <c r="AB632" s="51" t="str">
        <f t="shared" si="411"/>
        <v>Not Used</v>
      </c>
      <c r="AC632" s="51" t="b">
        <f t="shared" si="412"/>
        <v>1</v>
      </c>
      <c r="AD632" s="51">
        <f>COUNTIF($X$5:$X$632, "Not Used")</f>
        <v>628</v>
      </c>
      <c r="AE632" s="51">
        <f>COUNTIF($X$5:$X$632, "TRUE")</f>
        <v>0</v>
      </c>
      <c r="AF632" s="51" t="b">
        <f t="shared" si="413"/>
        <v>1</v>
      </c>
      <c r="AI632" s="51" t="b">
        <f t="shared" si="414"/>
        <v>0</v>
      </c>
      <c r="AJ632" s="51" t="b">
        <f t="shared" si="415"/>
        <v>0</v>
      </c>
      <c r="AK632" s="51" t="b">
        <f t="shared" si="416"/>
        <v>0</v>
      </c>
      <c r="AL632" s="51" t="b">
        <f t="shared" si="417"/>
        <v>0</v>
      </c>
      <c r="AM632" s="51" t="b">
        <f t="shared" si="418"/>
        <v>0</v>
      </c>
      <c r="AN632" s="51"/>
      <c r="AO632" s="51" t="b">
        <f t="shared" si="419"/>
        <v>0</v>
      </c>
      <c r="AP632" s="51" t="str">
        <f t="shared" si="441"/>
        <v>Not in MMS</v>
      </c>
      <c r="AQ632" s="51" t="b">
        <f t="shared" si="420"/>
        <v>0</v>
      </c>
      <c r="AR632" s="51" t="b">
        <f t="shared" si="421"/>
        <v>0</v>
      </c>
      <c r="AS632" s="51" t="str">
        <f t="shared" si="422"/>
        <v/>
      </c>
      <c r="AT632" s="51" t="str">
        <f t="shared" si="423"/>
        <v/>
      </c>
      <c r="AU632" s="51" t="str">
        <f t="shared" si="424"/>
        <v/>
      </c>
      <c r="AV632" s="51" t="str">
        <f t="shared" si="425"/>
        <v/>
      </c>
      <c r="AW632" s="51" t="str">
        <f t="shared" si="426"/>
        <v/>
      </c>
      <c r="AX632" s="51" t="str">
        <f t="shared" si="427"/>
        <v/>
      </c>
      <c r="AY632" s="51" t="str">
        <f t="shared" si="428"/>
        <v/>
      </c>
      <c r="AZ632" s="51" t="str">
        <f t="shared" si="429"/>
        <v/>
      </c>
      <c r="BA632" s="51" t="str">
        <f t="shared" si="430"/>
        <v/>
      </c>
      <c r="BB632" s="51" t="str">
        <f t="shared" si="431"/>
        <v/>
      </c>
      <c r="BC632" s="51" t="str">
        <f t="shared" si="432"/>
        <v/>
      </c>
      <c r="BD632" s="51" t="str">
        <f t="shared" si="433"/>
        <v/>
      </c>
      <c r="BE632" s="51" t="str">
        <f t="shared" si="434"/>
        <v/>
      </c>
      <c r="BF632" s="51" t="str">
        <f t="shared" si="435"/>
        <v/>
      </c>
      <c r="BG632" s="51" t="str">
        <f t="shared" si="436"/>
        <v/>
      </c>
      <c r="BH632" s="51" t="b">
        <f t="shared" si="437"/>
        <v>0</v>
      </c>
      <c r="BI632" s="51" t="str">
        <f t="shared" si="438"/>
        <v/>
      </c>
      <c r="BJ632" s="51" t="str">
        <f t="shared" si="439"/>
        <v/>
      </c>
      <c r="BK632" s="51" t="b">
        <f t="shared" si="440"/>
        <v>0</v>
      </c>
      <c r="BL632" s="192"/>
    </row>
    <row r="633" spans="1:64" ht="13.5" thickBot="1" x14ac:dyDescent="0.25">
      <c r="A633" s="185" t="s">
        <v>1306</v>
      </c>
      <c r="B633" s="194" t="s">
        <v>695</v>
      </c>
      <c r="C633" s="194" t="s">
        <v>695</v>
      </c>
      <c r="D633" s="194" t="s">
        <v>695</v>
      </c>
      <c r="E633" s="193" t="s">
        <v>694</v>
      </c>
      <c r="F633" s="160" t="s">
        <v>20</v>
      </c>
      <c r="G633" s="161"/>
      <c r="H633" s="186" t="str">
        <f t="shared" si="398"/>
        <v>N/A</v>
      </c>
      <c r="I633" s="186" t="b">
        <f t="shared" si="399"/>
        <v>1</v>
      </c>
      <c r="J633" s="186" t="str">
        <f t="shared" si="400"/>
        <v>N/A</v>
      </c>
      <c r="K633" s="186" t="b">
        <f t="shared" si="401"/>
        <v>1</v>
      </c>
      <c r="L633" s="186" t="str">
        <f t="shared" si="402"/>
        <v>N/A</v>
      </c>
      <c r="M633" s="186" t="b">
        <f t="shared" si="403"/>
        <v>1</v>
      </c>
      <c r="N633" s="186" t="str">
        <f t="shared" si="404"/>
        <v>Used?</v>
      </c>
      <c r="O633" s="186" t="b">
        <f t="shared" si="405"/>
        <v>0</v>
      </c>
      <c r="P633" s="26" t="s">
        <v>696</v>
      </c>
      <c r="Q633" s="160" t="s">
        <v>20</v>
      </c>
      <c r="R633" s="160" t="s">
        <v>20</v>
      </c>
      <c r="S633" s="26" t="s">
        <v>697</v>
      </c>
      <c r="T633" s="165" t="str">
        <f t="shared" si="406"/>
        <v>Not Used</v>
      </c>
      <c r="U633" s="162"/>
      <c r="V633" s="55"/>
      <c r="W633" s="51" t="b">
        <f t="shared" si="407"/>
        <v>1</v>
      </c>
      <c r="X633" s="51" t="str">
        <f t="shared" si="408"/>
        <v>Not Used</v>
      </c>
      <c r="Y633" s="51" t="str">
        <f t="shared" si="409"/>
        <v>Not Used</v>
      </c>
      <c r="Z633" s="51" t="str">
        <f t="shared" si="410"/>
        <v>Not Used</v>
      </c>
      <c r="AA633" s="51" t="str">
        <f t="shared" si="410"/>
        <v>Not Used</v>
      </c>
      <c r="AB633" s="51" t="str">
        <f t="shared" si="411"/>
        <v>Not Used</v>
      </c>
      <c r="AC633" s="51" t="b">
        <f t="shared" si="412"/>
        <v>1</v>
      </c>
      <c r="AD633" s="51">
        <f>COUNTIF($X$5:$X$633, "Not Used")</f>
        <v>629</v>
      </c>
      <c r="AE633" s="51">
        <f>COUNTIF($X$5:$X$633, "TRUE")</f>
        <v>0</v>
      </c>
      <c r="AF633" s="51" t="b">
        <f t="shared" si="413"/>
        <v>1</v>
      </c>
      <c r="AI633" s="51" t="b">
        <f t="shared" si="414"/>
        <v>0</v>
      </c>
      <c r="AJ633" s="51" t="b">
        <f t="shared" si="415"/>
        <v>0</v>
      </c>
      <c r="AK633" s="51" t="b">
        <f t="shared" si="416"/>
        <v>0</v>
      </c>
      <c r="AL633" s="51" t="b">
        <f t="shared" si="417"/>
        <v>0</v>
      </c>
      <c r="AM633" s="51" t="b">
        <f t="shared" si="418"/>
        <v>0</v>
      </c>
      <c r="AN633" s="51"/>
      <c r="AO633" s="51" t="b">
        <f t="shared" si="419"/>
        <v>0</v>
      </c>
      <c r="AP633" s="51" t="str">
        <f t="shared" si="441"/>
        <v>Not in MMS</v>
      </c>
      <c r="AQ633" s="51" t="b">
        <f t="shared" si="420"/>
        <v>0</v>
      </c>
      <c r="AR633" s="51" t="b">
        <f t="shared" si="421"/>
        <v>0</v>
      </c>
      <c r="AS633" s="51" t="str">
        <f t="shared" si="422"/>
        <v/>
      </c>
      <c r="AT633" s="51" t="str">
        <f t="shared" si="423"/>
        <v/>
      </c>
      <c r="AU633" s="51" t="str">
        <f t="shared" si="424"/>
        <v/>
      </c>
      <c r="AV633" s="51" t="str">
        <f t="shared" si="425"/>
        <v/>
      </c>
      <c r="AW633" s="51" t="str">
        <f t="shared" si="426"/>
        <v/>
      </c>
      <c r="AX633" s="51" t="str">
        <f t="shared" si="427"/>
        <v/>
      </c>
      <c r="AY633" s="51" t="str">
        <f t="shared" si="428"/>
        <v/>
      </c>
      <c r="AZ633" s="51" t="str">
        <f t="shared" si="429"/>
        <v/>
      </c>
      <c r="BA633" s="51" t="str">
        <f t="shared" si="430"/>
        <v/>
      </c>
      <c r="BB633" s="51" t="str">
        <f t="shared" si="431"/>
        <v/>
      </c>
      <c r="BC633" s="51" t="str">
        <f t="shared" si="432"/>
        <v/>
      </c>
      <c r="BD633" s="51" t="str">
        <f t="shared" si="433"/>
        <v/>
      </c>
      <c r="BE633" s="51" t="str">
        <f t="shared" si="434"/>
        <v/>
      </c>
      <c r="BF633" s="51" t="str">
        <f t="shared" si="435"/>
        <v/>
      </c>
      <c r="BG633" s="51" t="str">
        <f t="shared" si="436"/>
        <v/>
      </c>
      <c r="BH633" s="51" t="b">
        <f t="shared" si="437"/>
        <v>0</v>
      </c>
      <c r="BI633" s="51" t="str">
        <f t="shared" si="438"/>
        <v/>
      </c>
      <c r="BJ633" s="51" t="str">
        <f t="shared" si="439"/>
        <v/>
      </c>
      <c r="BK633" s="51" t="b">
        <f t="shared" si="440"/>
        <v>0</v>
      </c>
      <c r="BL633" s="192"/>
    </row>
    <row r="634" spans="1:64" ht="13.5" thickBot="1" x14ac:dyDescent="0.25">
      <c r="A634" s="185" t="s">
        <v>1307</v>
      </c>
      <c r="B634" s="194" t="s">
        <v>695</v>
      </c>
      <c r="C634" s="194" t="s">
        <v>695</v>
      </c>
      <c r="D634" s="194" t="s">
        <v>695</v>
      </c>
      <c r="E634" s="193" t="s">
        <v>694</v>
      </c>
      <c r="F634" s="160" t="s">
        <v>20</v>
      </c>
      <c r="G634" s="161"/>
      <c r="H634" s="186" t="str">
        <f t="shared" si="398"/>
        <v>N/A</v>
      </c>
      <c r="I634" s="186" t="b">
        <f t="shared" si="399"/>
        <v>1</v>
      </c>
      <c r="J634" s="186" t="str">
        <f t="shared" si="400"/>
        <v>N/A</v>
      </c>
      <c r="K634" s="186" t="b">
        <f t="shared" si="401"/>
        <v>1</v>
      </c>
      <c r="L634" s="186" t="str">
        <f t="shared" si="402"/>
        <v>N/A</v>
      </c>
      <c r="M634" s="186" t="b">
        <f t="shared" si="403"/>
        <v>1</v>
      </c>
      <c r="N634" s="186" t="str">
        <f t="shared" si="404"/>
        <v>Used?</v>
      </c>
      <c r="O634" s="186" t="b">
        <f t="shared" si="405"/>
        <v>0</v>
      </c>
      <c r="P634" s="26" t="s">
        <v>696</v>
      </c>
      <c r="Q634" s="160" t="s">
        <v>20</v>
      </c>
      <c r="R634" s="160" t="s">
        <v>20</v>
      </c>
      <c r="S634" s="26" t="s">
        <v>697</v>
      </c>
      <c r="T634" s="165" t="str">
        <f t="shared" si="406"/>
        <v>Not Used</v>
      </c>
      <c r="U634" s="162"/>
      <c r="V634" s="55"/>
      <c r="W634" s="51" t="b">
        <f t="shared" si="407"/>
        <v>1</v>
      </c>
      <c r="X634" s="51" t="str">
        <f t="shared" si="408"/>
        <v>Not Used</v>
      </c>
      <c r="Y634" s="51" t="str">
        <f t="shared" si="409"/>
        <v>Not Used</v>
      </c>
      <c r="Z634" s="51" t="str">
        <f t="shared" si="410"/>
        <v>Not Used</v>
      </c>
      <c r="AA634" s="51" t="str">
        <f t="shared" si="410"/>
        <v>Not Used</v>
      </c>
      <c r="AB634" s="51" t="str">
        <f t="shared" si="411"/>
        <v>Not Used</v>
      </c>
      <c r="AC634" s="51" t="b">
        <f t="shared" si="412"/>
        <v>1</v>
      </c>
      <c r="AD634" s="51">
        <f>COUNTIF($X$5:$X$634, "Not Used")</f>
        <v>630</v>
      </c>
      <c r="AE634" s="51">
        <f>COUNTIF($X$5:$X$634, "TRUE")</f>
        <v>0</v>
      </c>
      <c r="AF634" s="51" t="b">
        <f t="shared" si="413"/>
        <v>1</v>
      </c>
      <c r="AI634" s="51" t="b">
        <f t="shared" si="414"/>
        <v>0</v>
      </c>
      <c r="AJ634" s="51" t="b">
        <f t="shared" si="415"/>
        <v>0</v>
      </c>
      <c r="AK634" s="51" t="b">
        <f t="shared" si="416"/>
        <v>0</v>
      </c>
      <c r="AL634" s="51" t="b">
        <f t="shared" si="417"/>
        <v>0</v>
      </c>
      <c r="AM634" s="51" t="b">
        <f t="shared" si="418"/>
        <v>0</v>
      </c>
      <c r="AN634" s="51"/>
      <c r="AO634" s="51" t="b">
        <f t="shared" si="419"/>
        <v>0</v>
      </c>
      <c r="AP634" s="51" t="str">
        <f t="shared" si="441"/>
        <v>Not in MMS</v>
      </c>
      <c r="AQ634" s="51" t="b">
        <f t="shared" si="420"/>
        <v>0</v>
      </c>
      <c r="AR634" s="51" t="b">
        <f t="shared" si="421"/>
        <v>0</v>
      </c>
      <c r="AS634" s="51" t="str">
        <f t="shared" si="422"/>
        <v/>
      </c>
      <c r="AT634" s="51" t="str">
        <f t="shared" si="423"/>
        <v/>
      </c>
      <c r="AU634" s="51" t="str">
        <f t="shared" si="424"/>
        <v/>
      </c>
      <c r="AV634" s="51" t="str">
        <f t="shared" si="425"/>
        <v/>
      </c>
      <c r="AW634" s="51" t="str">
        <f t="shared" si="426"/>
        <v/>
      </c>
      <c r="AX634" s="51" t="str">
        <f t="shared" si="427"/>
        <v/>
      </c>
      <c r="AY634" s="51" t="str">
        <f t="shared" si="428"/>
        <v/>
      </c>
      <c r="AZ634" s="51" t="str">
        <f t="shared" si="429"/>
        <v/>
      </c>
      <c r="BA634" s="51" t="str">
        <f t="shared" si="430"/>
        <v/>
      </c>
      <c r="BB634" s="51" t="str">
        <f t="shared" si="431"/>
        <v/>
      </c>
      <c r="BC634" s="51" t="str">
        <f t="shared" si="432"/>
        <v/>
      </c>
      <c r="BD634" s="51" t="str">
        <f t="shared" si="433"/>
        <v/>
      </c>
      <c r="BE634" s="51" t="str">
        <f t="shared" si="434"/>
        <v/>
      </c>
      <c r="BF634" s="51" t="str">
        <f t="shared" si="435"/>
        <v/>
      </c>
      <c r="BG634" s="51" t="str">
        <f t="shared" si="436"/>
        <v/>
      </c>
      <c r="BH634" s="51" t="b">
        <f t="shared" si="437"/>
        <v>0</v>
      </c>
      <c r="BI634" s="51" t="str">
        <f t="shared" si="438"/>
        <v/>
      </c>
      <c r="BJ634" s="51" t="str">
        <f t="shared" si="439"/>
        <v/>
      </c>
      <c r="BK634" s="51" t="b">
        <f t="shared" si="440"/>
        <v>0</v>
      </c>
      <c r="BL634" s="192"/>
    </row>
    <row r="635" spans="1:64" ht="13.5" thickBot="1" x14ac:dyDescent="0.25">
      <c r="A635" s="185" t="s">
        <v>1308</v>
      </c>
      <c r="B635" s="194" t="s">
        <v>695</v>
      </c>
      <c r="C635" s="194" t="s">
        <v>695</v>
      </c>
      <c r="D635" s="194" t="s">
        <v>695</v>
      </c>
      <c r="E635" s="193" t="s">
        <v>694</v>
      </c>
      <c r="F635" s="160" t="s">
        <v>20</v>
      </c>
      <c r="G635" s="161"/>
      <c r="H635" s="186" t="str">
        <f t="shared" si="398"/>
        <v>N/A</v>
      </c>
      <c r="I635" s="186" t="b">
        <f t="shared" si="399"/>
        <v>1</v>
      </c>
      <c r="J635" s="186" t="str">
        <f t="shared" si="400"/>
        <v>N/A</v>
      </c>
      <c r="K635" s="186" t="b">
        <f t="shared" si="401"/>
        <v>1</v>
      </c>
      <c r="L635" s="186" t="str">
        <f t="shared" si="402"/>
        <v>N/A</v>
      </c>
      <c r="M635" s="186" t="b">
        <f t="shared" si="403"/>
        <v>1</v>
      </c>
      <c r="N635" s="186" t="str">
        <f t="shared" si="404"/>
        <v>Used?</v>
      </c>
      <c r="O635" s="186" t="b">
        <f t="shared" si="405"/>
        <v>0</v>
      </c>
      <c r="P635" s="26" t="s">
        <v>696</v>
      </c>
      <c r="Q635" s="160" t="s">
        <v>20</v>
      </c>
      <c r="R635" s="160" t="s">
        <v>20</v>
      </c>
      <c r="S635" s="26" t="s">
        <v>697</v>
      </c>
      <c r="T635" s="165" t="str">
        <f t="shared" si="406"/>
        <v>Not Used</v>
      </c>
      <c r="U635" s="162"/>
      <c r="V635" s="55"/>
      <c r="W635" s="51" t="b">
        <f t="shared" si="407"/>
        <v>1</v>
      </c>
      <c r="X635" s="51" t="str">
        <f t="shared" si="408"/>
        <v>Not Used</v>
      </c>
      <c r="Y635" s="51" t="str">
        <f t="shared" si="409"/>
        <v>Not Used</v>
      </c>
      <c r="Z635" s="51" t="str">
        <f t="shared" si="410"/>
        <v>Not Used</v>
      </c>
      <c r="AA635" s="51" t="str">
        <f t="shared" si="410"/>
        <v>Not Used</v>
      </c>
      <c r="AB635" s="51" t="str">
        <f t="shared" si="411"/>
        <v>Not Used</v>
      </c>
      <c r="AC635" s="51" t="b">
        <f t="shared" si="412"/>
        <v>1</v>
      </c>
      <c r="AD635" s="51">
        <f>COUNTIF($X$5:$X$635, "Not Used")</f>
        <v>631</v>
      </c>
      <c r="AE635" s="51">
        <f>COUNTIF($X$5:$X$635, "TRUE")</f>
        <v>0</v>
      </c>
      <c r="AF635" s="51" t="b">
        <f t="shared" si="413"/>
        <v>1</v>
      </c>
      <c r="AI635" s="51" t="b">
        <f t="shared" si="414"/>
        <v>0</v>
      </c>
      <c r="AJ635" s="51" t="b">
        <f t="shared" si="415"/>
        <v>0</v>
      </c>
      <c r="AK635" s="51" t="b">
        <f t="shared" si="416"/>
        <v>0</v>
      </c>
      <c r="AL635" s="51" t="b">
        <f t="shared" si="417"/>
        <v>0</v>
      </c>
      <c r="AM635" s="51" t="b">
        <f t="shared" si="418"/>
        <v>0</v>
      </c>
      <c r="AN635" s="51"/>
      <c r="AO635" s="51" t="b">
        <f t="shared" si="419"/>
        <v>0</v>
      </c>
      <c r="AP635" s="51" t="str">
        <f t="shared" si="441"/>
        <v>Not in MMS</v>
      </c>
      <c r="AQ635" s="51" t="b">
        <f t="shared" si="420"/>
        <v>0</v>
      </c>
      <c r="AR635" s="51" t="b">
        <f t="shared" si="421"/>
        <v>0</v>
      </c>
      <c r="AS635" s="51" t="str">
        <f t="shared" si="422"/>
        <v/>
      </c>
      <c r="AT635" s="51" t="str">
        <f t="shared" si="423"/>
        <v/>
      </c>
      <c r="AU635" s="51" t="str">
        <f t="shared" si="424"/>
        <v/>
      </c>
      <c r="AV635" s="51" t="str">
        <f t="shared" si="425"/>
        <v/>
      </c>
      <c r="AW635" s="51" t="str">
        <f t="shared" si="426"/>
        <v/>
      </c>
      <c r="AX635" s="51" t="str">
        <f t="shared" si="427"/>
        <v/>
      </c>
      <c r="AY635" s="51" t="str">
        <f t="shared" si="428"/>
        <v/>
      </c>
      <c r="AZ635" s="51" t="str">
        <f t="shared" si="429"/>
        <v/>
      </c>
      <c r="BA635" s="51" t="str">
        <f t="shared" si="430"/>
        <v/>
      </c>
      <c r="BB635" s="51" t="str">
        <f t="shared" si="431"/>
        <v/>
      </c>
      <c r="BC635" s="51" t="str">
        <f t="shared" si="432"/>
        <v/>
      </c>
      <c r="BD635" s="51" t="str">
        <f t="shared" si="433"/>
        <v/>
      </c>
      <c r="BE635" s="51" t="str">
        <f t="shared" si="434"/>
        <v/>
      </c>
      <c r="BF635" s="51" t="str">
        <f t="shared" si="435"/>
        <v/>
      </c>
      <c r="BG635" s="51" t="str">
        <f t="shared" si="436"/>
        <v/>
      </c>
      <c r="BH635" s="51" t="b">
        <f t="shared" si="437"/>
        <v>0</v>
      </c>
      <c r="BI635" s="51" t="str">
        <f t="shared" si="438"/>
        <v/>
      </c>
      <c r="BJ635" s="51" t="str">
        <f t="shared" si="439"/>
        <v/>
      </c>
      <c r="BK635" s="51" t="b">
        <f t="shared" si="440"/>
        <v>0</v>
      </c>
      <c r="BL635" s="192"/>
    </row>
    <row r="636" spans="1:64" ht="13.5" thickBot="1" x14ac:dyDescent="0.25">
      <c r="A636" s="185" t="s">
        <v>1309</v>
      </c>
      <c r="B636" s="194" t="s">
        <v>695</v>
      </c>
      <c r="C636" s="194" t="s">
        <v>695</v>
      </c>
      <c r="D636" s="194" t="s">
        <v>695</v>
      </c>
      <c r="E636" s="193" t="s">
        <v>694</v>
      </c>
      <c r="F636" s="160" t="s">
        <v>20</v>
      </c>
      <c r="G636" s="161"/>
      <c r="H636" s="186" t="str">
        <f t="shared" si="398"/>
        <v>N/A</v>
      </c>
      <c r="I636" s="186" t="b">
        <f t="shared" si="399"/>
        <v>1</v>
      </c>
      <c r="J636" s="186" t="str">
        <f t="shared" si="400"/>
        <v>N/A</v>
      </c>
      <c r="K636" s="186" t="b">
        <f t="shared" si="401"/>
        <v>1</v>
      </c>
      <c r="L636" s="186" t="str">
        <f t="shared" si="402"/>
        <v>N/A</v>
      </c>
      <c r="M636" s="186" t="b">
        <f t="shared" si="403"/>
        <v>1</v>
      </c>
      <c r="N636" s="186" t="str">
        <f t="shared" si="404"/>
        <v>Used?</v>
      </c>
      <c r="O636" s="186" t="b">
        <f t="shared" si="405"/>
        <v>0</v>
      </c>
      <c r="P636" s="26" t="s">
        <v>696</v>
      </c>
      <c r="Q636" s="160" t="s">
        <v>20</v>
      </c>
      <c r="R636" s="160" t="s">
        <v>20</v>
      </c>
      <c r="S636" s="26" t="s">
        <v>697</v>
      </c>
      <c r="T636" s="165" t="str">
        <f t="shared" si="406"/>
        <v>Not Used</v>
      </c>
      <c r="U636" s="162"/>
      <c r="V636" s="55"/>
      <c r="W636" s="51" t="b">
        <f t="shared" si="407"/>
        <v>1</v>
      </c>
      <c r="X636" s="51" t="str">
        <f t="shared" si="408"/>
        <v>Not Used</v>
      </c>
      <c r="Y636" s="51" t="str">
        <f t="shared" si="409"/>
        <v>Not Used</v>
      </c>
      <c r="Z636" s="51" t="str">
        <f t="shared" si="410"/>
        <v>Not Used</v>
      </c>
      <c r="AA636" s="51" t="str">
        <f t="shared" si="410"/>
        <v>Not Used</v>
      </c>
      <c r="AB636" s="51" t="str">
        <f t="shared" si="411"/>
        <v>Not Used</v>
      </c>
      <c r="AC636" s="51" t="b">
        <f t="shared" si="412"/>
        <v>1</v>
      </c>
      <c r="AD636" s="51">
        <f>COUNTIF($X$5:$X$636, "Not Used")</f>
        <v>632</v>
      </c>
      <c r="AE636" s="51">
        <f>COUNTIF($X$5:$X$636, "TRUE")</f>
        <v>0</v>
      </c>
      <c r="AF636" s="51" t="b">
        <f t="shared" si="413"/>
        <v>1</v>
      </c>
      <c r="AI636" s="51" t="b">
        <f t="shared" si="414"/>
        <v>0</v>
      </c>
      <c r="AJ636" s="51" t="b">
        <f t="shared" si="415"/>
        <v>0</v>
      </c>
      <c r="AK636" s="51" t="b">
        <f t="shared" si="416"/>
        <v>0</v>
      </c>
      <c r="AL636" s="51" t="b">
        <f t="shared" si="417"/>
        <v>0</v>
      </c>
      <c r="AM636" s="51" t="b">
        <f t="shared" si="418"/>
        <v>0</v>
      </c>
      <c r="AN636" s="51"/>
      <c r="AO636" s="51" t="b">
        <f t="shared" si="419"/>
        <v>0</v>
      </c>
      <c r="AP636" s="51" t="str">
        <f t="shared" si="441"/>
        <v>Not in MMS</v>
      </c>
      <c r="AQ636" s="51" t="b">
        <f t="shared" si="420"/>
        <v>0</v>
      </c>
      <c r="AR636" s="51" t="b">
        <f t="shared" si="421"/>
        <v>0</v>
      </c>
      <c r="AS636" s="51" t="str">
        <f t="shared" si="422"/>
        <v/>
      </c>
      <c r="AT636" s="51" t="str">
        <f t="shared" si="423"/>
        <v/>
      </c>
      <c r="AU636" s="51" t="str">
        <f t="shared" si="424"/>
        <v/>
      </c>
      <c r="AV636" s="51" t="str">
        <f t="shared" si="425"/>
        <v/>
      </c>
      <c r="AW636" s="51" t="str">
        <f t="shared" si="426"/>
        <v/>
      </c>
      <c r="AX636" s="51" t="str">
        <f t="shared" si="427"/>
        <v/>
      </c>
      <c r="AY636" s="51" t="str">
        <f t="shared" si="428"/>
        <v/>
      </c>
      <c r="AZ636" s="51" t="str">
        <f t="shared" si="429"/>
        <v/>
      </c>
      <c r="BA636" s="51" t="str">
        <f t="shared" si="430"/>
        <v/>
      </c>
      <c r="BB636" s="51" t="str">
        <f t="shared" si="431"/>
        <v/>
      </c>
      <c r="BC636" s="51" t="str">
        <f t="shared" si="432"/>
        <v/>
      </c>
      <c r="BD636" s="51" t="str">
        <f t="shared" si="433"/>
        <v/>
      </c>
      <c r="BE636" s="51" t="str">
        <f t="shared" si="434"/>
        <v/>
      </c>
      <c r="BF636" s="51" t="str">
        <f t="shared" si="435"/>
        <v/>
      </c>
      <c r="BG636" s="51" t="str">
        <f t="shared" si="436"/>
        <v/>
      </c>
      <c r="BH636" s="51" t="b">
        <f t="shared" si="437"/>
        <v>0</v>
      </c>
      <c r="BI636" s="51" t="str">
        <f t="shared" si="438"/>
        <v/>
      </c>
      <c r="BJ636" s="51" t="str">
        <f t="shared" si="439"/>
        <v/>
      </c>
      <c r="BK636" s="51" t="b">
        <f t="shared" si="440"/>
        <v>0</v>
      </c>
      <c r="BL636" s="192"/>
    </row>
    <row r="637" spans="1:64" ht="13.5" thickBot="1" x14ac:dyDescent="0.25">
      <c r="A637" s="185" t="s">
        <v>1310</v>
      </c>
      <c r="B637" s="194" t="s">
        <v>695</v>
      </c>
      <c r="C637" s="194" t="s">
        <v>695</v>
      </c>
      <c r="D637" s="194" t="s">
        <v>695</v>
      </c>
      <c r="E637" s="193" t="s">
        <v>694</v>
      </c>
      <c r="F637" s="160" t="s">
        <v>20</v>
      </c>
      <c r="G637" s="161"/>
      <c r="H637" s="186" t="str">
        <f t="shared" si="398"/>
        <v>N/A</v>
      </c>
      <c r="I637" s="186" t="b">
        <f t="shared" si="399"/>
        <v>1</v>
      </c>
      <c r="J637" s="186" t="str">
        <f t="shared" si="400"/>
        <v>N/A</v>
      </c>
      <c r="K637" s="186" t="b">
        <f t="shared" si="401"/>
        <v>1</v>
      </c>
      <c r="L637" s="186" t="str">
        <f t="shared" si="402"/>
        <v>N/A</v>
      </c>
      <c r="M637" s="186" t="b">
        <f t="shared" si="403"/>
        <v>1</v>
      </c>
      <c r="N637" s="186" t="str">
        <f t="shared" si="404"/>
        <v>Used?</v>
      </c>
      <c r="O637" s="186" t="b">
        <f t="shared" si="405"/>
        <v>0</v>
      </c>
      <c r="P637" s="26" t="s">
        <v>696</v>
      </c>
      <c r="Q637" s="160" t="s">
        <v>20</v>
      </c>
      <c r="R637" s="160" t="s">
        <v>20</v>
      </c>
      <c r="S637" s="26" t="s">
        <v>697</v>
      </c>
      <c r="T637" s="165" t="str">
        <f t="shared" si="406"/>
        <v>Not Used</v>
      </c>
      <c r="U637" s="162"/>
      <c r="V637" s="55"/>
      <c r="W637" s="51" t="b">
        <f t="shared" si="407"/>
        <v>1</v>
      </c>
      <c r="X637" s="51" t="str">
        <f t="shared" si="408"/>
        <v>Not Used</v>
      </c>
      <c r="Y637" s="51" t="str">
        <f t="shared" si="409"/>
        <v>Not Used</v>
      </c>
      <c r="Z637" s="51" t="str">
        <f t="shared" si="410"/>
        <v>Not Used</v>
      </c>
      <c r="AA637" s="51" t="str">
        <f t="shared" si="410"/>
        <v>Not Used</v>
      </c>
      <c r="AB637" s="51" t="str">
        <f t="shared" si="411"/>
        <v>Not Used</v>
      </c>
      <c r="AC637" s="51" t="b">
        <f t="shared" si="412"/>
        <v>1</v>
      </c>
      <c r="AD637" s="51">
        <f>COUNTIF($X$5:$X$637, "Not Used")</f>
        <v>633</v>
      </c>
      <c r="AE637" s="51">
        <f>COUNTIF($X$5:$X$637, "TRUE")</f>
        <v>0</v>
      </c>
      <c r="AF637" s="51" t="b">
        <f t="shared" si="413"/>
        <v>1</v>
      </c>
      <c r="AI637" s="51" t="b">
        <f t="shared" si="414"/>
        <v>0</v>
      </c>
      <c r="AJ637" s="51" t="b">
        <f t="shared" si="415"/>
        <v>0</v>
      </c>
      <c r="AK637" s="51" t="b">
        <f t="shared" si="416"/>
        <v>0</v>
      </c>
      <c r="AL637" s="51" t="b">
        <f t="shared" si="417"/>
        <v>0</v>
      </c>
      <c r="AM637" s="51" t="b">
        <f t="shared" si="418"/>
        <v>0</v>
      </c>
      <c r="AN637" s="51"/>
      <c r="AO637" s="51" t="b">
        <f t="shared" si="419"/>
        <v>0</v>
      </c>
      <c r="AP637" s="51" t="str">
        <f t="shared" si="441"/>
        <v>Not in MMS</v>
      </c>
      <c r="AQ637" s="51" t="b">
        <f t="shared" si="420"/>
        <v>0</v>
      </c>
      <c r="AR637" s="51" t="b">
        <f t="shared" si="421"/>
        <v>0</v>
      </c>
      <c r="AS637" s="51" t="str">
        <f t="shared" si="422"/>
        <v/>
      </c>
      <c r="AT637" s="51" t="str">
        <f t="shared" si="423"/>
        <v/>
      </c>
      <c r="AU637" s="51" t="str">
        <f t="shared" si="424"/>
        <v/>
      </c>
      <c r="AV637" s="51" t="str">
        <f t="shared" si="425"/>
        <v/>
      </c>
      <c r="AW637" s="51" t="str">
        <f t="shared" si="426"/>
        <v/>
      </c>
      <c r="AX637" s="51" t="str">
        <f t="shared" si="427"/>
        <v/>
      </c>
      <c r="AY637" s="51" t="str">
        <f t="shared" si="428"/>
        <v/>
      </c>
      <c r="AZ637" s="51" t="str">
        <f t="shared" si="429"/>
        <v/>
      </c>
      <c r="BA637" s="51" t="str">
        <f t="shared" si="430"/>
        <v/>
      </c>
      <c r="BB637" s="51" t="str">
        <f t="shared" si="431"/>
        <v/>
      </c>
      <c r="BC637" s="51" t="str">
        <f t="shared" si="432"/>
        <v/>
      </c>
      <c r="BD637" s="51" t="str">
        <f t="shared" si="433"/>
        <v/>
      </c>
      <c r="BE637" s="51" t="str">
        <f t="shared" si="434"/>
        <v/>
      </c>
      <c r="BF637" s="51" t="str">
        <f t="shared" si="435"/>
        <v/>
      </c>
      <c r="BG637" s="51" t="str">
        <f t="shared" si="436"/>
        <v/>
      </c>
      <c r="BH637" s="51" t="b">
        <f t="shared" si="437"/>
        <v>0</v>
      </c>
      <c r="BI637" s="51" t="str">
        <f t="shared" si="438"/>
        <v/>
      </c>
      <c r="BJ637" s="51" t="str">
        <f t="shared" si="439"/>
        <v/>
      </c>
      <c r="BK637" s="51" t="b">
        <f t="shared" si="440"/>
        <v>0</v>
      </c>
      <c r="BL637" s="192"/>
    </row>
    <row r="638" spans="1:64" ht="13.5" thickBot="1" x14ac:dyDescent="0.25">
      <c r="A638" s="185" t="s">
        <v>1311</v>
      </c>
      <c r="B638" s="194" t="s">
        <v>695</v>
      </c>
      <c r="C638" s="194" t="s">
        <v>695</v>
      </c>
      <c r="D638" s="194" t="s">
        <v>695</v>
      </c>
      <c r="E638" s="193" t="s">
        <v>694</v>
      </c>
      <c r="F638" s="160" t="s">
        <v>20</v>
      </c>
      <c r="G638" s="161"/>
      <c r="H638" s="186" t="str">
        <f t="shared" si="398"/>
        <v>N/A</v>
      </c>
      <c r="I638" s="186" t="b">
        <f t="shared" si="399"/>
        <v>1</v>
      </c>
      <c r="J638" s="186" t="str">
        <f t="shared" si="400"/>
        <v>N/A</v>
      </c>
      <c r="K638" s="186" t="b">
        <f t="shared" si="401"/>
        <v>1</v>
      </c>
      <c r="L638" s="186" t="str">
        <f t="shared" si="402"/>
        <v>N/A</v>
      </c>
      <c r="M638" s="186" t="b">
        <f t="shared" si="403"/>
        <v>1</v>
      </c>
      <c r="N638" s="186" t="str">
        <f t="shared" si="404"/>
        <v>Used?</v>
      </c>
      <c r="O638" s="186" t="b">
        <f t="shared" si="405"/>
        <v>0</v>
      </c>
      <c r="P638" s="26" t="s">
        <v>696</v>
      </c>
      <c r="Q638" s="160" t="s">
        <v>20</v>
      </c>
      <c r="R638" s="160" t="s">
        <v>20</v>
      </c>
      <c r="S638" s="26" t="s">
        <v>697</v>
      </c>
      <c r="T638" s="165" t="str">
        <f t="shared" si="406"/>
        <v>Not Used</v>
      </c>
      <c r="U638" s="162"/>
      <c r="V638" s="55"/>
      <c r="W638" s="51" t="b">
        <f t="shared" si="407"/>
        <v>1</v>
      </c>
      <c r="X638" s="51" t="str">
        <f t="shared" si="408"/>
        <v>Not Used</v>
      </c>
      <c r="Y638" s="51" t="str">
        <f t="shared" si="409"/>
        <v>Not Used</v>
      </c>
      <c r="Z638" s="51" t="str">
        <f t="shared" si="410"/>
        <v>Not Used</v>
      </c>
      <c r="AA638" s="51" t="str">
        <f t="shared" si="410"/>
        <v>Not Used</v>
      </c>
      <c r="AB638" s="51" t="str">
        <f t="shared" si="411"/>
        <v>Not Used</v>
      </c>
      <c r="AC638" s="51" t="b">
        <f t="shared" si="412"/>
        <v>1</v>
      </c>
      <c r="AD638" s="51">
        <f>COUNTIF($X$5:$X$638, "Not Used")</f>
        <v>634</v>
      </c>
      <c r="AE638" s="51">
        <f>COUNTIF($X$5:$X$638, "TRUE")</f>
        <v>0</v>
      </c>
      <c r="AF638" s="51" t="b">
        <f t="shared" si="413"/>
        <v>1</v>
      </c>
      <c r="AI638" s="51" t="b">
        <f t="shared" si="414"/>
        <v>0</v>
      </c>
      <c r="AJ638" s="51" t="b">
        <f t="shared" si="415"/>
        <v>0</v>
      </c>
      <c r="AK638" s="51" t="b">
        <f t="shared" si="416"/>
        <v>0</v>
      </c>
      <c r="AL638" s="51" t="b">
        <f t="shared" si="417"/>
        <v>0</v>
      </c>
      <c r="AM638" s="51" t="b">
        <f t="shared" si="418"/>
        <v>0</v>
      </c>
      <c r="AN638" s="51"/>
      <c r="AO638" s="51" t="b">
        <f t="shared" si="419"/>
        <v>0</v>
      </c>
      <c r="AP638" s="51" t="str">
        <f t="shared" si="441"/>
        <v>Not in MMS</v>
      </c>
      <c r="AQ638" s="51" t="b">
        <f t="shared" si="420"/>
        <v>0</v>
      </c>
      <c r="AR638" s="51" t="b">
        <f t="shared" si="421"/>
        <v>0</v>
      </c>
      <c r="AS638" s="51" t="str">
        <f t="shared" si="422"/>
        <v/>
      </c>
      <c r="AT638" s="51" t="str">
        <f t="shared" si="423"/>
        <v/>
      </c>
      <c r="AU638" s="51" t="str">
        <f t="shared" si="424"/>
        <v/>
      </c>
      <c r="AV638" s="51" t="str">
        <f t="shared" si="425"/>
        <v/>
      </c>
      <c r="AW638" s="51" t="str">
        <f t="shared" si="426"/>
        <v/>
      </c>
      <c r="AX638" s="51" t="str">
        <f t="shared" si="427"/>
        <v/>
      </c>
      <c r="AY638" s="51" t="str">
        <f t="shared" si="428"/>
        <v/>
      </c>
      <c r="AZ638" s="51" t="str">
        <f t="shared" si="429"/>
        <v/>
      </c>
      <c r="BA638" s="51" t="str">
        <f t="shared" si="430"/>
        <v/>
      </c>
      <c r="BB638" s="51" t="str">
        <f t="shared" si="431"/>
        <v/>
      </c>
      <c r="BC638" s="51" t="str">
        <f t="shared" si="432"/>
        <v/>
      </c>
      <c r="BD638" s="51" t="str">
        <f t="shared" si="433"/>
        <v/>
      </c>
      <c r="BE638" s="51" t="str">
        <f t="shared" si="434"/>
        <v/>
      </c>
      <c r="BF638" s="51" t="str">
        <f t="shared" si="435"/>
        <v/>
      </c>
      <c r="BG638" s="51" t="str">
        <f t="shared" si="436"/>
        <v/>
      </c>
      <c r="BH638" s="51" t="b">
        <f t="shared" si="437"/>
        <v>0</v>
      </c>
      <c r="BI638" s="51" t="str">
        <f t="shared" si="438"/>
        <v/>
      </c>
      <c r="BJ638" s="51" t="str">
        <f t="shared" si="439"/>
        <v/>
      </c>
      <c r="BK638" s="51" t="b">
        <f t="shared" si="440"/>
        <v>0</v>
      </c>
      <c r="BL638" s="192"/>
    </row>
    <row r="639" spans="1:64" ht="13.5" thickBot="1" x14ac:dyDescent="0.25">
      <c r="A639" s="185" t="s">
        <v>1312</v>
      </c>
      <c r="B639" s="194" t="s">
        <v>695</v>
      </c>
      <c r="C639" s="194" t="s">
        <v>695</v>
      </c>
      <c r="D639" s="194" t="s">
        <v>695</v>
      </c>
      <c r="E639" s="193" t="s">
        <v>694</v>
      </c>
      <c r="F639" s="160" t="s">
        <v>20</v>
      </c>
      <c r="G639" s="161"/>
      <c r="H639" s="186" t="str">
        <f t="shared" si="398"/>
        <v>N/A</v>
      </c>
      <c r="I639" s="186" t="b">
        <f t="shared" si="399"/>
        <v>1</v>
      </c>
      <c r="J639" s="186" t="str">
        <f t="shared" si="400"/>
        <v>N/A</v>
      </c>
      <c r="K639" s="186" t="b">
        <f t="shared" si="401"/>
        <v>1</v>
      </c>
      <c r="L639" s="186" t="str">
        <f t="shared" si="402"/>
        <v>N/A</v>
      </c>
      <c r="M639" s="186" t="b">
        <f t="shared" si="403"/>
        <v>1</v>
      </c>
      <c r="N639" s="186" t="str">
        <f t="shared" si="404"/>
        <v>Used?</v>
      </c>
      <c r="O639" s="186" t="b">
        <f t="shared" si="405"/>
        <v>0</v>
      </c>
      <c r="P639" s="26" t="s">
        <v>696</v>
      </c>
      <c r="Q639" s="160" t="s">
        <v>20</v>
      </c>
      <c r="R639" s="160" t="s">
        <v>20</v>
      </c>
      <c r="S639" s="26" t="s">
        <v>697</v>
      </c>
      <c r="T639" s="165" t="str">
        <f t="shared" si="406"/>
        <v>Not Used</v>
      </c>
      <c r="U639" s="162"/>
      <c r="V639" s="55"/>
      <c r="W639" s="51" t="b">
        <f t="shared" si="407"/>
        <v>1</v>
      </c>
      <c r="X639" s="51" t="str">
        <f t="shared" si="408"/>
        <v>Not Used</v>
      </c>
      <c r="Y639" s="51" t="str">
        <f t="shared" si="409"/>
        <v>Not Used</v>
      </c>
      <c r="Z639" s="51" t="str">
        <f t="shared" si="410"/>
        <v>Not Used</v>
      </c>
      <c r="AA639" s="51" t="str">
        <f t="shared" si="410"/>
        <v>Not Used</v>
      </c>
      <c r="AB639" s="51" t="str">
        <f t="shared" si="411"/>
        <v>Not Used</v>
      </c>
      <c r="AC639" s="51" t="b">
        <f t="shared" si="412"/>
        <v>1</v>
      </c>
      <c r="AD639" s="51">
        <f>COUNTIF($X$5:$X$639, "Not Used")</f>
        <v>635</v>
      </c>
      <c r="AE639" s="51">
        <f>COUNTIF($X$5:$X$639, "TRUE")</f>
        <v>0</v>
      </c>
      <c r="AF639" s="51" t="b">
        <f t="shared" si="413"/>
        <v>1</v>
      </c>
      <c r="AI639" s="51" t="b">
        <f t="shared" si="414"/>
        <v>0</v>
      </c>
      <c r="AJ639" s="51" t="b">
        <f t="shared" si="415"/>
        <v>0</v>
      </c>
      <c r="AK639" s="51" t="b">
        <f t="shared" si="416"/>
        <v>0</v>
      </c>
      <c r="AL639" s="51" t="b">
        <f t="shared" si="417"/>
        <v>0</v>
      </c>
      <c r="AM639" s="51" t="b">
        <f t="shared" si="418"/>
        <v>0</v>
      </c>
      <c r="AN639" s="51"/>
      <c r="AO639" s="51" t="b">
        <f t="shared" si="419"/>
        <v>0</v>
      </c>
      <c r="AP639" s="51" t="str">
        <f t="shared" si="441"/>
        <v>Not in MMS</v>
      </c>
      <c r="AQ639" s="51" t="b">
        <f t="shared" si="420"/>
        <v>0</v>
      </c>
      <c r="AR639" s="51" t="b">
        <f t="shared" si="421"/>
        <v>0</v>
      </c>
      <c r="AS639" s="51" t="str">
        <f t="shared" si="422"/>
        <v/>
      </c>
      <c r="AT639" s="51" t="str">
        <f t="shared" si="423"/>
        <v/>
      </c>
      <c r="AU639" s="51" t="str">
        <f t="shared" si="424"/>
        <v/>
      </c>
      <c r="AV639" s="51" t="str">
        <f t="shared" si="425"/>
        <v/>
      </c>
      <c r="AW639" s="51" t="str">
        <f t="shared" si="426"/>
        <v/>
      </c>
      <c r="AX639" s="51" t="str">
        <f t="shared" si="427"/>
        <v/>
      </c>
      <c r="AY639" s="51" t="str">
        <f t="shared" si="428"/>
        <v/>
      </c>
      <c r="AZ639" s="51" t="str">
        <f t="shared" si="429"/>
        <v/>
      </c>
      <c r="BA639" s="51" t="str">
        <f t="shared" si="430"/>
        <v/>
      </c>
      <c r="BB639" s="51" t="str">
        <f t="shared" si="431"/>
        <v/>
      </c>
      <c r="BC639" s="51" t="str">
        <f t="shared" si="432"/>
        <v/>
      </c>
      <c r="BD639" s="51" t="str">
        <f t="shared" si="433"/>
        <v/>
      </c>
      <c r="BE639" s="51" t="str">
        <f t="shared" si="434"/>
        <v/>
      </c>
      <c r="BF639" s="51" t="str">
        <f t="shared" si="435"/>
        <v/>
      </c>
      <c r="BG639" s="51" t="str">
        <f t="shared" si="436"/>
        <v/>
      </c>
      <c r="BH639" s="51" t="b">
        <f t="shared" si="437"/>
        <v>0</v>
      </c>
      <c r="BI639" s="51" t="str">
        <f t="shared" si="438"/>
        <v/>
      </c>
      <c r="BJ639" s="51" t="str">
        <f t="shared" si="439"/>
        <v/>
      </c>
      <c r="BK639" s="51" t="b">
        <f t="shared" si="440"/>
        <v>0</v>
      </c>
      <c r="BL639" s="192"/>
    </row>
    <row r="640" spans="1:64" ht="13.5" thickBot="1" x14ac:dyDescent="0.25">
      <c r="A640" s="185" t="s">
        <v>1313</v>
      </c>
      <c r="B640" s="194" t="s">
        <v>695</v>
      </c>
      <c r="C640" s="194" t="s">
        <v>695</v>
      </c>
      <c r="D640" s="194" t="s">
        <v>695</v>
      </c>
      <c r="E640" s="193" t="s">
        <v>694</v>
      </c>
      <c r="F640" s="160" t="s">
        <v>20</v>
      </c>
      <c r="G640" s="161"/>
      <c r="H640" s="186" t="str">
        <f t="shared" si="398"/>
        <v>N/A</v>
      </c>
      <c r="I640" s="186" t="b">
        <f t="shared" si="399"/>
        <v>1</v>
      </c>
      <c r="J640" s="186" t="str">
        <f t="shared" si="400"/>
        <v>N/A</v>
      </c>
      <c r="K640" s="186" t="b">
        <f t="shared" si="401"/>
        <v>1</v>
      </c>
      <c r="L640" s="186" t="str">
        <f t="shared" si="402"/>
        <v>N/A</v>
      </c>
      <c r="M640" s="186" t="b">
        <f t="shared" si="403"/>
        <v>1</v>
      </c>
      <c r="N640" s="186" t="str">
        <f t="shared" si="404"/>
        <v>Used?</v>
      </c>
      <c r="O640" s="186" t="b">
        <f t="shared" si="405"/>
        <v>0</v>
      </c>
      <c r="P640" s="26" t="s">
        <v>696</v>
      </c>
      <c r="Q640" s="160" t="s">
        <v>20</v>
      </c>
      <c r="R640" s="160" t="s">
        <v>20</v>
      </c>
      <c r="S640" s="26" t="s">
        <v>697</v>
      </c>
      <c r="T640" s="165" t="str">
        <f t="shared" si="406"/>
        <v>Not Used</v>
      </c>
      <c r="U640" s="162"/>
      <c r="V640" s="55"/>
      <c r="W640" s="51" t="b">
        <f t="shared" si="407"/>
        <v>1</v>
      </c>
      <c r="X640" s="51" t="str">
        <f t="shared" si="408"/>
        <v>Not Used</v>
      </c>
      <c r="Y640" s="51" t="str">
        <f t="shared" si="409"/>
        <v>Not Used</v>
      </c>
      <c r="Z640" s="51" t="str">
        <f t="shared" si="410"/>
        <v>Not Used</v>
      </c>
      <c r="AA640" s="51" t="str">
        <f t="shared" si="410"/>
        <v>Not Used</v>
      </c>
      <c r="AB640" s="51" t="str">
        <f t="shared" si="411"/>
        <v>Not Used</v>
      </c>
      <c r="AC640" s="51" t="b">
        <f t="shared" si="412"/>
        <v>1</v>
      </c>
      <c r="AD640" s="51">
        <f>COUNTIF($X$5:$X$640, "Not Used")</f>
        <v>636</v>
      </c>
      <c r="AE640" s="51">
        <f>COUNTIF($X$5:$X$640, "TRUE")</f>
        <v>0</v>
      </c>
      <c r="AF640" s="51" t="b">
        <f t="shared" si="413"/>
        <v>1</v>
      </c>
      <c r="AI640" s="51" t="b">
        <f t="shared" si="414"/>
        <v>0</v>
      </c>
      <c r="AJ640" s="51" t="b">
        <f t="shared" si="415"/>
        <v>0</v>
      </c>
      <c r="AK640" s="51" t="b">
        <f t="shared" si="416"/>
        <v>0</v>
      </c>
      <c r="AL640" s="51" t="b">
        <f t="shared" si="417"/>
        <v>0</v>
      </c>
      <c r="AM640" s="51" t="b">
        <f t="shared" si="418"/>
        <v>0</v>
      </c>
      <c r="AN640" s="51"/>
      <c r="AO640" s="51" t="b">
        <f t="shared" si="419"/>
        <v>0</v>
      </c>
      <c r="AP640" s="51" t="str">
        <f t="shared" si="441"/>
        <v>Not in MMS</v>
      </c>
      <c r="AQ640" s="51" t="b">
        <f t="shared" si="420"/>
        <v>0</v>
      </c>
      <c r="AR640" s="51" t="b">
        <f t="shared" si="421"/>
        <v>0</v>
      </c>
      <c r="AS640" s="51" t="str">
        <f t="shared" si="422"/>
        <v/>
      </c>
      <c r="AT640" s="51" t="str">
        <f t="shared" si="423"/>
        <v/>
      </c>
      <c r="AU640" s="51" t="str">
        <f t="shared" si="424"/>
        <v/>
      </c>
      <c r="AV640" s="51" t="str">
        <f t="shared" si="425"/>
        <v/>
      </c>
      <c r="AW640" s="51" t="str">
        <f t="shared" si="426"/>
        <v/>
      </c>
      <c r="AX640" s="51" t="str">
        <f t="shared" si="427"/>
        <v/>
      </c>
      <c r="AY640" s="51" t="str">
        <f t="shared" si="428"/>
        <v/>
      </c>
      <c r="AZ640" s="51" t="str">
        <f t="shared" si="429"/>
        <v/>
      </c>
      <c r="BA640" s="51" t="str">
        <f t="shared" si="430"/>
        <v/>
      </c>
      <c r="BB640" s="51" t="str">
        <f t="shared" si="431"/>
        <v/>
      </c>
      <c r="BC640" s="51" t="str">
        <f t="shared" si="432"/>
        <v/>
      </c>
      <c r="BD640" s="51" t="str">
        <f t="shared" si="433"/>
        <v/>
      </c>
      <c r="BE640" s="51" t="str">
        <f t="shared" si="434"/>
        <v/>
      </c>
      <c r="BF640" s="51" t="str">
        <f t="shared" si="435"/>
        <v/>
      </c>
      <c r="BG640" s="51" t="str">
        <f t="shared" si="436"/>
        <v/>
      </c>
      <c r="BH640" s="51" t="b">
        <f t="shared" si="437"/>
        <v>0</v>
      </c>
      <c r="BI640" s="51" t="str">
        <f t="shared" si="438"/>
        <v/>
      </c>
      <c r="BJ640" s="51" t="str">
        <f t="shared" si="439"/>
        <v/>
      </c>
      <c r="BK640" s="51" t="b">
        <f t="shared" si="440"/>
        <v>0</v>
      </c>
      <c r="BL640" s="192"/>
    </row>
    <row r="641" spans="1:64" ht="13.5" thickBot="1" x14ac:dyDescent="0.25">
      <c r="A641" s="185" t="s">
        <v>1910</v>
      </c>
      <c r="B641" s="194" t="s">
        <v>695</v>
      </c>
      <c r="C641" s="194" t="s">
        <v>695</v>
      </c>
      <c r="D641" s="194" t="s">
        <v>695</v>
      </c>
      <c r="E641" s="193" t="s">
        <v>694</v>
      </c>
      <c r="F641" s="160" t="s">
        <v>20</v>
      </c>
      <c r="G641" s="161"/>
      <c r="H641" s="186" t="str">
        <f t="shared" si="398"/>
        <v>N/A</v>
      </c>
      <c r="I641" s="186" t="b">
        <f t="shared" si="399"/>
        <v>1</v>
      </c>
      <c r="J641" s="186" t="str">
        <f t="shared" si="400"/>
        <v>N/A</v>
      </c>
      <c r="K641" s="186" t="b">
        <f t="shared" si="401"/>
        <v>1</v>
      </c>
      <c r="L641" s="186" t="str">
        <f t="shared" si="402"/>
        <v>N/A</v>
      </c>
      <c r="M641" s="186" t="b">
        <f t="shared" si="403"/>
        <v>1</v>
      </c>
      <c r="N641" s="186" t="str">
        <f t="shared" si="404"/>
        <v>Used?</v>
      </c>
      <c r="O641" s="186" t="b">
        <f t="shared" si="405"/>
        <v>0</v>
      </c>
      <c r="P641" s="26" t="s">
        <v>696</v>
      </c>
      <c r="Q641" s="160" t="s">
        <v>20</v>
      </c>
      <c r="R641" s="160" t="s">
        <v>20</v>
      </c>
      <c r="S641" s="26" t="s">
        <v>697</v>
      </c>
      <c r="T641" s="165" t="str">
        <f t="shared" si="406"/>
        <v>Not Used</v>
      </c>
      <c r="U641" s="162"/>
      <c r="V641" s="55"/>
      <c r="W641" s="51" t="b">
        <f t="shared" si="407"/>
        <v>1</v>
      </c>
      <c r="X641" s="51" t="str">
        <f t="shared" si="408"/>
        <v>Not Used</v>
      </c>
      <c r="Y641" s="51" t="str">
        <f t="shared" si="409"/>
        <v>Not Used</v>
      </c>
      <c r="Z641" s="51" t="str">
        <f t="shared" si="410"/>
        <v>Not Used</v>
      </c>
      <c r="AA641" s="51" t="str">
        <f t="shared" si="410"/>
        <v>Not Used</v>
      </c>
      <c r="AB641" s="51" t="str">
        <f t="shared" si="411"/>
        <v>Not Used</v>
      </c>
      <c r="AC641" s="51" t="b">
        <f t="shared" si="412"/>
        <v>1</v>
      </c>
      <c r="AD641" s="51">
        <f>COUNTIF($X$5:$X$643, "Not Used")</f>
        <v>639</v>
      </c>
      <c r="AE641" s="51">
        <f>COUNTIF($X$5:$X$643, "TRUE")</f>
        <v>0</v>
      </c>
      <c r="AF641" s="51" t="b">
        <f t="shared" si="413"/>
        <v>1</v>
      </c>
      <c r="AI641" s="51" t="b">
        <f t="shared" si="414"/>
        <v>0</v>
      </c>
      <c r="AJ641" s="51" t="b">
        <f t="shared" si="415"/>
        <v>0</v>
      </c>
      <c r="AK641" s="51" t="b">
        <f t="shared" si="416"/>
        <v>0</v>
      </c>
      <c r="AL641" s="51" t="b">
        <f t="shared" si="417"/>
        <v>0</v>
      </c>
      <c r="AM641" s="51" t="b">
        <f t="shared" si="418"/>
        <v>0</v>
      </c>
      <c r="AN641" s="51"/>
      <c r="AO641" s="51" t="b">
        <f t="shared" si="419"/>
        <v>0</v>
      </c>
      <c r="AP641" s="51" t="str">
        <f t="shared" si="441"/>
        <v>Not in MMS</v>
      </c>
      <c r="AQ641" s="51" t="b">
        <f t="shared" si="420"/>
        <v>0</v>
      </c>
      <c r="AR641" s="51" t="b">
        <f t="shared" si="421"/>
        <v>0</v>
      </c>
      <c r="AS641" s="51" t="str">
        <f t="shared" si="422"/>
        <v/>
      </c>
      <c r="AT641" s="51" t="str">
        <f t="shared" si="423"/>
        <v/>
      </c>
      <c r="AU641" s="51" t="str">
        <f t="shared" si="424"/>
        <v/>
      </c>
      <c r="AV641" s="51" t="str">
        <f t="shared" si="425"/>
        <v/>
      </c>
      <c r="AW641" s="51" t="str">
        <f t="shared" si="426"/>
        <v/>
      </c>
      <c r="AX641" s="51" t="str">
        <f t="shared" si="427"/>
        <v/>
      </c>
      <c r="AY641" s="51" t="str">
        <f t="shared" si="428"/>
        <v/>
      </c>
      <c r="AZ641" s="51" t="str">
        <f t="shared" si="429"/>
        <v/>
      </c>
      <c r="BA641" s="51" t="str">
        <f t="shared" si="430"/>
        <v/>
      </c>
      <c r="BB641" s="51" t="str">
        <f t="shared" si="431"/>
        <v/>
      </c>
      <c r="BC641" s="51" t="str">
        <f t="shared" si="432"/>
        <v/>
      </c>
      <c r="BD641" s="51" t="str">
        <f t="shared" si="433"/>
        <v/>
      </c>
      <c r="BE641" s="51" t="str">
        <f t="shared" si="434"/>
        <v/>
      </c>
      <c r="BF641" s="51" t="str">
        <f t="shared" si="435"/>
        <v/>
      </c>
      <c r="BG641" s="51" t="str">
        <f t="shared" si="436"/>
        <v/>
      </c>
      <c r="BH641" s="51" t="b">
        <f t="shared" si="437"/>
        <v>0</v>
      </c>
      <c r="BI641" s="51" t="str">
        <f t="shared" si="438"/>
        <v/>
      </c>
      <c r="BJ641" s="51" t="str">
        <f t="shared" si="439"/>
        <v/>
      </c>
      <c r="BK641" s="51" t="b">
        <f t="shared" si="440"/>
        <v>0</v>
      </c>
      <c r="BL641" s="192"/>
    </row>
    <row r="642" spans="1:64" ht="13.5" thickBot="1" x14ac:dyDescent="0.25">
      <c r="A642" s="185" t="s">
        <v>1911</v>
      </c>
      <c r="B642" s="194" t="s">
        <v>695</v>
      </c>
      <c r="C642" s="194" t="s">
        <v>695</v>
      </c>
      <c r="D642" s="194" t="s">
        <v>695</v>
      </c>
      <c r="E642" s="193" t="s">
        <v>694</v>
      </c>
      <c r="F642" s="160" t="s">
        <v>20</v>
      </c>
      <c r="G642" s="161"/>
      <c r="H642" s="186" t="str">
        <f t="shared" si="398"/>
        <v>N/A</v>
      </c>
      <c r="I642" s="186" t="b">
        <f t="shared" si="399"/>
        <v>1</v>
      </c>
      <c r="J642" s="186" t="str">
        <f t="shared" si="400"/>
        <v>N/A</v>
      </c>
      <c r="K642" s="186" t="b">
        <f t="shared" si="401"/>
        <v>1</v>
      </c>
      <c r="L642" s="186" t="str">
        <f t="shared" si="402"/>
        <v>N/A</v>
      </c>
      <c r="M642" s="186" t="b">
        <f t="shared" si="403"/>
        <v>1</v>
      </c>
      <c r="N642" s="186" t="str">
        <f t="shared" si="404"/>
        <v>Used?</v>
      </c>
      <c r="O642" s="186" t="b">
        <f t="shared" si="405"/>
        <v>0</v>
      </c>
      <c r="P642" s="26" t="s">
        <v>696</v>
      </c>
      <c r="Q642" s="160" t="s">
        <v>20</v>
      </c>
      <c r="R642" s="160" t="s">
        <v>20</v>
      </c>
      <c r="S642" s="26" t="s">
        <v>697</v>
      </c>
      <c r="T642" s="165" t="str">
        <f t="shared" si="406"/>
        <v>Not Used</v>
      </c>
      <c r="U642" s="162"/>
      <c r="V642" s="55"/>
      <c r="W642" s="51" t="b">
        <f t="shared" si="407"/>
        <v>1</v>
      </c>
      <c r="X642" s="51" t="str">
        <f t="shared" si="408"/>
        <v>Not Used</v>
      </c>
      <c r="Y642" s="51" t="str">
        <f t="shared" si="409"/>
        <v>Not Used</v>
      </c>
      <c r="Z642" s="51" t="str">
        <f t="shared" si="410"/>
        <v>Not Used</v>
      </c>
      <c r="AA642" s="51" t="str">
        <f t="shared" si="410"/>
        <v>Not Used</v>
      </c>
      <c r="AB642" s="51" t="str">
        <f t="shared" si="411"/>
        <v>Not Used</v>
      </c>
      <c r="AC642" s="51" t="b">
        <f t="shared" si="412"/>
        <v>1</v>
      </c>
      <c r="AD642" s="51">
        <f>COUNTIF($X$5:$X$643, "Not Used")</f>
        <v>639</v>
      </c>
      <c r="AE642" s="51">
        <f>COUNTIF($X$5:$X$643, "TRUE")</f>
        <v>0</v>
      </c>
      <c r="AF642" s="51" t="b">
        <f t="shared" si="413"/>
        <v>1</v>
      </c>
      <c r="AI642" s="51" t="b">
        <f t="shared" si="414"/>
        <v>0</v>
      </c>
      <c r="AJ642" s="51" t="b">
        <f t="shared" si="415"/>
        <v>0</v>
      </c>
      <c r="AK642" s="51" t="b">
        <f t="shared" si="416"/>
        <v>0</v>
      </c>
      <c r="AL642" s="51" t="b">
        <f t="shared" si="417"/>
        <v>0</v>
      </c>
      <c r="AM642" s="51" t="b">
        <f t="shared" si="418"/>
        <v>0</v>
      </c>
      <c r="AN642" s="51"/>
      <c r="AO642" s="51" t="b">
        <f t="shared" si="419"/>
        <v>0</v>
      </c>
      <c r="AP642" s="51" t="str">
        <f t="shared" si="441"/>
        <v>Not in MMS</v>
      </c>
      <c r="AQ642" s="51" t="b">
        <f t="shared" si="420"/>
        <v>0</v>
      </c>
      <c r="AR642" s="51" t="b">
        <f t="shared" si="421"/>
        <v>0</v>
      </c>
      <c r="AS642" s="51" t="str">
        <f t="shared" si="422"/>
        <v/>
      </c>
      <c r="AT642" s="51" t="str">
        <f t="shared" si="423"/>
        <v/>
      </c>
      <c r="AU642" s="51" t="str">
        <f t="shared" si="424"/>
        <v/>
      </c>
      <c r="AV642" s="51" t="str">
        <f t="shared" si="425"/>
        <v/>
      </c>
      <c r="AW642" s="51" t="str">
        <f t="shared" si="426"/>
        <v/>
      </c>
      <c r="AX642" s="51" t="str">
        <f t="shared" si="427"/>
        <v/>
      </c>
      <c r="AY642" s="51" t="str">
        <f t="shared" si="428"/>
        <v/>
      </c>
      <c r="AZ642" s="51" t="str">
        <f t="shared" si="429"/>
        <v/>
      </c>
      <c r="BA642" s="51" t="str">
        <f t="shared" si="430"/>
        <v/>
      </c>
      <c r="BB642" s="51" t="str">
        <f t="shared" si="431"/>
        <v/>
      </c>
      <c r="BC642" s="51" t="str">
        <f t="shared" si="432"/>
        <v/>
      </c>
      <c r="BD642" s="51" t="str">
        <f t="shared" si="433"/>
        <v/>
      </c>
      <c r="BE642" s="51" t="str">
        <f t="shared" si="434"/>
        <v/>
      </c>
      <c r="BF642" s="51" t="str">
        <f t="shared" si="435"/>
        <v/>
      </c>
      <c r="BG642" s="51" t="str">
        <f t="shared" si="436"/>
        <v/>
      </c>
      <c r="BH642" s="51" t="b">
        <f t="shared" si="437"/>
        <v>0</v>
      </c>
      <c r="BI642" s="51" t="str">
        <f t="shared" si="438"/>
        <v/>
      </c>
      <c r="BJ642" s="51" t="str">
        <f t="shared" si="439"/>
        <v/>
      </c>
      <c r="BK642" s="51" t="b">
        <f t="shared" si="440"/>
        <v>0</v>
      </c>
      <c r="BL642" s="192"/>
    </row>
    <row r="643" spans="1:64" ht="13.5" thickBot="1" x14ac:dyDescent="0.25">
      <c r="A643" s="185" t="s">
        <v>1314</v>
      </c>
      <c r="B643" s="194" t="s">
        <v>695</v>
      </c>
      <c r="C643" s="194" t="s">
        <v>695</v>
      </c>
      <c r="D643" s="194" t="s">
        <v>695</v>
      </c>
      <c r="E643" s="193" t="s">
        <v>694</v>
      </c>
      <c r="F643" s="160" t="s">
        <v>20</v>
      </c>
      <c r="G643" s="161"/>
      <c r="H643" s="186" t="str">
        <f t="shared" si="398"/>
        <v>N/A</v>
      </c>
      <c r="I643" s="186" t="b">
        <f t="shared" si="399"/>
        <v>1</v>
      </c>
      <c r="J643" s="186" t="str">
        <f t="shared" si="400"/>
        <v>N/A</v>
      </c>
      <c r="K643" s="186" t="b">
        <f t="shared" si="401"/>
        <v>1</v>
      </c>
      <c r="L643" s="186" t="str">
        <f t="shared" si="402"/>
        <v>N/A</v>
      </c>
      <c r="M643" s="186" t="b">
        <f t="shared" si="403"/>
        <v>1</v>
      </c>
      <c r="N643" s="186" t="str">
        <f t="shared" si="404"/>
        <v>Used?</v>
      </c>
      <c r="O643" s="186" t="b">
        <f t="shared" si="405"/>
        <v>0</v>
      </c>
      <c r="P643" s="26" t="s">
        <v>696</v>
      </c>
      <c r="Q643" s="160" t="s">
        <v>20</v>
      </c>
      <c r="R643" s="160" t="s">
        <v>20</v>
      </c>
      <c r="S643" s="26" t="s">
        <v>697</v>
      </c>
      <c r="T643" s="165" t="str">
        <f t="shared" si="406"/>
        <v>Not Used</v>
      </c>
      <c r="U643" s="162"/>
      <c r="V643" s="55"/>
      <c r="W643" s="51" t="b">
        <f t="shared" si="407"/>
        <v>1</v>
      </c>
      <c r="X643" s="51" t="str">
        <f t="shared" si="408"/>
        <v>Not Used</v>
      </c>
      <c r="Y643" s="51" t="str">
        <f t="shared" si="409"/>
        <v>Not Used</v>
      </c>
      <c r="Z643" s="51" t="str">
        <f t="shared" si="410"/>
        <v>Not Used</v>
      </c>
      <c r="AA643" s="51" t="str">
        <f t="shared" si="410"/>
        <v>Not Used</v>
      </c>
      <c r="AB643" s="51" t="str">
        <f t="shared" si="411"/>
        <v>Not Used</v>
      </c>
      <c r="AC643" s="51" t="b">
        <f t="shared" si="412"/>
        <v>1</v>
      </c>
      <c r="AD643" s="51">
        <f>COUNTIF($X$5:$X$643, "Not Used")</f>
        <v>639</v>
      </c>
      <c r="AE643" s="51">
        <f>COUNTIF($X$5:$X$643, "TRUE")</f>
        <v>0</v>
      </c>
      <c r="AF643" s="51" t="b">
        <f t="shared" si="413"/>
        <v>1</v>
      </c>
      <c r="AI643" s="51" t="b">
        <f t="shared" si="414"/>
        <v>0</v>
      </c>
      <c r="AJ643" s="51" t="b">
        <f t="shared" si="415"/>
        <v>0</v>
      </c>
      <c r="AK643" s="51" t="b">
        <f t="shared" si="416"/>
        <v>0</v>
      </c>
      <c r="AL643" s="51" t="b">
        <f t="shared" si="417"/>
        <v>0</v>
      </c>
      <c r="AM643" s="51" t="b">
        <f t="shared" si="418"/>
        <v>0</v>
      </c>
      <c r="AN643" s="51"/>
      <c r="AO643" s="51" t="b">
        <f t="shared" si="419"/>
        <v>0</v>
      </c>
      <c r="AP643" s="51" t="str">
        <f t="shared" si="441"/>
        <v>Not in MMS</v>
      </c>
      <c r="AQ643" s="51" t="b">
        <f t="shared" si="420"/>
        <v>0</v>
      </c>
      <c r="AR643" s="51" t="b">
        <f t="shared" si="421"/>
        <v>0</v>
      </c>
      <c r="AS643" s="51" t="str">
        <f t="shared" si="422"/>
        <v/>
      </c>
      <c r="AT643" s="51" t="str">
        <f t="shared" si="423"/>
        <v/>
      </c>
      <c r="AU643" s="51" t="str">
        <f t="shared" si="424"/>
        <v/>
      </c>
      <c r="AV643" s="51" t="str">
        <f t="shared" si="425"/>
        <v/>
      </c>
      <c r="AW643" s="51" t="str">
        <f t="shared" si="426"/>
        <v/>
      </c>
      <c r="AX643" s="51" t="str">
        <f t="shared" si="427"/>
        <v/>
      </c>
      <c r="AY643" s="51" t="str">
        <f t="shared" si="428"/>
        <v/>
      </c>
      <c r="AZ643" s="51" t="str">
        <f t="shared" si="429"/>
        <v/>
      </c>
      <c r="BA643" s="51" t="str">
        <f t="shared" si="430"/>
        <v/>
      </c>
      <c r="BB643" s="51" t="str">
        <f t="shared" si="431"/>
        <v/>
      </c>
      <c r="BC643" s="51" t="str">
        <f t="shared" si="432"/>
        <v/>
      </c>
      <c r="BD643" s="51" t="str">
        <f t="shared" si="433"/>
        <v/>
      </c>
      <c r="BE643" s="51" t="str">
        <f t="shared" si="434"/>
        <v/>
      </c>
      <c r="BF643" s="51" t="str">
        <f t="shared" si="435"/>
        <v/>
      </c>
      <c r="BG643" s="51" t="str">
        <f t="shared" si="436"/>
        <v/>
      </c>
      <c r="BH643" s="51" t="b">
        <f t="shared" si="437"/>
        <v>0</v>
      </c>
      <c r="BI643" s="51" t="str">
        <f t="shared" si="438"/>
        <v/>
      </c>
      <c r="BJ643" s="51" t="str">
        <f t="shared" si="439"/>
        <v/>
      </c>
      <c r="BK643" s="51" t="b">
        <f t="shared" si="440"/>
        <v>0</v>
      </c>
      <c r="BL643" s="192"/>
    </row>
    <row r="644" spans="1:64" ht="13.5" thickBot="1" x14ac:dyDescent="0.25">
      <c r="A644" s="185" t="s">
        <v>1315</v>
      </c>
      <c r="B644" s="194" t="s">
        <v>695</v>
      </c>
      <c r="C644" s="194" t="s">
        <v>695</v>
      </c>
      <c r="D644" s="194" t="s">
        <v>695</v>
      </c>
      <c r="E644" s="193" t="s">
        <v>694</v>
      </c>
      <c r="F644" s="160" t="s">
        <v>20</v>
      </c>
      <c r="G644" s="161"/>
      <c r="H644" s="186" t="str">
        <f t="shared" si="398"/>
        <v>N/A</v>
      </c>
      <c r="I644" s="186" t="b">
        <f t="shared" si="399"/>
        <v>1</v>
      </c>
      <c r="J644" s="186" t="str">
        <f t="shared" si="400"/>
        <v>N/A</v>
      </c>
      <c r="K644" s="186" t="b">
        <f t="shared" si="401"/>
        <v>1</v>
      </c>
      <c r="L644" s="186" t="str">
        <f t="shared" si="402"/>
        <v>N/A</v>
      </c>
      <c r="M644" s="186" t="b">
        <f t="shared" si="403"/>
        <v>1</v>
      </c>
      <c r="N644" s="186" t="str">
        <f t="shared" si="404"/>
        <v>Used?</v>
      </c>
      <c r="O644" s="186" t="b">
        <f t="shared" si="405"/>
        <v>0</v>
      </c>
      <c r="P644" s="26" t="s">
        <v>696</v>
      </c>
      <c r="Q644" s="160" t="s">
        <v>20</v>
      </c>
      <c r="R644" s="160" t="s">
        <v>20</v>
      </c>
      <c r="S644" s="26" t="s">
        <v>697</v>
      </c>
      <c r="T644" s="165" t="str">
        <f t="shared" si="406"/>
        <v>Not Used</v>
      </c>
      <c r="U644" s="162"/>
      <c r="V644" s="55"/>
      <c r="W644" s="51" t="b">
        <f t="shared" si="407"/>
        <v>1</v>
      </c>
      <c r="X644" s="51" t="str">
        <f t="shared" si="408"/>
        <v>Not Used</v>
      </c>
      <c r="Y644" s="51" t="str">
        <f t="shared" si="409"/>
        <v>Not Used</v>
      </c>
      <c r="Z644" s="51" t="str">
        <f t="shared" si="410"/>
        <v>Not Used</v>
      </c>
      <c r="AA644" s="51" t="str">
        <f t="shared" si="410"/>
        <v>Not Used</v>
      </c>
      <c r="AB644" s="51" t="str">
        <f t="shared" si="411"/>
        <v>Not Used</v>
      </c>
      <c r="AC644" s="51" t="b">
        <f t="shared" si="412"/>
        <v>1</v>
      </c>
      <c r="AD644" s="51">
        <f>COUNTIF($X$5:$X$644, "Not Used")</f>
        <v>640</v>
      </c>
      <c r="AE644" s="51">
        <f>COUNTIF($X$5:$X$644, "TRUE")</f>
        <v>0</v>
      </c>
      <c r="AF644" s="51" t="b">
        <f t="shared" si="413"/>
        <v>1</v>
      </c>
      <c r="AI644" s="51" t="b">
        <f t="shared" si="414"/>
        <v>0</v>
      </c>
      <c r="AJ644" s="51" t="b">
        <f t="shared" si="415"/>
        <v>0</v>
      </c>
      <c r="AK644" s="51" t="b">
        <f t="shared" si="416"/>
        <v>0</v>
      </c>
      <c r="AL644" s="51" t="b">
        <f t="shared" si="417"/>
        <v>0</v>
      </c>
      <c r="AM644" s="51" t="b">
        <f t="shared" si="418"/>
        <v>0</v>
      </c>
      <c r="AN644" s="51"/>
      <c r="AO644" s="51" t="b">
        <f t="shared" si="419"/>
        <v>0</v>
      </c>
      <c r="AP644" s="51" t="str">
        <f t="shared" si="441"/>
        <v>Not in MMS</v>
      </c>
      <c r="AQ644" s="51" t="b">
        <f t="shared" si="420"/>
        <v>0</v>
      </c>
      <c r="AR644" s="51" t="b">
        <f t="shared" si="421"/>
        <v>0</v>
      </c>
      <c r="AS644" s="51" t="str">
        <f t="shared" si="422"/>
        <v/>
      </c>
      <c r="AT644" s="51" t="str">
        <f t="shared" si="423"/>
        <v/>
      </c>
      <c r="AU644" s="51" t="str">
        <f t="shared" si="424"/>
        <v/>
      </c>
      <c r="AV644" s="51" t="str">
        <f t="shared" si="425"/>
        <v/>
      </c>
      <c r="AW644" s="51" t="str">
        <f t="shared" si="426"/>
        <v/>
      </c>
      <c r="AX644" s="51" t="str">
        <f t="shared" si="427"/>
        <v/>
      </c>
      <c r="AY644" s="51" t="str">
        <f t="shared" si="428"/>
        <v/>
      </c>
      <c r="AZ644" s="51" t="str">
        <f t="shared" si="429"/>
        <v/>
      </c>
      <c r="BA644" s="51" t="str">
        <f t="shared" si="430"/>
        <v/>
      </c>
      <c r="BB644" s="51" t="str">
        <f t="shared" si="431"/>
        <v/>
      </c>
      <c r="BC644" s="51" t="str">
        <f t="shared" si="432"/>
        <v/>
      </c>
      <c r="BD644" s="51" t="str">
        <f t="shared" si="433"/>
        <v/>
      </c>
      <c r="BE644" s="51" t="str">
        <f t="shared" si="434"/>
        <v/>
      </c>
      <c r="BF644" s="51" t="str">
        <f t="shared" si="435"/>
        <v/>
      </c>
      <c r="BG644" s="51" t="str">
        <f t="shared" si="436"/>
        <v/>
      </c>
      <c r="BH644" s="51" t="b">
        <f t="shared" si="437"/>
        <v>0</v>
      </c>
      <c r="BI644" s="51" t="str">
        <f t="shared" si="438"/>
        <v/>
      </c>
      <c r="BJ644" s="51" t="str">
        <f t="shared" si="439"/>
        <v/>
      </c>
      <c r="BK644" s="51" t="b">
        <f t="shared" si="440"/>
        <v>0</v>
      </c>
      <c r="BL644" s="192"/>
    </row>
    <row r="645" spans="1:64" ht="13.5" thickBot="1" x14ac:dyDescent="0.25">
      <c r="A645" s="185" t="s">
        <v>1316</v>
      </c>
      <c r="B645" s="194" t="s">
        <v>695</v>
      </c>
      <c r="C645" s="194" t="s">
        <v>695</v>
      </c>
      <c r="D645" s="194" t="s">
        <v>695</v>
      </c>
      <c r="E645" s="193" t="s">
        <v>694</v>
      </c>
      <c r="F645" s="160" t="s">
        <v>20</v>
      </c>
      <c r="G645" s="161"/>
      <c r="H645" s="186" t="str">
        <f t="shared" si="398"/>
        <v>N/A</v>
      </c>
      <c r="I645" s="186" t="b">
        <f t="shared" si="399"/>
        <v>1</v>
      </c>
      <c r="J645" s="186" t="str">
        <f t="shared" si="400"/>
        <v>N/A</v>
      </c>
      <c r="K645" s="186" t="b">
        <f t="shared" si="401"/>
        <v>1</v>
      </c>
      <c r="L645" s="186" t="str">
        <f t="shared" si="402"/>
        <v>N/A</v>
      </c>
      <c r="M645" s="186" t="b">
        <f t="shared" si="403"/>
        <v>1</v>
      </c>
      <c r="N645" s="186" t="str">
        <f t="shared" si="404"/>
        <v>Used?</v>
      </c>
      <c r="O645" s="186" t="b">
        <f t="shared" si="405"/>
        <v>0</v>
      </c>
      <c r="P645" s="26" t="s">
        <v>696</v>
      </c>
      <c r="Q645" s="160" t="s">
        <v>20</v>
      </c>
      <c r="R645" s="160" t="s">
        <v>20</v>
      </c>
      <c r="S645" s="26" t="s">
        <v>697</v>
      </c>
      <c r="T645" s="165" t="str">
        <f t="shared" si="406"/>
        <v>Not Used</v>
      </c>
      <c r="U645" s="162"/>
      <c r="V645" s="55"/>
      <c r="W645" s="51" t="b">
        <f t="shared" si="407"/>
        <v>1</v>
      </c>
      <c r="X645" s="51" t="str">
        <f t="shared" si="408"/>
        <v>Not Used</v>
      </c>
      <c r="Y645" s="51" t="str">
        <f t="shared" si="409"/>
        <v>Not Used</v>
      </c>
      <c r="Z645" s="51" t="str">
        <f t="shared" si="410"/>
        <v>Not Used</v>
      </c>
      <c r="AA645" s="51" t="str">
        <f t="shared" si="410"/>
        <v>Not Used</v>
      </c>
      <c r="AB645" s="51" t="str">
        <f t="shared" si="411"/>
        <v>Not Used</v>
      </c>
      <c r="AC645" s="51" t="b">
        <f t="shared" si="412"/>
        <v>1</v>
      </c>
      <c r="AD645" s="51">
        <f>COUNTIF($X$5:$X$645, "Not Used")</f>
        <v>641</v>
      </c>
      <c r="AE645" s="51">
        <f>COUNTIF($X$5:$X$645, "TRUE")</f>
        <v>0</v>
      </c>
      <c r="AF645" s="51" t="b">
        <f t="shared" si="413"/>
        <v>1</v>
      </c>
      <c r="AI645" s="51" t="b">
        <f t="shared" si="414"/>
        <v>0</v>
      </c>
      <c r="AJ645" s="51" t="b">
        <f t="shared" si="415"/>
        <v>0</v>
      </c>
      <c r="AK645" s="51" t="b">
        <f t="shared" si="416"/>
        <v>0</v>
      </c>
      <c r="AL645" s="51" t="b">
        <f t="shared" si="417"/>
        <v>0</v>
      </c>
      <c r="AM645" s="51" t="b">
        <f t="shared" si="418"/>
        <v>0</v>
      </c>
      <c r="AN645" s="51"/>
      <c r="AO645" s="51" t="b">
        <f t="shared" si="419"/>
        <v>0</v>
      </c>
      <c r="AP645" s="51" t="str">
        <f t="shared" si="441"/>
        <v>Not in MMS</v>
      </c>
      <c r="AQ645" s="51" t="b">
        <f t="shared" si="420"/>
        <v>0</v>
      </c>
      <c r="AR645" s="51" t="b">
        <f t="shared" si="421"/>
        <v>0</v>
      </c>
      <c r="AS645" s="51" t="str">
        <f t="shared" si="422"/>
        <v/>
      </c>
      <c r="AT645" s="51" t="str">
        <f t="shared" si="423"/>
        <v/>
      </c>
      <c r="AU645" s="51" t="str">
        <f t="shared" si="424"/>
        <v/>
      </c>
      <c r="AV645" s="51" t="str">
        <f t="shared" si="425"/>
        <v/>
      </c>
      <c r="AW645" s="51" t="str">
        <f t="shared" si="426"/>
        <v/>
      </c>
      <c r="AX645" s="51" t="str">
        <f t="shared" si="427"/>
        <v/>
      </c>
      <c r="AY645" s="51" t="str">
        <f t="shared" si="428"/>
        <v/>
      </c>
      <c r="AZ645" s="51" t="str">
        <f t="shared" si="429"/>
        <v/>
      </c>
      <c r="BA645" s="51" t="str">
        <f t="shared" si="430"/>
        <v/>
      </c>
      <c r="BB645" s="51" t="str">
        <f t="shared" si="431"/>
        <v/>
      </c>
      <c r="BC645" s="51" t="str">
        <f t="shared" si="432"/>
        <v/>
      </c>
      <c r="BD645" s="51" t="str">
        <f t="shared" si="433"/>
        <v/>
      </c>
      <c r="BE645" s="51" t="str">
        <f t="shared" si="434"/>
        <v/>
      </c>
      <c r="BF645" s="51" t="str">
        <f t="shared" si="435"/>
        <v/>
      </c>
      <c r="BG645" s="51" t="str">
        <f t="shared" si="436"/>
        <v/>
      </c>
      <c r="BH645" s="51" t="b">
        <f t="shared" si="437"/>
        <v>0</v>
      </c>
      <c r="BI645" s="51" t="str">
        <f t="shared" si="438"/>
        <v/>
      </c>
      <c r="BJ645" s="51" t="str">
        <f t="shared" si="439"/>
        <v/>
      </c>
      <c r="BK645" s="51" t="b">
        <f t="shared" si="440"/>
        <v>0</v>
      </c>
      <c r="BL645" s="192"/>
    </row>
    <row r="646" spans="1:64" ht="13.5" thickBot="1" x14ac:dyDescent="0.25">
      <c r="A646" s="185" t="s">
        <v>1317</v>
      </c>
      <c r="B646" s="194" t="s">
        <v>695</v>
      </c>
      <c r="C646" s="194" t="s">
        <v>695</v>
      </c>
      <c r="D646" s="194" t="s">
        <v>695</v>
      </c>
      <c r="E646" s="193" t="s">
        <v>694</v>
      </c>
      <c r="F646" s="160" t="s">
        <v>20</v>
      </c>
      <c r="G646" s="161"/>
      <c r="H646" s="186" t="str">
        <f t="shared" si="398"/>
        <v>N/A</v>
      </c>
      <c r="I646" s="186" t="b">
        <f t="shared" si="399"/>
        <v>1</v>
      </c>
      <c r="J646" s="186" t="str">
        <f t="shared" si="400"/>
        <v>N/A</v>
      </c>
      <c r="K646" s="186" t="b">
        <f t="shared" si="401"/>
        <v>1</v>
      </c>
      <c r="L646" s="186" t="str">
        <f t="shared" si="402"/>
        <v>N/A</v>
      </c>
      <c r="M646" s="186" t="b">
        <f t="shared" si="403"/>
        <v>1</v>
      </c>
      <c r="N646" s="186" t="str">
        <f t="shared" si="404"/>
        <v>Used?</v>
      </c>
      <c r="O646" s="186" t="b">
        <f t="shared" si="405"/>
        <v>0</v>
      </c>
      <c r="P646" s="26" t="s">
        <v>696</v>
      </c>
      <c r="Q646" s="160" t="s">
        <v>20</v>
      </c>
      <c r="R646" s="160" t="s">
        <v>20</v>
      </c>
      <c r="S646" s="26" t="s">
        <v>697</v>
      </c>
      <c r="T646" s="165" t="str">
        <f t="shared" si="406"/>
        <v>Not Used</v>
      </c>
      <c r="U646" s="162"/>
      <c r="V646" s="55"/>
      <c r="W646" s="51" t="b">
        <f t="shared" si="407"/>
        <v>1</v>
      </c>
      <c r="X646" s="51" t="str">
        <f t="shared" si="408"/>
        <v>Not Used</v>
      </c>
      <c r="Y646" s="51" t="str">
        <f t="shared" si="409"/>
        <v>Not Used</v>
      </c>
      <c r="Z646" s="51" t="str">
        <f t="shared" si="410"/>
        <v>Not Used</v>
      </c>
      <c r="AA646" s="51" t="str">
        <f t="shared" si="410"/>
        <v>Not Used</v>
      </c>
      <c r="AB646" s="51" t="str">
        <f t="shared" si="411"/>
        <v>Not Used</v>
      </c>
      <c r="AC646" s="51" t="b">
        <f t="shared" si="412"/>
        <v>1</v>
      </c>
      <c r="AD646" s="51">
        <f>COUNTIF($X$5:$X$646, "Not Used")</f>
        <v>642</v>
      </c>
      <c r="AE646" s="51">
        <f>COUNTIF($X$5:$X$646, "TRUE")</f>
        <v>0</v>
      </c>
      <c r="AF646" s="51" t="b">
        <f t="shared" si="413"/>
        <v>1</v>
      </c>
      <c r="AI646" s="51" t="b">
        <f t="shared" si="414"/>
        <v>0</v>
      </c>
      <c r="AJ646" s="51" t="b">
        <f t="shared" si="415"/>
        <v>0</v>
      </c>
      <c r="AK646" s="51" t="b">
        <f t="shared" si="416"/>
        <v>0</v>
      </c>
      <c r="AL646" s="51" t="b">
        <f t="shared" si="417"/>
        <v>0</v>
      </c>
      <c r="AM646" s="51" t="b">
        <f t="shared" si="418"/>
        <v>0</v>
      </c>
      <c r="AN646" s="51"/>
      <c r="AO646" s="51" t="b">
        <f t="shared" si="419"/>
        <v>0</v>
      </c>
      <c r="AP646" s="51" t="str">
        <f t="shared" si="441"/>
        <v>Not in MMS</v>
      </c>
      <c r="AQ646" s="51" t="b">
        <f t="shared" si="420"/>
        <v>0</v>
      </c>
      <c r="AR646" s="51" t="b">
        <f t="shared" si="421"/>
        <v>0</v>
      </c>
      <c r="AS646" s="51" t="str">
        <f t="shared" si="422"/>
        <v/>
      </c>
      <c r="AT646" s="51" t="str">
        <f t="shared" si="423"/>
        <v/>
      </c>
      <c r="AU646" s="51" t="str">
        <f t="shared" si="424"/>
        <v/>
      </c>
      <c r="AV646" s="51" t="str">
        <f t="shared" si="425"/>
        <v/>
      </c>
      <c r="AW646" s="51" t="str">
        <f t="shared" si="426"/>
        <v/>
      </c>
      <c r="AX646" s="51" t="str">
        <f t="shared" si="427"/>
        <v/>
      </c>
      <c r="AY646" s="51" t="str">
        <f t="shared" si="428"/>
        <v/>
      </c>
      <c r="AZ646" s="51" t="str">
        <f t="shared" si="429"/>
        <v/>
      </c>
      <c r="BA646" s="51" t="str">
        <f t="shared" si="430"/>
        <v/>
      </c>
      <c r="BB646" s="51" t="str">
        <f t="shared" si="431"/>
        <v/>
      </c>
      <c r="BC646" s="51" t="str">
        <f t="shared" si="432"/>
        <v/>
      </c>
      <c r="BD646" s="51" t="str">
        <f t="shared" si="433"/>
        <v/>
      </c>
      <c r="BE646" s="51" t="str">
        <f t="shared" si="434"/>
        <v/>
      </c>
      <c r="BF646" s="51" t="str">
        <f t="shared" si="435"/>
        <v/>
      </c>
      <c r="BG646" s="51" t="str">
        <f t="shared" si="436"/>
        <v/>
      </c>
      <c r="BH646" s="51" t="b">
        <f t="shared" si="437"/>
        <v>0</v>
      </c>
      <c r="BI646" s="51" t="str">
        <f t="shared" si="438"/>
        <v/>
      </c>
      <c r="BJ646" s="51" t="str">
        <f t="shared" si="439"/>
        <v/>
      </c>
      <c r="BK646" s="51" t="b">
        <f t="shared" si="440"/>
        <v>0</v>
      </c>
      <c r="BL646" s="192"/>
    </row>
    <row r="647" spans="1:64" ht="13.5" thickBot="1" x14ac:dyDescent="0.25">
      <c r="A647" s="185" t="s">
        <v>1318</v>
      </c>
      <c r="B647" s="194" t="s">
        <v>695</v>
      </c>
      <c r="C647" s="194" t="s">
        <v>695</v>
      </c>
      <c r="D647" s="194" t="s">
        <v>695</v>
      </c>
      <c r="E647" s="193" t="s">
        <v>694</v>
      </c>
      <c r="F647" s="160" t="s">
        <v>20</v>
      </c>
      <c r="G647" s="161"/>
      <c r="H647" s="186" t="str">
        <f t="shared" si="398"/>
        <v>N/A</v>
      </c>
      <c r="I647" s="186" t="b">
        <f t="shared" si="399"/>
        <v>1</v>
      </c>
      <c r="J647" s="186" t="str">
        <f t="shared" si="400"/>
        <v>N/A</v>
      </c>
      <c r="K647" s="186" t="b">
        <f t="shared" si="401"/>
        <v>1</v>
      </c>
      <c r="L647" s="186" t="str">
        <f t="shared" si="402"/>
        <v>N/A</v>
      </c>
      <c r="M647" s="186" t="b">
        <f t="shared" si="403"/>
        <v>1</v>
      </c>
      <c r="N647" s="186" t="str">
        <f t="shared" si="404"/>
        <v>Used?</v>
      </c>
      <c r="O647" s="186" t="b">
        <f t="shared" si="405"/>
        <v>0</v>
      </c>
      <c r="P647" s="26" t="s">
        <v>696</v>
      </c>
      <c r="Q647" s="160" t="s">
        <v>20</v>
      </c>
      <c r="R647" s="160" t="s">
        <v>20</v>
      </c>
      <c r="S647" s="26" t="s">
        <v>697</v>
      </c>
      <c r="T647" s="165" t="str">
        <f t="shared" si="406"/>
        <v>Not Used</v>
      </c>
      <c r="U647" s="162"/>
      <c r="V647" s="55"/>
      <c r="W647" s="51" t="b">
        <f t="shared" si="407"/>
        <v>1</v>
      </c>
      <c r="X647" s="51" t="str">
        <f t="shared" si="408"/>
        <v>Not Used</v>
      </c>
      <c r="Y647" s="51" t="str">
        <f t="shared" si="409"/>
        <v>Not Used</v>
      </c>
      <c r="Z647" s="51" t="str">
        <f t="shared" si="410"/>
        <v>Not Used</v>
      </c>
      <c r="AA647" s="51" t="str">
        <f t="shared" si="410"/>
        <v>Not Used</v>
      </c>
      <c r="AB647" s="51" t="str">
        <f t="shared" si="411"/>
        <v>Not Used</v>
      </c>
      <c r="AC647" s="51" t="b">
        <f t="shared" si="412"/>
        <v>1</v>
      </c>
      <c r="AD647" s="51">
        <f>COUNTIF($X$5:$X$647, "Not Used")</f>
        <v>643</v>
      </c>
      <c r="AE647" s="51">
        <f>COUNTIF($X$5:$X$647, "TRUE")</f>
        <v>0</v>
      </c>
      <c r="AF647" s="51" t="b">
        <f t="shared" si="413"/>
        <v>1</v>
      </c>
      <c r="AI647" s="51" t="b">
        <f t="shared" si="414"/>
        <v>0</v>
      </c>
      <c r="AJ647" s="51" t="b">
        <f t="shared" si="415"/>
        <v>0</v>
      </c>
      <c r="AK647" s="51" t="b">
        <f t="shared" si="416"/>
        <v>0</v>
      </c>
      <c r="AL647" s="51" t="b">
        <f t="shared" si="417"/>
        <v>0</v>
      </c>
      <c r="AM647" s="51" t="b">
        <f t="shared" si="418"/>
        <v>0</v>
      </c>
      <c r="AN647" s="51"/>
      <c r="AO647" s="51" t="b">
        <f t="shared" si="419"/>
        <v>0</v>
      </c>
      <c r="AP647" s="51" t="str">
        <f t="shared" si="441"/>
        <v>Not in MMS</v>
      </c>
      <c r="AQ647" s="51" t="b">
        <f t="shared" si="420"/>
        <v>0</v>
      </c>
      <c r="AR647" s="51" t="b">
        <f t="shared" si="421"/>
        <v>0</v>
      </c>
      <c r="AS647" s="51" t="str">
        <f t="shared" si="422"/>
        <v/>
      </c>
      <c r="AT647" s="51" t="str">
        <f t="shared" si="423"/>
        <v/>
      </c>
      <c r="AU647" s="51" t="str">
        <f t="shared" si="424"/>
        <v/>
      </c>
      <c r="AV647" s="51" t="str">
        <f t="shared" si="425"/>
        <v/>
      </c>
      <c r="AW647" s="51" t="str">
        <f t="shared" si="426"/>
        <v/>
      </c>
      <c r="AX647" s="51" t="str">
        <f t="shared" si="427"/>
        <v/>
      </c>
      <c r="AY647" s="51" t="str">
        <f t="shared" si="428"/>
        <v/>
      </c>
      <c r="AZ647" s="51" t="str">
        <f t="shared" si="429"/>
        <v/>
      </c>
      <c r="BA647" s="51" t="str">
        <f t="shared" si="430"/>
        <v/>
      </c>
      <c r="BB647" s="51" t="str">
        <f t="shared" si="431"/>
        <v/>
      </c>
      <c r="BC647" s="51" t="str">
        <f t="shared" si="432"/>
        <v/>
      </c>
      <c r="BD647" s="51" t="str">
        <f t="shared" si="433"/>
        <v/>
      </c>
      <c r="BE647" s="51" t="str">
        <f t="shared" si="434"/>
        <v/>
      </c>
      <c r="BF647" s="51" t="str">
        <f t="shared" si="435"/>
        <v/>
      </c>
      <c r="BG647" s="51" t="str">
        <f t="shared" si="436"/>
        <v/>
      </c>
      <c r="BH647" s="51" t="b">
        <f t="shared" si="437"/>
        <v>0</v>
      </c>
      <c r="BI647" s="51" t="str">
        <f t="shared" si="438"/>
        <v/>
      </c>
      <c r="BJ647" s="51" t="str">
        <f t="shared" si="439"/>
        <v/>
      </c>
      <c r="BK647" s="51" t="b">
        <f t="shared" si="440"/>
        <v>0</v>
      </c>
      <c r="BL647" s="192"/>
    </row>
    <row r="648" spans="1:64" ht="13.5" thickBot="1" x14ac:dyDescent="0.25">
      <c r="A648" s="185" t="s">
        <v>1319</v>
      </c>
      <c r="B648" s="194" t="s">
        <v>695</v>
      </c>
      <c r="C648" s="194" t="s">
        <v>695</v>
      </c>
      <c r="D648" s="194" t="s">
        <v>695</v>
      </c>
      <c r="E648" s="193" t="s">
        <v>694</v>
      </c>
      <c r="F648" s="160" t="s">
        <v>20</v>
      </c>
      <c r="G648" s="161"/>
      <c r="H648" s="186" t="str">
        <f t="shared" si="398"/>
        <v>N/A</v>
      </c>
      <c r="I648" s="186" t="b">
        <f t="shared" si="399"/>
        <v>1</v>
      </c>
      <c r="J648" s="186" t="str">
        <f t="shared" si="400"/>
        <v>N/A</v>
      </c>
      <c r="K648" s="186" t="b">
        <f t="shared" si="401"/>
        <v>1</v>
      </c>
      <c r="L648" s="186" t="str">
        <f t="shared" si="402"/>
        <v>N/A</v>
      </c>
      <c r="M648" s="186" t="b">
        <f t="shared" si="403"/>
        <v>1</v>
      </c>
      <c r="N648" s="186" t="str">
        <f t="shared" si="404"/>
        <v>Used?</v>
      </c>
      <c r="O648" s="186" t="b">
        <f t="shared" si="405"/>
        <v>0</v>
      </c>
      <c r="P648" s="26" t="s">
        <v>696</v>
      </c>
      <c r="Q648" s="160" t="s">
        <v>20</v>
      </c>
      <c r="R648" s="160" t="s">
        <v>20</v>
      </c>
      <c r="S648" s="26" t="s">
        <v>697</v>
      </c>
      <c r="T648" s="165" t="str">
        <f t="shared" si="406"/>
        <v>Not Used</v>
      </c>
      <c r="U648" s="162"/>
      <c r="V648" s="55"/>
      <c r="W648" s="51" t="b">
        <f t="shared" si="407"/>
        <v>1</v>
      </c>
      <c r="X648" s="51" t="str">
        <f t="shared" si="408"/>
        <v>Not Used</v>
      </c>
      <c r="Y648" s="51" t="str">
        <f t="shared" si="409"/>
        <v>Not Used</v>
      </c>
      <c r="Z648" s="51" t="str">
        <f t="shared" si="410"/>
        <v>Not Used</v>
      </c>
      <c r="AA648" s="51" t="str">
        <f t="shared" si="410"/>
        <v>Not Used</v>
      </c>
      <c r="AB648" s="51" t="str">
        <f t="shared" si="411"/>
        <v>Not Used</v>
      </c>
      <c r="AC648" s="51" t="b">
        <f t="shared" si="412"/>
        <v>1</v>
      </c>
      <c r="AD648" s="51">
        <f>COUNTIF($X$5:$X$648, "Not Used")</f>
        <v>644</v>
      </c>
      <c r="AE648" s="51">
        <f>COUNTIF($X$5:$X$648, "TRUE")</f>
        <v>0</v>
      </c>
      <c r="AF648" s="51" t="b">
        <f t="shared" si="413"/>
        <v>1</v>
      </c>
      <c r="AI648" s="51" t="b">
        <f t="shared" si="414"/>
        <v>0</v>
      </c>
      <c r="AJ648" s="51" t="b">
        <f t="shared" si="415"/>
        <v>0</v>
      </c>
      <c r="AK648" s="51" t="b">
        <f t="shared" si="416"/>
        <v>0</v>
      </c>
      <c r="AL648" s="51" t="b">
        <f t="shared" si="417"/>
        <v>0</v>
      </c>
      <c r="AM648" s="51" t="b">
        <f t="shared" si="418"/>
        <v>0</v>
      </c>
      <c r="AN648" s="51"/>
      <c r="AO648" s="51" t="b">
        <f t="shared" si="419"/>
        <v>0</v>
      </c>
      <c r="AP648" s="51" t="str">
        <f t="shared" si="441"/>
        <v>Not in MMS</v>
      </c>
      <c r="AQ648" s="51" t="b">
        <f t="shared" si="420"/>
        <v>0</v>
      </c>
      <c r="AR648" s="51" t="b">
        <f t="shared" si="421"/>
        <v>0</v>
      </c>
      <c r="AS648" s="51" t="str">
        <f t="shared" si="422"/>
        <v/>
      </c>
      <c r="AT648" s="51" t="str">
        <f t="shared" si="423"/>
        <v/>
      </c>
      <c r="AU648" s="51" t="str">
        <f t="shared" si="424"/>
        <v/>
      </c>
      <c r="AV648" s="51" t="str">
        <f t="shared" si="425"/>
        <v/>
      </c>
      <c r="AW648" s="51" t="str">
        <f t="shared" si="426"/>
        <v/>
      </c>
      <c r="AX648" s="51" t="str">
        <f t="shared" si="427"/>
        <v/>
      </c>
      <c r="AY648" s="51" t="str">
        <f t="shared" si="428"/>
        <v/>
      </c>
      <c r="AZ648" s="51" t="str">
        <f t="shared" si="429"/>
        <v/>
      </c>
      <c r="BA648" s="51" t="str">
        <f t="shared" si="430"/>
        <v/>
      </c>
      <c r="BB648" s="51" t="str">
        <f t="shared" si="431"/>
        <v/>
      </c>
      <c r="BC648" s="51" t="str">
        <f t="shared" si="432"/>
        <v/>
      </c>
      <c r="BD648" s="51" t="str">
        <f t="shared" si="433"/>
        <v/>
      </c>
      <c r="BE648" s="51" t="str">
        <f t="shared" si="434"/>
        <v/>
      </c>
      <c r="BF648" s="51" t="str">
        <f t="shared" si="435"/>
        <v/>
      </c>
      <c r="BG648" s="51" t="str">
        <f t="shared" si="436"/>
        <v/>
      </c>
      <c r="BH648" s="51" t="b">
        <f t="shared" si="437"/>
        <v>0</v>
      </c>
      <c r="BI648" s="51" t="str">
        <f t="shared" si="438"/>
        <v/>
      </c>
      <c r="BJ648" s="51" t="str">
        <f t="shared" si="439"/>
        <v/>
      </c>
      <c r="BK648" s="51" t="b">
        <f t="shared" si="440"/>
        <v>0</v>
      </c>
      <c r="BL648" s="192"/>
    </row>
    <row r="649" spans="1:64" ht="13.5" thickBot="1" x14ac:dyDescent="0.25">
      <c r="A649" s="185" t="s">
        <v>1320</v>
      </c>
      <c r="B649" s="194" t="s">
        <v>695</v>
      </c>
      <c r="C649" s="194" t="s">
        <v>695</v>
      </c>
      <c r="D649" s="194" t="s">
        <v>695</v>
      </c>
      <c r="E649" s="193" t="s">
        <v>694</v>
      </c>
      <c r="F649" s="160" t="s">
        <v>20</v>
      </c>
      <c r="G649" s="161"/>
      <c r="H649" s="186" t="str">
        <f t="shared" si="398"/>
        <v>N/A</v>
      </c>
      <c r="I649" s="186" t="b">
        <f t="shared" si="399"/>
        <v>1</v>
      </c>
      <c r="J649" s="186" t="str">
        <f t="shared" si="400"/>
        <v>N/A</v>
      </c>
      <c r="K649" s="186" t="b">
        <f t="shared" si="401"/>
        <v>1</v>
      </c>
      <c r="L649" s="186" t="str">
        <f t="shared" si="402"/>
        <v>N/A</v>
      </c>
      <c r="M649" s="186" t="b">
        <f t="shared" si="403"/>
        <v>1</v>
      </c>
      <c r="N649" s="186" t="str">
        <f t="shared" si="404"/>
        <v>Used?</v>
      </c>
      <c r="O649" s="186" t="b">
        <f t="shared" si="405"/>
        <v>0</v>
      </c>
      <c r="P649" s="26" t="s">
        <v>696</v>
      </c>
      <c r="Q649" s="160" t="s">
        <v>20</v>
      </c>
      <c r="R649" s="160" t="s">
        <v>20</v>
      </c>
      <c r="S649" s="26" t="s">
        <v>697</v>
      </c>
      <c r="T649" s="165" t="str">
        <f t="shared" si="406"/>
        <v>Not Used</v>
      </c>
      <c r="U649" s="162"/>
      <c r="V649" s="55"/>
      <c r="W649" s="51" t="b">
        <f t="shared" si="407"/>
        <v>1</v>
      </c>
      <c r="X649" s="51" t="str">
        <f t="shared" si="408"/>
        <v>Not Used</v>
      </c>
      <c r="Y649" s="51" t="str">
        <f t="shared" si="409"/>
        <v>Not Used</v>
      </c>
      <c r="Z649" s="51" t="str">
        <f t="shared" si="410"/>
        <v>Not Used</v>
      </c>
      <c r="AA649" s="51" t="str">
        <f t="shared" si="410"/>
        <v>Not Used</v>
      </c>
      <c r="AB649" s="51" t="str">
        <f t="shared" si="411"/>
        <v>Not Used</v>
      </c>
      <c r="AC649" s="51" t="b">
        <f t="shared" si="412"/>
        <v>1</v>
      </c>
      <c r="AD649" s="51">
        <f>COUNTIF($X$5:$X$649, "Not Used")</f>
        <v>645</v>
      </c>
      <c r="AE649" s="51">
        <f>COUNTIF($X$5:$X$649, "TRUE")</f>
        <v>0</v>
      </c>
      <c r="AF649" s="51" t="b">
        <f t="shared" si="413"/>
        <v>1</v>
      </c>
      <c r="AI649" s="51" t="b">
        <f t="shared" si="414"/>
        <v>0</v>
      </c>
      <c r="AJ649" s="51" t="b">
        <f t="shared" si="415"/>
        <v>0</v>
      </c>
      <c r="AK649" s="51" t="b">
        <f t="shared" si="416"/>
        <v>0</v>
      </c>
      <c r="AL649" s="51" t="b">
        <f t="shared" si="417"/>
        <v>0</v>
      </c>
      <c r="AM649" s="51" t="b">
        <f t="shared" si="418"/>
        <v>0</v>
      </c>
      <c r="AN649" s="51"/>
      <c r="AO649" s="51" t="b">
        <f t="shared" si="419"/>
        <v>0</v>
      </c>
      <c r="AP649" s="51" t="str">
        <f t="shared" si="441"/>
        <v>Not in MMS</v>
      </c>
      <c r="AQ649" s="51" t="b">
        <f t="shared" si="420"/>
        <v>0</v>
      </c>
      <c r="AR649" s="51" t="b">
        <f t="shared" si="421"/>
        <v>0</v>
      </c>
      <c r="AS649" s="51" t="str">
        <f t="shared" si="422"/>
        <v/>
      </c>
      <c r="AT649" s="51" t="str">
        <f t="shared" si="423"/>
        <v/>
      </c>
      <c r="AU649" s="51" t="str">
        <f t="shared" si="424"/>
        <v/>
      </c>
      <c r="AV649" s="51" t="str">
        <f t="shared" si="425"/>
        <v/>
      </c>
      <c r="AW649" s="51" t="str">
        <f t="shared" si="426"/>
        <v/>
      </c>
      <c r="AX649" s="51" t="str">
        <f t="shared" si="427"/>
        <v/>
      </c>
      <c r="AY649" s="51" t="str">
        <f t="shared" si="428"/>
        <v/>
      </c>
      <c r="AZ649" s="51" t="str">
        <f t="shared" si="429"/>
        <v/>
      </c>
      <c r="BA649" s="51" t="str">
        <f t="shared" si="430"/>
        <v/>
      </c>
      <c r="BB649" s="51" t="str">
        <f t="shared" si="431"/>
        <v/>
      </c>
      <c r="BC649" s="51" t="str">
        <f t="shared" si="432"/>
        <v/>
      </c>
      <c r="BD649" s="51" t="str">
        <f t="shared" si="433"/>
        <v/>
      </c>
      <c r="BE649" s="51" t="str">
        <f t="shared" si="434"/>
        <v/>
      </c>
      <c r="BF649" s="51" t="str">
        <f t="shared" si="435"/>
        <v/>
      </c>
      <c r="BG649" s="51" t="str">
        <f t="shared" si="436"/>
        <v/>
      </c>
      <c r="BH649" s="51" t="b">
        <f t="shared" si="437"/>
        <v>0</v>
      </c>
      <c r="BI649" s="51" t="str">
        <f t="shared" si="438"/>
        <v/>
      </c>
      <c r="BJ649" s="51" t="str">
        <f t="shared" si="439"/>
        <v/>
      </c>
      <c r="BK649" s="51" t="b">
        <f t="shared" si="440"/>
        <v>0</v>
      </c>
      <c r="BL649" s="192"/>
    </row>
    <row r="650" spans="1:64" ht="13.5" thickBot="1" x14ac:dyDescent="0.25">
      <c r="A650" s="185" t="s">
        <v>1321</v>
      </c>
      <c r="B650" s="194" t="s">
        <v>695</v>
      </c>
      <c r="C650" s="194" t="s">
        <v>695</v>
      </c>
      <c r="D650" s="194" t="s">
        <v>695</v>
      </c>
      <c r="E650" s="193" t="s">
        <v>694</v>
      </c>
      <c r="F650" s="160" t="s">
        <v>20</v>
      </c>
      <c r="G650" s="161"/>
      <c r="H650" s="186" t="str">
        <f t="shared" si="398"/>
        <v>N/A</v>
      </c>
      <c r="I650" s="186" t="b">
        <f t="shared" si="399"/>
        <v>1</v>
      </c>
      <c r="J650" s="186" t="str">
        <f t="shared" si="400"/>
        <v>N/A</v>
      </c>
      <c r="K650" s="186" t="b">
        <f t="shared" si="401"/>
        <v>1</v>
      </c>
      <c r="L650" s="186" t="str">
        <f t="shared" si="402"/>
        <v>N/A</v>
      </c>
      <c r="M650" s="186" t="b">
        <f t="shared" si="403"/>
        <v>1</v>
      </c>
      <c r="N650" s="186" t="str">
        <f t="shared" si="404"/>
        <v>Used?</v>
      </c>
      <c r="O650" s="186" t="b">
        <f t="shared" si="405"/>
        <v>0</v>
      </c>
      <c r="P650" s="26" t="s">
        <v>696</v>
      </c>
      <c r="Q650" s="160" t="s">
        <v>20</v>
      </c>
      <c r="R650" s="160" t="s">
        <v>20</v>
      </c>
      <c r="S650" s="26" t="s">
        <v>697</v>
      </c>
      <c r="T650" s="165" t="str">
        <f t="shared" si="406"/>
        <v>Not Used</v>
      </c>
      <c r="U650" s="162"/>
      <c r="V650" s="55"/>
      <c r="W650" s="51" t="b">
        <f t="shared" si="407"/>
        <v>1</v>
      </c>
      <c r="X650" s="51" t="str">
        <f t="shared" si="408"/>
        <v>Not Used</v>
      </c>
      <c r="Y650" s="51" t="str">
        <f t="shared" si="409"/>
        <v>Not Used</v>
      </c>
      <c r="Z650" s="51" t="str">
        <f t="shared" si="410"/>
        <v>Not Used</v>
      </c>
      <c r="AA650" s="51" t="str">
        <f t="shared" si="410"/>
        <v>Not Used</v>
      </c>
      <c r="AB650" s="51" t="str">
        <f t="shared" si="411"/>
        <v>Not Used</v>
      </c>
      <c r="AC650" s="51" t="b">
        <f t="shared" si="412"/>
        <v>1</v>
      </c>
      <c r="AD650" s="51">
        <f>COUNTIF($X$5:$X$650, "Not Used")</f>
        <v>646</v>
      </c>
      <c r="AE650" s="51">
        <f>COUNTIF($X$5:$X$650, "TRUE")</f>
        <v>0</v>
      </c>
      <c r="AF650" s="51" t="b">
        <f t="shared" si="413"/>
        <v>1</v>
      </c>
      <c r="AI650" s="51" t="b">
        <f t="shared" si="414"/>
        <v>0</v>
      </c>
      <c r="AJ650" s="51" t="b">
        <f t="shared" si="415"/>
        <v>0</v>
      </c>
      <c r="AK650" s="51" t="b">
        <f t="shared" si="416"/>
        <v>0</v>
      </c>
      <c r="AL650" s="51" t="b">
        <f t="shared" si="417"/>
        <v>0</v>
      </c>
      <c r="AM650" s="51" t="b">
        <f t="shared" si="418"/>
        <v>0</v>
      </c>
      <c r="AN650" s="51"/>
      <c r="AO650" s="51" t="b">
        <f t="shared" si="419"/>
        <v>0</v>
      </c>
      <c r="AP650" s="51" t="str">
        <f t="shared" si="441"/>
        <v>Not in MMS</v>
      </c>
      <c r="AQ650" s="51" t="b">
        <f t="shared" si="420"/>
        <v>0</v>
      </c>
      <c r="AR650" s="51" t="b">
        <f t="shared" si="421"/>
        <v>0</v>
      </c>
      <c r="AS650" s="51" t="str">
        <f t="shared" si="422"/>
        <v/>
      </c>
      <c r="AT650" s="51" t="str">
        <f t="shared" si="423"/>
        <v/>
      </c>
      <c r="AU650" s="51" t="str">
        <f t="shared" si="424"/>
        <v/>
      </c>
      <c r="AV650" s="51" t="str">
        <f t="shared" si="425"/>
        <v/>
      </c>
      <c r="AW650" s="51" t="str">
        <f t="shared" si="426"/>
        <v/>
      </c>
      <c r="AX650" s="51" t="str">
        <f t="shared" si="427"/>
        <v/>
      </c>
      <c r="AY650" s="51" t="str">
        <f t="shared" si="428"/>
        <v/>
      </c>
      <c r="AZ650" s="51" t="str">
        <f t="shared" si="429"/>
        <v/>
      </c>
      <c r="BA650" s="51" t="str">
        <f t="shared" si="430"/>
        <v/>
      </c>
      <c r="BB650" s="51" t="str">
        <f t="shared" si="431"/>
        <v/>
      </c>
      <c r="BC650" s="51" t="str">
        <f t="shared" si="432"/>
        <v/>
      </c>
      <c r="BD650" s="51" t="str">
        <f t="shared" si="433"/>
        <v/>
      </c>
      <c r="BE650" s="51" t="str">
        <f t="shared" si="434"/>
        <v/>
      </c>
      <c r="BF650" s="51" t="str">
        <f t="shared" si="435"/>
        <v/>
      </c>
      <c r="BG650" s="51" t="str">
        <f t="shared" si="436"/>
        <v/>
      </c>
      <c r="BH650" s="51" t="b">
        <f t="shared" si="437"/>
        <v>0</v>
      </c>
      <c r="BI650" s="51" t="str">
        <f t="shared" si="438"/>
        <v/>
      </c>
      <c r="BJ650" s="51" t="str">
        <f t="shared" si="439"/>
        <v/>
      </c>
      <c r="BK650" s="51" t="b">
        <f t="shared" si="440"/>
        <v>0</v>
      </c>
      <c r="BL650" s="192"/>
    </row>
    <row r="651" spans="1:64" ht="13.5" thickBot="1" x14ac:dyDescent="0.25">
      <c r="A651" s="185" t="s">
        <v>1322</v>
      </c>
      <c r="B651" s="194" t="s">
        <v>695</v>
      </c>
      <c r="C651" s="194" t="s">
        <v>695</v>
      </c>
      <c r="D651" s="194" t="s">
        <v>695</v>
      </c>
      <c r="E651" s="193" t="s">
        <v>694</v>
      </c>
      <c r="F651" s="160" t="s">
        <v>20</v>
      </c>
      <c r="G651" s="161"/>
      <c r="H651" s="186" t="str">
        <f t="shared" si="398"/>
        <v>N/A</v>
      </c>
      <c r="I651" s="186" t="b">
        <f t="shared" si="399"/>
        <v>1</v>
      </c>
      <c r="J651" s="186" t="str">
        <f t="shared" si="400"/>
        <v>N/A</v>
      </c>
      <c r="K651" s="186" t="b">
        <f t="shared" si="401"/>
        <v>1</v>
      </c>
      <c r="L651" s="186" t="str">
        <f t="shared" si="402"/>
        <v>N/A</v>
      </c>
      <c r="M651" s="186" t="b">
        <f t="shared" si="403"/>
        <v>1</v>
      </c>
      <c r="N651" s="186" t="str">
        <f t="shared" si="404"/>
        <v>Used?</v>
      </c>
      <c r="O651" s="186" t="b">
        <f t="shared" si="405"/>
        <v>0</v>
      </c>
      <c r="P651" s="26" t="s">
        <v>696</v>
      </c>
      <c r="Q651" s="160" t="s">
        <v>20</v>
      </c>
      <c r="R651" s="160" t="s">
        <v>20</v>
      </c>
      <c r="S651" s="26" t="s">
        <v>697</v>
      </c>
      <c r="T651" s="165" t="str">
        <f t="shared" si="406"/>
        <v>Not Used</v>
      </c>
      <c r="U651" s="162"/>
      <c r="V651" s="55"/>
      <c r="W651" s="51" t="b">
        <f t="shared" si="407"/>
        <v>1</v>
      </c>
      <c r="X651" s="51" t="str">
        <f t="shared" si="408"/>
        <v>Not Used</v>
      </c>
      <c r="Y651" s="51" t="str">
        <f t="shared" si="409"/>
        <v>Not Used</v>
      </c>
      <c r="Z651" s="51" t="str">
        <f t="shared" si="410"/>
        <v>Not Used</v>
      </c>
      <c r="AA651" s="51" t="str">
        <f t="shared" si="410"/>
        <v>Not Used</v>
      </c>
      <c r="AB651" s="51" t="str">
        <f t="shared" si="411"/>
        <v>Not Used</v>
      </c>
      <c r="AC651" s="51" t="b">
        <f t="shared" si="412"/>
        <v>1</v>
      </c>
      <c r="AD651" s="51">
        <f>COUNTIF($X$5:$X$651, "Not Used")</f>
        <v>647</v>
      </c>
      <c r="AE651" s="51">
        <f>COUNTIF($X$5:$X$651, "TRUE")</f>
        <v>0</v>
      </c>
      <c r="AF651" s="51" t="b">
        <f t="shared" si="413"/>
        <v>1</v>
      </c>
      <c r="AI651" s="51" t="b">
        <f t="shared" si="414"/>
        <v>0</v>
      </c>
      <c r="AJ651" s="51" t="b">
        <f t="shared" si="415"/>
        <v>0</v>
      </c>
      <c r="AK651" s="51" t="b">
        <f t="shared" si="416"/>
        <v>0</v>
      </c>
      <c r="AL651" s="51" t="b">
        <f t="shared" si="417"/>
        <v>0</v>
      </c>
      <c r="AM651" s="51" t="b">
        <f t="shared" si="418"/>
        <v>0</v>
      </c>
      <c r="AN651" s="51"/>
      <c r="AO651" s="51" t="b">
        <f t="shared" si="419"/>
        <v>0</v>
      </c>
      <c r="AP651" s="51" t="str">
        <f t="shared" si="441"/>
        <v>Not in MMS</v>
      </c>
      <c r="AQ651" s="51" t="b">
        <f t="shared" si="420"/>
        <v>0</v>
      </c>
      <c r="AR651" s="51" t="b">
        <f t="shared" si="421"/>
        <v>0</v>
      </c>
      <c r="AS651" s="51" t="str">
        <f t="shared" si="422"/>
        <v/>
      </c>
      <c r="AT651" s="51" t="str">
        <f t="shared" si="423"/>
        <v/>
      </c>
      <c r="AU651" s="51" t="str">
        <f t="shared" si="424"/>
        <v/>
      </c>
      <c r="AV651" s="51" t="str">
        <f t="shared" si="425"/>
        <v/>
      </c>
      <c r="AW651" s="51" t="str">
        <f t="shared" si="426"/>
        <v/>
      </c>
      <c r="AX651" s="51" t="str">
        <f t="shared" si="427"/>
        <v/>
      </c>
      <c r="AY651" s="51" t="str">
        <f t="shared" si="428"/>
        <v/>
      </c>
      <c r="AZ651" s="51" t="str">
        <f t="shared" si="429"/>
        <v/>
      </c>
      <c r="BA651" s="51" t="str">
        <f t="shared" si="430"/>
        <v/>
      </c>
      <c r="BB651" s="51" t="str">
        <f t="shared" si="431"/>
        <v/>
      </c>
      <c r="BC651" s="51" t="str">
        <f t="shared" si="432"/>
        <v/>
      </c>
      <c r="BD651" s="51" t="str">
        <f t="shared" si="433"/>
        <v/>
      </c>
      <c r="BE651" s="51" t="str">
        <f t="shared" si="434"/>
        <v/>
      </c>
      <c r="BF651" s="51" t="str">
        <f t="shared" si="435"/>
        <v/>
      </c>
      <c r="BG651" s="51" t="str">
        <f t="shared" si="436"/>
        <v/>
      </c>
      <c r="BH651" s="51" t="b">
        <f t="shared" si="437"/>
        <v>0</v>
      </c>
      <c r="BI651" s="51" t="str">
        <f t="shared" si="438"/>
        <v/>
      </c>
      <c r="BJ651" s="51" t="str">
        <f t="shared" si="439"/>
        <v/>
      </c>
      <c r="BK651" s="51" t="b">
        <f t="shared" si="440"/>
        <v>0</v>
      </c>
      <c r="BL651" s="192"/>
    </row>
    <row r="652" spans="1:64" ht="13.5" thickBot="1" x14ac:dyDescent="0.25">
      <c r="A652" s="185" t="s">
        <v>1323</v>
      </c>
      <c r="B652" s="194" t="s">
        <v>695</v>
      </c>
      <c r="C652" s="194" t="s">
        <v>695</v>
      </c>
      <c r="D652" s="194" t="s">
        <v>695</v>
      </c>
      <c r="E652" s="193" t="s">
        <v>694</v>
      </c>
      <c r="F652" s="160" t="s">
        <v>20</v>
      </c>
      <c r="G652" s="161"/>
      <c r="H652" s="186" t="str">
        <f t="shared" si="398"/>
        <v>N/A</v>
      </c>
      <c r="I652" s="186" t="b">
        <f t="shared" si="399"/>
        <v>1</v>
      </c>
      <c r="J652" s="186" t="str">
        <f t="shared" si="400"/>
        <v>N/A</v>
      </c>
      <c r="K652" s="186" t="b">
        <f t="shared" si="401"/>
        <v>1</v>
      </c>
      <c r="L652" s="186" t="str">
        <f t="shared" si="402"/>
        <v>N/A</v>
      </c>
      <c r="M652" s="186" t="b">
        <f t="shared" si="403"/>
        <v>1</v>
      </c>
      <c r="N652" s="186" t="str">
        <f t="shared" si="404"/>
        <v>Used?</v>
      </c>
      <c r="O652" s="186" t="b">
        <f t="shared" si="405"/>
        <v>0</v>
      </c>
      <c r="P652" s="26" t="s">
        <v>696</v>
      </c>
      <c r="Q652" s="160" t="s">
        <v>20</v>
      </c>
      <c r="R652" s="160" t="s">
        <v>20</v>
      </c>
      <c r="S652" s="26" t="s">
        <v>697</v>
      </c>
      <c r="T652" s="165" t="str">
        <f t="shared" si="406"/>
        <v>Not Used</v>
      </c>
      <c r="U652" s="162"/>
      <c r="V652" s="55"/>
      <c r="W652" s="51" t="b">
        <f t="shared" si="407"/>
        <v>1</v>
      </c>
      <c r="X652" s="51" t="str">
        <f t="shared" si="408"/>
        <v>Not Used</v>
      </c>
      <c r="Y652" s="51" t="str">
        <f t="shared" si="409"/>
        <v>Not Used</v>
      </c>
      <c r="Z652" s="51" t="str">
        <f t="shared" si="410"/>
        <v>Not Used</v>
      </c>
      <c r="AA652" s="51" t="str">
        <f t="shared" si="410"/>
        <v>Not Used</v>
      </c>
      <c r="AB652" s="51" t="str">
        <f t="shared" si="411"/>
        <v>Not Used</v>
      </c>
      <c r="AC652" s="51" t="b">
        <f t="shared" si="412"/>
        <v>1</v>
      </c>
      <c r="AD652" s="51">
        <f>COUNTIF($X$5:$X$652, "Not Used")</f>
        <v>648</v>
      </c>
      <c r="AE652" s="51">
        <f>COUNTIF($X$5:$X$652, "TRUE")</f>
        <v>0</v>
      </c>
      <c r="AF652" s="51" t="b">
        <f t="shared" si="413"/>
        <v>1</v>
      </c>
      <c r="AI652" s="51" t="b">
        <f t="shared" si="414"/>
        <v>0</v>
      </c>
      <c r="AJ652" s="51" t="b">
        <f t="shared" si="415"/>
        <v>0</v>
      </c>
      <c r="AK652" s="51" t="b">
        <f t="shared" si="416"/>
        <v>0</v>
      </c>
      <c r="AL652" s="51" t="b">
        <f t="shared" si="417"/>
        <v>0</v>
      </c>
      <c r="AM652" s="51" t="b">
        <f t="shared" si="418"/>
        <v>0</v>
      </c>
      <c r="AN652" s="51"/>
      <c r="AO652" s="51" t="b">
        <f t="shared" si="419"/>
        <v>0</v>
      </c>
      <c r="AP652" s="51" t="str">
        <f t="shared" si="441"/>
        <v>Not in MMS</v>
      </c>
      <c r="AQ652" s="51" t="b">
        <f t="shared" si="420"/>
        <v>0</v>
      </c>
      <c r="AR652" s="51" t="b">
        <f t="shared" si="421"/>
        <v>0</v>
      </c>
      <c r="AS652" s="51" t="str">
        <f t="shared" si="422"/>
        <v/>
      </c>
      <c r="AT652" s="51" t="str">
        <f t="shared" si="423"/>
        <v/>
      </c>
      <c r="AU652" s="51" t="str">
        <f t="shared" si="424"/>
        <v/>
      </c>
      <c r="AV652" s="51" t="str">
        <f t="shared" si="425"/>
        <v/>
      </c>
      <c r="AW652" s="51" t="str">
        <f t="shared" si="426"/>
        <v/>
      </c>
      <c r="AX652" s="51" t="str">
        <f t="shared" si="427"/>
        <v/>
      </c>
      <c r="AY652" s="51" t="str">
        <f t="shared" si="428"/>
        <v/>
      </c>
      <c r="AZ652" s="51" t="str">
        <f t="shared" si="429"/>
        <v/>
      </c>
      <c r="BA652" s="51" t="str">
        <f t="shared" si="430"/>
        <v/>
      </c>
      <c r="BB652" s="51" t="str">
        <f t="shared" si="431"/>
        <v/>
      </c>
      <c r="BC652" s="51" t="str">
        <f t="shared" si="432"/>
        <v/>
      </c>
      <c r="BD652" s="51" t="str">
        <f t="shared" si="433"/>
        <v/>
      </c>
      <c r="BE652" s="51" t="str">
        <f t="shared" si="434"/>
        <v/>
      </c>
      <c r="BF652" s="51" t="str">
        <f t="shared" si="435"/>
        <v/>
      </c>
      <c r="BG652" s="51" t="str">
        <f t="shared" si="436"/>
        <v/>
      </c>
      <c r="BH652" s="51" t="b">
        <f t="shared" si="437"/>
        <v>0</v>
      </c>
      <c r="BI652" s="51" t="str">
        <f t="shared" si="438"/>
        <v/>
      </c>
      <c r="BJ652" s="51" t="str">
        <f t="shared" si="439"/>
        <v/>
      </c>
      <c r="BK652" s="51" t="b">
        <f t="shared" si="440"/>
        <v>0</v>
      </c>
      <c r="BL652" s="192"/>
    </row>
    <row r="653" spans="1:64" ht="13.5" thickBot="1" x14ac:dyDescent="0.25">
      <c r="A653" s="185" t="s">
        <v>1324</v>
      </c>
      <c r="B653" s="194" t="s">
        <v>695</v>
      </c>
      <c r="C653" s="194" t="s">
        <v>695</v>
      </c>
      <c r="D653" s="194" t="s">
        <v>695</v>
      </c>
      <c r="E653" s="193" t="s">
        <v>694</v>
      </c>
      <c r="F653" s="160" t="s">
        <v>20</v>
      </c>
      <c r="G653" s="161"/>
      <c r="H653" s="186" t="str">
        <f t="shared" si="398"/>
        <v>N/A</v>
      </c>
      <c r="I653" s="186" t="b">
        <f t="shared" si="399"/>
        <v>1</v>
      </c>
      <c r="J653" s="186" t="str">
        <f t="shared" si="400"/>
        <v>N/A</v>
      </c>
      <c r="K653" s="186" t="b">
        <f t="shared" si="401"/>
        <v>1</v>
      </c>
      <c r="L653" s="186" t="str">
        <f t="shared" si="402"/>
        <v>N/A</v>
      </c>
      <c r="M653" s="186" t="b">
        <f t="shared" si="403"/>
        <v>1</v>
      </c>
      <c r="N653" s="186" t="str">
        <f t="shared" si="404"/>
        <v>Used?</v>
      </c>
      <c r="O653" s="186" t="b">
        <f t="shared" si="405"/>
        <v>0</v>
      </c>
      <c r="P653" s="26" t="s">
        <v>696</v>
      </c>
      <c r="Q653" s="160" t="s">
        <v>20</v>
      </c>
      <c r="R653" s="160" t="s">
        <v>20</v>
      </c>
      <c r="S653" s="26" t="s">
        <v>697</v>
      </c>
      <c r="T653" s="165" t="str">
        <f t="shared" si="406"/>
        <v>Not Used</v>
      </c>
      <c r="U653" s="162"/>
      <c r="V653" s="55"/>
      <c r="W653" s="51" t="b">
        <f t="shared" si="407"/>
        <v>1</v>
      </c>
      <c r="X653" s="51" t="str">
        <f t="shared" si="408"/>
        <v>Not Used</v>
      </c>
      <c r="Y653" s="51" t="str">
        <f t="shared" si="409"/>
        <v>Not Used</v>
      </c>
      <c r="Z653" s="51" t="str">
        <f t="shared" si="410"/>
        <v>Not Used</v>
      </c>
      <c r="AA653" s="51" t="str">
        <f t="shared" si="410"/>
        <v>Not Used</v>
      </c>
      <c r="AB653" s="51" t="str">
        <f t="shared" si="411"/>
        <v>Not Used</v>
      </c>
      <c r="AC653" s="51" t="b">
        <f t="shared" si="412"/>
        <v>1</v>
      </c>
      <c r="AD653" s="51">
        <f>COUNTIF($X$5:$X$653, "Not Used")</f>
        <v>649</v>
      </c>
      <c r="AE653" s="51">
        <f>COUNTIF($X$5:$X$653, "TRUE")</f>
        <v>0</v>
      </c>
      <c r="AF653" s="51" t="b">
        <f t="shared" si="413"/>
        <v>1</v>
      </c>
      <c r="AI653" s="51" t="b">
        <f t="shared" si="414"/>
        <v>0</v>
      </c>
      <c r="AJ653" s="51" t="b">
        <f t="shared" si="415"/>
        <v>0</v>
      </c>
      <c r="AK653" s="51" t="b">
        <f t="shared" si="416"/>
        <v>0</v>
      </c>
      <c r="AL653" s="51" t="b">
        <f t="shared" si="417"/>
        <v>0</v>
      </c>
      <c r="AM653" s="51" t="b">
        <f t="shared" si="418"/>
        <v>0</v>
      </c>
      <c r="AN653" s="51"/>
      <c r="AO653" s="51" t="b">
        <f t="shared" si="419"/>
        <v>0</v>
      </c>
      <c r="AP653" s="51" t="str">
        <f t="shared" si="441"/>
        <v>Not in MMS</v>
      </c>
      <c r="AQ653" s="51" t="b">
        <f t="shared" si="420"/>
        <v>0</v>
      </c>
      <c r="AR653" s="51" t="b">
        <f t="shared" si="421"/>
        <v>0</v>
      </c>
      <c r="AS653" s="51" t="str">
        <f t="shared" si="422"/>
        <v/>
      </c>
      <c r="AT653" s="51" t="str">
        <f t="shared" si="423"/>
        <v/>
      </c>
      <c r="AU653" s="51" t="str">
        <f t="shared" si="424"/>
        <v/>
      </c>
      <c r="AV653" s="51" t="str">
        <f t="shared" si="425"/>
        <v/>
      </c>
      <c r="AW653" s="51" t="str">
        <f t="shared" si="426"/>
        <v/>
      </c>
      <c r="AX653" s="51" t="str">
        <f t="shared" si="427"/>
        <v/>
      </c>
      <c r="AY653" s="51" t="str">
        <f t="shared" si="428"/>
        <v/>
      </c>
      <c r="AZ653" s="51" t="str">
        <f t="shared" si="429"/>
        <v/>
      </c>
      <c r="BA653" s="51" t="str">
        <f t="shared" si="430"/>
        <v/>
      </c>
      <c r="BB653" s="51" t="str">
        <f t="shared" si="431"/>
        <v/>
      </c>
      <c r="BC653" s="51" t="str">
        <f t="shared" si="432"/>
        <v/>
      </c>
      <c r="BD653" s="51" t="str">
        <f t="shared" si="433"/>
        <v/>
      </c>
      <c r="BE653" s="51" t="str">
        <f t="shared" si="434"/>
        <v/>
      </c>
      <c r="BF653" s="51" t="str">
        <f t="shared" si="435"/>
        <v/>
      </c>
      <c r="BG653" s="51" t="str">
        <f t="shared" si="436"/>
        <v/>
      </c>
      <c r="BH653" s="51" t="b">
        <f t="shared" si="437"/>
        <v>0</v>
      </c>
      <c r="BI653" s="51" t="str">
        <f t="shared" si="438"/>
        <v/>
      </c>
      <c r="BJ653" s="51" t="str">
        <f t="shared" si="439"/>
        <v/>
      </c>
      <c r="BK653" s="51" t="b">
        <f t="shared" si="440"/>
        <v>0</v>
      </c>
      <c r="BL653" s="192"/>
    </row>
    <row r="654" spans="1:64" ht="13.5" thickBot="1" x14ac:dyDescent="0.25">
      <c r="A654" s="185" t="s">
        <v>1325</v>
      </c>
      <c r="B654" s="194" t="s">
        <v>695</v>
      </c>
      <c r="C654" s="194" t="s">
        <v>695</v>
      </c>
      <c r="D654" s="194" t="s">
        <v>695</v>
      </c>
      <c r="E654" s="193" t="s">
        <v>694</v>
      </c>
      <c r="F654" s="160" t="s">
        <v>20</v>
      </c>
      <c r="G654" s="161"/>
      <c r="H654" s="186" t="str">
        <f t="shared" si="398"/>
        <v>N/A</v>
      </c>
      <c r="I654" s="186" t="b">
        <f t="shared" si="399"/>
        <v>1</v>
      </c>
      <c r="J654" s="186" t="str">
        <f t="shared" si="400"/>
        <v>N/A</v>
      </c>
      <c r="K654" s="186" t="b">
        <f t="shared" si="401"/>
        <v>1</v>
      </c>
      <c r="L654" s="186" t="str">
        <f t="shared" si="402"/>
        <v>N/A</v>
      </c>
      <c r="M654" s="186" t="b">
        <f t="shared" si="403"/>
        <v>1</v>
      </c>
      <c r="N654" s="186" t="str">
        <f t="shared" si="404"/>
        <v>Used?</v>
      </c>
      <c r="O654" s="186" t="b">
        <f t="shared" si="405"/>
        <v>0</v>
      </c>
      <c r="P654" s="26" t="s">
        <v>696</v>
      </c>
      <c r="Q654" s="160" t="s">
        <v>20</v>
      </c>
      <c r="R654" s="160" t="s">
        <v>20</v>
      </c>
      <c r="S654" s="26" t="s">
        <v>697</v>
      </c>
      <c r="T654" s="165" t="str">
        <f t="shared" si="406"/>
        <v>Not Used</v>
      </c>
      <c r="U654" s="162"/>
      <c r="V654" s="55"/>
      <c r="W654" s="51" t="b">
        <f t="shared" si="407"/>
        <v>1</v>
      </c>
      <c r="X654" s="51" t="str">
        <f t="shared" si="408"/>
        <v>Not Used</v>
      </c>
      <c r="Y654" s="51" t="str">
        <f t="shared" si="409"/>
        <v>Not Used</v>
      </c>
      <c r="Z654" s="51" t="str">
        <f t="shared" si="410"/>
        <v>Not Used</v>
      </c>
      <c r="AA654" s="51" t="str">
        <f t="shared" si="410"/>
        <v>Not Used</v>
      </c>
      <c r="AB654" s="51" t="str">
        <f t="shared" si="411"/>
        <v>Not Used</v>
      </c>
      <c r="AC654" s="51" t="b">
        <f t="shared" si="412"/>
        <v>1</v>
      </c>
      <c r="AD654" s="51">
        <f>COUNTIF($X$5:$X$654, "Not Used")</f>
        <v>650</v>
      </c>
      <c r="AE654" s="51">
        <f>COUNTIF($X$5:$X$654, "TRUE")</f>
        <v>0</v>
      </c>
      <c r="AF654" s="51" t="b">
        <f t="shared" si="413"/>
        <v>1</v>
      </c>
      <c r="AI654" s="51" t="b">
        <f t="shared" si="414"/>
        <v>0</v>
      </c>
      <c r="AJ654" s="51" t="b">
        <f t="shared" si="415"/>
        <v>0</v>
      </c>
      <c r="AK654" s="51" t="b">
        <f t="shared" si="416"/>
        <v>0</v>
      </c>
      <c r="AL654" s="51" t="b">
        <f t="shared" si="417"/>
        <v>0</v>
      </c>
      <c r="AM654" s="51" t="b">
        <f t="shared" si="418"/>
        <v>0</v>
      </c>
      <c r="AN654" s="51"/>
      <c r="AO654" s="51" t="b">
        <f t="shared" si="419"/>
        <v>0</v>
      </c>
      <c r="AP654" s="51" t="str">
        <f t="shared" si="441"/>
        <v>Not in MMS</v>
      </c>
      <c r="AQ654" s="51" t="b">
        <f t="shared" si="420"/>
        <v>0</v>
      </c>
      <c r="AR654" s="51" t="b">
        <f t="shared" si="421"/>
        <v>0</v>
      </c>
      <c r="AS654" s="51" t="str">
        <f t="shared" si="422"/>
        <v/>
      </c>
      <c r="AT654" s="51" t="str">
        <f t="shared" si="423"/>
        <v/>
      </c>
      <c r="AU654" s="51" t="str">
        <f t="shared" si="424"/>
        <v/>
      </c>
      <c r="AV654" s="51" t="str">
        <f t="shared" si="425"/>
        <v/>
      </c>
      <c r="AW654" s="51" t="str">
        <f t="shared" si="426"/>
        <v/>
      </c>
      <c r="AX654" s="51" t="str">
        <f t="shared" si="427"/>
        <v/>
      </c>
      <c r="AY654" s="51" t="str">
        <f t="shared" si="428"/>
        <v/>
      </c>
      <c r="AZ654" s="51" t="str">
        <f t="shared" si="429"/>
        <v/>
      </c>
      <c r="BA654" s="51" t="str">
        <f t="shared" si="430"/>
        <v/>
      </c>
      <c r="BB654" s="51" t="str">
        <f t="shared" si="431"/>
        <v/>
      </c>
      <c r="BC654" s="51" t="str">
        <f t="shared" si="432"/>
        <v/>
      </c>
      <c r="BD654" s="51" t="str">
        <f t="shared" si="433"/>
        <v/>
      </c>
      <c r="BE654" s="51" t="str">
        <f t="shared" si="434"/>
        <v/>
      </c>
      <c r="BF654" s="51" t="str">
        <f t="shared" si="435"/>
        <v/>
      </c>
      <c r="BG654" s="51" t="str">
        <f t="shared" si="436"/>
        <v/>
      </c>
      <c r="BH654" s="51" t="b">
        <f t="shared" si="437"/>
        <v>0</v>
      </c>
      <c r="BI654" s="51" t="str">
        <f t="shared" si="438"/>
        <v/>
      </c>
      <c r="BJ654" s="51" t="str">
        <f t="shared" si="439"/>
        <v/>
      </c>
      <c r="BK654" s="51" t="b">
        <f t="shared" si="440"/>
        <v>0</v>
      </c>
      <c r="BL654" s="192"/>
    </row>
    <row r="655" spans="1:64" ht="13.5" thickBot="1" x14ac:dyDescent="0.25">
      <c r="A655" s="185" t="s">
        <v>1326</v>
      </c>
      <c r="B655" s="194" t="s">
        <v>695</v>
      </c>
      <c r="C655" s="194" t="s">
        <v>695</v>
      </c>
      <c r="D655" s="194" t="s">
        <v>695</v>
      </c>
      <c r="E655" s="193" t="s">
        <v>694</v>
      </c>
      <c r="F655" s="160" t="s">
        <v>20</v>
      </c>
      <c r="G655" s="161"/>
      <c r="H655" s="186" t="str">
        <f t="shared" si="398"/>
        <v>N/A</v>
      </c>
      <c r="I655" s="186" t="b">
        <f t="shared" si="399"/>
        <v>1</v>
      </c>
      <c r="J655" s="186" t="str">
        <f t="shared" si="400"/>
        <v>N/A</v>
      </c>
      <c r="K655" s="186" t="b">
        <f t="shared" si="401"/>
        <v>1</v>
      </c>
      <c r="L655" s="186" t="str">
        <f t="shared" si="402"/>
        <v>N/A</v>
      </c>
      <c r="M655" s="186" t="b">
        <f t="shared" si="403"/>
        <v>1</v>
      </c>
      <c r="N655" s="186" t="str">
        <f t="shared" si="404"/>
        <v>Used?</v>
      </c>
      <c r="O655" s="186" t="b">
        <f t="shared" si="405"/>
        <v>0</v>
      </c>
      <c r="P655" s="26" t="s">
        <v>696</v>
      </c>
      <c r="Q655" s="160" t="s">
        <v>20</v>
      </c>
      <c r="R655" s="160" t="s">
        <v>20</v>
      </c>
      <c r="S655" s="26" t="s">
        <v>697</v>
      </c>
      <c r="T655" s="165" t="str">
        <f t="shared" si="406"/>
        <v>Not Used</v>
      </c>
      <c r="U655" s="162"/>
      <c r="V655" s="55"/>
      <c r="W655" s="51" t="b">
        <f t="shared" si="407"/>
        <v>1</v>
      </c>
      <c r="X655" s="51" t="str">
        <f t="shared" si="408"/>
        <v>Not Used</v>
      </c>
      <c r="Y655" s="51" t="str">
        <f t="shared" si="409"/>
        <v>Not Used</v>
      </c>
      <c r="Z655" s="51" t="str">
        <f t="shared" si="410"/>
        <v>Not Used</v>
      </c>
      <c r="AA655" s="51" t="str">
        <f t="shared" si="410"/>
        <v>Not Used</v>
      </c>
      <c r="AB655" s="51" t="str">
        <f t="shared" si="411"/>
        <v>Not Used</v>
      </c>
      <c r="AC655" s="51" t="b">
        <f t="shared" si="412"/>
        <v>1</v>
      </c>
      <c r="AD655" s="51">
        <f>COUNTIF($X$5:$X$655, "Not Used")</f>
        <v>651</v>
      </c>
      <c r="AE655" s="51">
        <f>COUNTIF($X$5:$X$655, "TRUE")</f>
        <v>0</v>
      </c>
      <c r="AF655" s="51" t="b">
        <f t="shared" si="413"/>
        <v>1</v>
      </c>
      <c r="AI655" s="51" t="b">
        <f t="shared" si="414"/>
        <v>0</v>
      </c>
      <c r="AJ655" s="51" t="b">
        <f t="shared" si="415"/>
        <v>0</v>
      </c>
      <c r="AK655" s="51" t="b">
        <f t="shared" si="416"/>
        <v>0</v>
      </c>
      <c r="AL655" s="51" t="b">
        <f t="shared" si="417"/>
        <v>0</v>
      </c>
      <c r="AM655" s="51" t="b">
        <f t="shared" si="418"/>
        <v>0</v>
      </c>
      <c r="AN655" s="51"/>
      <c r="AO655" s="51" t="b">
        <f t="shared" si="419"/>
        <v>0</v>
      </c>
      <c r="AP655" s="51" t="str">
        <f t="shared" si="441"/>
        <v>Not in MMS</v>
      </c>
      <c r="AQ655" s="51" t="b">
        <f t="shared" si="420"/>
        <v>0</v>
      </c>
      <c r="AR655" s="51" t="b">
        <f t="shared" si="421"/>
        <v>0</v>
      </c>
      <c r="AS655" s="51" t="str">
        <f t="shared" si="422"/>
        <v/>
      </c>
      <c r="AT655" s="51" t="str">
        <f t="shared" si="423"/>
        <v/>
      </c>
      <c r="AU655" s="51" t="str">
        <f t="shared" si="424"/>
        <v/>
      </c>
      <c r="AV655" s="51" t="str">
        <f t="shared" si="425"/>
        <v/>
      </c>
      <c r="AW655" s="51" t="str">
        <f t="shared" si="426"/>
        <v/>
      </c>
      <c r="AX655" s="51" t="str">
        <f t="shared" si="427"/>
        <v/>
      </c>
      <c r="AY655" s="51" t="str">
        <f t="shared" si="428"/>
        <v/>
      </c>
      <c r="AZ655" s="51" t="str">
        <f t="shared" si="429"/>
        <v/>
      </c>
      <c r="BA655" s="51" t="str">
        <f t="shared" si="430"/>
        <v/>
      </c>
      <c r="BB655" s="51" t="str">
        <f t="shared" si="431"/>
        <v/>
      </c>
      <c r="BC655" s="51" t="str">
        <f t="shared" si="432"/>
        <v/>
      </c>
      <c r="BD655" s="51" t="str">
        <f t="shared" si="433"/>
        <v/>
      </c>
      <c r="BE655" s="51" t="str">
        <f t="shared" si="434"/>
        <v/>
      </c>
      <c r="BF655" s="51" t="str">
        <f t="shared" si="435"/>
        <v/>
      </c>
      <c r="BG655" s="51" t="str">
        <f t="shared" si="436"/>
        <v/>
      </c>
      <c r="BH655" s="51" t="b">
        <f t="shared" si="437"/>
        <v>0</v>
      </c>
      <c r="BI655" s="51" t="str">
        <f t="shared" si="438"/>
        <v/>
      </c>
      <c r="BJ655" s="51" t="str">
        <f t="shared" si="439"/>
        <v/>
      </c>
      <c r="BK655" s="51" t="b">
        <f t="shared" si="440"/>
        <v>0</v>
      </c>
      <c r="BL655" s="192"/>
    </row>
    <row r="656" spans="1:64" ht="13.5" thickBot="1" x14ac:dyDescent="0.25">
      <c r="A656" s="185" t="s">
        <v>1327</v>
      </c>
      <c r="B656" s="194" t="s">
        <v>695</v>
      </c>
      <c r="C656" s="194" t="s">
        <v>695</v>
      </c>
      <c r="D656" s="194" t="s">
        <v>695</v>
      </c>
      <c r="E656" s="193" t="s">
        <v>694</v>
      </c>
      <c r="F656" s="160" t="s">
        <v>20</v>
      </c>
      <c r="G656" s="161"/>
      <c r="H656" s="186" t="str">
        <f t="shared" si="398"/>
        <v>N/A</v>
      </c>
      <c r="I656" s="186" t="b">
        <f t="shared" si="399"/>
        <v>1</v>
      </c>
      <c r="J656" s="186" t="str">
        <f t="shared" si="400"/>
        <v>N/A</v>
      </c>
      <c r="K656" s="186" t="b">
        <f t="shared" si="401"/>
        <v>1</v>
      </c>
      <c r="L656" s="186" t="str">
        <f t="shared" si="402"/>
        <v>N/A</v>
      </c>
      <c r="M656" s="186" t="b">
        <f t="shared" si="403"/>
        <v>1</v>
      </c>
      <c r="N656" s="186" t="str">
        <f t="shared" si="404"/>
        <v>Used?</v>
      </c>
      <c r="O656" s="186" t="b">
        <f t="shared" si="405"/>
        <v>0</v>
      </c>
      <c r="P656" s="26" t="s">
        <v>696</v>
      </c>
      <c r="Q656" s="160" t="s">
        <v>20</v>
      </c>
      <c r="R656" s="160" t="s">
        <v>20</v>
      </c>
      <c r="S656" s="26" t="s">
        <v>697</v>
      </c>
      <c r="T656" s="165" t="str">
        <f t="shared" si="406"/>
        <v>Not Used</v>
      </c>
      <c r="U656" s="162"/>
      <c r="V656" s="55"/>
      <c r="W656" s="51" t="b">
        <f t="shared" si="407"/>
        <v>1</v>
      </c>
      <c r="X656" s="51" t="str">
        <f t="shared" si="408"/>
        <v>Not Used</v>
      </c>
      <c r="Y656" s="51" t="str">
        <f t="shared" si="409"/>
        <v>Not Used</v>
      </c>
      <c r="Z656" s="51" t="str">
        <f t="shared" si="410"/>
        <v>Not Used</v>
      </c>
      <c r="AA656" s="51" t="str">
        <f t="shared" si="410"/>
        <v>Not Used</v>
      </c>
      <c r="AB656" s="51" t="str">
        <f t="shared" si="411"/>
        <v>Not Used</v>
      </c>
      <c r="AC656" s="51" t="b">
        <f t="shared" si="412"/>
        <v>1</v>
      </c>
      <c r="AD656" s="51">
        <f>COUNTIF($X$5:$X$656, "Not Used")</f>
        <v>652</v>
      </c>
      <c r="AE656" s="51">
        <f>COUNTIF($X$5:$X$656, "TRUE")</f>
        <v>0</v>
      </c>
      <c r="AF656" s="51" t="b">
        <f t="shared" si="413"/>
        <v>1</v>
      </c>
      <c r="AI656" s="51" t="b">
        <f t="shared" si="414"/>
        <v>0</v>
      </c>
      <c r="AJ656" s="51" t="b">
        <f t="shared" si="415"/>
        <v>0</v>
      </c>
      <c r="AK656" s="51" t="b">
        <f t="shared" si="416"/>
        <v>0</v>
      </c>
      <c r="AL656" s="51" t="b">
        <f t="shared" si="417"/>
        <v>0</v>
      </c>
      <c r="AM656" s="51" t="b">
        <f t="shared" si="418"/>
        <v>0</v>
      </c>
      <c r="AN656" s="51"/>
      <c r="AO656" s="51" t="b">
        <f t="shared" si="419"/>
        <v>0</v>
      </c>
      <c r="AP656" s="51" t="str">
        <f t="shared" si="441"/>
        <v>Not in MMS</v>
      </c>
      <c r="AQ656" s="51" t="b">
        <f t="shared" si="420"/>
        <v>0</v>
      </c>
      <c r="AR656" s="51" t="b">
        <f t="shared" si="421"/>
        <v>0</v>
      </c>
      <c r="AS656" s="51" t="str">
        <f t="shared" si="422"/>
        <v/>
      </c>
      <c r="AT656" s="51" t="str">
        <f t="shared" si="423"/>
        <v/>
      </c>
      <c r="AU656" s="51" t="str">
        <f t="shared" si="424"/>
        <v/>
      </c>
      <c r="AV656" s="51" t="str">
        <f t="shared" si="425"/>
        <v/>
      </c>
      <c r="AW656" s="51" t="str">
        <f t="shared" si="426"/>
        <v/>
      </c>
      <c r="AX656" s="51" t="str">
        <f t="shared" si="427"/>
        <v/>
      </c>
      <c r="AY656" s="51" t="str">
        <f t="shared" si="428"/>
        <v/>
      </c>
      <c r="AZ656" s="51" t="str">
        <f t="shared" si="429"/>
        <v/>
      </c>
      <c r="BA656" s="51" t="str">
        <f t="shared" si="430"/>
        <v/>
      </c>
      <c r="BB656" s="51" t="str">
        <f t="shared" si="431"/>
        <v/>
      </c>
      <c r="BC656" s="51" t="str">
        <f t="shared" si="432"/>
        <v/>
      </c>
      <c r="BD656" s="51" t="str">
        <f t="shared" si="433"/>
        <v/>
      </c>
      <c r="BE656" s="51" t="str">
        <f t="shared" si="434"/>
        <v/>
      </c>
      <c r="BF656" s="51" t="str">
        <f t="shared" si="435"/>
        <v/>
      </c>
      <c r="BG656" s="51" t="str">
        <f t="shared" si="436"/>
        <v/>
      </c>
      <c r="BH656" s="51" t="b">
        <f t="shared" si="437"/>
        <v>0</v>
      </c>
      <c r="BI656" s="51" t="str">
        <f t="shared" si="438"/>
        <v/>
      </c>
      <c r="BJ656" s="51" t="str">
        <f t="shared" si="439"/>
        <v/>
      </c>
      <c r="BK656" s="51" t="b">
        <f t="shared" si="440"/>
        <v>0</v>
      </c>
      <c r="BL656" s="192"/>
    </row>
    <row r="657" spans="1:64" ht="13.5" thickBot="1" x14ac:dyDescent="0.25">
      <c r="A657" s="185" t="s">
        <v>1328</v>
      </c>
      <c r="B657" s="194" t="s">
        <v>695</v>
      </c>
      <c r="C657" s="194" t="s">
        <v>695</v>
      </c>
      <c r="D657" s="194" t="s">
        <v>695</v>
      </c>
      <c r="E657" s="193" t="s">
        <v>694</v>
      </c>
      <c r="F657" s="160" t="s">
        <v>20</v>
      </c>
      <c r="G657" s="161"/>
      <c r="H657" s="186" t="str">
        <f t="shared" si="398"/>
        <v>N/A</v>
      </c>
      <c r="I657" s="186" t="b">
        <f t="shared" si="399"/>
        <v>1</v>
      </c>
      <c r="J657" s="186" t="str">
        <f t="shared" si="400"/>
        <v>N/A</v>
      </c>
      <c r="K657" s="186" t="b">
        <f t="shared" si="401"/>
        <v>1</v>
      </c>
      <c r="L657" s="186" t="str">
        <f t="shared" si="402"/>
        <v>N/A</v>
      </c>
      <c r="M657" s="186" t="b">
        <f t="shared" si="403"/>
        <v>1</v>
      </c>
      <c r="N657" s="186" t="str">
        <f t="shared" si="404"/>
        <v>Used?</v>
      </c>
      <c r="O657" s="186" t="b">
        <f t="shared" si="405"/>
        <v>0</v>
      </c>
      <c r="P657" s="26" t="s">
        <v>696</v>
      </c>
      <c r="Q657" s="160" t="s">
        <v>20</v>
      </c>
      <c r="R657" s="160" t="s">
        <v>20</v>
      </c>
      <c r="S657" s="26" t="s">
        <v>697</v>
      </c>
      <c r="T657" s="165" t="str">
        <f t="shared" si="406"/>
        <v>Not Used</v>
      </c>
      <c r="U657" s="162"/>
      <c r="V657" s="55"/>
      <c r="W657" s="51" t="b">
        <f t="shared" si="407"/>
        <v>1</v>
      </c>
      <c r="X657" s="51" t="str">
        <f t="shared" si="408"/>
        <v>Not Used</v>
      </c>
      <c r="Y657" s="51" t="str">
        <f t="shared" si="409"/>
        <v>Not Used</v>
      </c>
      <c r="Z657" s="51" t="str">
        <f t="shared" si="410"/>
        <v>Not Used</v>
      </c>
      <c r="AA657" s="51" t="str">
        <f t="shared" si="410"/>
        <v>Not Used</v>
      </c>
      <c r="AB657" s="51" t="str">
        <f t="shared" si="411"/>
        <v>Not Used</v>
      </c>
      <c r="AC657" s="51" t="b">
        <f t="shared" si="412"/>
        <v>1</v>
      </c>
      <c r="AD657" s="51">
        <f>COUNTIF($X$5:$X$657, "Not Used")</f>
        <v>653</v>
      </c>
      <c r="AE657" s="51">
        <f>COUNTIF($X$5:$X$657, "TRUE")</f>
        <v>0</v>
      </c>
      <c r="AF657" s="51" t="b">
        <f t="shared" si="413"/>
        <v>1</v>
      </c>
      <c r="AI657" s="51" t="b">
        <f t="shared" si="414"/>
        <v>0</v>
      </c>
      <c r="AJ657" s="51" t="b">
        <f t="shared" si="415"/>
        <v>0</v>
      </c>
      <c r="AK657" s="51" t="b">
        <f t="shared" si="416"/>
        <v>0</v>
      </c>
      <c r="AL657" s="51" t="b">
        <f t="shared" si="417"/>
        <v>0</v>
      </c>
      <c r="AM657" s="51" t="b">
        <f t="shared" si="418"/>
        <v>0</v>
      </c>
      <c r="AN657" s="51"/>
      <c r="AO657" s="51" t="b">
        <f t="shared" si="419"/>
        <v>0</v>
      </c>
      <c r="AP657" s="51" t="str">
        <f t="shared" si="441"/>
        <v>Not in MMS</v>
      </c>
      <c r="AQ657" s="51" t="b">
        <f t="shared" si="420"/>
        <v>0</v>
      </c>
      <c r="AR657" s="51" t="b">
        <f t="shared" si="421"/>
        <v>0</v>
      </c>
      <c r="AS657" s="51" t="str">
        <f t="shared" si="422"/>
        <v/>
      </c>
      <c r="AT657" s="51" t="str">
        <f t="shared" si="423"/>
        <v/>
      </c>
      <c r="AU657" s="51" t="str">
        <f t="shared" si="424"/>
        <v/>
      </c>
      <c r="AV657" s="51" t="str">
        <f t="shared" si="425"/>
        <v/>
      </c>
      <c r="AW657" s="51" t="str">
        <f t="shared" si="426"/>
        <v/>
      </c>
      <c r="AX657" s="51" t="str">
        <f t="shared" si="427"/>
        <v/>
      </c>
      <c r="AY657" s="51" t="str">
        <f t="shared" si="428"/>
        <v/>
      </c>
      <c r="AZ657" s="51" t="str">
        <f t="shared" si="429"/>
        <v/>
      </c>
      <c r="BA657" s="51" t="str">
        <f t="shared" si="430"/>
        <v/>
      </c>
      <c r="BB657" s="51" t="str">
        <f t="shared" si="431"/>
        <v/>
      </c>
      <c r="BC657" s="51" t="str">
        <f t="shared" si="432"/>
        <v/>
      </c>
      <c r="BD657" s="51" t="str">
        <f t="shared" si="433"/>
        <v/>
      </c>
      <c r="BE657" s="51" t="str">
        <f t="shared" si="434"/>
        <v/>
      </c>
      <c r="BF657" s="51" t="str">
        <f t="shared" si="435"/>
        <v/>
      </c>
      <c r="BG657" s="51" t="str">
        <f t="shared" si="436"/>
        <v/>
      </c>
      <c r="BH657" s="51" t="b">
        <f t="shared" si="437"/>
        <v>0</v>
      </c>
      <c r="BI657" s="51" t="str">
        <f t="shared" si="438"/>
        <v/>
      </c>
      <c r="BJ657" s="51" t="str">
        <f t="shared" si="439"/>
        <v/>
      </c>
      <c r="BK657" s="51" t="b">
        <f t="shared" si="440"/>
        <v>0</v>
      </c>
      <c r="BL657" s="192"/>
    </row>
    <row r="658" spans="1:64" ht="13.5" thickBot="1" x14ac:dyDescent="0.25">
      <c r="A658" s="185" t="s">
        <v>1329</v>
      </c>
      <c r="B658" s="194" t="s">
        <v>695</v>
      </c>
      <c r="C658" s="194" t="s">
        <v>695</v>
      </c>
      <c r="D658" s="194" t="s">
        <v>695</v>
      </c>
      <c r="E658" s="193" t="s">
        <v>694</v>
      </c>
      <c r="F658" s="160" t="s">
        <v>20</v>
      </c>
      <c r="G658" s="161"/>
      <c r="H658" s="186" t="str">
        <f t="shared" si="398"/>
        <v>N/A</v>
      </c>
      <c r="I658" s="186" t="b">
        <f t="shared" si="399"/>
        <v>1</v>
      </c>
      <c r="J658" s="186" t="str">
        <f t="shared" si="400"/>
        <v>N/A</v>
      </c>
      <c r="K658" s="186" t="b">
        <f t="shared" si="401"/>
        <v>1</v>
      </c>
      <c r="L658" s="186" t="str">
        <f t="shared" si="402"/>
        <v>N/A</v>
      </c>
      <c r="M658" s="186" t="b">
        <f t="shared" si="403"/>
        <v>1</v>
      </c>
      <c r="N658" s="186" t="str">
        <f t="shared" si="404"/>
        <v>Used?</v>
      </c>
      <c r="O658" s="186" t="b">
        <f t="shared" si="405"/>
        <v>0</v>
      </c>
      <c r="P658" s="26" t="s">
        <v>696</v>
      </c>
      <c r="Q658" s="160" t="s">
        <v>20</v>
      </c>
      <c r="R658" s="160" t="s">
        <v>20</v>
      </c>
      <c r="S658" s="26" t="s">
        <v>697</v>
      </c>
      <c r="T658" s="165" t="str">
        <f t="shared" si="406"/>
        <v>Not Used</v>
      </c>
      <c r="U658" s="162"/>
      <c r="V658" s="55"/>
      <c r="W658" s="51" t="b">
        <f t="shared" si="407"/>
        <v>1</v>
      </c>
      <c r="X658" s="51" t="str">
        <f t="shared" si="408"/>
        <v>Not Used</v>
      </c>
      <c r="Y658" s="51" t="str">
        <f t="shared" si="409"/>
        <v>Not Used</v>
      </c>
      <c r="Z658" s="51" t="str">
        <f t="shared" si="410"/>
        <v>Not Used</v>
      </c>
      <c r="AA658" s="51" t="str">
        <f t="shared" si="410"/>
        <v>Not Used</v>
      </c>
      <c r="AB658" s="51" t="str">
        <f t="shared" si="411"/>
        <v>Not Used</v>
      </c>
      <c r="AC658" s="51" t="b">
        <f t="shared" si="412"/>
        <v>1</v>
      </c>
      <c r="AD658" s="51">
        <f>COUNTIF($X$5:$X$658, "Not Used")</f>
        <v>654</v>
      </c>
      <c r="AE658" s="51">
        <f>COUNTIF($X$5:$X$658, "TRUE")</f>
        <v>0</v>
      </c>
      <c r="AF658" s="51" t="b">
        <f t="shared" si="413"/>
        <v>1</v>
      </c>
      <c r="AI658" s="51" t="b">
        <f t="shared" si="414"/>
        <v>0</v>
      </c>
      <c r="AJ658" s="51" t="b">
        <f t="shared" si="415"/>
        <v>0</v>
      </c>
      <c r="AK658" s="51" t="b">
        <f t="shared" si="416"/>
        <v>0</v>
      </c>
      <c r="AL658" s="51" t="b">
        <f t="shared" si="417"/>
        <v>0</v>
      </c>
      <c r="AM658" s="51" t="b">
        <f t="shared" si="418"/>
        <v>0</v>
      </c>
      <c r="AN658" s="51"/>
      <c r="AO658" s="51" t="b">
        <f t="shared" si="419"/>
        <v>0</v>
      </c>
      <c r="AP658" s="51" t="str">
        <f t="shared" si="441"/>
        <v>Not in MMS</v>
      </c>
      <c r="AQ658" s="51" t="b">
        <f t="shared" si="420"/>
        <v>0</v>
      </c>
      <c r="AR658" s="51" t="b">
        <f t="shared" si="421"/>
        <v>0</v>
      </c>
      <c r="AS658" s="51" t="str">
        <f t="shared" si="422"/>
        <v/>
      </c>
      <c r="AT658" s="51" t="str">
        <f t="shared" si="423"/>
        <v/>
      </c>
      <c r="AU658" s="51" t="str">
        <f t="shared" si="424"/>
        <v/>
      </c>
      <c r="AV658" s="51" t="str">
        <f t="shared" si="425"/>
        <v/>
      </c>
      <c r="AW658" s="51" t="str">
        <f t="shared" si="426"/>
        <v/>
      </c>
      <c r="AX658" s="51" t="str">
        <f t="shared" si="427"/>
        <v/>
      </c>
      <c r="AY658" s="51" t="str">
        <f t="shared" si="428"/>
        <v/>
      </c>
      <c r="AZ658" s="51" t="str">
        <f t="shared" si="429"/>
        <v/>
      </c>
      <c r="BA658" s="51" t="str">
        <f t="shared" si="430"/>
        <v/>
      </c>
      <c r="BB658" s="51" t="str">
        <f t="shared" si="431"/>
        <v/>
      </c>
      <c r="BC658" s="51" t="str">
        <f t="shared" si="432"/>
        <v/>
      </c>
      <c r="BD658" s="51" t="str">
        <f t="shared" si="433"/>
        <v/>
      </c>
      <c r="BE658" s="51" t="str">
        <f t="shared" si="434"/>
        <v/>
      </c>
      <c r="BF658" s="51" t="str">
        <f t="shared" si="435"/>
        <v/>
      </c>
      <c r="BG658" s="51" t="str">
        <f t="shared" si="436"/>
        <v/>
      </c>
      <c r="BH658" s="51" t="b">
        <f t="shared" si="437"/>
        <v>0</v>
      </c>
      <c r="BI658" s="51" t="str">
        <f t="shared" si="438"/>
        <v/>
      </c>
      <c r="BJ658" s="51" t="str">
        <f t="shared" si="439"/>
        <v/>
      </c>
      <c r="BK658" s="51" t="b">
        <f t="shared" si="440"/>
        <v>0</v>
      </c>
      <c r="BL658" s="192"/>
    </row>
    <row r="659" spans="1:64" ht="13.5" thickBot="1" x14ac:dyDescent="0.25">
      <c r="A659" s="185" t="s">
        <v>1330</v>
      </c>
      <c r="B659" s="194" t="s">
        <v>695</v>
      </c>
      <c r="C659" s="194" t="s">
        <v>695</v>
      </c>
      <c r="D659" s="194" t="s">
        <v>695</v>
      </c>
      <c r="E659" s="193" t="s">
        <v>694</v>
      </c>
      <c r="F659" s="160" t="s">
        <v>20</v>
      </c>
      <c r="G659" s="161"/>
      <c r="H659" s="186" t="str">
        <f t="shared" si="398"/>
        <v>N/A</v>
      </c>
      <c r="I659" s="186" t="b">
        <f t="shared" si="399"/>
        <v>1</v>
      </c>
      <c r="J659" s="186" t="str">
        <f t="shared" si="400"/>
        <v>N/A</v>
      </c>
      <c r="K659" s="186" t="b">
        <f t="shared" si="401"/>
        <v>1</v>
      </c>
      <c r="L659" s="186" t="str">
        <f t="shared" si="402"/>
        <v>N/A</v>
      </c>
      <c r="M659" s="186" t="b">
        <f t="shared" si="403"/>
        <v>1</v>
      </c>
      <c r="N659" s="186" t="str">
        <f t="shared" si="404"/>
        <v>Used?</v>
      </c>
      <c r="O659" s="186" t="b">
        <f t="shared" si="405"/>
        <v>0</v>
      </c>
      <c r="P659" s="26" t="s">
        <v>696</v>
      </c>
      <c r="Q659" s="160" t="s">
        <v>20</v>
      </c>
      <c r="R659" s="160" t="s">
        <v>20</v>
      </c>
      <c r="S659" s="26" t="s">
        <v>697</v>
      </c>
      <c r="T659" s="165" t="str">
        <f t="shared" si="406"/>
        <v>Not Used</v>
      </c>
      <c r="U659" s="162"/>
      <c r="V659" s="55"/>
      <c r="W659" s="51" t="b">
        <f t="shared" si="407"/>
        <v>1</v>
      </c>
      <c r="X659" s="51" t="str">
        <f t="shared" si="408"/>
        <v>Not Used</v>
      </c>
      <c r="Y659" s="51" t="str">
        <f t="shared" si="409"/>
        <v>Not Used</v>
      </c>
      <c r="Z659" s="51" t="str">
        <f t="shared" si="410"/>
        <v>Not Used</v>
      </c>
      <c r="AA659" s="51" t="str">
        <f t="shared" si="410"/>
        <v>Not Used</v>
      </c>
      <c r="AB659" s="51" t="str">
        <f t="shared" si="411"/>
        <v>Not Used</v>
      </c>
      <c r="AC659" s="51" t="b">
        <f t="shared" si="412"/>
        <v>1</v>
      </c>
      <c r="AD659" s="51">
        <f>COUNTIF($X$5:$X$659, "Not Used")</f>
        <v>655</v>
      </c>
      <c r="AE659" s="51">
        <f>COUNTIF($X$5:$X$659, "TRUE")</f>
        <v>0</v>
      </c>
      <c r="AF659" s="51" t="b">
        <f t="shared" si="413"/>
        <v>1</v>
      </c>
      <c r="AI659" s="51" t="b">
        <f t="shared" si="414"/>
        <v>0</v>
      </c>
      <c r="AJ659" s="51" t="b">
        <f t="shared" si="415"/>
        <v>0</v>
      </c>
      <c r="AK659" s="51" t="b">
        <f t="shared" si="416"/>
        <v>0</v>
      </c>
      <c r="AL659" s="51" t="b">
        <f t="shared" si="417"/>
        <v>0</v>
      </c>
      <c r="AM659" s="51" t="b">
        <f t="shared" si="418"/>
        <v>0</v>
      </c>
      <c r="AN659" s="51"/>
      <c r="AO659" s="51" t="b">
        <f t="shared" si="419"/>
        <v>0</v>
      </c>
      <c r="AP659" s="51" t="str">
        <f t="shared" si="441"/>
        <v>Not in MMS</v>
      </c>
      <c r="AQ659" s="51" t="b">
        <f t="shared" si="420"/>
        <v>0</v>
      </c>
      <c r="AR659" s="51" t="b">
        <f t="shared" si="421"/>
        <v>0</v>
      </c>
      <c r="AS659" s="51" t="str">
        <f t="shared" si="422"/>
        <v/>
      </c>
      <c r="AT659" s="51" t="str">
        <f t="shared" si="423"/>
        <v/>
      </c>
      <c r="AU659" s="51" t="str">
        <f t="shared" si="424"/>
        <v/>
      </c>
      <c r="AV659" s="51" t="str">
        <f t="shared" si="425"/>
        <v/>
      </c>
      <c r="AW659" s="51" t="str">
        <f t="shared" si="426"/>
        <v/>
      </c>
      <c r="AX659" s="51" t="str">
        <f t="shared" si="427"/>
        <v/>
      </c>
      <c r="AY659" s="51" t="str">
        <f t="shared" si="428"/>
        <v/>
      </c>
      <c r="AZ659" s="51" t="str">
        <f t="shared" si="429"/>
        <v/>
      </c>
      <c r="BA659" s="51" t="str">
        <f t="shared" si="430"/>
        <v/>
      </c>
      <c r="BB659" s="51" t="str">
        <f t="shared" si="431"/>
        <v/>
      </c>
      <c r="BC659" s="51" t="str">
        <f t="shared" si="432"/>
        <v/>
      </c>
      <c r="BD659" s="51" t="str">
        <f t="shared" si="433"/>
        <v/>
      </c>
      <c r="BE659" s="51" t="str">
        <f t="shared" si="434"/>
        <v/>
      </c>
      <c r="BF659" s="51" t="str">
        <f t="shared" si="435"/>
        <v/>
      </c>
      <c r="BG659" s="51" t="str">
        <f t="shared" si="436"/>
        <v/>
      </c>
      <c r="BH659" s="51" t="b">
        <f t="shared" si="437"/>
        <v>0</v>
      </c>
      <c r="BI659" s="51" t="str">
        <f t="shared" si="438"/>
        <v/>
      </c>
      <c r="BJ659" s="51" t="str">
        <f t="shared" si="439"/>
        <v/>
      </c>
      <c r="BK659" s="51" t="b">
        <f t="shared" si="440"/>
        <v>0</v>
      </c>
      <c r="BL659" s="192"/>
    </row>
    <row r="660" spans="1:64" ht="13.5" thickBot="1" x14ac:dyDescent="0.25">
      <c r="A660" s="185" t="s">
        <v>1331</v>
      </c>
      <c r="B660" s="194" t="s">
        <v>695</v>
      </c>
      <c r="C660" s="194" t="s">
        <v>695</v>
      </c>
      <c r="D660" s="194" t="s">
        <v>695</v>
      </c>
      <c r="E660" s="193" t="s">
        <v>694</v>
      </c>
      <c r="F660" s="160" t="s">
        <v>20</v>
      </c>
      <c r="G660" s="161"/>
      <c r="H660" s="186" t="str">
        <f t="shared" si="398"/>
        <v>N/A</v>
      </c>
      <c r="I660" s="186" t="b">
        <f t="shared" si="399"/>
        <v>1</v>
      </c>
      <c r="J660" s="186" t="str">
        <f t="shared" si="400"/>
        <v>N/A</v>
      </c>
      <c r="K660" s="186" t="b">
        <f t="shared" si="401"/>
        <v>1</v>
      </c>
      <c r="L660" s="186" t="str">
        <f t="shared" si="402"/>
        <v>N/A</v>
      </c>
      <c r="M660" s="186" t="b">
        <f t="shared" si="403"/>
        <v>1</v>
      </c>
      <c r="N660" s="186" t="str">
        <f t="shared" si="404"/>
        <v>Used?</v>
      </c>
      <c r="O660" s="186" t="b">
        <f t="shared" si="405"/>
        <v>0</v>
      </c>
      <c r="P660" s="26" t="s">
        <v>696</v>
      </c>
      <c r="Q660" s="160" t="s">
        <v>20</v>
      </c>
      <c r="R660" s="160" t="s">
        <v>20</v>
      </c>
      <c r="S660" s="26" t="s">
        <v>697</v>
      </c>
      <c r="T660" s="165" t="str">
        <f t="shared" si="406"/>
        <v>Not Used</v>
      </c>
      <c r="U660" s="162"/>
      <c r="V660" s="55"/>
      <c r="W660" s="51" t="b">
        <f t="shared" si="407"/>
        <v>1</v>
      </c>
      <c r="X660" s="51" t="str">
        <f t="shared" si="408"/>
        <v>Not Used</v>
      </c>
      <c r="Y660" s="51" t="str">
        <f t="shared" si="409"/>
        <v>Not Used</v>
      </c>
      <c r="Z660" s="51" t="str">
        <f t="shared" si="410"/>
        <v>Not Used</v>
      </c>
      <c r="AA660" s="51" t="str">
        <f t="shared" si="410"/>
        <v>Not Used</v>
      </c>
      <c r="AB660" s="51" t="str">
        <f t="shared" si="411"/>
        <v>Not Used</v>
      </c>
      <c r="AC660" s="51" t="b">
        <f t="shared" si="412"/>
        <v>1</v>
      </c>
      <c r="AD660" s="51">
        <f>COUNTIF($X$5:$X$660, "Not Used")</f>
        <v>656</v>
      </c>
      <c r="AE660" s="51">
        <f>COUNTIF($X$5:$X$660, "TRUE")</f>
        <v>0</v>
      </c>
      <c r="AF660" s="51" t="b">
        <f t="shared" si="413"/>
        <v>1</v>
      </c>
      <c r="AI660" s="51" t="b">
        <f t="shared" si="414"/>
        <v>0</v>
      </c>
      <c r="AJ660" s="51" t="b">
        <f t="shared" si="415"/>
        <v>0</v>
      </c>
      <c r="AK660" s="51" t="b">
        <f t="shared" si="416"/>
        <v>0</v>
      </c>
      <c r="AL660" s="51" t="b">
        <f t="shared" si="417"/>
        <v>0</v>
      </c>
      <c r="AM660" s="51" t="b">
        <f t="shared" si="418"/>
        <v>0</v>
      </c>
      <c r="AN660" s="51"/>
      <c r="AO660" s="51" t="b">
        <f t="shared" si="419"/>
        <v>0</v>
      </c>
      <c r="AP660" s="51" t="str">
        <f t="shared" si="441"/>
        <v>Not in MMS</v>
      </c>
      <c r="AQ660" s="51" t="b">
        <f t="shared" si="420"/>
        <v>0</v>
      </c>
      <c r="AR660" s="51" t="b">
        <f t="shared" si="421"/>
        <v>0</v>
      </c>
      <c r="AS660" s="51" t="str">
        <f t="shared" si="422"/>
        <v/>
      </c>
      <c r="AT660" s="51" t="str">
        <f t="shared" si="423"/>
        <v/>
      </c>
      <c r="AU660" s="51" t="str">
        <f t="shared" si="424"/>
        <v/>
      </c>
      <c r="AV660" s="51" t="str">
        <f t="shared" si="425"/>
        <v/>
      </c>
      <c r="AW660" s="51" t="str">
        <f t="shared" si="426"/>
        <v/>
      </c>
      <c r="AX660" s="51" t="str">
        <f t="shared" si="427"/>
        <v/>
      </c>
      <c r="AY660" s="51" t="str">
        <f t="shared" si="428"/>
        <v/>
      </c>
      <c r="AZ660" s="51" t="str">
        <f t="shared" si="429"/>
        <v/>
      </c>
      <c r="BA660" s="51" t="str">
        <f t="shared" si="430"/>
        <v/>
      </c>
      <c r="BB660" s="51" t="str">
        <f t="shared" si="431"/>
        <v/>
      </c>
      <c r="BC660" s="51" t="str">
        <f t="shared" si="432"/>
        <v/>
      </c>
      <c r="BD660" s="51" t="str">
        <f t="shared" si="433"/>
        <v/>
      </c>
      <c r="BE660" s="51" t="str">
        <f t="shared" si="434"/>
        <v/>
      </c>
      <c r="BF660" s="51" t="str">
        <f t="shared" si="435"/>
        <v/>
      </c>
      <c r="BG660" s="51" t="str">
        <f t="shared" si="436"/>
        <v/>
      </c>
      <c r="BH660" s="51" t="b">
        <f t="shared" si="437"/>
        <v>0</v>
      </c>
      <c r="BI660" s="51" t="str">
        <f t="shared" si="438"/>
        <v/>
      </c>
      <c r="BJ660" s="51" t="str">
        <f t="shared" si="439"/>
        <v/>
      </c>
      <c r="BK660" s="51" t="b">
        <f t="shared" si="440"/>
        <v>0</v>
      </c>
      <c r="BL660" s="192"/>
    </row>
    <row r="661" spans="1:64" ht="13.5" thickBot="1" x14ac:dyDescent="0.25">
      <c r="A661" s="185" t="s">
        <v>1332</v>
      </c>
      <c r="B661" s="194" t="s">
        <v>695</v>
      </c>
      <c r="C661" s="194" t="s">
        <v>695</v>
      </c>
      <c r="D661" s="194" t="s">
        <v>695</v>
      </c>
      <c r="E661" s="193" t="s">
        <v>694</v>
      </c>
      <c r="F661" s="160" t="s">
        <v>20</v>
      </c>
      <c r="G661" s="161"/>
      <c r="H661" s="186" t="str">
        <f t="shared" ref="H661:H725" si="442">IF(B661="YES",(IF(F661="Yes",TRUE,(IF(F661="YES WITH MODIFICATION",(IF((NOT(ISBLANK(U661))),"Used with modification","Change Request?")),(IF(F661="N/A",(IF((NOT(ISBLANK(G661))),"Not Used","Rationale?")),(IF(F661="&lt;Select&gt;","Used?",FALSE)))))))),"N/A")</f>
        <v>N/A</v>
      </c>
      <c r="I661" s="186" t="b">
        <f t="shared" ref="I661:I725" si="443">IF(B661="YES",OR(IF(F661="YES",TRUE,FALSE),IF(AND(F661="YES WITH MODIFICATION",NOT(ISBLANK(U661))),TRUE,FALSE),(IF(F661="N/A",NOT(ISBLANK(G661))))),TRUE)</f>
        <v>1</v>
      </c>
      <c r="J661" s="186" t="str">
        <f t="shared" ref="J661:J725" si="444">IF(C661="YES",(IF(F661="YES",TRUE,(IF(F661="YES WITH MODIFICATION",(IF((NOT(ISBLANK(U661))),"Used with modification","Change Request?")),(IF(F661="N/A",(IF((NOT(ISBLANK(G661))),"Not Used","Rationale?")),(IF(F661="&lt;Select&gt;","Used?",FALSE)))))))),"N/A")</f>
        <v>N/A</v>
      </c>
      <c r="K661" s="186" t="b">
        <f t="shared" ref="K661:K725" si="445">IF(C661="YES",OR(IF(F661="YES",TRUE,FALSE),IF(AND(F661="YES WITH MODIFICATION",NOT(ISBLANK(U661))),TRUE,FALSE),(IF(F661="N/A",NOT(ISBLANK(G661))))),TRUE)</f>
        <v>1</v>
      </c>
      <c r="L661" s="186" t="str">
        <f t="shared" ref="L661:L725" si="446">IF(D661="YES",(IF(F661="YES",TRUE,(IF(F661="YES WITH MODIFICATION",(IF((NOT(ISBLANK(U661))),"Used with modification","Change Request?")),(IF(F661="N/A",(IF((NOT(ISBLANK(G661))),"Not Used","Rationale?")),(IF(F661="&lt;Select&gt;","Used?",FALSE)))))))),"N/A")</f>
        <v>N/A</v>
      </c>
      <c r="M661" s="186" t="b">
        <f t="shared" ref="M661:M725" si="447">IF(D661="YES",OR(IF(F661="YES",TRUE,FALSE),IF(AND(F661="YES WITH MODIFICATION",NOT(ISBLANK(U661))),TRUE,FALSE),(IF(F661="N/A",NOT(ISBLANK(G661))))),TRUE)</f>
        <v>1</v>
      </c>
      <c r="N661" s="186" t="str">
        <f t="shared" ref="N661:N725" si="448">IF(E661="YES",(IF(F661="YES",TRUE,(IF(F661="YES WITH MODIFICATION",(IF((NOT(ISBLANK(U661))),"Used with modification","Change Request?")),(IF(F661="N/A",(IF((NOT(ISBLANK(G661))),"Not Used","Rationale?")),(IF(F661="&lt;Select&gt;","Used?",FALSE)))))))),"N/A")</f>
        <v>Used?</v>
      </c>
      <c r="O661" s="186" t="b">
        <f t="shared" ref="O661:O725" si="449">IF(E661="YES",OR(IF(F661="YES",TRUE,FALSE),IF(AND(F661="YES WITH MODIFICATION",NOT(ISBLANK(U661))),TRUE,FALSE),(IF(F661="N/A",NOT(ISBLANK(G661))))),TRUE)</f>
        <v>0</v>
      </c>
      <c r="P661" s="26" t="s">
        <v>696</v>
      </c>
      <c r="Q661" s="160" t="s">
        <v>20</v>
      </c>
      <c r="R661" s="160" t="s">
        <v>20</v>
      </c>
      <c r="S661" s="26" t="s">
        <v>697</v>
      </c>
      <c r="T661" s="165" t="str">
        <f t="shared" ref="T661:T725" si="450">IF(NOT(OR(F661="Yes",F661="YES WITH MODIFICATION")),"Not Used",(AND(X661=Y661,X661=(OR(Z661=TRUE,AA661=TRUE)), X661=AB661, X661=AC661)))</f>
        <v>Not Used</v>
      </c>
      <c r="U661" s="162"/>
      <c r="V661" s="55"/>
      <c r="W661" s="51" t="b">
        <f t="shared" ref="W661:W725" si="451">IF(T661=TRUE,TRUE,(IF(T661="Not Used", TRUE,FALSE)))</f>
        <v>1</v>
      </c>
      <c r="X661" s="51" t="str">
        <f t="shared" ref="X661:X725" si="452">IF(OR(F661="YES",F661="YES WITH MODIFICATION"),TRUE,"Not Used")</f>
        <v>Not Used</v>
      </c>
      <c r="Y661" s="51" t="str">
        <f t="shared" ref="Y661:Y725" si="453">IF(OR(P661="SC §3.X.X.X", ISBLANK(P661)),"Not Used", TRUE)</f>
        <v>Not Used</v>
      </c>
      <c r="Z661" s="51" t="str">
        <f t="shared" ref="Z661:AA725" si="454">IF(OR(Q661="&lt;Select&gt;",(ISBLANK(Q661))),"Not Used",TRUE)</f>
        <v>Not Used</v>
      </c>
      <c r="AA661" s="51" t="str">
        <f t="shared" si="454"/>
        <v>Not Used</v>
      </c>
      <c r="AB661" s="51" t="str">
        <f t="shared" ref="AB661:AB725" si="455">IF(OR(S661="&lt;enter location here&gt;",(ISBLANK(S661))),"Not Used",TRUE)</f>
        <v>Not Used</v>
      </c>
      <c r="AC661" s="51" t="b">
        <f t="shared" ref="AC661:AC725" si="456">IF(F661="YES WITH MODIFICATION",IF(NOT(ISBLANK(U661)),TRUE,FALSE),TRUE)</f>
        <v>1</v>
      </c>
      <c r="AD661" s="51">
        <f>COUNTIF($X$5:$X$661, "Not Used")</f>
        <v>657</v>
      </c>
      <c r="AE661" s="51">
        <f>COUNTIF($X$5:$X$661, "TRUE")</f>
        <v>0</v>
      </c>
      <c r="AF661" s="51" t="b">
        <f t="shared" ref="AF661:AF725" si="457">IF(F661="&lt;Select&gt;", TRUE,FALSE)</f>
        <v>1</v>
      </c>
      <c r="AI661" s="51" t="b">
        <f t="shared" ref="AI661:AI725" si="458">IF(F661="N/A", TRUE, FALSE)</f>
        <v>0</v>
      </c>
      <c r="AJ661" s="51" t="b">
        <f t="shared" ref="AJ661:AJ725" si="459">IF(AI661=TRUE, IF(NOT(ISBLANK(G661)), TRUE, FALSE))</f>
        <v>0</v>
      </c>
      <c r="AK661" s="51" t="b">
        <f t="shared" ref="AK661:AK725" si="460">IF(F661="YES WITH MODIFICATION", TRUE, FALSE)</f>
        <v>0</v>
      </c>
      <c r="AL661" s="51" t="b">
        <f t="shared" ref="AL661:AL725" si="461">IF(ISBLANK(U661), FALSE, TRUE)</f>
        <v>0</v>
      </c>
      <c r="AM661" s="51" t="b">
        <f t="shared" ref="AM661:AM725" si="462">IF(AND(AK661=TRUE, AL661=TRUE), TRUE, FALSE)</f>
        <v>0</v>
      </c>
      <c r="AN661" s="51"/>
      <c r="AO661" s="51" t="b">
        <f t="shared" ref="AO661:AO725" si="463">IF(AND(F661="YES WITH MODIFICATION", NOT(ISBLANK(U661))), TRUE, FALSE)</f>
        <v>0</v>
      </c>
      <c r="AP661" s="51" t="str">
        <f t="shared" si="441"/>
        <v>Not in MMS</v>
      </c>
      <c r="AQ661" s="51" t="b">
        <f t="shared" ref="AQ661:AQ725" si="464">IF(S661="&lt;enter location here&gt;", FALSE, TRUE)</f>
        <v>0</v>
      </c>
      <c r="AR661" s="51" t="b">
        <f t="shared" ref="AR661:AR725" si="465">IF(F661="&lt;Select&gt;", FALSE, IF(T661=FALSE, FALSE, TRUE))</f>
        <v>0</v>
      </c>
      <c r="AS661" s="51" t="str">
        <f t="shared" ref="AS661:AS725" si="466">IF(ISNUMBER(SEARCH("Tier 1 Sub MMS",AP661)), IF(F661="&lt;Select&gt;", FALSE, IF(AND(F661="N/A", J661="Rationale?"), FALSE, TRUE)), "")</f>
        <v/>
      </c>
      <c r="AT661" s="51" t="str">
        <f t="shared" ref="AT661:AT725" si="467">IF(ISNUMBER(SEARCH("Tier 1 MMS",AP661)), IF(F661="&lt;Select&gt;", FALSE, IF(AND(F661="N/A", H661="Rationale?"), FALSE, TRUE)), "")</f>
        <v/>
      </c>
      <c r="AU661" s="51" t="str">
        <f t="shared" ref="AU661:AU725" si="468">IF(ISNUMBER(SEARCH("Tier 1 MMS",AP661)), IF(F661="&lt;Select&gt;", FALSE, IF(AND(F661="YES WITH MODIFICATION", H661="Change Request?"), FALSE, TRUE)), "")</f>
        <v/>
      </c>
      <c r="AV661" s="51" t="str">
        <f t="shared" ref="AV661:AV725" si="469">IF(ISNUMBER(SEARCH("Tier 1 MMS",AP661)), IF(AK661=TRUE, TRUE, ""),"")</f>
        <v/>
      </c>
      <c r="AW661" s="51" t="str">
        <f t="shared" ref="AW661:AW725" si="470">IF(ISNUMBER(SEARCH("Tier 1 MMS",AP661)), IF(AL661=TRUE, TRUE, ""),"")</f>
        <v/>
      </c>
      <c r="AX661" s="51" t="str">
        <f t="shared" ref="AX661:AX725" si="471">IF(ISNUMBER(SEARCH("Tier 1 MMS",AP661)), IF(AI661=TRUE, TRUE, ""),"")</f>
        <v/>
      </c>
      <c r="AY661" s="51" t="str">
        <f t="shared" ref="AY661:AY725" si="472">IF(ISNUMBER(SEARCH("Tier 1 MMS",AP661)), IF(AJ661=TRUE, TRUE, ""),"")</f>
        <v/>
      </c>
      <c r="AZ661" s="51" t="str">
        <f t="shared" ref="AZ661:AZ725" si="473">IF(ISNUMBER(SEARCH("Tier 1 Sub MMS",AP661)), IF(AK661=TRUE, TRUE, ""),"")</f>
        <v/>
      </c>
      <c r="BA661" s="51" t="str">
        <f t="shared" ref="BA661:BA725" si="474">IF(ISNUMBER(SEARCH("Tier 1 Sub MMS",AP661)), IF(AL661=TRUE, TRUE, ""),"")</f>
        <v/>
      </c>
      <c r="BB661" s="51" t="str">
        <f t="shared" ref="BB661:BB725" si="475">IF(ISNUMBER(SEARCH("Tier 1 Sub MMS",AP661)), IF(AI661=TRUE, TRUE, ""),"")</f>
        <v/>
      </c>
      <c r="BC661" s="51" t="str">
        <f t="shared" ref="BC661:BC725" si="476">IF(ISNUMBER(SEARCH("Tier 1 Sub MMS",AP661)), IF(AJ661=TRUE, TRUE, ""),"")</f>
        <v/>
      </c>
      <c r="BD661" s="51" t="str">
        <f t="shared" ref="BD661:BD725" si="477">IF(ISNUMBER(SEARCH("Tier 2 MMS",AP661)), IF(AK661=TRUE, TRUE, ""),"")</f>
        <v/>
      </c>
      <c r="BE661" s="51" t="str">
        <f t="shared" ref="BE661:BE725" si="478">IF(ISNUMBER(SEARCH("Tier 2 MMS",AP661)), IF(AL661=TRUE, TRUE, ""),"")</f>
        <v/>
      </c>
      <c r="BF661" s="51" t="str">
        <f t="shared" ref="BF661:BF725" si="479">IF(ISNUMBER(SEARCH("Tier 2 MMS",AP661)), IF(AI661=TRUE, TRUE, ""),"")</f>
        <v/>
      </c>
      <c r="BG661" s="51" t="str">
        <f t="shared" ref="BG661:BG725" si="480">IF(ISNUMBER(SEARCH("Tier 2 MMS",AP661)), IF(AJ661=TRUE, TRUE, ""),"")</f>
        <v/>
      </c>
      <c r="BH661" s="51" t="b">
        <f t="shared" ref="BH661:BH725" si="481" xml:space="preserve"> IF(OR(F661="&lt;Select&gt;", AQ661=FALSE), FALSE, TRUE)</f>
        <v>0</v>
      </c>
      <c r="BI661" s="51" t="str">
        <f t="shared" ref="BI661:BI725" si="482">IF(E661="YES", "", IF(E661="NO", IF(F661="N/A",TRUE,IF(F661="YES",FALSE))))</f>
        <v/>
      </c>
      <c r="BJ661" s="51" t="str">
        <f t="shared" ref="BJ661:BJ725" si="483">IF(E661="YES", "", IF(E661="NO", IF(AND(F661="N/A", NOT(ISBLANK(G661))), TRUE, IF(AND(F661="YES",AL661=TRUE),TRUE,FALSE))))</f>
        <v/>
      </c>
      <c r="BK661" s="51" t="b">
        <f t="shared" ref="BK661:BK725" si="484" xml:space="preserve"> IF(OR(F661="&lt;Select&gt;", T661=FALSE), FALSE, TRUE)</f>
        <v>0</v>
      </c>
      <c r="BL661" s="192"/>
    </row>
    <row r="662" spans="1:64" ht="13.5" thickBot="1" x14ac:dyDescent="0.25">
      <c r="A662" s="185" t="s">
        <v>1333</v>
      </c>
      <c r="B662" s="194" t="s">
        <v>695</v>
      </c>
      <c r="C662" s="194" t="s">
        <v>695</v>
      </c>
      <c r="D662" s="194" t="s">
        <v>695</v>
      </c>
      <c r="E662" s="193" t="s">
        <v>694</v>
      </c>
      <c r="F662" s="160" t="s">
        <v>20</v>
      </c>
      <c r="G662" s="161"/>
      <c r="H662" s="186" t="str">
        <f t="shared" si="442"/>
        <v>N/A</v>
      </c>
      <c r="I662" s="186" t="b">
        <f t="shared" si="443"/>
        <v>1</v>
      </c>
      <c r="J662" s="186" t="str">
        <f t="shared" si="444"/>
        <v>N/A</v>
      </c>
      <c r="K662" s="186" t="b">
        <f t="shared" si="445"/>
        <v>1</v>
      </c>
      <c r="L662" s="186" t="str">
        <f t="shared" si="446"/>
        <v>N/A</v>
      </c>
      <c r="M662" s="186" t="b">
        <f t="shared" si="447"/>
        <v>1</v>
      </c>
      <c r="N662" s="186" t="str">
        <f t="shared" si="448"/>
        <v>Used?</v>
      </c>
      <c r="O662" s="186" t="b">
        <f t="shared" si="449"/>
        <v>0</v>
      </c>
      <c r="P662" s="26" t="s">
        <v>696</v>
      </c>
      <c r="Q662" s="160" t="s">
        <v>20</v>
      </c>
      <c r="R662" s="160" t="s">
        <v>20</v>
      </c>
      <c r="S662" s="26" t="s">
        <v>697</v>
      </c>
      <c r="T662" s="165" t="str">
        <f t="shared" si="450"/>
        <v>Not Used</v>
      </c>
      <c r="U662" s="162"/>
      <c r="V662" s="55"/>
      <c r="W662" s="51" t="b">
        <f t="shared" si="451"/>
        <v>1</v>
      </c>
      <c r="X662" s="51" t="str">
        <f t="shared" si="452"/>
        <v>Not Used</v>
      </c>
      <c r="Y662" s="51" t="str">
        <f t="shared" si="453"/>
        <v>Not Used</v>
      </c>
      <c r="Z662" s="51" t="str">
        <f t="shared" si="454"/>
        <v>Not Used</v>
      </c>
      <c r="AA662" s="51" t="str">
        <f t="shared" si="454"/>
        <v>Not Used</v>
      </c>
      <c r="AB662" s="51" t="str">
        <f t="shared" si="455"/>
        <v>Not Used</v>
      </c>
      <c r="AC662" s="51" t="b">
        <f t="shared" si="456"/>
        <v>1</v>
      </c>
      <c r="AD662" s="51">
        <f>COUNTIF($X$5:$X$662, "Not Used")</f>
        <v>658</v>
      </c>
      <c r="AE662" s="51">
        <f>COUNTIF($X$5:$X$662, "TRUE")</f>
        <v>0</v>
      </c>
      <c r="AF662" s="51" t="b">
        <f t="shared" si="457"/>
        <v>1</v>
      </c>
      <c r="AI662" s="51" t="b">
        <f t="shared" si="458"/>
        <v>0</v>
      </c>
      <c r="AJ662" s="51" t="b">
        <f t="shared" si="459"/>
        <v>0</v>
      </c>
      <c r="AK662" s="51" t="b">
        <f t="shared" si="460"/>
        <v>0</v>
      </c>
      <c r="AL662" s="51" t="b">
        <f t="shared" si="461"/>
        <v>0</v>
      </c>
      <c r="AM662" s="51" t="b">
        <f t="shared" si="462"/>
        <v>0</v>
      </c>
      <c r="AN662" s="51"/>
      <c r="AO662" s="51" t="b">
        <f t="shared" si="463"/>
        <v>0</v>
      </c>
      <c r="AP662" s="51" t="str">
        <f t="shared" ref="AP662:AP726" si="485">IF(AND(B662="YES", C662="YES", D662="YES"), "Tier 1 MMS, Tier 1 Sub MMS, Tier 2 MMS", IF(AND(B662="YES", C662="YES"), "Tier 1 MMS, Tier 1 Sub MMS", IF(AND(B662="YES", D662="YES"), "Tier 1 MMS, Tier 2 MMS", IF(AND(C662="YES", D662="YES"), "Tier 1 Sub MMS, Tier 2 MMS", IF(B662="YES", "Tier 1 MMS", IF(C662="YES", "Tier 1 Sub MMS", IF(D662="YES", "Tier 2 MMS", "Not in MMS")))))))</f>
        <v>Not in MMS</v>
      </c>
      <c r="AQ662" s="51" t="b">
        <f t="shared" si="464"/>
        <v>0</v>
      </c>
      <c r="AR662" s="51" t="b">
        <f t="shared" si="465"/>
        <v>0</v>
      </c>
      <c r="AS662" s="51" t="str">
        <f t="shared" si="466"/>
        <v/>
      </c>
      <c r="AT662" s="51" t="str">
        <f t="shared" si="467"/>
        <v/>
      </c>
      <c r="AU662" s="51" t="str">
        <f t="shared" si="468"/>
        <v/>
      </c>
      <c r="AV662" s="51" t="str">
        <f t="shared" si="469"/>
        <v/>
      </c>
      <c r="AW662" s="51" t="str">
        <f t="shared" si="470"/>
        <v/>
      </c>
      <c r="AX662" s="51" t="str">
        <f t="shared" si="471"/>
        <v/>
      </c>
      <c r="AY662" s="51" t="str">
        <f t="shared" si="472"/>
        <v/>
      </c>
      <c r="AZ662" s="51" t="str">
        <f t="shared" si="473"/>
        <v/>
      </c>
      <c r="BA662" s="51" t="str">
        <f t="shared" si="474"/>
        <v/>
      </c>
      <c r="BB662" s="51" t="str">
        <f t="shared" si="475"/>
        <v/>
      </c>
      <c r="BC662" s="51" t="str">
        <f t="shared" si="476"/>
        <v/>
      </c>
      <c r="BD662" s="51" t="str">
        <f t="shared" si="477"/>
        <v/>
      </c>
      <c r="BE662" s="51" t="str">
        <f t="shared" si="478"/>
        <v/>
      </c>
      <c r="BF662" s="51" t="str">
        <f t="shared" si="479"/>
        <v/>
      </c>
      <c r="BG662" s="51" t="str">
        <f t="shared" si="480"/>
        <v/>
      </c>
      <c r="BH662" s="51" t="b">
        <f t="shared" si="481"/>
        <v>0</v>
      </c>
      <c r="BI662" s="51" t="str">
        <f t="shared" si="482"/>
        <v/>
      </c>
      <c r="BJ662" s="51" t="str">
        <f t="shared" si="483"/>
        <v/>
      </c>
      <c r="BK662" s="51" t="b">
        <f t="shared" si="484"/>
        <v>0</v>
      </c>
      <c r="BL662" s="192"/>
    </row>
    <row r="663" spans="1:64" ht="13.5" thickBot="1" x14ac:dyDescent="0.25">
      <c r="A663" s="185" t="s">
        <v>1334</v>
      </c>
      <c r="B663" s="194" t="s">
        <v>695</v>
      </c>
      <c r="C663" s="194" t="s">
        <v>695</v>
      </c>
      <c r="D663" s="194" t="s">
        <v>695</v>
      </c>
      <c r="E663" s="193" t="s">
        <v>694</v>
      </c>
      <c r="F663" s="160" t="s">
        <v>20</v>
      </c>
      <c r="G663" s="161"/>
      <c r="H663" s="186" t="str">
        <f t="shared" si="442"/>
        <v>N/A</v>
      </c>
      <c r="I663" s="186" t="b">
        <f t="shared" si="443"/>
        <v>1</v>
      </c>
      <c r="J663" s="186" t="str">
        <f t="shared" si="444"/>
        <v>N/A</v>
      </c>
      <c r="K663" s="186" t="b">
        <f t="shared" si="445"/>
        <v>1</v>
      </c>
      <c r="L663" s="186" t="str">
        <f t="shared" si="446"/>
        <v>N/A</v>
      </c>
      <c r="M663" s="186" t="b">
        <f t="shared" si="447"/>
        <v>1</v>
      </c>
      <c r="N663" s="186" t="str">
        <f t="shared" si="448"/>
        <v>Used?</v>
      </c>
      <c r="O663" s="186" t="b">
        <f t="shared" si="449"/>
        <v>0</v>
      </c>
      <c r="P663" s="26" t="s">
        <v>696</v>
      </c>
      <c r="Q663" s="160" t="s">
        <v>20</v>
      </c>
      <c r="R663" s="160" t="s">
        <v>20</v>
      </c>
      <c r="S663" s="26" t="s">
        <v>697</v>
      </c>
      <c r="T663" s="165" t="str">
        <f t="shared" si="450"/>
        <v>Not Used</v>
      </c>
      <c r="U663" s="162"/>
      <c r="V663" s="55"/>
      <c r="W663" s="51" t="b">
        <f t="shared" si="451"/>
        <v>1</v>
      </c>
      <c r="X663" s="51" t="str">
        <f t="shared" si="452"/>
        <v>Not Used</v>
      </c>
      <c r="Y663" s="51" t="str">
        <f t="shared" si="453"/>
        <v>Not Used</v>
      </c>
      <c r="Z663" s="51" t="str">
        <f t="shared" si="454"/>
        <v>Not Used</v>
      </c>
      <c r="AA663" s="51" t="str">
        <f t="shared" si="454"/>
        <v>Not Used</v>
      </c>
      <c r="AB663" s="51" t="str">
        <f t="shared" si="455"/>
        <v>Not Used</v>
      </c>
      <c r="AC663" s="51" t="b">
        <f t="shared" si="456"/>
        <v>1</v>
      </c>
      <c r="AD663" s="51">
        <f>COUNTIF($X$5:$X$663, "Not Used")</f>
        <v>659</v>
      </c>
      <c r="AE663" s="51">
        <f>COUNTIF($X$5:$X$663, "TRUE")</f>
        <v>0</v>
      </c>
      <c r="AF663" s="51" t="b">
        <f t="shared" si="457"/>
        <v>1</v>
      </c>
      <c r="AI663" s="51" t="b">
        <f t="shared" si="458"/>
        <v>0</v>
      </c>
      <c r="AJ663" s="51" t="b">
        <f t="shared" si="459"/>
        <v>0</v>
      </c>
      <c r="AK663" s="51" t="b">
        <f t="shared" si="460"/>
        <v>0</v>
      </c>
      <c r="AL663" s="51" t="b">
        <f t="shared" si="461"/>
        <v>0</v>
      </c>
      <c r="AM663" s="51" t="b">
        <f t="shared" si="462"/>
        <v>0</v>
      </c>
      <c r="AN663" s="51"/>
      <c r="AO663" s="51" t="b">
        <f t="shared" si="463"/>
        <v>0</v>
      </c>
      <c r="AP663" s="51" t="str">
        <f t="shared" si="485"/>
        <v>Not in MMS</v>
      </c>
      <c r="AQ663" s="51" t="b">
        <f t="shared" si="464"/>
        <v>0</v>
      </c>
      <c r="AR663" s="51" t="b">
        <f t="shared" si="465"/>
        <v>0</v>
      </c>
      <c r="AS663" s="51" t="str">
        <f t="shared" si="466"/>
        <v/>
      </c>
      <c r="AT663" s="51" t="str">
        <f t="shared" si="467"/>
        <v/>
      </c>
      <c r="AU663" s="51" t="str">
        <f t="shared" si="468"/>
        <v/>
      </c>
      <c r="AV663" s="51" t="str">
        <f t="shared" si="469"/>
        <v/>
      </c>
      <c r="AW663" s="51" t="str">
        <f t="shared" si="470"/>
        <v/>
      </c>
      <c r="AX663" s="51" t="str">
        <f t="shared" si="471"/>
        <v/>
      </c>
      <c r="AY663" s="51" t="str">
        <f t="shared" si="472"/>
        <v/>
      </c>
      <c r="AZ663" s="51" t="str">
        <f t="shared" si="473"/>
        <v/>
      </c>
      <c r="BA663" s="51" t="str">
        <f t="shared" si="474"/>
        <v/>
      </c>
      <c r="BB663" s="51" t="str">
        <f t="shared" si="475"/>
        <v/>
      </c>
      <c r="BC663" s="51" t="str">
        <f t="shared" si="476"/>
        <v/>
      </c>
      <c r="BD663" s="51" t="str">
        <f t="shared" si="477"/>
        <v/>
      </c>
      <c r="BE663" s="51" t="str">
        <f t="shared" si="478"/>
        <v/>
      </c>
      <c r="BF663" s="51" t="str">
        <f t="shared" si="479"/>
        <v/>
      </c>
      <c r="BG663" s="51" t="str">
        <f t="shared" si="480"/>
        <v/>
      </c>
      <c r="BH663" s="51" t="b">
        <f t="shared" si="481"/>
        <v>0</v>
      </c>
      <c r="BI663" s="51" t="str">
        <f t="shared" si="482"/>
        <v/>
      </c>
      <c r="BJ663" s="51" t="str">
        <f t="shared" si="483"/>
        <v/>
      </c>
      <c r="BK663" s="51" t="b">
        <f t="shared" si="484"/>
        <v>0</v>
      </c>
      <c r="BL663" s="192"/>
    </row>
    <row r="664" spans="1:64" ht="13.5" thickBot="1" x14ac:dyDescent="0.25">
      <c r="A664" s="185" t="s">
        <v>1335</v>
      </c>
      <c r="B664" s="194" t="s">
        <v>695</v>
      </c>
      <c r="C664" s="194" t="s">
        <v>695</v>
      </c>
      <c r="D664" s="194" t="s">
        <v>695</v>
      </c>
      <c r="E664" s="193" t="s">
        <v>694</v>
      </c>
      <c r="F664" s="160" t="s">
        <v>20</v>
      </c>
      <c r="G664" s="161"/>
      <c r="H664" s="186" t="str">
        <f t="shared" si="442"/>
        <v>N/A</v>
      </c>
      <c r="I664" s="186" t="b">
        <f t="shared" si="443"/>
        <v>1</v>
      </c>
      <c r="J664" s="186" t="str">
        <f t="shared" si="444"/>
        <v>N/A</v>
      </c>
      <c r="K664" s="186" t="b">
        <f t="shared" si="445"/>
        <v>1</v>
      </c>
      <c r="L664" s="186" t="str">
        <f t="shared" si="446"/>
        <v>N/A</v>
      </c>
      <c r="M664" s="186" t="b">
        <f t="shared" si="447"/>
        <v>1</v>
      </c>
      <c r="N664" s="186" t="str">
        <f t="shared" si="448"/>
        <v>Used?</v>
      </c>
      <c r="O664" s="186" t="b">
        <f t="shared" si="449"/>
        <v>0</v>
      </c>
      <c r="P664" s="26" t="s">
        <v>696</v>
      </c>
      <c r="Q664" s="160" t="s">
        <v>20</v>
      </c>
      <c r="R664" s="160" t="s">
        <v>20</v>
      </c>
      <c r="S664" s="26" t="s">
        <v>697</v>
      </c>
      <c r="T664" s="165" t="str">
        <f t="shared" si="450"/>
        <v>Not Used</v>
      </c>
      <c r="U664" s="162"/>
      <c r="V664" s="55"/>
      <c r="W664" s="51" t="b">
        <f t="shared" si="451"/>
        <v>1</v>
      </c>
      <c r="X664" s="51" t="str">
        <f t="shared" si="452"/>
        <v>Not Used</v>
      </c>
      <c r="Y664" s="51" t="str">
        <f t="shared" si="453"/>
        <v>Not Used</v>
      </c>
      <c r="Z664" s="51" t="str">
        <f t="shared" si="454"/>
        <v>Not Used</v>
      </c>
      <c r="AA664" s="51" t="str">
        <f t="shared" si="454"/>
        <v>Not Used</v>
      </c>
      <c r="AB664" s="51" t="str">
        <f t="shared" si="455"/>
        <v>Not Used</v>
      </c>
      <c r="AC664" s="51" t="b">
        <f t="shared" si="456"/>
        <v>1</v>
      </c>
      <c r="AD664" s="51">
        <f>COUNTIF($X$5:$X$664, "Not Used")</f>
        <v>660</v>
      </c>
      <c r="AE664" s="51">
        <f>COUNTIF($X$5:$X$664, "TRUE")</f>
        <v>0</v>
      </c>
      <c r="AF664" s="51" t="b">
        <f t="shared" si="457"/>
        <v>1</v>
      </c>
      <c r="AI664" s="51" t="b">
        <f t="shared" si="458"/>
        <v>0</v>
      </c>
      <c r="AJ664" s="51" t="b">
        <f t="shared" si="459"/>
        <v>0</v>
      </c>
      <c r="AK664" s="51" t="b">
        <f t="shared" si="460"/>
        <v>0</v>
      </c>
      <c r="AL664" s="51" t="b">
        <f t="shared" si="461"/>
        <v>0</v>
      </c>
      <c r="AM664" s="51" t="b">
        <f t="shared" si="462"/>
        <v>0</v>
      </c>
      <c r="AN664" s="51"/>
      <c r="AO664" s="51" t="b">
        <f t="shared" si="463"/>
        <v>0</v>
      </c>
      <c r="AP664" s="51" t="str">
        <f t="shared" si="485"/>
        <v>Not in MMS</v>
      </c>
      <c r="AQ664" s="51" t="b">
        <f t="shared" si="464"/>
        <v>0</v>
      </c>
      <c r="AR664" s="51" t="b">
        <f t="shared" si="465"/>
        <v>0</v>
      </c>
      <c r="AS664" s="51" t="str">
        <f t="shared" si="466"/>
        <v/>
      </c>
      <c r="AT664" s="51" t="str">
        <f t="shared" si="467"/>
        <v/>
      </c>
      <c r="AU664" s="51" t="str">
        <f t="shared" si="468"/>
        <v/>
      </c>
      <c r="AV664" s="51" t="str">
        <f t="shared" si="469"/>
        <v/>
      </c>
      <c r="AW664" s="51" t="str">
        <f t="shared" si="470"/>
        <v/>
      </c>
      <c r="AX664" s="51" t="str">
        <f t="shared" si="471"/>
        <v/>
      </c>
      <c r="AY664" s="51" t="str">
        <f t="shared" si="472"/>
        <v/>
      </c>
      <c r="AZ664" s="51" t="str">
        <f t="shared" si="473"/>
        <v/>
      </c>
      <c r="BA664" s="51" t="str">
        <f t="shared" si="474"/>
        <v/>
      </c>
      <c r="BB664" s="51" t="str">
        <f t="shared" si="475"/>
        <v/>
      </c>
      <c r="BC664" s="51" t="str">
        <f t="shared" si="476"/>
        <v/>
      </c>
      <c r="BD664" s="51" t="str">
        <f t="shared" si="477"/>
        <v/>
      </c>
      <c r="BE664" s="51" t="str">
        <f t="shared" si="478"/>
        <v/>
      </c>
      <c r="BF664" s="51" t="str">
        <f t="shared" si="479"/>
        <v/>
      </c>
      <c r="BG664" s="51" t="str">
        <f t="shared" si="480"/>
        <v/>
      </c>
      <c r="BH664" s="51" t="b">
        <f t="shared" si="481"/>
        <v>0</v>
      </c>
      <c r="BI664" s="51" t="str">
        <f t="shared" si="482"/>
        <v/>
      </c>
      <c r="BJ664" s="51" t="str">
        <f t="shared" si="483"/>
        <v/>
      </c>
      <c r="BK664" s="51" t="b">
        <f t="shared" si="484"/>
        <v>0</v>
      </c>
      <c r="BL664" s="192"/>
    </row>
    <row r="665" spans="1:64" ht="13.5" thickBot="1" x14ac:dyDescent="0.25">
      <c r="A665" s="185" t="s">
        <v>1336</v>
      </c>
      <c r="B665" s="194" t="s">
        <v>695</v>
      </c>
      <c r="C665" s="194" t="s">
        <v>695</v>
      </c>
      <c r="D665" s="194" t="s">
        <v>695</v>
      </c>
      <c r="E665" s="193" t="s">
        <v>694</v>
      </c>
      <c r="F665" s="160" t="s">
        <v>20</v>
      </c>
      <c r="G665" s="161"/>
      <c r="H665" s="186" t="str">
        <f t="shared" si="442"/>
        <v>N/A</v>
      </c>
      <c r="I665" s="186" t="b">
        <f t="shared" si="443"/>
        <v>1</v>
      </c>
      <c r="J665" s="186" t="str">
        <f t="shared" si="444"/>
        <v>N/A</v>
      </c>
      <c r="K665" s="186" t="b">
        <f t="shared" si="445"/>
        <v>1</v>
      </c>
      <c r="L665" s="186" t="str">
        <f t="shared" si="446"/>
        <v>N/A</v>
      </c>
      <c r="M665" s="186" t="b">
        <f t="shared" si="447"/>
        <v>1</v>
      </c>
      <c r="N665" s="186" t="str">
        <f t="shared" si="448"/>
        <v>Used?</v>
      </c>
      <c r="O665" s="186" t="b">
        <f t="shared" si="449"/>
        <v>0</v>
      </c>
      <c r="P665" s="26" t="s">
        <v>696</v>
      </c>
      <c r="Q665" s="160" t="s">
        <v>20</v>
      </c>
      <c r="R665" s="160" t="s">
        <v>20</v>
      </c>
      <c r="S665" s="26" t="s">
        <v>697</v>
      </c>
      <c r="T665" s="165" t="str">
        <f t="shared" si="450"/>
        <v>Not Used</v>
      </c>
      <c r="U665" s="162"/>
      <c r="V665" s="55"/>
      <c r="W665" s="51" t="b">
        <f t="shared" si="451"/>
        <v>1</v>
      </c>
      <c r="X665" s="51" t="str">
        <f t="shared" si="452"/>
        <v>Not Used</v>
      </c>
      <c r="Y665" s="51" t="str">
        <f t="shared" si="453"/>
        <v>Not Used</v>
      </c>
      <c r="Z665" s="51" t="str">
        <f t="shared" si="454"/>
        <v>Not Used</v>
      </c>
      <c r="AA665" s="51" t="str">
        <f t="shared" si="454"/>
        <v>Not Used</v>
      </c>
      <c r="AB665" s="51" t="str">
        <f t="shared" si="455"/>
        <v>Not Used</v>
      </c>
      <c r="AC665" s="51" t="b">
        <f t="shared" si="456"/>
        <v>1</v>
      </c>
      <c r="AD665" s="51">
        <f>COUNTIF($X$5:$X$665, "Not Used")</f>
        <v>661</v>
      </c>
      <c r="AE665" s="51">
        <f>COUNTIF($X$5:$X$665, "TRUE")</f>
        <v>0</v>
      </c>
      <c r="AF665" s="51" t="b">
        <f t="shared" si="457"/>
        <v>1</v>
      </c>
      <c r="AI665" s="51" t="b">
        <f t="shared" si="458"/>
        <v>0</v>
      </c>
      <c r="AJ665" s="51" t="b">
        <f t="shared" si="459"/>
        <v>0</v>
      </c>
      <c r="AK665" s="51" t="b">
        <f t="shared" si="460"/>
        <v>0</v>
      </c>
      <c r="AL665" s="51" t="b">
        <f t="shared" si="461"/>
        <v>0</v>
      </c>
      <c r="AM665" s="51" t="b">
        <f t="shared" si="462"/>
        <v>0</v>
      </c>
      <c r="AN665" s="51"/>
      <c r="AO665" s="51" t="b">
        <f t="shared" si="463"/>
        <v>0</v>
      </c>
      <c r="AP665" s="51" t="str">
        <f t="shared" si="485"/>
        <v>Not in MMS</v>
      </c>
      <c r="AQ665" s="51" t="b">
        <f t="shared" si="464"/>
        <v>0</v>
      </c>
      <c r="AR665" s="51" t="b">
        <f t="shared" si="465"/>
        <v>0</v>
      </c>
      <c r="AS665" s="51" t="str">
        <f t="shared" si="466"/>
        <v/>
      </c>
      <c r="AT665" s="51" t="str">
        <f t="shared" si="467"/>
        <v/>
      </c>
      <c r="AU665" s="51" t="str">
        <f t="shared" si="468"/>
        <v/>
      </c>
      <c r="AV665" s="51" t="str">
        <f t="shared" si="469"/>
        <v/>
      </c>
      <c r="AW665" s="51" t="str">
        <f t="shared" si="470"/>
        <v/>
      </c>
      <c r="AX665" s="51" t="str">
        <f t="shared" si="471"/>
        <v/>
      </c>
      <c r="AY665" s="51" t="str">
        <f t="shared" si="472"/>
        <v/>
      </c>
      <c r="AZ665" s="51" t="str">
        <f t="shared" si="473"/>
        <v/>
      </c>
      <c r="BA665" s="51" t="str">
        <f t="shared" si="474"/>
        <v/>
      </c>
      <c r="BB665" s="51" t="str">
        <f t="shared" si="475"/>
        <v/>
      </c>
      <c r="BC665" s="51" t="str">
        <f t="shared" si="476"/>
        <v/>
      </c>
      <c r="BD665" s="51" t="str">
        <f t="shared" si="477"/>
        <v/>
      </c>
      <c r="BE665" s="51" t="str">
        <f t="shared" si="478"/>
        <v/>
      </c>
      <c r="BF665" s="51" t="str">
        <f t="shared" si="479"/>
        <v/>
      </c>
      <c r="BG665" s="51" t="str">
        <f t="shared" si="480"/>
        <v/>
      </c>
      <c r="BH665" s="51" t="b">
        <f t="shared" si="481"/>
        <v>0</v>
      </c>
      <c r="BI665" s="51" t="str">
        <f t="shared" si="482"/>
        <v/>
      </c>
      <c r="BJ665" s="51" t="str">
        <f t="shared" si="483"/>
        <v/>
      </c>
      <c r="BK665" s="51" t="b">
        <f t="shared" si="484"/>
        <v>0</v>
      </c>
      <c r="BL665" s="192"/>
    </row>
    <row r="666" spans="1:64" ht="13.5" thickBot="1" x14ac:dyDescent="0.25">
      <c r="A666" s="185" t="s">
        <v>1337</v>
      </c>
      <c r="B666" s="194" t="s">
        <v>695</v>
      </c>
      <c r="C666" s="194" t="s">
        <v>695</v>
      </c>
      <c r="D666" s="194" t="s">
        <v>695</v>
      </c>
      <c r="E666" s="193" t="s">
        <v>694</v>
      </c>
      <c r="F666" s="160" t="s">
        <v>20</v>
      </c>
      <c r="G666" s="161"/>
      <c r="H666" s="186" t="str">
        <f t="shared" si="442"/>
        <v>N/A</v>
      </c>
      <c r="I666" s="186" t="b">
        <f t="shared" si="443"/>
        <v>1</v>
      </c>
      <c r="J666" s="186" t="str">
        <f t="shared" si="444"/>
        <v>N/A</v>
      </c>
      <c r="K666" s="186" t="b">
        <f t="shared" si="445"/>
        <v>1</v>
      </c>
      <c r="L666" s="186" t="str">
        <f t="shared" si="446"/>
        <v>N/A</v>
      </c>
      <c r="M666" s="186" t="b">
        <f t="shared" si="447"/>
        <v>1</v>
      </c>
      <c r="N666" s="186" t="str">
        <f t="shared" si="448"/>
        <v>Used?</v>
      </c>
      <c r="O666" s="186" t="b">
        <f t="shared" si="449"/>
        <v>0</v>
      </c>
      <c r="P666" s="26" t="s">
        <v>696</v>
      </c>
      <c r="Q666" s="160" t="s">
        <v>20</v>
      </c>
      <c r="R666" s="160" t="s">
        <v>20</v>
      </c>
      <c r="S666" s="26" t="s">
        <v>697</v>
      </c>
      <c r="T666" s="165" t="str">
        <f t="shared" si="450"/>
        <v>Not Used</v>
      </c>
      <c r="U666" s="162"/>
      <c r="V666" s="55"/>
      <c r="W666" s="51" t="b">
        <f t="shared" si="451"/>
        <v>1</v>
      </c>
      <c r="X666" s="51" t="str">
        <f t="shared" si="452"/>
        <v>Not Used</v>
      </c>
      <c r="Y666" s="51" t="str">
        <f t="shared" si="453"/>
        <v>Not Used</v>
      </c>
      <c r="Z666" s="51" t="str">
        <f t="shared" si="454"/>
        <v>Not Used</v>
      </c>
      <c r="AA666" s="51" t="str">
        <f t="shared" si="454"/>
        <v>Not Used</v>
      </c>
      <c r="AB666" s="51" t="str">
        <f t="shared" si="455"/>
        <v>Not Used</v>
      </c>
      <c r="AC666" s="51" t="b">
        <f t="shared" si="456"/>
        <v>1</v>
      </c>
      <c r="AD666" s="51">
        <f>COUNTIF($X$5:$X$666, "Not Used")</f>
        <v>662</v>
      </c>
      <c r="AE666" s="51">
        <f>COUNTIF($X$5:$X$666, "TRUE")</f>
        <v>0</v>
      </c>
      <c r="AF666" s="51" t="b">
        <f t="shared" si="457"/>
        <v>1</v>
      </c>
      <c r="AI666" s="51" t="b">
        <f t="shared" si="458"/>
        <v>0</v>
      </c>
      <c r="AJ666" s="51" t="b">
        <f t="shared" si="459"/>
        <v>0</v>
      </c>
      <c r="AK666" s="51" t="b">
        <f t="shared" si="460"/>
        <v>0</v>
      </c>
      <c r="AL666" s="51" t="b">
        <f t="shared" si="461"/>
        <v>0</v>
      </c>
      <c r="AM666" s="51" t="b">
        <f t="shared" si="462"/>
        <v>0</v>
      </c>
      <c r="AN666" s="51"/>
      <c r="AO666" s="51" t="b">
        <f t="shared" si="463"/>
        <v>0</v>
      </c>
      <c r="AP666" s="51" t="str">
        <f t="shared" si="485"/>
        <v>Not in MMS</v>
      </c>
      <c r="AQ666" s="51" t="b">
        <f t="shared" si="464"/>
        <v>0</v>
      </c>
      <c r="AR666" s="51" t="b">
        <f t="shared" si="465"/>
        <v>0</v>
      </c>
      <c r="AS666" s="51" t="str">
        <f t="shared" si="466"/>
        <v/>
      </c>
      <c r="AT666" s="51" t="str">
        <f t="shared" si="467"/>
        <v/>
      </c>
      <c r="AU666" s="51" t="str">
        <f t="shared" si="468"/>
        <v/>
      </c>
      <c r="AV666" s="51" t="str">
        <f t="shared" si="469"/>
        <v/>
      </c>
      <c r="AW666" s="51" t="str">
        <f t="shared" si="470"/>
        <v/>
      </c>
      <c r="AX666" s="51" t="str">
        <f t="shared" si="471"/>
        <v/>
      </c>
      <c r="AY666" s="51" t="str">
        <f t="shared" si="472"/>
        <v/>
      </c>
      <c r="AZ666" s="51" t="str">
        <f t="shared" si="473"/>
        <v/>
      </c>
      <c r="BA666" s="51" t="str">
        <f t="shared" si="474"/>
        <v/>
      </c>
      <c r="BB666" s="51" t="str">
        <f t="shared" si="475"/>
        <v/>
      </c>
      <c r="BC666" s="51" t="str">
        <f t="shared" si="476"/>
        <v/>
      </c>
      <c r="BD666" s="51" t="str">
        <f t="shared" si="477"/>
        <v/>
      </c>
      <c r="BE666" s="51" t="str">
        <f t="shared" si="478"/>
        <v/>
      </c>
      <c r="BF666" s="51" t="str">
        <f t="shared" si="479"/>
        <v/>
      </c>
      <c r="BG666" s="51" t="str">
        <f t="shared" si="480"/>
        <v/>
      </c>
      <c r="BH666" s="51" t="b">
        <f t="shared" si="481"/>
        <v>0</v>
      </c>
      <c r="BI666" s="51" t="str">
        <f t="shared" si="482"/>
        <v/>
      </c>
      <c r="BJ666" s="51" t="str">
        <f t="shared" si="483"/>
        <v/>
      </c>
      <c r="BK666" s="51" t="b">
        <f t="shared" si="484"/>
        <v>0</v>
      </c>
      <c r="BL666" s="192"/>
    </row>
    <row r="667" spans="1:64" ht="13.5" thickBot="1" x14ac:dyDescent="0.25">
      <c r="A667" s="185" t="s">
        <v>1338</v>
      </c>
      <c r="B667" s="194" t="s">
        <v>695</v>
      </c>
      <c r="C667" s="194" t="s">
        <v>695</v>
      </c>
      <c r="D667" s="194" t="s">
        <v>695</v>
      </c>
      <c r="E667" s="193" t="s">
        <v>694</v>
      </c>
      <c r="F667" s="160" t="s">
        <v>20</v>
      </c>
      <c r="G667" s="161"/>
      <c r="H667" s="186" t="str">
        <f t="shared" si="442"/>
        <v>N/A</v>
      </c>
      <c r="I667" s="186" t="b">
        <f t="shared" si="443"/>
        <v>1</v>
      </c>
      <c r="J667" s="186" t="str">
        <f t="shared" si="444"/>
        <v>N/A</v>
      </c>
      <c r="K667" s="186" t="b">
        <f t="shared" si="445"/>
        <v>1</v>
      </c>
      <c r="L667" s="186" t="str">
        <f t="shared" si="446"/>
        <v>N/A</v>
      </c>
      <c r="M667" s="186" t="b">
        <f t="shared" si="447"/>
        <v>1</v>
      </c>
      <c r="N667" s="186" t="str">
        <f t="shared" si="448"/>
        <v>Used?</v>
      </c>
      <c r="O667" s="186" t="b">
        <f t="shared" si="449"/>
        <v>0</v>
      </c>
      <c r="P667" s="26" t="s">
        <v>696</v>
      </c>
      <c r="Q667" s="160" t="s">
        <v>20</v>
      </c>
      <c r="R667" s="160" t="s">
        <v>20</v>
      </c>
      <c r="S667" s="26" t="s">
        <v>697</v>
      </c>
      <c r="T667" s="165" t="str">
        <f t="shared" si="450"/>
        <v>Not Used</v>
      </c>
      <c r="U667" s="162"/>
      <c r="V667" s="55"/>
      <c r="W667" s="51" t="b">
        <f t="shared" si="451"/>
        <v>1</v>
      </c>
      <c r="X667" s="51" t="str">
        <f t="shared" si="452"/>
        <v>Not Used</v>
      </c>
      <c r="Y667" s="51" t="str">
        <f t="shared" si="453"/>
        <v>Not Used</v>
      </c>
      <c r="Z667" s="51" t="str">
        <f t="shared" si="454"/>
        <v>Not Used</v>
      </c>
      <c r="AA667" s="51" t="str">
        <f t="shared" si="454"/>
        <v>Not Used</v>
      </c>
      <c r="AB667" s="51" t="str">
        <f t="shared" si="455"/>
        <v>Not Used</v>
      </c>
      <c r="AC667" s="51" t="b">
        <f t="shared" si="456"/>
        <v>1</v>
      </c>
      <c r="AD667" s="51">
        <f>COUNTIF($X$5:$X$667, "Not Used")</f>
        <v>663</v>
      </c>
      <c r="AE667" s="51">
        <f>COUNTIF($X$5:$X$667, "TRUE")</f>
        <v>0</v>
      </c>
      <c r="AF667" s="51" t="b">
        <f t="shared" si="457"/>
        <v>1</v>
      </c>
      <c r="AI667" s="51" t="b">
        <f t="shared" si="458"/>
        <v>0</v>
      </c>
      <c r="AJ667" s="51" t="b">
        <f t="shared" si="459"/>
        <v>0</v>
      </c>
      <c r="AK667" s="51" t="b">
        <f t="shared" si="460"/>
        <v>0</v>
      </c>
      <c r="AL667" s="51" t="b">
        <f t="shared" si="461"/>
        <v>0</v>
      </c>
      <c r="AM667" s="51" t="b">
        <f t="shared" si="462"/>
        <v>0</v>
      </c>
      <c r="AN667" s="51"/>
      <c r="AO667" s="51" t="b">
        <f t="shared" si="463"/>
        <v>0</v>
      </c>
      <c r="AP667" s="51" t="str">
        <f t="shared" si="485"/>
        <v>Not in MMS</v>
      </c>
      <c r="AQ667" s="51" t="b">
        <f t="shared" si="464"/>
        <v>0</v>
      </c>
      <c r="AR667" s="51" t="b">
        <f t="shared" si="465"/>
        <v>0</v>
      </c>
      <c r="AS667" s="51" t="str">
        <f t="shared" si="466"/>
        <v/>
      </c>
      <c r="AT667" s="51" t="str">
        <f t="shared" si="467"/>
        <v/>
      </c>
      <c r="AU667" s="51" t="str">
        <f t="shared" si="468"/>
        <v/>
      </c>
      <c r="AV667" s="51" t="str">
        <f t="shared" si="469"/>
        <v/>
      </c>
      <c r="AW667" s="51" t="str">
        <f t="shared" si="470"/>
        <v/>
      </c>
      <c r="AX667" s="51" t="str">
        <f t="shared" si="471"/>
        <v/>
      </c>
      <c r="AY667" s="51" t="str">
        <f t="shared" si="472"/>
        <v/>
      </c>
      <c r="AZ667" s="51" t="str">
        <f t="shared" si="473"/>
        <v/>
      </c>
      <c r="BA667" s="51" t="str">
        <f t="shared" si="474"/>
        <v/>
      </c>
      <c r="BB667" s="51" t="str">
        <f t="shared" si="475"/>
        <v/>
      </c>
      <c r="BC667" s="51" t="str">
        <f t="shared" si="476"/>
        <v/>
      </c>
      <c r="BD667" s="51" t="str">
        <f t="shared" si="477"/>
        <v/>
      </c>
      <c r="BE667" s="51" t="str">
        <f t="shared" si="478"/>
        <v/>
      </c>
      <c r="BF667" s="51" t="str">
        <f t="shared" si="479"/>
        <v/>
      </c>
      <c r="BG667" s="51" t="str">
        <f t="shared" si="480"/>
        <v/>
      </c>
      <c r="BH667" s="51" t="b">
        <f t="shared" si="481"/>
        <v>0</v>
      </c>
      <c r="BI667" s="51" t="str">
        <f t="shared" si="482"/>
        <v/>
      </c>
      <c r="BJ667" s="51" t="str">
        <f t="shared" si="483"/>
        <v/>
      </c>
      <c r="BK667" s="51" t="b">
        <f t="shared" si="484"/>
        <v>0</v>
      </c>
      <c r="BL667" s="192"/>
    </row>
    <row r="668" spans="1:64" ht="13.5" thickBot="1" x14ac:dyDescent="0.25">
      <c r="A668" s="185" t="s">
        <v>1339</v>
      </c>
      <c r="B668" s="194" t="s">
        <v>695</v>
      </c>
      <c r="C668" s="194" t="s">
        <v>695</v>
      </c>
      <c r="D668" s="194" t="s">
        <v>695</v>
      </c>
      <c r="E668" s="193" t="s">
        <v>694</v>
      </c>
      <c r="F668" s="160" t="s">
        <v>20</v>
      </c>
      <c r="G668" s="161"/>
      <c r="H668" s="186" t="str">
        <f t="shared" si="442"/>
        <v>N/A</v>
      </c>
      <c r="I668" s="186" t="b">
        <f t="shared" si="443"/>
        <v>1</v>
      </c>
      <c r="J668" s="186" t="str">
        <f t="shared" si="444"/>
        <v>N/A</v>
      </c>
      <c r="K668" s="186" t="b">
        <f t="shared" si="445"/>
        <v>1</v>
      </c>
      <c r="L668" s="186" t="str">
        <f t="shared" si="446"/>
        <v>N/A</v>
      </c>
      <c r="M668" s="186" t="b">
        <f t="shared" si="447"/>
        <v>1</v>
      </c>
      <c r="N668" s="186" t="str">
        <f t="shared" si="448"/>
        <v>Used?</v>
      </c>
      <c r="O668" s="186" t="b">
        <f t="shared" si="449"/>
        <v>0</v>
      </c>
      <c r="P668" s="26" t="s">
        <v>696</v>
      </c>
      <c r="Q668" s="160" t="s">
        <v>20</v>
      </c>
      <c r="R668" s="160" t="s">
        <v>20</v>
      </c>
      <c r="S668" s="26" t="s">
        <v>697</v>
      </c>
      <c r="T668" s="165" t="str">
        <f t="shared" si="450"/>
        <v>Not Used</v>
      </c>
      <c r="U668" s="162"/>
      <c r="V668" s="55"/>
      <c r="W668" s="51" t="b">
        <f t="shared" si="451"/>
        <v>1</v>
      </c>
      <c r="X668" s="51" t="str">
        <f t="shared" si="452"/>
        <v>Not Used</v>
      </c>
      <c r="Y668" s="51" t="str">
        <f t="shared" si="453"/>
        <v>Not Used</v>
      </c>
      <c r="Z668" s="51" t="str">
        <f t="shared" si="454"/>
        <v>Not Used</v>
      </c>
      <c r="AA668" s="51" t="str">
        <f t="shared" si="454"/>
        <v>Not Used</v>
      </c>
      <c r="AB668" s="51" t="str">
        <f t="shared" si="455"/>
        <v>Not Used</v>
      </c>
      <c r="AC668" s="51" t="b">
        <f t="shared" si="456"/>
        <v>1</v>
      </c>
      <c r="AD668" s="51">
        <f>COUNTIF($X$5:$X$668, "Not Used")</f>
        <v>664</v>
      </c>
      <c r="AE668" s="51">
        <f>COUNTIF($X$5:$X$668, "TRUE")</f>
        <v>0</v>
      </c>
      <c r="AF668" s="51" t="b">
        <f t="shared" si="457"/>
        <v>1</v>
      </c>
      <c r="AI668" s="51" t="b">
        <f t="shared" si="458"/>
        <v>0</v>
      </c>
      <c r="AJ668" s="51" t="b">
        <f t="shared" si="459"/>
        <v>0</v>
      </c>
      <c r="AK668" s="51" t="b">
        <f t="shared" si="460"/>
        <v>0</v>
      </c>
      <c r="AL668" s="51" t="b">
        <f t="shared" si="461"/>
        <v>0</v>
      </c>
      <c r="AM668" s="51" t="b">
        <f t="shared" si="462"/>
        <v>0</v>
      </c>
      <c r="AN668" s="51"/>
      <c r="AO668" s="51" t="b">
        <f t="shared" si="463"/>
        <v>0</v>
      </c>
      <c r="AP668" s="51" t="str">
        <f t="shared" si="485"/>
        <v>Not in MMS</v>
      </c>
      <c r="AQ668" s="51" t="b">
        <f t="shared" si="464"/>
        <v>0</v>
      </c>
      <c r="AR668" s="51" t="b">
        <f t="shared" si="465"/>
        <v>0</v>
      </c>
      <c r="AS668" s="51" t="str">
        <f t="shared" si="466"/>
        <v/>
      </c>
      <c r="AT668" s="51" t="str">
        <f t="shared" si="467"/>
        <v/>
      </c>
      <c r="AU668" s="51" t="str">
        <f t="shared" si="468"/>
        <v/>
      </c>
      <c r="AV668" s="51" t="str">
        <f t="shared" si="469"/>
        <v/>
      </c>
      <c r="AW668" s="51" t="str">
        <f t="shared" si="470"/>
        <v/>
      </c>
      <c r="AX668" s="51" t="str">
        <f t="shared" si="471"/>
        <v/>
      </c>
      <c r="AY668" s="51" t="str">
        <f t="shared" si="472"/>
        <v/>
      </c>
      <c r="AZ668" s="51" t="str">
        <f t="shared" si="473"/>
        <v/>
      </c>
      <c r="BA668" s="51" t="str">
        <f t="shared" si="474"/>
        <v/>
      </c>
      <c r="BB668" s="51" t="str">
        <f t="shared" si="475"/>
        <v/>
      </c>
      <c r="BC668" s="51" t="str">
        <f t="shared" si="476"/>
        <v/>
      </c>
      <c r="BD668" s="51" t="str">
        <f t="shared" si="477"/>
        <v/>
      </c>
      <c r="BE668" s="51" t="str">
        <f t="shared" si="478"/>
        <v/>
      </c>
      <c r="BF668" s="51" t="str">
        <f t="shared" si="479"/>
        <v/>
      </c>
      <c r="BG668" s="51" t="str">
        <f t="shared" si="480"/>
        <v/>
      </c>
      <c r="BH668" s="51" t="b">
        <f t="shared" si="481"/>
        <v>0</v>
      </c>
      <c r="BI668" s="51" t="str">
        <f t="shared" si="482"/>
        <v/>
      </c>
      <c r="BJ668" s="51" t="str">
        <f t="shared" si="483"/>
        <v/>
      </c>
      <c r="BK668" s="51" t="b">
        <f t="shared" si="484"/>
        <v>0</v>
      </c>
      <c r="BL668" s="192"/>
    </row>
    <row r="669" spans="1:64" ht="13.5" thickBot="1" x14ac:dyDescent="0.25">
      <c r="A669" s="185" t="s">
        <v>1340</v>
      </c>
      <c r="B669" s="194" t="s">
        <v>695</v>
      </c>
      <c r="C669" s="194" t="s">
        <v>695</v>
      </c>
      <c r="D669" s="194" t="s">
        <v>695</v>
      </c>
      <c r="E669" s="193" t="s">
        <v>694</v>
      </c>
      <c r="F669" s="160" t="s">
        <v>20</v>
      </c>
      <c r="G669" s="161"/>
      <c r="H669" s="186" t="str">
        <f t="shared" si="442"/>
        <v>N/A</v>
      </c>
      <c r="I669" s="186" t="b">
        <f t="shared" si="443"/>
        <v>1</v>
      </c>
      <c r="J669" s="186" t="str">
        <f t="shared" si="444"/>
        <v>N/A</v>
      </c>
      <c r="K669" s="186" t="b">
        <f t="shared" si="445"/>
        <v>1</v>
      </c>
      <c r="L669" s="186" t="str">
        <f t="shared" si="446"/>
        <v>N/A</v>
      </c>
      <c r="M669" s="186" t="b">
        <f t="shared" si="447"/>
        <v>1</v>
      </c>
      <c r="N669" s="186" t="str">
        <f t="shared" si="448"/>
        <v>Used?</v>
      </c>
      <c r="O669" s="186" t="b">
        <f t="shared" si="449"/>
        <v>0</v>
      </c>
      <c r="P669" s="26" t="s">
        <v>696</v>
      </c>
      <c r="Q669" s="160" t="s">
        <v>20</v>
      </c>
      <c r="R669" s="160" t="s">
        <v>20</v>
      </c>
      <c r="S669" s="26" t="s">
        <v>697</v>
      </c>
      <c r="T669" s="165" t="str">
        <f t="shared" si="450"/>
        <v>Not Used</v>
      </c>
      <c r="U669" s="162"/>
      <c r="V669" s="55"/>
      <c r="W669" s="51" t="b">
        <f t="shared" si="451"/>
        <v>1</v>
      </c>
      <c r="X669" s="51" t="str">
        <f t="shared" si="452"/>
        <v>Not Used</v>
      </c>
      <c r="Y669" s="51" t="str">
        <f t="shared" si="453"/>
        <v>Not Used</v>
      </c>
      <c r="Z669" s="51" t="str">
        <f t="shared" si="454"/>
        <v>Not Used</v>
      </c>
      <c r="AA669" s="51" t="str">
        <f t="shared" si="454"/>
        <v>Not Used</v>
      </c>
      <c r="AB669" s="51" t="str">
        <f t="shared" si="455"/>
        <v>Not Used</v>
      </c>
      <c r="AC669" s="51" t="b">
        <f t="shared" si="456"/>
        <v>1</v>
      </c>
      <c r="AD669" s="51">
        <f>COUNTIF($X$5:$X$669, "Not Used")</f>
        <v>665</v>
      </c>
      <c r="AE669" s="51">
        <f>COUNTIF($X$5:$X$669, "TRUE")</f>
        <v>0</v>
      </c>
      <c r="AF669" s="51" t="b">
        <f t="shared" si="457"/>
        <v>1</v>
      </c>
      <c r="AI669" s="51" t="b">
        <f t="shared" si="458"/>
        <v>0</v>
      </c>
      <c r="AJ669" s="51" t="b">
        <f t="shared" si="459"/>
        <v>0</v>
      </c>
      <c r="AK669" s="51" t="b">
        <f t="shared" si="460"/>
        <v>0</v>
      </c>
      <c r="AL669" s="51" t="b">
        <f t="shared" si="461"/>
        <v>0</v>
      </c>
      <c r="AM669" s="51" t="b">
        <f t="shared" si="462"/>
        <v>0</v>
      </c>
      <c r="AN669" s="51"/>
      <c r="AO669" s="51" t="b">
        <f t="shared" si="463"/>
        <v>0</v>
      </c>
      <c r="AP669" s="51" t="str">
        <f t="shared" si="485"/>
        <v>Not in MMS</v>
      </c>
      <c r="AQ669" s="51" t="b">
        <f t="shared" si="464"/>
        <v>0</v>
      </c>
      <c r="AR669" s="51" t="b">
        <f t="shared" si="465"/>
        <v>0</v>
      </c>
      <c r="AS669" s="51" t="str">
        <f t="shared" si="466"/>
        <v/>
      </c>
      <c r="AT669" s="51" t="str">
        <f t="shared" si="467"/>
        <v/>
      </c>
      <c r="AU669" s="51" t="str">
        <f t="shared" si="468"/>
        <v/>
      </c>
      <c r="AV669" s="51" t="str">
        <f t="shared" si="469"/>
        <v/>
      </c>
      <c r="AW669" s="51" t="str">
        <f t="shared" si="470"/>
        <v/>
      </c>
      <c r="AX669" s="51" t="str">
        <f t="shared" si="471"/>
        <v/>
      </c>
      <c r="AY669" s="51" t="str">
        <f t="shared" si="472"/>
        <v/>
      </c>
      <c r="AZ669" s="51" t="str">
        <f t="shared" si="473"/>
        <v/>
      </c>
      <c r="BA669" s="51" t="str">
        <f t="shared" si="474"/>
        <v/>
      </c>
      <c r="BB669" s="51" t="str">
        <f t="shared" si="475"/>
        <v/>
      </c>
      <c r="BC669" s="51" t="str">
        <f t="shared" si="476"/>
        <v/>
      </c>
      <c r="BD669" s="51" t="str">
        <f t="shared" si="477"/>
        <v/>
      </c>
      <c r="BE669" s="51" t="str">
        <f t="shared" si="478"/>
        <v/>
      </c>
      <c r="BF669" s="51" t="str">
        <f t="shared" si="479"/>
        <v/>
      </c>
      <c r="BG669" s="51" t="str">
        <f t="shared" si="480"/>
        <v/>
      </c>
      <c r="BH669" s="51" t="b">
        <f t="shared" si="481"/>
        <v>0</v>
      </c>
      <c r="BI669" s="51" t="str">
        <f t="shared" si="482"/>
        <v/>
      </c>
      <c r="BJ669" s="51" t="str">
        <f t="shared" si="483"/>
        <v/>
      </c>
      <c r="BK669" s="51" t="b">
        <f t="shared" si="484"/>
        <v>0</v>
      </c>
      <c r="BL669" s="192"/>
    </row>
    <row r="670" spans="1:64" ht="13.5" thickBot="1" x14ac:dyDescent="0.25">
      <c r="A670" s="185" t="s">
        <v>1341</v>
      </c>
      <c r="B670" s="194" t="s">
        <v>695</v>
      </c>
      <c r="C670" s="194" t="s">
        <v>695</v>
      </c>
      <c r="D670" s="194" t="s">
        <v>695</v>
      </c>
      <c r="E670" s="193" t="s">
        <v>694</v>
      </c>
      <c r="F670" s="160" t="s">
        <v>20</v>
      </c>
      <c r="G670" s="161"/>
      <c r="H670" s="186" t="str">
        <f t="shared" si="442"/>
        <v>N/A</v>
      </c>
      <c r="I670" s="186" t="b">
        <f t="shared" si="443"/>
        <v>1</v>
      </c>
      <c r="J670" s="186" t="str">
        <f t="shared" si="444"/>
        <v>N/A</v>
      </c>
      <c r="K670" s="186" t="b">
        <f t="shared" si="445"/>
        <v>1</v>
      </c>
      <c r="L670" s="186" t="str">
        <f t="shared" si="446"/>
        <v>N/A</v>
      </c>
      <c r="M670" s="186" t="b">
        <f t="shared" si="447"/>
        <v>1</v>
      </c>
      <c r="N670" s="186" t="str">
        <f t="shared" si="448"/>
        <v>Used?</v>
      </c>
      <c r="O670" s="186" t="b">
        <f t="shared" si="449"/>
        <v>0</v>
      </c>
      <c r="P670" s="26" t="s">
        <v>696</v>
      </c>
      <c r="Q670" s="160" t="s">
        <v>20</v>
      </c>
      <c r="R670" s="160" t="s">
        <v>20</v>
      </c>
      <c r="S670" s="26" t="s">
        <v>697</v>
      </c>
      <c r="T670" s="165" t="str">
        <f t="shared" si="450"/>
        <v>Not Used</v>
      </c>
      <c r="U670" s="162"/>
      <c r="V670" s="55"/>
      <c r="W670" s="51" t="b">
        <f t="shared" si="451"/>
        <v>1</v>
      </c>
      <c r="X670" s="51" t="str">
        <f t="shared" si="452"/>
        <v>Not Used</v>
      </c>
      <c r="Y670" s="51" t="str">
        <f t="shared" si="453"/>
        <v>Not Used</v>
      </c>
      <c r="Z670" s="51" t="str">
        <f t="shared" si="454"/>
        <v>Not Used</v>
      </c>
      <c r="AA670" s="51" t="str">
        <f t="shared" si="454"/>
        <v>Not Used</v>
      </c>
      <c r="AB670" s="51" t="str">
        <f t="shared" si="455"/>
        <v>Not Used</v>
      </c>
      <c r="AC670" s="51" t="b">
        <f t="shared" si="456"/>
        <v>1</v>
      </c>
      <c r="AD670" s="51">
        <f>COUNTIF($X$5:$X$670, "Not Used")</f>
        <v>666</v>
      </c>
      <c r="AE670" s="51">
        <f>COUNTIF($X$5:$X$670, "TRUE")</f>
        <v>0</v>
      </c>
      <c r="AF670" s="51" t="b">
        <f t="shared" si="457"/>
        <v>1</v>
      </c>
      <c r="AI670" s="51" t="b">
        <f t="shared" si="458"/>
        <v>0</v>
      </c>
      <c r="AJ670" s="51" t="b">
        <f t="shared" si="459"/>
        <v>0</v>
      </c>
      <c r="AK670" s="51" t="b">
        <f t="shared" si="460"/>
        <v>0</v>
      </c>
      <c r="AL670" s="51" t="b">
        <f t="shared" si="461"/>
        <v>0</v>
      </c>
      <c r="AM670" s="51" t="b">
        <f t="shared" si="462"/>
        <v>0</v>
      </c>
      <c r="AN670" s="51"/>
      <c r="AO670" s="51" t="b">
        <f t="shared" si="463"/>
        <v>0</v>
      </c>
      <c r="AP670" s="51" t="str">
        <f t="shared" si="485"/>
        <v>Not in MMS</v>
      </c>
      <c r="AQ670" s="51" t="b">
        <f t="shared" si="464"/>
        <v>0</v>
      </c>
      <c r="AR670" s="51" t="b">
        <f t="shared" si="465"/>
        <v>0</v>
      </c>
      <c r="AS670" s="51" t="str">
        <f t="shared" si="466"/>
        <v/>
      </c>
      <c r="AT670" s="51" t="str">
        <f t="shared" si="467"/>
        <v/>
      </c>
      <c r="AU670" s="51" t="str">
        <f t="shared" si="468"/>
        <v/>
      </c>
      <c r="AV670" s="51" t="str">
        <f t="shared" si="469"/>
        <v/>
      </c>
      <c r="AW670" s="51" t="str">
        <f t="shared" si="470"/>
        <v/>
      </c>
      <c r="AX670" s="51" t="str">
        <f t="shared" si="471"/>
        <v/>
      </c>
      <c r="AY670" s="51" t="str">
        <f t="shared" si="472"/>
        <v/>
      </c>
      <c r="AZ670" s="51" t="str">
        <f t="shared" si="473"/>
        <v/>
      </c>
      <c r="BA670" s="51" t="str">
        <f t="shared" si="474"/>
        <v/>
      </c>
      <c r="BB670" s="51" t="str">
        <f t="shared" si="475"/>
        <v/>
      </c>
      <c r="BC670" s="51" t="str">
        <f t="shared" si="476"/>
        <v/>
      </c>
      <c r="BD670" s="51" t="str">
        <f t="shared" si="477"/>
        <v/>
      </c>
      <c r="BE670" s="51" t="str">
        <f t="shared" si="478"/>
        <v/>
      </c>
      <c r="BF670" s="51" t="str">
        <f t="shared" si="479"/>
        <v/>
      </c>
      <c r="BG670" s="51" t="str">
        <f t="shared" si="480"/>
        <v/>
      </c>
      <c r="BH670" s="51" t="b">
        <f t="shared" si="481"/>
        <v>0</v>
      </c>
      <c r="BI670" s="51" t="str">
        <f t="shared" si="482"/>
        <v/>
      </c>
      <c r="BJ670" s="51" t="str">
        <f t="shared" si="483"/>
        <v/>
      </c>
      <c r="BK670" s="51" t="b">
        <f t="shared" si="484"/>
        <v>0</v>
      </c>
      <c r="BL670" s="192"/>
    </row>
    <row r="671" spans="1:64" ht="13.5" thickBot="1" x14ac:dyDescent="0.25">
      <c r="A671" s="185" t="s">
        <v>1342</v>
      </c>
      <c r="B671" s="194" t="s">
        <v>695</v>
      </c>
      <c r="C671" s="194" t="s">
        <v>695</v>
      </c>
      <c r="D671" s="194" t="s">
        <v>695</v>
      </c>
      <c r="E671" s="193" t="s">
        <v>694</v>
      </c>
      <c r="F671" s="160" t="s">
        <v>20</v>
      </c>
      <c r="G671" s="161"/>
      <c r="H671" s="186" t="str">
        <f t="shared" si="442"/>
        <v>N/A</v>
      </c>
      <c r="I671" s="186" t="b">
        <f t="shared" si="443"/>
        <v>1</v>
      </c>
      <c r="J671" s="186" t="str">
        <f t="shared" si="444"/>
        <v>N/A</v>
      </c>
      <c r="K671" s="186" t="b">
        <f t="shared" si="445"/>
        <v>1</v>
      </c>
      <c r="L671" s="186" t="str">
        <f t="shared" si="446"/>
        <v>N/A</v>
      </c>
      <c r="M671" s="186" t="b">
        <f t="shared" si="447"/>
        <v>1</v>
      </c>
      <c r="N671" s="186" t="str">
        <f t="shared" si="448"/>
        <v>Used?</v>
      </c>
      <c r="O671" s="186" t="b">
        <f t="shared" si="449"/>
        <v>0</v>
      </c>
      <c r="P671" s="26" t="s">
        <v>696</v>
      </c>
      <c r="Q671" s="160" t="s">
        <v>20</v>
      </c>
      <c r="R671" s="160" t="s">
        <v>20</v>
      </c>
      <c r="S671" s="26" t="s">
        <v>697</v>
      </c>
      <c r="T671" s="165" t="str">
        <f t="shared" si="450"/>
        <v>Not Used</v>
      </c>
      <c r="U671" s="162"/>
      <c r="V671" s="55"/>
      <c r="W671" s="51" t="b">
        <f t="shared" si="451"/>
        <v>1</v>
      </c>
      <c r="X671" s="51" t="str">
        <f t="shared" si="452"/>
        <v>Not Used</v>
      </c>
      <c r="Y671" s="51" t="str">
        <f t="shared" si="453"/>
        <v>Not Used</v>
      </c>
      <c r="Z671" s="51" t="str">
        <f t="shared" si="454"/>
        <v>Not Used</v>
      </c>
      <c r="AA671" s="51" t="str">
        <f t="shared" si="454"/>
        <v>Not Used</v>
      </c>
      <c r="AB671" s="51" t="str">
        <f t="shared" si="455"/>
        <v>Not Used</v>
      </c>
      <c r="AC671" s="51" t="b">
        <f t="shared" si="456"/>
        <v>1</v>
      </c>
      <c r="AD671" s="51">
        <f>COUNTIF($X$5:$X$671, "Not Used")</f>
        <v>667</v>
      </c>
      <c r="AE671" s="51">
        <f>COUNTIF($X$5:$X$671, "TRUE")</f>
        <v>0</v>
      </c>
      <c r="AF671" s="51" t="b">
        <f t="shared" si="457"/>
        <v>1</v>
      </c>
      <c r="AI671" s="51" t="b">
        <f t="shared" si="458"/>
        <v>0</v>
      </c>
      <c r="AJ671" s="51" t="b">
        <f t="shared" si="459"/>
        <v>0</v>
      </c>
      <c r="AK671" s="51" t="b">
        <f t="shared" si="460"/>
        <v>0</v>
      </c>
      <c r="AL671" s="51" t="b">
        <f t="shared" si="461"/>
        <v>0</v>
      </c>
      <c r="AM671" s="51" t="b">
        <f t="shared" si="462"/>
        <v>0</v>
      </c>
      <c r="AN671" s="51"/>
      <c r="AO671" s="51" t="b">
        <f t="shared" si="463"/>
        <v>0</v>
      </c>
      <c r="AP671" s="51" t="str">
        <f t="shared" si="485"/>
        <v>Not in MMS</v>
      </c>
      <c r="AQ671" s="51" t="b">
        <f t="shared" si="464"/>
        <v>0</v>
      </c>
      <c r="AR671" s="51" t="b">
        <f t="shared" si="465"/>
        <v>0</v>
      </c>
      <c r="AS671" s="51" t="str">
        <f t="shared" si="466"/>
        <v/>
      </c>
      <c r="AT671" s="51" t="str">
        <f t="shared" si="467"/>
        <v/>
      </c>
      <c r="AU671" s="51" t="str">
        <f t="shared" si="468"/>
        <v/>
      </c>
      <c r="AV671" s="51" t="str">
        <f t="shared" si="469"/>
        <v/>
      </c>
      <c r="AW671" s="51" t="str">
        <f t="shared" si="470"/>
        <v/>
      </c>
      <c r="AX671" s="51" t="str">
        <f t="shared" si="471"/>
        <v/>
      </c>
      <c r="AY671" s="51" t="str">
        <f t="shared" si="472"/>
        <v/>
      </c>
      <c r="AZ671" s="51" t="str">
        <f t="shared" si="473"/>
        <v/>
      </c>
      <c r="BA671" s="51" t="str">
        <f t="shared" si="474"/>
        <v/>
      </c>
      <c r="BB671" s="51" t="str">
        <f t="shared" si="475"/>
        <v/>
      </c>
      <c r="BC671" s="51" t="str">
        <f t="shared" si="476"/>
        <v/>
      </c>
      <c r="BD671" s="51" t="str">
        <f t="shared" si="477"/>
        <v/>
      </c>
      <c r="BE671" s="51" t="str">
        <f t="shared" si="478"/>
        <v/>
      </c>
      <c r="BF671" s="51" t="str">
        <f t="shared" si="479"/>
        <v/>
      </c>
      <c r="BG671" s="51" t="str">
        <f t="shared" si="480"/>
        <v/>
      </c>
      <c r="BH671" s="51" t="b">
        <f t="shared" si="481"/>
        <v>0</v>
      </c>
      <c r="BI671" s="51" t="str">
        <f t="shared" si="482"/>
        <v/>
      </c>
      <c r="BJ671" s="51" t="str">
        <f t="shared" si="483"/>
        <v/>
      </c>
      <c r="BK671" s="51" t="b">
        <f t="shared" si="484"/>
        <v>0</v>
      </c>
      <c r="BL671" s="192"/>
    </row>
    <row r="672" spans="1:64" ht="13.5" thickBot="1" x14ac:dyDescent="0.25">
      <c r="A672" s="185" t="s">
        <v>1343</v>
      </c>
      <c r="B672" s="194" t="s">
        <v>695</v>
      </c>
      <c r="C672" s="194" t="s">
        <v>695</v>
      </c>
      <c r="D672" s="194" t="s">
        <v>695</v>
      </c>
      <c r="E672" s="193" t="s">
        <v>694</v>
      </c>
      <c r="F672" s="160" t="s">
        <v>20</v>
      </c>
      <c r="G672" s="161"/>
      <c r="H672" s="186" t="str">
        <f t="shared" si="442"/>
        <v>N/A</v>
      </c>
      <c r="I672" s="186" t="b">
        <f t="shared" si="443"/>
        <v>1</v>
      </c>
      <c r="J672" s="186" t="str">
        <f t="shared" si="444"/>
        <v>N/A</v>
      </c>
      <c r="K672" s="186" t="b">
        <f t="shared" si="445"/>
        <v>1</v>
      </c>
      <c r="L672" s="186" t="str">
        <f t="shared" si="446"/>
        <v>N/A</v>
      </c>
      <c r="M672" s="186" t="b">
        <f t="shared" si="447"/>
        <v>1</v>
      </c>
      <c r="N672" s="186" t="str">
        <f t="shared" si="448"/>
        <v>Used?</v>
      </c>
      <c r="O672" s="186" t="b">
        <f t="shared" si="449"/>
        <v>0</v>
      </c>
      <c r="P672" s="26" t="s">
        <v>696</v>
      </c>
      <c r="Q672" s="160" t="s">
        <v>20</v>
      </c>
      <c r="R672" s="160" t="s">
        <v>20</v>
      </c>
      <c r="S672" s="26" t="s">
        <v>697</v>
      </c>
      <c r="T672" s="165" t="str">
        <f t="shared" si="450"/>
        <v>Not Used</v>
      </c>
      <c r="U672" s="162"/>
      <c r="V672" s="55"/>
      <c r="W672" s="51" t="b">
        <f t="shared" si="451"/>
        <v>1</v>
      </c>
      <c r="X672" s="51" t="str">
        <f t="shared" si="452"/>
        <v>Not Used</v>
      </c>
      <c r="Y672" s="51" t="str">
        <f t="shared" si="453"/>
        <v>Not Used</v>
      </c>
      <c r="Z672" s="51" t="str">
        <f t="shared" si="454"/>
        <v>Not Used</v>
      </c>
      <c r="AA672" s="51" t="str">
        <f t="shared" si="454"/>
        <v>Not Used</v>
      </c>
      <c r="AB672" s="51" t="str">
        <f t="shared" si="455"/>
        <v>Not Used</v>
      </c>
      <c r="AC672" s="51" t="b">
        <f t="shared" si="456"/>
        <v>1</v>
      </c>
      <c r="AD672" s="51">
        <f>COUNTIF($X$5:$X$672, "Not Used")</f>
        <v>668</v>
      </c>
      <c r="AE672" s="51">
        <f>COUNTIF($X$5:$X$672, "TRUE")</f>
        <v>0</v>
      </c>
      <c r="AF672" s="51" t="b">
        <f t="shared" si="457"/>
        <v>1</v>
      </c>
      <c r="AI672" s="51" t="b">
        <f t="shared" si="458"/>
        <v>0</v>
      </c>
      <c r="AJ672" s="51" t="b">
        <f t="shared" si="459"/>
        <v>0</v>
      </c>
      <c r="AK672" s="51" t="b">
        <f t="shared" si="460"/>
        <v>0</v>
      </c>
      <c r="AL672" s="51" t="b">
        <f t="shared" si="461"/>
        <v>0</v>
      </c>
      <c r="AM672" s="51" t="b">
        <f t="shared" si="462"/>
        <v>0</v>
      </c>
      <c r="AN672" s="51"/>
      <c r="AO672" s="51" t="b">
        <f t="shared" si="463"/>
        <v>0</v>
      </c>
      <c r="AP672" s="51" t="str">
        <f t="shared" si="485"/>
        <v>Not in MMS</v>
      </c>
      <c r="AQ672" s="51" t="b">
        <f t="shared" si="464"/>
        <v>0</v>
      </c>
      <c r="AR672" s="51" t="b">
        <f t="shared" si="465"/>
        <v>0</v>
      </c>
      <c r="AS672" s="51" t="str">
        <f t="shared" si="466"/>
        <v/>
      </c>
      <c r="AT672" s="51" t="str">
        <f t="shared" si="467"/>
        <v/>
      </c>
      <c r="AU672" s="51" t="str">
        <f t="shared" si="468"/>
        <v/>
      </c>
      <c r="AV672" s="51" t="str">
        <f t="shared" si="469"/>
        <v/>
      </c>
      <c r="AW672" s="51" t="str">
        <f t="shared" si="470"/>
        <v/>
      </c>
      <c r="AX672" s="51" t="str">
        <f t="shared" si="471"/>
        <v/>
      </c>
      <c r="AY672" s="51" t="str">
        <f t="shared" si="472"/>
        <v/>
      </c>
      <c r="AZ672" s="51" t="str">
        <f t="shared" si="473"/>
        <v/>
      </c>
      <c r="BA672" s="51" t="str">
        <f t="shared" si="474"/>
        <v/>
      </c>
      <c r="BB672" s="51" t="str">
        <f t="shared" si="475"/>
        <v/>
      </c>
      <c r="BC672" s="51" t="str">
        <f t="shared" si="476"/>
        <v/>
      </c>
      <c r="BD672" s="51" t="str">
        <f t="shared" si="477"/>
        <v/>
      </c>
      <c r="BE672" s="51" t="str">
        <f t="shared" si="478"/>
        <v/>
      </c>
      <c r="BF672" s="51" t="str">
        <f t="shared" si="479"/>
        <v/>
      </c>
      <c r="BG672" s="51" t="str">
        <f t="shared" si="480"/>
        <v/>
      </c>
      <c r="BH672" s="51" t="b">
        <f t="shared" si="481"/>
        <v>0</v>
      </c>
      <c r="BI672" s="51" t="str">
        <f t="shared" si="482"/>
        <v/>
      </c>
      <c r="BJ672" s="51" t="str">
        <f t="shared" si="483"/>
        <v/>
      </c>
      <c r="BK672" s="51" t="b">
        <f t="shared" si="484"/>
        <v>0</v>
      </c>
      <c r="BL672" s="192"/>
    </row>
    <row r="673" spans="1:64" ht="13.5" thickBot="1" x14ac:dyDescent="0.25">
      <c r="A673" s="185" t="s">
        <v>1344</v>
      </c>
      <c r="B673" s="194" t="s">
        <v>695</v>
      </c>
      <c r="C673" s="194" t="s">
        <v>695</v>
      </c>
      <c r="D673" s="194" t="s">
        <v>695</v>
      </c>
      <c r="E673" s="193" t="s">
        <v>694</v>
      </c>
      <c r="F673" s="160" t="s">
        <v>20</v>
      </c>
      <c r="G673" s="161"/>
      <c r="H673" s="186" t="str">
        <f t="shared" si="442"/>
        <v>N/A</v>
      </c>
      <c r="I673" s="186" t="b">
        <f t="shared" si="443"/>
        <v>1</v>
      </c>
      <c r="J673" s="186" t="str">
        <f t="shared" si="444"/>
        <v>N/A</v>
      </c>
      <c r="K673" s="186" t="b">
        <f t="shared" si="445"/>
        <v>1</v>
      </c>
      <c r="L673" s="186" t="str">
        <f t="shared" si="446"/>
        <v>N/A</v>
      </c>
      <c r="M673" s="186" t="b">
        <f t="shared" si="447"/>
        <v>1</v>
      </c>
      <c r="N673" s="186" t="str">
        <f t="shared" si="448"/>
        <v>Used?</v>
      </c>
      <c r="O673" s="186" t="b">
        <f t="shared" si="449"/>
        <v>0</v>
      </c>
      <c r="P673" s="26" t="s">
        <v>696</v>
      </c>
      <c r="Q673" s="160" t="s">
        <v>20</v>
      </c>
      <c r="R673" s="160" t="s">
        <v>20</v>
      </c>
      <c r="S673" s="26" t="s">
        <v>697</v>
      </c>
      <c r="T673" s="165" t="str">
        <f t="shared" si="450"/>
        <v>Not Used</v>
      </c>
      <c r="U673" s="162"/>
      <c r="V673" s="55"/>
      <c r="W673" s="51" t="b">
        <f t="shared" si="451"/>
        <v>1</v>
      </c>
      <c r="X673" s="51" t="str">
        <f t="shared" si="452"/>
        <v>Not Used</v>
      </c>
      <c r="Y673" s="51" t="str">
        <f t="shared" si="453"/>
        <v>Not Used</v>
      </c>
      <c r="Z673" s="51" t="str">
        <f t="shared" si="454"/>
        <v>Not Used</v>
      </c>
      <c r="AA673" s="51" t="str">
        <f t="shared" si="454"/>
        <v>Not Used</v>
      </c>
      <c r="AB673" s="51" t="str">
        <f t="shared" si="455"/>
        <v>Not Used</v>
      </c>
      <c r="AC673" s="51" t="b">
        <f t="shared" si="456"/>
        <v>1</v>
      </c>
      <c r="AD673" s="51">
        <f>COUNTIF($X$5:$X$673, "Not Used")</f>
        <v>669</v>
      </c>
      <c r="AE673" s="51">
        <f>COUNTIF($X$5:$X$673, "TRUE")</f>
        <v>0</v>
      </c>
      <c r="AF673" s="51" t="b">
        <f t="shared" si="457"/>
        <v>1</v>
      </c>
      <c r="AI673" s="51" t="b">
        <f t="shared" si="458"/>
        <v>0</v>
      </c>
      <c r="AJ673" s="51" t="b">
        <f t="shared" si="459"/>
        <v>0</v>
      </c>
      <c r="AK673" s="51" t="b">
        <f t="shared" si="460"/>
        <v>0</v>
      </c>
      <c r="AL673" s="51" t="b">
        <f t="shared" si="461"/>
        <v>0</v>
      </c>
      <c r="AM673" s="51" t="b">
        <f t="shared" si="462"/>
        <v>0</v>
      </c>
      <c r="AN673" s="51"/>
      <c r="AO673" s="51" t="b">
        <f t="shared" si="463"/>
        <v>0</v>
      </c>
      <c r="AP673" s="51" t="str">
        <f t="shared" si="485"/>
        <v>Not in MMS</v>
      </c>
      <c r="AQ673" s="51" t="b">
        <f t="shared" si="464"/>
        <v>0</v>
      </c>
      <c r="AR673" s="51" t="b">
        <f t="shared" si="465"/>
        <v>0</v>
      </c>
      <c r="AS673" s="51" t="str">
        <f t="shared" si="466"/>
        <v/>
      </c>
      <c r="AT673" s="51" t="str">
        <f t="shared" si="467"/>
        <v/>
      </c>
      <c r="AU673" s="51" t="str">
        <f t="shared" si="468"/>
        <v/>
      </c>
      <c r="AV673" s="51" t="str">
        <f t="shared" si="469"/>
        <v/>
      </c>
      <c r="AW673" s="51" t="str">
        <f t="shared" si="470"/>
        <v/>
      </c>
      <c r="AX673" s="51" t="str">
        <f t="shared" si="471"/>
        <v/>
      </c>
      <c r="AY673" s="51" t="str">
        <f t="shared" si="472"/>
        <v/>
      </c>
      <c r="AZ673" s="51" t="str">
        <f t="shared" si="473"/>
        <v/>
      </c>
      <c r="BA673" s="51" t="str">
        <f t="shared" si="474"/>
        <v/>
      </c>
      <c r="BB673" s="51" t="str">
        <f t="shared" si="475"/>
        <v/>
      </c>
      <c r="BC673" s="51" t="str">
        <f t="shared" si="476"/>
        <v/>
      </c>
      <c r="BD673" s="51" t="str">
        <f t="shared" si="477"/>
        <v/>
      </c>
      <c r="BE673" s="51" t="str">
        <f t="shared" si="478"/>
        <v/>
      </c>
      <c r="BF673" s="51" t="str">
        <f t="shared" si="479"/>
        <v/>
      </c>
      <c r="BG673" s="51" t="str">
        <f t="shared" si="480"/>
        <v/>
      </c>
      <c r="BH673" s="51" t="b">
        <f t="shared" si="481"/>
        <v>0</v>
      </c>
      <c r="BI673" s="51" t="str">
        <f t="shared" si="482"/>
        <v/>
      </c>
      <c r="BJ673" s="51" t="str">
        <f t="shared" si="483"/>
        <v/>
      </c>
      <c r="BK673" s="51" t="b">
        <f t="shared" si="484"/>
        <v>0</v>
      </c>
      <c r="BL673" s="192"/>
    </row>
    <row r="674" spans="1:64" ht="13.5" thickBot="1" x14ac:dyDescent="0.25">
      <c r="A674" s="185" t="s">
        <v>1345</v>
      </c>
      <c r="B674" s="194" t="s">
        <v>695</v>
      </c>
      <c r="C674" s="194" t="s">
        <v>695</v>
      </c>
      <c r="D674" s="194" t="s">
        <v>695</v>
      </c>
      <c r="E674" s="193" t="s">
        <v>694</v>
      </c>
      <c r="F674" s="160" t="s">
        <v>20</v>
      </c>
      <c r="G674" s="161"/>
      <c r="H674" s="186" t="str">
        <f t="shared" si="442"/>
        <v>N/A</v>
      </c>
      <c r="I674" s="186" t="b">
        <f t="shared" si="443"/>
        <v>1</v>
      </c>
      <c r="J674" s="186" t="str">
        <f t="shared" si="444"/>
        <v>N/A</v>
      </c>
      <c r="K674" s="186" t="b">
        <f t="shared" si="445"/>
        <v>1</v>
      </c>
      <c r="L674" s="186" t="str">
        <f t="shared" si="446"/>
        <v>N/A</v>
      </c>
      <c r="M674" s="186" t="b">
        <f t="shared" si="447"/>
        <v>1</v>
      </c>
      <c r="N674" s="186" t="str">
        <f t="shared" si="448"/>
        <v>Used?</v>
      </c>
      <c r="O674" s="186" t="b">
        <f t="shared" si="449"/>
        <v>0</v>
      </c>
      <c r="P674" s="26" t="s">
        <v>696</v>
      </c>
      <c r="Q674" s="160" t="s">
        <v>20</v>
      </c>
      <c r="R674" s="160" t="s">
        <v>20</v>
      </c>
      <c r="S674" s="26" t="s">
        <v>697</v>
      </c>
      <c r="T674" s="165" t="str">
        <f t="shared" si="450"/>
        <v>Not Used</v>
      </c>
      <c r="U674" s="162"/>
      <c r="V674" s="55"/>
      <c r="W674" s="51" t="b">
        <f t="shared" si="451"/>
        <v>1</v>
      </c>
      <c r="X674" s="51" t="str">
        <f t="shared" si="452"/>
        <v>Not Used</v>
      </c>
      <c r="Y674" s="51" t="str">
        <f t="shared" si="453"/>
        <v>Not Used</v>
      </c>
      <c r="Z674" s="51" t="str">
        <f t="shared" si="454"/>
        <v>Not Used</v>
      </c>
      <c r="AA674" s="51" t="str">
        <f t="shared" si="454"/>
        <v>Not Used</v>
      </c>
      <c r="AB674" s="51" t="str">
        <f t="shared" si="455"/>
        <v>Not Used</v>
      </c>
      <c r="AC674" s="51" t="b">
        <f t="shared" si="456"/>
        <v>1</v>
      </c>
      <c r="AD674" s="51">
        <f>COUNTIF($X$5:$X$674, "Not Used")</f>
        <v>670</v>
      </c>
      <c r="AE674" s="51">
        <f>COUNTIF($X$5:$X$674, "TRUE")</f>
        <v>0</v>
      </c>
      <c r="AF674" s="51" t="b">
        <f t="shared" si="457"/>
        <v>1</v>
      </c>
      <c r="AI674" s="51" t="b">
        <f t="shared" si="458"/>
        <v>0</v>
      </c>
      <c r="AJ674" s="51" t="b">
        <f t="shared" si="459"/>
        <v>0</v>
      </c>
      <c r="AK674" s="51" t="b">
        <f t="shared" si="460"/>
        <v>0</v>
      </c>
      <c r="AL674" s="51" t="b">
        <f t="shared" si="461"/>
        <v>0</v>
      </c>
      <c r="AM674" s="51" t="b">
        <f t="shared" si="462"/>
        <v>0</v>
      </c>
      <c r="AN674" s="51"/>
      <c r="AO674" s="51" t="b">
        <f t="shared" si="463"/>
        <v>0</v>
      </c>
      <c r="AP674" s="51" t="str">
        <f t="shared" si="485"/>
        <v>Not in MMS</v>
      </c>
      <c r="AQ674" s="51" t="b">
        <f t="shared" si="464"/>
        <v>0</v>
      </c>
      <c r="AR674" s="51" t="b">
        <f t="shared" si="465"/>
        <v>0</v>
      </c>
      <c r="AS674" s="51" t="str">
        <f t="shared" si="466"/>
        <v/>
      </c>
      <c r="AT674" s="51" t="str">
        <f t="shared" si="467"/>
        <v/>
      </c>
      <c r="AU674" s="51" t="str">
        <f t="shared" si="468"/>
        <v/>
      </c>
      <c r="AV674" s="51" t="str">
        <f t="shared" si="469"/>
        <v/>
      </c>
      <c r="AW674" s="51" t="str">
        <f t="shared" si="470"/>
        <v/>
      </c>
      <c r="AX674" s="51" t="str">
        <f t="shared" si="471"/>
        <v/>
      </c>
      <c r="AY674" s="51" t="str">
        <f t="shared" si="472"/>
        <v/>
      </c>
      <c r="AZ674" s="51" t="str">
        <f t="shared" si="473"/>
        <v/>
      </c>
      <c r="BA674" s="51" t="str">
        <f t="shared" si="474"/>
        <v/>
      </c>
      <c r="BB674" s="51" t="str">
        <f t="shared" si="475"/>
        <v/>
      </c>
      <c r="BC674" s="51" t="str">
        <f t="shared" si="476"/>
        <v/>
      </c>
      <c r="BD674" s="51" t="str">
        <f t="shared" si="477"/>
        <v/>
      </c>
      <c r="BE674" s="51" t="str">
        <f t="shared" si="478"/>
        <v/>
      </c>
      <c r="BF674" s="51" t="str">
        <f t="shared" si="479"/>
        <v/>
      </c>
      <c r="BG674" s="51" t="str">
        <f t="shared" si="480"/>
        <v/>
      </c>
      <c r="BH674" s="51" t="b">
        <f t="shared" si="481"/>
        <v>0</v>
      </c>
      <c r="BI674" s="51" t="str">
        <f t="shared" si="482"/>
        <v/>
      </c>
      <c r="BJ674" s="51" t="str">
        <f t="shared" si="483"/>
        <v/>
      </c>
      <c r="BK674" s="51" t="b">
        <f t="shared" si="484"/>
        <v>0</v>
      </c>
      <c r="BL674" s="192"/>
    </row>
    <row r="675" spans="1:64" ht="13.5" thickBot="1" x14ac:dyDescent="0.25">
      <c r="A675" s="185" t="s">
        <v>1346</v>
      </c>
      <c r="B675" s="194" t="s">
        <v>695</v>
      </c>
      <c r="C675" s="194" t="s">
        <v>695</v>
      </c>
      <c r="D675" s="194" t="s">
        <v>695</v>
      </c>
      <c r="E675" s="193" t="s">
        <v>694</v>
      </c>
      <c r="F675" s="160" t="s">
        <v>20</v>
      </c>
      <c r="G675" s="161"/>
      <c r="H675" s="186" t="str">
        <f t="shared" si="442"/>
        <v>N/A</v>
      </c>
      <c r="I675" s="186" t="b">
        <f t="shared" si="443"/>
        <v>1</v>
      </c>
      <c r="J675" s="186" t="str">
        <f t="shared" si="444"/>
        <v>N/A</v>
      </c>
      <c r="K675" s="186" t="b">
        <f t="shared" si="445"/>
        <v>1</v>
      </c>
      <c r="L675" s="186" t="str">
        <f t="shared" si="446"/>
        <v>N/A</v>
      </c>
      <c r="M675" s="186" t="b">
        <f t="shared" si="447"/>
        <v>1</v>
      </c>
      <c r="N675" s="186" t="str">
        <f t="shared" si="448"/>
        <v>Used?</v>
      </c>
      <c r="O675" s="186" t="b">
        <f t="shared" si="449"/>
        <v>0</v>
      </c>
      <c r="P675" s="26" t="s">
        <v>696</v>
      </c>
      <c r="Q675" s="160" t="s">
        <v>20</v>
      </c>
      <c r="R675" s="160" t="s">
        <v>20</v>
      </c>
      <c r="S675" s="26" t="s">
        <v>697</v>
      </c>
      <c r="T675" s="165" t="str">
        <f t="shared" si="450"/>
        <v>Not Used</v>
      </c>
      <c r="U675" s="162"/>
      <c r="V675" s="55"/>
      <c r="W675" s="51" t="b">
        <f t="shared" si="451"/>
        <v>1</v>
      </c>
      <c r="X675" s="51" t="str">
        <f t="shared" si="452"/>
        <v>Not Used</v>
      </c>
      <c r="Y675" s="51" t="str">
        <f t="shared" si="453"/>
        <v>Not Used</v>
      </c>
      <c r="Z675" s="51" t="str">
        <f t="shared" si="454"/>
        <v>Not Used</v>
      </c>
      <c r="AA675" s="51" t="str">
        <f t="shared" si="454"/>
        <v>Not Used</v>
      </c>
      <c r="AB675" s="51" t="str">
        <f t="shared" si="455"/>
        <v>Not Used</v>
      </c>
      <c r="AC675" s="51" t="b">
        <f t="shared" si="456"/>
        <v>1</v>
      </c>
      <c r="AD675" s="51">
        <f>COUNTIF($X$5:$X$675, "Not Used")</f>
        <v>671</v>
      </c>
      <c r="AE675" s="51">
        <f>COUNTIF($X$5:$X$675, "TRUE")</f>
        <v>0</v>
      </c>
      <c r="AF675" s="51" t="b">
        <f t="shared" si="457"/>
        <v>1</v>
      </c>
      <c r="AI675" s="51" t="b">
        <f t="shared" si="458"/>
        <v>0</v>
      </c>
      <c r="AJ675" s="51" t="b">
        <f t="shared" si="459"/>
        <v>0</v>
      </c>
      <c r="AK675" s="51" t="b">
        <f t="shared" si="460"/>
        <v>0</v>
      </c>
      <c r="AL675" s="51" t="b">
        <f t="shared" si="461"/>
        <v>0</v>
      </c>
      <c r="AM675" s="51" t="b">
        <f t="shared" si="462"/>
        <v>0</v>
      </c>
      <c r="AN675" s="51"/>
      <c r="AO675" s="51" t="b">
        <f t="shared" si="463"/>
        <v>0</v>
      </c>
      <c r="AP675" s="51" t="str">
        <f t="shared" si="485"/>
        <v>Not in MMS</v>
      </c>
      <c r="AQ675" s="51" t="b">
        <f t="shared" si="464"/>
        <v>0</v>
      </c>
      <c r="AR675" s="51" t="b">
        <f t="shared" si="465"/>
        <v>0</v>
      </c>
      <c r="AS675" s="51" t="str">
        <f t="shared" si="466"/>
        <v/>
      </c>
      <c r="AT675" s="51" t="str">
        <f t="shared" si="467"/>
        <v/>
      </c>
      <c r="AU675" s="51" t="str">
        <f t="shared" si="468"/>
        <v/>
      </c>
      <c r="AV675" s="51" t="str">
        <f t="shared" si="469"/>
        <v/>
      </c>
      <c r="AW675" s="51" t="str">
        <f t="shared" si="470"/>
        <v/>
      </c>
      <c r="AX675" s="51" t="str">
        <f t="shared" si="471"/>
        <v/>
      </c>
      <c r="AY675" s="51" t="str">
        <f t="shared" si="472"/>
        <v/>
      </c>
      <c r="AZ675" s="51" t="str">
        <f t="shared" si="473"/>
        <v/>
      </c>
      <c r="BA675" s="51" t="str">
        <f t="shared" si="474"/>
        <v/>
      </c>
      <c r="BB675" s="51" t="str">
        <f t="shared" si="475"/>
        <v/>
      </c>
      <c r="BC675" s="51" t="str">
        <f t="shared" si="476"/>
        <v/>
      </c>
      <c r="BD675" s="51" t="str">
        <f t="shared" si="477"/>
        <v/>
      </c>
      <c r="BE675" s="51" t="str">
        <f t="shared" si="478"/>
        <v/>
      </c>
      <c r="BF675" s="51" t="str">
        <f t="shared" si="479"/>
        <v/>
      </c>
      <c r="BG675" s="51" t="str">
        <f t="shared" si="480"/>
        <v/>
      </c>
      <c r="BH675" s="51" t="b">
        <f t="shared" si="481"/>
        <v>0</v>
      </c>
      <c r="BI675" s="51" t="str">
        <f t="shared" si="482"/>
        <v/>
      </c>
      <c r="BJ675" s="51" t="str">
        <f t="shared" si="483"/>
        <v/>
      </c>
      <c r="BK675" s="51" t="b">
        <f t="shared" si="484"/>
        <v>0</v>
      </c>
      <c r="BL675" s="192"/>
    </row>
    <row r="676" spans="1:64" ht="13.5" thickBot="1" x14ac:dyDescent="0.25">
      <c r="A676" s="185" t="s">
        <v>1347</v>
      </c>
      <c r="B676" s="194" t="s">
        <v>695</v>
      </c>
      <c r="C676" s="194" t="s">
        <v>695</v>
      </c>
      <c r="D676" s="194" t="s">
        <v>695</v>
      </c>
      <c r="E676" s="193" t="s">
        <v>694</v>
      </c>
      <c r="F676" s="160" t="s">
        <v>20</v>
      </c>
      <c r="G676" s="161"/>
      <c r="H676" s="186" t="str">
        <f t="shared" si="442"/>
        <v>N/A</v>
      </c>
      <c r="I676" s="186" t="b">
        <f t="shared" si="443"/>
        <v>1</v>
      </c>
      <c r="J676" s="186" t="str">
        <f t="shared" si="444"/>
        <v>N/A</v>
      </c>
      <c r="K676" s="186" t="b">
        <f t="shared" si="445"/>
        <v>1</v>
      </c>
      <c r="L676" s="186" t="str">
        <f t="shared" si="446"/>
        <v>N/A</v>
      </c>
      <c r="M676" s="186" t="b">
        <f t="shared" si="447"/>
        <v>1</v>
      </c>
      <c r="N676" s="186" t="str">
        <f t="shared" si="448"/>
        <v>Used?</v>
      </c>
      <c r="O676" s="186" t="b">
        <f t="shared" si="449"/>
        <v>0</v>
      </c>
      <c r="P676" s="26" t="s">
        <v>696</v>
      </c>
      <c r="Q676" s="160" t="s">
        <v>20</v>
      </c>
      <c r="R676" s="160" t="s">
        <v>20</v>
      </c>
      <c r="S676" s="26" t="s">
        <v>697</v>
      </c>
      <c r="T676" s="165" t="str">
        <f t="shared" si="450"/>
        <v>Not Used</v>
      </c>
      <c r="U676" s="162"/>
      <c r="V676" s="55"/>
      <c r="W676" s="51" t="b">
        <f t="shared" si="451"/>
        <v>1</v>
      </c>
      <c r="X676" s="51" t="str">
        <f t="shared" si="452"/>
        <v>Not Used</v>
      </c>
      <c r="Y676" s="51" t="str">
        <f t="shared" si="453"/>
        <v>Not Used</v>
      </c>
      <c r="Z676" s="51" t="str">
        <f t="shared" si="454"/>
        <v>Not Used</v>
      </c>
      <c r="AA676" s="51" t="str">
        <f t="shared" si="454"/>
        <v>Not Used</v>
      </c>
      <c r="AB676" s="51" t="str">
        <f t="shared" si="455"/>
        <v>Not Used</v>
      </c>
      <c r="AC676" s="51" t="b">
        <f t="shared" si="456"/>
        <v>1</v>
      </c>
      <c r="AD676" s="51">
        <f>COUNTIF($X$5:$X$676, "Not Used")</f>
        <v>672</v>
      </c>
      <c r="AE676" s="51">
        <f>COUNTIF($X$5:$X$676, "TRUE")</f>
        <v>0</v>
      </c>
      <c r="AF676" s="51" t="b">
        <f t="shared" si="457"/>
        <v>1</v>
      </c>
      <c r="AI676" s="51" t="b">
        <f t="shared" si="458"/>
        <v>0</v>
      </c>
      <c r="AJ676" s="51" t="b">
        <f t="shared" si="459"/>
        <v>0</v>
      </c>
      <c r="AK676" s="51" t="b">
        <f t="shared" si="460"/>
        <v>0</v>
      </c>
      <c r="AL676" s="51" t="b">
        <f t="shared" si="461"/>
        <v>0</v>
      </c>
      <c r="AM676" s="51" t="b">
        <f t="shared" si="462"/>
        <v>0</v>
      </c>
      <c r="AN676" s="51"/>
      <c r="AO676" s="51" t="b">
        <f t="shared" si="463"/>
        <v>0</v>
      </c>
      <c r="AP676" s="51" t="str">
        <f t="shared" si="485"/>
        <v>Not in MMS</v>
      </c>
      <c r="AQ676" s="51" t="b">
        <f t="shared" si="464"/>
        <v>0</v>
      </c>
      <c r="AR676" s="51" t="b">
        <f t="shared" si="465"/>
        <v>0</v>
      </c>
      <c r="AS676" s="51" t="str">
        <f t="shared" si="466"/>
        <v/>
      </c>
      <c r="AT676" s="51" t="str">
        <f t="shared" si="467"/>
        <v/>
      </c>
      <c r="AU676" s="51" t="str">
        <f t="shared" si="468"/>
        <v/>
      </c>
      <c r="AV676" s="51" t="str">
        <f t="shared" si="469"/>
        <v/>
      </c>
      <c r="AW676" s="51" t="str">
        <f t="shared" si="470"/>
        <v/>
      </c>
      <c r="AX676" s="51" t="str">
        <f t="shared" si="471"/>
        <v/>
      </c>
      <c r="AY676" s="51" t="str">
        <f t="shared" si="472"/>
        <v/>
      </c>
      <c r="AZ676" s="51" t="str">
        <f t="shared" si="473"/>
        <v/>
      </c>
      <c r="BA676" s="51" t="str">
        <f t="shared" si="474"/>
        <v/>
      </c>
      <c r="BB676" s="51" t="str">
        <f t="shared" si="475"/>
        <v/>
      </c>
      <c r="BC676" s="51" t="str">
        <f t="shared" si="476"/>
        <v/>
      </c>
      <c r="BD676" s="51" t="str">
        <f t="shared" si="477"/>
        <v/>
      </c>
      <c r="BE676" s="51" t="str">
        <f t="shared" si="478"/>
        <v/>
      </c>
      <c r="BF676" s="51" t="str">
        <f t="shared" si="479"/>
        <v/>
      </c>
      <c r="BG676" s="51" t="str">
        <f t="shared" si="480"/>
        <v/>
      </c>
      <c r="BH676" s="51" t="b">
        <f t="shared" si="481"/>
        <v>0</v>
      </c>
      <c r="BI676" s="51" t="str">
        <f t="shared" si="482"/>
        <v/>
      </c>
      <c r="BJ676" s="51" t="str">
        <f t="shared" si="483"/>
        <v/>
      </c>
      <c r="BK676" s="51" t="b">
        <f t="shared" si="484"/>
        <v>0</v>
      </c>
      <c r="BL676" s="192"/>
    </row>
    <row r="677" spans="1:64" ht="13.5" thickBot="1" x14ac:dyDescent="0.25">
      <c r="A677" s="185" t="s">
        <v>1348</v>
      </c>
      <c r="B677" s="194" t="s">
        <v>695</v>
      </c>
      <c r="C677" s="194" t="s">
        <v>695</v>
      </c>
      <c r="D677" s="194" t="s">
        <v>695</v>
      </c>
      <c r="E677" s="193" t="s">
        <v>694</v>
      </c>
      <c r="F677" s="160" t="s">
        <v>20</v>
      </c>
      <c r="G677" s="161"/>
      <c r="H677" s="186" t="str">
        <f t="shared" si="442"/>
        <v>N/A</v>
      </c>
      <c r="I677" s="186" t="b">
        <f t="shared" si="443"/>
        <v>1</v>
      </c>
      <c r="J677" s="186" t="str">
        <f t="shared" si="444"/>
        <v>N/A</v>
      </c>
      <c r="K677" s="186" t="b">
        <f t="shared" si="445"/>
        <v>1</v>
      </c>
      <c r="L677" s="186" t="str">
        <f t="shared" si="446"/>
        <v>N/A</v>
      </c>
      <c r="M677" s="186" t="b">
        <f t="shared" si="447"/>
        <v>1</v>
      </c>
      <c r="N677" s="186" t="str">
        <f t="shared" si="448"/>
        <v>Used?</v>
      </c>
      <c r="O677" s="186" t="b">
        <f t="shared" si="449"/>
        <v>0</v>
      </c>
      <c r="P677" s="26" t="s">
        <v>696</v>
      </c>
      <c r="Q677" s="160" t="s">
        <v>20</v>
      </c>
      <c r="R677" s="160" t="s">
        <v>20</v>
      </c>
      <c r="S677" s="26" t="s">
        <v>697</v>
      </c>
      <c r="T677" s="165" t="str">
        <f t="shared" si="450"/>
        <v>Not Used</v>
      </c>
      <c r="U677" s="162"/>
      <c r="V677" s="55"/>
      <c r="W677" s="51" t="b">
        <f t="shared" si="451"/>
        <v>1</v>
      </c>
      <c r="X677" s="51" t="str">
        <f t="shared" si="452"/>
        <v>Not Used</v>
      </c>
      <c r="Y677" s="51" t="str">
        <f t="shared" si="453"/>
        <v>Not Used</v>
      </c>
      <c r="Z677" s="51" t="str">
        <f t="shared" si="454"/>
        <v>Not Used</v>
      </c>
      <c r="AA677" s="51" t="str">
        <f t="shared" si="454"/>
        <v>Not Used</v>
      </c>
      <c r="AB677" s="51" t="str">
        <f t="shared" si="455"/>
        <v>Not Used</v>
      </c>
      <c r="AC677" s="51" t="b">
        <f t="shared" si="456"/>
        <v>1</v>
      </c>
      <c r="AD677" s="51">
        <f>COUNTIF($X$5:$X$677, "Not Used")</f>
        <v>673</v>
      </c>
      <c r="AE677" s="51">
        <f>COUNTIF($X$5:$X$677, "TRUE")</f>
        <v>0</v>
      </c>
      <c r="AF677" s="51" t="b">
        <f t="shared" si="457"/>
        <v>1</v>
      </c>
      <c r="AI677" s="51" t="b">
        <f t="shared" si="458"/>
        <v>0</v>
      </c>
      <c r="AJ677" s="51" t="b">
        <f t="shared" si="459"/>
        <v>0</v>
      </c>
      <c r="AK677" s="51" t="b">
        <f t="shared" si="460"/>
        <v>0</v>
      </c>
      <c r="AL677" s="51" t="b">
        <f t="shared" si="461"/>
        <v>0</v>
      </c>
      <c r="AM677" s="51" t="b">
        <f t="shared" si="462"/>
        <v>0</v>
      </c>
      <c r="AN677" s="51"/>
      <c r="AO677" s="51" t="b">
        <f t="shared" si="463"/>
        <v>0</v>
      </c>
      <c r="AP677" s="51" t="str">
        <f t="shared" si="485"/>
        <v>Not in MMS</v>
      </c>
      <c r="AQ677" s="51" t="b">
        <f t="shared" si="464"/>
        <v>0</v>
      </c>
      <c r="AR677" s="51" t="b">
        <f t="shared" si="465"/>
        <v>0</v>
      </c>
      <c r="AS677" s="51" t="str">
        <f t="shared" si="466"/>
        <v/>
      </c>
      <c r="AT677" s="51" t="str">
        <f t="shared" si="467"/>
        <v/>
      </c>
      <c r="AU677" s="51" t="str">
        <f t="shared" si="468"/>
        <v/>
      </c>
      <c r="AV677" s="51" t="str">
        <f t="shared" si="469"/>
        <v/>
      </c>
      <c r="AW677" s="51" t="str">
        <f t="shared" si="470"/>
        <v/>
      </c>
      <c r="AX677" s="51" t="str">
        <f t="shared" si="471"/>
        <v/>
      </c>
      <c r="AY677" s="51" t="str">
        <f t="shared" si="472"/>
        <v/>
      </c>
      <c r="AZ677" s="51" t="str">
        <f t="shared" si="473"/>
        <v/>
      </c>
      <c r="BA677" s="51" t="str">
        <f t="shared" si="474"/>
        <v/>
      </c>
      <c r="BB677" s="51" t="str">
        <f t="shared" si="475"/>
        <v/>
      </c>
      <c r="BC677" s="51" t="str">
        <f t="shared" si="476"/>
        <v/>
      </c>
      <c r="BD677" s="51" t="str">
        <f t="shared" si="477"/>
        <v/>
      </c>
      <c r="BE677" s="51" t="str">
        <f t="shared" si="478"/>
        <v/>
      </c>
      <c r="BF677" s="51" t="str">
        <f t="shared" si="479"/>
        <v/>
      </c>
      <c r="BG677" s="51" t="str">
        <f t="shared" si="480"/>
        <v/>
      </c>
      <c r="BH677" s="51" t="b">
        <f t="shared" si="481"/>
        <v>0</v>
      </c>
      <c r="BI677" s="51" t="str">
        <f t="shared" si="482"/>
        <v/>
      </c>
      <c r="BJ677" s="51" t="str">
        <f t="shared" si="483"/>
        <v/>
      </c>
      <c r="BK677" s="51" t="b">
        <f t="shared" si="484"/>
        <v>0</v>
      </c>
      <c r="BL677" s="192"/>
    </row>
    <row r="678" spans="1:64" ht="13.5" thickBot="1" x14ac:dyDescent="0.25">
      <c r="A678" s="185" t="s">
        <v>1349</v>
      </c>
      <c r="B678" s="194" t="s">
        <v>695</v>
      </c>
      <c r="C678" s="194" t="s">
        <v>695</v>
      </c>
      <c r="D678" s="194" t="s">
        <v>695</v>
      </c>
      <c r="E678" s="193" t="s">
        <v>694</v>
      </c>
      <c r="F678" s="160" t="s">
        <v>20</v>
      </c>
      <c r="G678" s="161"/>
      <c r="H678" s="186" t="str">
        <f t="shared" si="442"/>
        <v>N/A</v>
      </c>
      <c r="I678" s="186" t="b">
        <f t="shared" si="443"/>
        <v>1</v>
      </c>
      <c r="J678" s="186" t="str">
        <f t="shared" si="444"/>
        <v>N/A</v>
      </c>
      <c r="K678" s="186" t="b">
        <f t="shared" si="445"/>
        <v>1</v>
      </c>
      <c r="L678" s="186" t="str">
        <f t="shared" si="446"/>
        <v>N/A</v>
      </c>
      <c r="M678" s="186" t="b">
        <f t="shared" si="447"/>
        <v>1</v>
      </c>
      <c r="N678" s="186" t="str">
        <f t="shared" si="448"/>
        <v>Used?</v>
      </c>
      <c r="O678" s="186" t="b">
        <f t="shared" si="449"/>
        <v>0</v>
      </c>
      <c r="P678" s="26" t="s">
        <v>696</v>
      </c>
      <c r="Q678" s="160" t="s">
        <v>20</v>
      </c>
      <c r="R678" s="160" t="s">
        <v>20</v>
      </c>
      <c r="S678" s="26" t="s">
        <v>697</v>
      </c>
      <c r="T678" s="165" t="str">
        <f t="shared" si="450"/>
        <v>Not Used</v>
      </c>
      <c r="U678" s="162"/>
      <c r="V678" s="55"/>
      <c r="W678" s="51" t="b">
        <f t="shared" si="451"/>
        <v>1</v>
      </c>
      <c r="X678" s="51" t="str">
        <f t="shared" si="452"/>
        <v>Not Used</v>
      </c>
      <c r="Y678" s="51" t="str">
        <f t="shared" si="453"/>
        <v>Not Used</v>
      </c>
      <c r="Z678" s="51" t="str">
        <f t="shared" si="454"/>
        <v>Not Used</v>
      </c>
      <c r="AA678" s="51" t="str">
        <f t="shared" si="454"/>
        <v>Not Used</v>
      </c>
      <c r="AB678" s="51" t="str">
        <f t="shared" si="455"/>
        <v>Not Used</v>
      </c>
      <c r="AC678" s="51" t="b">
        <f t="shared" si="456"/>
        <v>1</v>
      </c>
      <c r="AD678" s="51">
        <f>COUNTIF($X$5:$X$678, "Not Used")</f>
        <v>674</v>
      </c>
      <c r="AE678" s="51">
        <f>COUNTIF($X$5:$X$678, "TRUE")</f>
        <v>0</v>
      </c>
      <c r="AF678" s="51" t="b">
        <f t="shared" si="457"/>
        <v>1</v>
      </c>
      <c r="AI678" s="51" t="b">
        <f t="shared" si="458"/>
        <v>0</v>
      </c>
      <c r="AJ678" s="51" t="b">
        <f t="shared" si="459"/>
        <v>0</v>
      </c>
      <c r="AK678" s="51" t="b">
        <f t="shared" si="460"/>
        <v>0</v>
      </c>
      <c r="AL678" s="51" t="b">
        <f t="shared" si="461"/>
        <v>0</v>
      </c>
      <c r="AM678" s="51" t="b">
        <f t="shared" si="462"/>
        <v>0</v>
      </c>
      <c r="AN678" s="51"/>
      <c r="AO678" s="51" t="b">
        <f t="shared" si="463"/>
        <v>0</v>
      </c>
      <c r="AP678" s="51" t="str">
        <f t="shared" si="485"/>
        <v>Not in MMS</v>
      </c>
      <c r="AQ678" s="51" t="b">
        <f t="shared" si="464"/>
        <v>0</v>
      </c>
      <c r="AR678" s="51" t="b">
        <f t="shared" si="465"/>
        <v>0</v>
      </c>
      <c r="AS678" s="51" t="str">
        <f t="shared" si="466"/>
        <v/>
      </c>
      <c r="AT678" s="51" t="str">
        <f t="shared" si="467"/>
        <v/>
      </c>
      <c r="AU678" s="51" t="str">
        <f t="shared" si="468"/>
        <v/>
      </c>
      <c r="AV678" s="51" t="str">
        <f t="shared" si="469"/>
        <v/>
      </c>
      <c r="AW678" s="51" t="str">
        <f t="shared" si="470"/>
        <v/>
      </c>
      <c r="AX678" s="51" t="str">
        <f t="shared" si="471"/>
        <v/>
      </c>
      <c r="AY678" s="51" t="str">
        <f t="shared" si="472"/>
        <v/>
      </c>
      <c r="AZ678" s="51" t="str">
        <f t="shared" si="473"/>
        <v/>
      </c>
      <c r="BA678" s="51" t="str">
        <f t="shared" si="474"/>
        <v/>
      </c>
      <c r="BB678" s="51" t="str">
        <f t="shared" si="475"/>
        <v/>
      </c>
      <c r="BC678" s="51" t="str">
        <f t="shared" si="476"/>
        <v/>
      </c>
      <c r="BD678" s="51" t="str">
        <f t="shared" si="477"/>
        <v/>
      </c>
      <c r="BE678" s="51" t="str">
        <f t="shared" si="478"/>
        <v/>
      </c>
      <c r="BF678" s="51" t="str">
        <f t="shared" si="479"/>
        <v/>
      </c>
      <c r="BG678" s="51" t="str">
        <f t="shared" si="480"/>
        <v/>
      </c>
      <c r="BH678" s="51" t="b">
        <f t="shared" si="481"/>
        <v>0</v>
      </c>
      <c r="BI678" s="51" t="str">
        <f t="shared" si="482"/>
        <v/>
      </c>
      <c r="BJ678" s="51" t="str">
        <f t="shared" si="483"/>
        <v/>
      </c>
      <c r="BK678" s="51" t="b">
        <f t="shared" si="484"/>
        <v>0</v>
      </c>
      <c r="BL678" s="192"/>
    </row>
    <row r="679" spans="1:64" ht="13.5" thickBot="1" x14ac:dyDescent="0.25">
      <c r="A679" s="185" t="s">
        <v>1350</v>
      </c>
      <c r="B679" s="194" t="s">
        <v>695</v>
      </c>
      <c r="C679" s="194" t="s">
        <v>695</v>
      </c>
      <c r="D679" s="194" t="s">
        <v>695</v>
      </c>
      <c r="E679" s="193" t="s">
        <v>694</v>
      </c>
      <c r="F679" s="160" t="s">
        <v>20</v>
      </c>
      <c r="G679" s="161"/>
      <c r="H679" s="186" t="str">
        <f t="shared" si="442"/>
        <v>N/A</v>
      </c>
      <c r="I679" s="186" t="b">
        <f t="shared" si="443"/>
        <v>1</v>
      </c>
      <c r="J679" s="186" t="str">
        <f t="shared" si="444"/>
        <v>N/A</v>
      </c>
      <c r="K679" s="186" t="b">
        <f t="shared" si="445"/>
        <v>1</v>
      </c>
      <c r="L679" s="186" t="str">
        <f t="shared" si="446"/>
        <v>N/A</v>
      </c>
      <c r="M679" s="186" t="b">
        <f t="shared" si="447"/>
        <v>1</v>
      </c>
      <c r="N679" s="186" t="str">
        <f t="shared" si="448"/>
        <v>Used?</v>
      </c>
      <c r="O679" s="186" t="b">
        <f t="shared" si="449"/>
        <v>0</v>
      </c>
      <c r="P679" s="26" t="s">
        <v>696</v>
      </c>
      <c r="Q679" s="160" t="s">
        <v>20</v>
      </c>
      <c r="R679" s="160" t="s">
        <v>20</v>
      </c>
      <c r="S679" s="26" t="s">
        <v>697</v>
      </c>
      <c r="T679" s="165" t="str">
        <f t="shared" si="450"/>
        <v>Not Used</v>
      </c>
      <c r="U679" s="162"/>
      <c r="V679" s="55"/>
      <c r="W679" s="51" t="b">
        <f t="shared" si="451"/>
        <v>1</v>
      </c>
      <c r="X679" s="51" t="str">
        <f t="shared" si="452"/>
        <v>Not Used</v>
      </c>
      <c r="Y679" s="51" t="str">
        <f t="shared" si="453"/>
        <v>Not Used</v>
      </c>
      <c r="Z679" s="51" t="str">
        <f t="shared" si="454"/>
        <v>Not Used</v>
      </c>
      <c r="AA679" s="51" t="str">
        <f t="shared" si="454"/>
        <v>Not Used</v>
      </c>
      <c r="AB679" s="51" t="str">
        <f t="shared" si="455"/>
        <v>Not Used</v>
      </c>
      <c r="AC679" s="51" t="b">
        <f t="shared" si="456"/>
        <v>1</v>
      </c>
      <c r="AD679" s="51">
        <f>COUNTIF($X$5:$X$679, "Not Used")</f>
        <v>675</v>
      </c>
      <c r="AE679" s="51">
        <f>COUNTIF($X$5:$X$679, "TRUE")</f>
        <v>0</v>
      </c>
      <c r="AF679" s="51" t="b">
        <f t="shared" si="457"/>
        <v>1</v>
      </c>
      <c r="AI679" s="51" t="b">
        <f t="shared" si="458"/>
        <v>0</v>
      </c>
      <c r="AJ679" s="51" t="b">
        <f t="shared" si="459"/>
        <v>0</v>
      </c>
      <c r="AK679" s="51" t="b">
        <f t="shared" si="460"/>
        <v>0</v>
      </c>
      <c r="AL679" s="51" t="b">
        <f t="shared" si="461"/>
        <v>0</v>
      </c>
      <c r="AM679" s="51" t="b">
        <f t="shared" si="462"/>
        <v>0</v>
      </c>
      <c r="AN679" s="51"/>
      <c r="AO679" s="51" t="b">
        <f t="shared" si="463"/>
        <v>0</v>
      </c>
      <c r="AP679" s="51" t="str">
        <f t="shared" si="485"/>
        <v>Not in MMS</v>
      </c>
      <c r="AQ679" s="51" t="b">
        <f t="shared" si="464"/>
        <v>0</v>
      </c>
      <c r="AR679" s="51" t="b">
        <f t="shared" si="465"/>
        <v>0</v>
      </c>
      <c r="AS679" s="51" t="str">
        <f t="shared" si="466"/>
        <v/>
      </c>
      <c r="AT679" s="51" t="str">
        <f t="shared" si="467"/>
        <v/>
      </c>
      <c r="AU679" s="51" t="str">
        <f t="shared" si="468"/>
        <v/>
      </c>
      <c r="AV679" s="51" t="str">
        <f t="shared" si="469"/>
        <v/>
      </c>
      <c r="AW679" s="51" t="str">
        <f t="shared" si="470"/>
        <v/>
      </c>
      <c r="AX679" s="51" t="str">
        <f t="shared" si="471"/>
        <v/>
      </c>
      <c r="AY679" s="51" t="str">
        <f t="shared" si="472"/>
        <v/>
      </c>
      <c r="AZ679" s="51" t="str">
        <f t="shared" si="473"/>
        <v/>
      </c>
      <c r="BA679" s="51" t="str">
        <f t="shared" si="474"/>
        <v/>
      </c>
      <c r="BB679" s="51" t="str">
        <f t="shared" si="475"/>
        <v/>
      </c>
      <c r="BC679" s="51" t="str">
        <f t="shared" si="476"/>
        <v/>
      </c>
      <c r="BD679" s="51" t="str">
        <f t="shared" si="477"/>
        <v/>
      </c>
      <c r="BE679" s="51" t="str">
        <f t="shared" si="478"/>
        <v/>
      </c>
      <c r="BF679" s="51" t="str">
        <f t="shared" si="479"/>
        <v/>
      </c>
      <c r="BG679" s="51" t="str">
        <f t="shared" si="480"/>
        <v/>
      </c>
      <c r="BH679" s="51" t="b">
        <f t="shared" si="481"/>
        <v>0</v>
      </c>
      <c r="BI679" s="51" t="str">
        <f t="shared" si="482"/>
        <v/>
      </c>
      <c r="BJ679" s="51" t="str">
        <f t="shared" si="483"/>
        <v/>
      </c>
      <c r="BK679" s="51" t="b">
        <f t="shared" si="484"/>
        <v>0</v>
      </c>
      <c r="BL679" s="192"/>
    </row>
    <row r="680" spans="1:64" ht="13.5" thickBot="1" x14ac:dyDescent="0.25">
      <c r="A680" s="185" t="s">
        <v>1351</v>
      </c>
      <c r="B680" s="194" t="s">
        <v>695</v>
      </c>
      <c r="C680" s="194" t="s">
        <v>695</v>
      </c>
      <c r="D680" s="194" t="s">
        <v>695</v>
      </c>
      <c r="E680" s="193" t="s">
        <v>694</v>
      </c>
      <c r="F680" s="160" t="s">
        <v>20</v>
      </c>
      <c r="G680" s="161"/>
      <c r="H680" s="186" t="str">
        <f t="shared" si="442"/>
        <v>N/A</v>
      </c>
      <c r="I680" s="186" t="b">
        <f t="shared" si="443"/>
        <v>1</v>
      </c>
      <c r="J680" s="186" t="str">
        <f t="shared" si="444"/>
        <v>N/A</v>
      </c>
      <c r="K680" s="186" t="b">
        <f t="shared" si="445"/>
        <v>1</v>
      </c>
      <c r="L680" s="186" t="str">
        <f t="shared" si="446"/>
        <v>N/A</v>
      </c>
      <c r="M680" s="186" t="b">
        <f t="shared" si="447"/>
        <v>1</v>
      </c>
      <c r="N680" s="186" t="str">
        <f t="shared" si="448"/>
        <v>Used?</v>
      </c>
      <c r="O680" s="186" t="b">
        <f t="shared" si="449"/>
        <v>0</v>
      </c>
      <c r="P680" s="26" t="s">
        <v>696</v>
      </c>
      <c r="Q680" s="160" t="s">
        <v>20</v>
      </c>
      <c r="R680" s="160" t="s">
        <v>20</v>
      </c>
      <c r="S680" s="26" t="s">
        <v>697</v>
      </c>
      <c r="T680" s="165" t="str">
        <f t="shared" si="450"/>
        <v>Not Used</v>
      </c>
      <c r="U680" s="162"/>
      <c r="V680" s="55"/>
      <c r="W680" s="51" t="b">
        <f t="shared" si="451"/>
        <v>1</v>
      </c>
      <c r="X680" s="51" t="str">
        <f t="shared" si="452"/>
        <v>Not Used</v>
      </c>
      <c r="Y680" s="51" t="str">
        <f t="shared" si="453"/>
        <v>Not Used</v>
      </c>
      <c r="Z680" s="51" t="str">
        <f t="shared" si="454"/>
        <v>Not Used</v>
      </c>
      <c r="AA680" s="51" t="str">
        <f t="shared" si="454"/>
        <v>Not Used</v>
      </c>
      <c r="AB680" s="51" t="str">
        <f t="shared" si="455"/>
        <v>Not Used</v>
      </c>
      <c r="AC680" s="51" t="b">
        <f t="shared" si="456"/>
        <v>1</v>
      </c>
      <c r="AD680" s="51">
        <f>COUNTIF($X$5:$X$680, "Not Used")</f>
        <v>676</v>
      </c>
      <c r="AE680" s="51">
        <f>COUNTIF($X$5:$X$680, "TRUE")</f>
        <v>0</v>
      </c>
      <c r="AF680" s="51" t="b">
        <f t="shared" si="457"/>
        <v>1</v>
      </c>
      <c r="AI680" s="51" t="b">
        <f t="shared" si="458"/>
        <v>0</v>
      </c>
      <c r="AJ680" s="51" t="b">
        <f t="shared" si="459"/>
        <v>0</v>
      </c>
      <c r="AK680" s="51" t="b">
        <f t="shared" si="460"/>
        <v>0</v>
      </c>
      <c r="AL680" s="51" t="b">
        <f t="shared" si="461"/>
        <v>0</v>
      </c>
      <c r="AM680" s="51" t="b">
        <f t="shared" si="462"/>
        <v>0</v>
      </c>
      <c r="AN680" s="51"/>
      <c r="AO680" s="51" t="b">
        <f t="shared" si="463"/>
        <v>0</v>
      </c>
      <c r="AP680" s="51" t="str">
        <f t="shared" si="485"/>
        <v>Not in MMS</v>
      </c>
      <c r="AQ680" s="51" t="b">
        <f t="shared" si="464"/>
        <v>0</v>
      </c>
      <c r="AR680" s="51" t="b">
        <f t="shared" si="465"/>
        <v>0</v>
      </c>
      <c r="AS680" s="51" t="str">
        <f t="shared" si="466"/>
        <v/>
      </c>
      <c r="AT680" s="51" t="str">
        <f t="shared" si="467"/>
        <v/>
      </c>
      <c r="AU680" s="51" t="str">
        <f t="shared" si="468"/>
        <v/>
      </c>
      <c r="AV680" s="51" t="str">
        <f t="shared" si="469"/>
        <v/>
      </c>
      <c r="AW680" s="51" t="str">
        <f t="shared" si="470"/>
        <v/>
      </c>
      <c r="AX680" s="51" t="str">
        <f t="shared" si="471"/>
        <v/>
      </c>
      <c r="AY680" s="51" t="str">
        <f t="shared" si="472"/>
        <v/>
      </c>
      <c r="AZ680" s="51" t="str">
        <f t="shared" si="473"/>
        <v/>
      </c>
      <c r="BA680" s="51" t="str">
        <f t="shared" si="474"/>
        <v/>
      </c>
      <c r="BB680" s="51" t="str">
        <f t="shared" si="475"/>
        <v/>
      </c>
      <c r="BC680" s="51" t="str">
        <f t="shared" si="476"/>
        <v/>
      </c>
      <c r="BD680" s="51" t="str">
        <f t="shared" si="477"/>
        <v/>
      </c>
      <c r="BE680" s="51" t="str">
        <f t="shared" si="478"/>
        <v/>
      </c>
      <c r="BF680" s="51" t="str">
        <f t="shared" si="479"/>
        <v/>
      </c>
      <c r="BG680" s="51" t="str">
        <f t="shared" si="480"/>
        <v/>
      </c>
      <c r="BH680" s="51" t="b">
        <f t="shared" si="481"/>
        <v>0</v>
      </c>
      <c r="BI680" s="51" t="str">
        <f t="shared" si="482"/>
        <v/>
      </c>
      <c r="BJ680" s="51" t="str">
        <f t="shared" si="483"/>
        <v/>
      </c>
      <c r="BK680" s="51" t="b">
        <f t="shared" si="484"/>
        <v>0</v>
      </c>
      <c r="BL680" s="192"/>
    </row>
    <row r="681" spans="1:64" ht="13.5" thickBot="1" x14ac:dyDescent="0.25">
      <c r="A681" s="185" t="s">
        <v>1352</v>
      </c>
      <c r="B681" s="194" t="s">
        <v>695</v>
      </c>
      <c r="C681" s="194" t="s">
        <v>695</v>
      </c>
      <c r="D681" s="194" t="s">
        <v>695</v>
      </c>
      <c r="E681" s="193" t="s">
        <v>694</v>
      </c>
      <c r="F681" s="160" t="s">
        <v>20</v>
      </c>
      <c r="G681" s="161"/>
      <c r="H681" s="186" t="str">
        <f t="shared" si="442"/>
        <v>N/A</v>
      </c>
      <c r="I681" s="186" t="b">
        <f t="shared" si="443"/>
        <v>1</v>
      </c>
      <c r="J681" s="186" t="str">
        <f t="shared" si="444"/>
        <v>N/A</v>
      </c>
      <c r="K681" s="186" t="b">
        <f t="shared" si="445"/>
        <v>1</v>
      </c>
      <c r="L681" s="186" t="str">
        <f t="shared" si="446"/>
        <v>N/A</v>
      </c>
      <c r="M681" s="186" t="b">
        <f t="shared" si="447"/>
        <v>1</v>
      </c>
      <c r="N681" s="186" t="str">
        <f t="shared" si="448"/>
        <v>Used?</v>
      </c>
      <c r="O681" s="186" t="b">
        <f t="shared" si="449"/>
        <v>0</v>
      </c>
      <c r="P681" s="26" t="s">
        <v>696</v>
      </c>
      <c r="Q681" s="160" t="s">
        <v>20</v>
      </c>
      <c r="R681" s="160" t="s">
        <v>20</v>
      </c>
      <c r="S681" s="26" t="s">
        <v>697</v>
      </c>
      <c r="T681" s="165" t="str">
        <f t="shared" si="450"/>
        <v>Not Used</v>
      </c>
      <c r="U681" s="162"/>
      <c r="V681" s="55"/>
      <c r="W681" s="51" t="b">
        <f t="shared" si="451"/>
        <v>1</v>
      </c>
      <c r="X681" s="51" t="str">
        <f t="shared" si="452"/>
        <v>Not Used</v>
      </c>
      <c r="Y681" s="51" t="str">
        <f t="shared" si="453"/>
        <v>Not Used</v>
      </c>
      <c r="Z681" s="51" t="str">
        <f t="shared" si="454"/>
        <v>Not Used</v>
      </c>
      <c r="AA681" s="51" t="str">
        <f t="shared" si="454"/>
        <v>Not Used</v>
      </c>
      <c r="AB681" s="51" t="str">
        <f t="shared" si="455"/>
        <v>Not Used</v>
      </c>
      <c r="AC681" s="51" t="b">
        <f t="shared" si="456"/>
        <v>1</v>
      </c>
      <c r="AD681" s="51">
        <f>COUNTIF($X$5:$X$681, "Not Used")</f>
        <v>677</v>
      </c>
      <c r="AE681" s="51">
        <f>COUNTIF($X$5:$X$681, "TRUE")</f>
        <v>0</v>
      </c>
      <c r="AF681" s="51" t="b">
        <f t="shared" si="457"/>
        <v>1</v>
      </c>
      <c r="AI681" s="51" t="b">
        <f t="shared" si="458"/>
        <v>0</v>
      </c>
      <c r="AJ681" s="51" t="b">
        <f t="shared" si="459"/>
        <v>0</v>
      </c>
      <c r="AK681" s="51" t="b">
        <f t="shared" si="460"/>
        <v>0</v>
      </c>
      <c r="AL681" s="51" t="b">
        <f t="shared" si="461"/>
        <v>0</v>
      </c>
      <c r="AM681" s="51" t="b">
        <f t="shared" si="462"/>
        <v>0</v>
      </c>
      <c r="AN681" s="51"/>
      <c r="AO681" s="51" t="b">
        <f t="shared" si="463"/>
        <v>0</v>
      </c>
      <c r="AP681" s="51" t="str">
        <f t="shared" si="485"/>
        <v>Not in MMS</v>
      </c>
      <c r="AQ681" s="51" t="b">
        <f t="shared" si="464"/>
        <v>0</v>
      </c>
      <c r="AR681" s="51" t="b">
        <f t="shared" si="465"/>
        <v>0</v>
      </c>
      <c r="AS681" s="51" t="str">
        <f t="shared" si="466"/>
        <v/>
      </c>
      <c r="AT681" s="51" t="str">
        <f t="shared" si="467"/>
        <v/>
      </c>
      <c r="AU681" s="51" t="str">
        <f t="shared" si="468"/>
        <v/>
      </c>
      <c r="AV681" s="51" t="str">
        <f t="shared" si="469"/>
        <v/>
      </c>
      <c r="AW681" s="51" t="str">
        <f t="shared" si="470"/>
        <v/>
      </c>
      <c r="AX681" s="51" t="str">
        <f t="shared" si="471"/>
        <v/>
      </c>
      <c r="AY681" s="51" t="str">
        <f t="shared" si="472"/>
        <v/>
      </c>
      <c r="AZ681" s="51" t="str">
        <f t="shared" si="473"/>
        <v/>
      </c>
      <c r="BA681" s="51" t="str">
        <f t="shared" si="474"/>
        <v/>
      </c>
      <c r="BB681" s="51" t="str">
        <f t="shared" si="475"/>
        <v/>
      </c>
      <c r="BC681" s="51" t="str">
        <f t="shared" si="476"/>
        <v/>
      </c>
      <c r="BD681" s="51" t="str">
        <f t="shared" si="477"/>
        <v/>
      </c>
      <c r="BE681" s="51" t="str">
        <f t="shared" si="478"/>
        <v/>
      </c>
      <c r="BF681" s="51" t="str">
        <f t="shared" si="479"/>
        <v/>
      </c>
      <c r="BG681" s="51" t="str">
        <f t="shared" si="480"/>
        <v/>
      </c>
      <c r="BH681" s="51" t="b">
        <f t="shared" si="481"/>
        <v>0</v>
      </c>
      <c r="BI681" s="51" t="str">
        <f t="shared" si="482"/>
        <v/>
      </c>
      <c r="BJ681" s="51" t="str">
        <f t="shared" si="483"/>
        <v/>
      </c>
      <c r="BK681" s="51" t="b">
        <f t="shared" si="484"/>
        <v>0</v>
      </c>
      <c r="BL681" s="192"/>
    </row>
    <row r="682" spans="1:64" ht="13.5" thickBot="1" x14ac:dyDescent="0.25">
      <c r="A682" s="185" t="s">
        <v>1353</v>
      </c>
      <c r="B682" s="194" t="s">
        <v>695</v>
      </c>
      <c r="C682" s="194" t="s">
        <v>695</v>
      </c>
      <c r="D682" s="194" t="s">
        <v>695</v>
      </c>
      <c r="E682" s="193" t="s">
        <v>694</v>
      </c>
      <c r="F682" s="160" t="s">
        <v>20</v>
      </c>
      <c r="G682" s="161"/>
      <c r="H682" s="186" t="str">
        <f t="shared" si="442"/>
        <v>N/A</v>
      </c>
      <c r="I682" s="186" t="b">
        <f t="shared" si="443"/>
        <v>1</v>
      </c>
      <c r="J682" s="186" t="str">
        <f t="shared" si="444"/>
        <v>N/A</v>
      </c>
      <c r="K682" s="186" t="b">
        <f t="shared" si="445"/>
        <v>1</v>
      </c>
      <c r="L682" s="186" t="str">
        <f t="shared" si="446"/>
        <v>N/A</v>
      </c>
      <c r="M682" s="186" t="b">
        <f t="shared" si="447"/>
        <v>1</v>
      </c>
      <c r="N682" s="186" t="str">
        <f t="shared" si="448"/>
        <v>Used?</v>
      </c>
      <c r="O682" s="186" t="b">
        <f t="shared" si="449"/>
        <v>0</v>
      </c>
      <c r="P682" s="26" t="s">
        <v>696</v>
      </c>
      <c r="Q682" s="160" t="s">
        <v>20</v>
      </c>
      <c r="R682" s="160" t="s">
        <v>20</v>
      </c>
      <c r="S682" s="26" t="s">
        <v>697</v>
      </c>
      <c r="T682" s="165" t="str">
        <f t="shared" si="450"/>
        <v>Not Used</v>
      </c>
      <c r="U682" s="162"/>
      <c r="V682" s="55"/>
      <c r="W682" s="51" t="b">
        <f t="shared" si="451"/>
        <v>1</v>
      </c>
      <c r="X682" s="51" t="str">
        <f t="shared" si="452"/>
        <v>Not Used</v>
      </c>
      <c r="Y682" s="51" t="str">
        <f t="shared" si="453"/>
        <v>Not Used</v>
      </c>
      <c r="Z682" s="51" t="str">
        <f t="shared" si="454"/>
        <v>Not Used</v>
      </c>
      <c r="AA682" s="51" t="str">
        <f t="shared" si="454"/>
        <v>Not Used</v>
      </c>
      <c r="AB682" s="51" t="str">
        <f t="shared" si="455"/>
        <v>Not Used</v>
      </c>
      <c r="AC682" s="51" t="b">
        <f t="shared" si="456"/>
        <v>1</v>
      </c>
      <c r="AD682" s="51">
        <f>COUNTIF($X$5:$X$682, "Not Used")</f>
        <v>678</v>
      </c>
      <c r="AE682" s="51">
        <f>COUNTIF($X$5:$X$682, "TRUE")</f>
        <v>0</v>
      </c>
      <c r="AF682" s="51" t="b">
        <f t="shared" si="457"/>
        <v>1</v>
      </c>
      <c r="AI682" s="51" t="b">
        <f t="shared" si="458"/>
        <v>0</v>
      </c>
      <c r="AJ682" s="51" t="b">
        <f t="shared" si="459"/>
        <v>0</v>
      </c>
      <c r="AK682" s="51" t="b">
        <f t="shared" si="460"/>
        <v>0</v>
      </c>
      <c r="AL682" s="51" t="b">
        <f t="shared" si="461"/>
        <v>0</v>
      </c>
      <c r="AM682" s="51" t="b">
        <f t="shared" si="462"/>
        <v>0</v>
      </c>
      <c r="AN682" s="51"/>
      <c r="AO682" s="51" t="b">
        <f t="shared" si="463"/>
        <v>0</v>
      </c>
      <c r="AP682" s="51" t="str">
        <f t="shared" si="485"/>
        <v>Not in MMS</v>
      </c>
      <c r="AQ682" s="51" t="b">
        <f t="shared" si="464"/>
        <v>0</v>
      </c>
      <c r="AR682" s="51" t="b">
        <f t="shared" si="465"/>
        <v>0</v>
      </c>
      <c r="AS682" s="51" t="str">
        <f t="shared" si="466"/>
        <v/>
      </c>
      <c r="AT682" s="51" t="str">
        <f t="shared" si="467"/>
        <v/>
      </c>
      <c r="AU682" s="51" t="str">
        <f t="shared" si="468"/>
        <v/>
      </c>
      <c r="AV682" s="51" t="str">
        <f t="shared" si="469"/>
        <v/>
      </c>
      <c r="AW682" s="51" t="str">
        <f t="shared" si="470"/>
        <v/>
      </c>
      <c r="AX682" s="51" t="str">
        <f t="shared" si="471"/>
        <v/>
      </c>
      <c r="AY682" s="51" t="str">
        <f t="shared" si="472"/>
        <v/>
      </c>
      <c r="AZ682" s="51" t="str">
        <f t="shared" si="473"/>
        <v/>
      </c>
      <c r="BA682" s="51" t="str">
        <f t="shared" si="474"/>
        <v/>
      </c>
      <c r="BB682" s="51" t="str">
        <f t="shared" si="475"/>
        <v/>
      </c>
      <c r="BC682" s="51" t="str">
        <f t="shared" si="476"/>
        <v/>
      </c>
      <c r="BD682" s="51" t="str">
        <f t="shared" si="477"/>
        <v/>
      </c>
      <c r="BE682" s="51" t="str">
        <f t="shared" si="478"/>
        <v/>
      </c>
      <c r="BF682" s="51" t="str">
        <f t="shared" si="479"/>
        <v/>
      </c>
      <c r="BG682" s="51" t="str">
        <f t="shared" si="480"/>
        <v/>
      </c>
      <c r="BH682" s="51" t="b">
        <f t="shared" si="481"/>
        <v>0</v>
      </c>
      <c r="BI682" s="51" t="str">
        <f t="shared" si="482"/>
        <v/>
      </c>
      <c r="BJ682" s="51" t="str">
        <f t="shared" si="483"/>
        <v/>
      </c>
      <c r="BK682" s="51" t="b">
        <f t="shared" si="484"/>
        <v>0</v>
      </c>
      <c r="BL682" s="192"/>
    </row>
    <row r="683" spans="1:64" ht="13.5" thickBot="1" x14ac:dyDescent="0.25">
      <c r="A683" s="185" t="s">
        <v>1354</v>
      </c>
      <c r="B683" s="194" t="s">
        <v>695</v>
      </c>
      <c r="C683" s="194" t="s">
        <v>695</v>
      </c>
      <c r="D683" s="194" t="s">
        <v>695</v>
      </c>
      <c r="E683" s="193" t="s">
        <v>694</v>
      </c>
      <c r="F683" s="160" t="s">
        <v>20</v>
      </c>
      <c r="G683" s="161"/>
      <c r="H683" s="186" t="str">
        <f t="shared" si="442"/>
        <v>N/A</v>
      </c>
      <c r="I683" s="186" t="b">
        <f t="shared" si="443"/>
        <v>1</v>
      </c>
      <c r="J683" s="186" t="str">
        <f t="shared" si="444"/>
        <v>N/A</v>
      </c>
      <c r="K683" s="186" t="b">
        <f t="shared" si="445"/>
        <v>1</v>
      </c>
      <c r="L683" s="186" t="str">
        <f t="shared" si="446"/>
        <v>N/A</v>
      </c>
      <c r="M683" s="186" t="b">
        <f t="shared" si="447"/>
        <v>1</v>
      </c>
      <c r="N683" s="186" t="str">
        <f t="shared" si="448"/>
        <v>Used?</v>
      </c>
      <c r="O683" s="186" t="b">
        <f t="shared" si="449"/>
        <v>0</v>
      </c>
      <c r="P683" s="26" t="s">
        <v>696</v>
      </c>
      <c r="Q683" s="160" t="s">
        <v>20</v>
      </c>
      <c r="R683" s="160" t="s">
        <v>20</v>
      </c>
      <c r="S683" s="26" t="s">
        <v>697</v>
      </c>
      <c r="T683" s="165" t="str">
        <f t="shared" si="450"/>
        <v>Not Used</v>
      </c>
      <c r="U683" s="162"/>
      <c r="V683" s="55"/>
      <c r="W683" s="51" t="b">
        <f t="shared" si="451"/>
        <v>1</v>
      </c>
      <c r="X683" s="51" t="str">
        <f t="shared" si="452"/>
        <v>Not Used</v>
      </c>
      <c r="Y683" s="51" t="str">
        <f t="shared" si="453"/>
        <v>Not Used</v>
      </c>
      <c r="Z683" s="51" t="str">
        <f t="shared" si="454"/>
        <v>Not Used</v>
      </c>
      <c r="AA683" s="51" t="str">
        <f t="shared" si="454"/>
        <v>Not Used</v>
      </c>
      <c r="AB683" s="51" t="str">
        <f t="shared" si="455"/>
        <v>Not Used</v>
      </c>
      <c r="AC683" s="51" t="b">
        <f t="shared" si="456"/>
        <v>1</v>
      </c>
      <c r="AD683" s="51">
        <f>COUNTIF($X$5:$X$683, "Not Used")</f>
        <v>679</v>
      </c>
      <c r="AE683" s="51">
        <f>COUNTIF($X$5:$X$683, "TRUE")</f>
        <v>0</v>
      </c>
      <c r="AF683" s="51" t="b">
        <f t="shared" si="457"/>
        <v>1</v>
      </c>
      <c r="AI683" s="51" t="b">
        <f t="shared" si="458"/>
        <v>0</v>
      </c>
      <c r="AJ683" s="51" t="b">
        <f t="shared" si="459"/>
        <v>0</v>
      </c>
      <c r="AK683" s="51" t="b">
        <f t="shared" si="460"/>
        <v>0</v>
      </c>
      <c r="AL683" s="51" t="b">
        <f t="shared" si="461"/>
        <v>0</v>
      </c>
      <c r="AM683" s="51" t="b">
        <f t="shared" si="462"/>
        <v>0</v>
      </c>
      <c r="AN683" s="51"/>
      <c r="AO683" s="51" t="b">
        <f t="shared" si="463"/>
        <v>0</v>
      </c>
      <c r="AP683" s="51" t="str">
        <f t="shared" si="485"/>
        <v>Not in MMS</v>
      </c>
      <c r="AQ683" s="51" t="b">
        <f t="shared" si="464"/>
        <v>0</v>
      </c>
      <c r="AR683" s="51" t="b">
        <f t="shared" si="465"/>
        <v>0</v>
      </c>
      <c r="AS683" s="51" t="str">
        <f t="shared" si="466"/>
        <v/>
      </c>
      <c r="AT683" s="51" t="str">
        <f t="shared" si="467"/>
        <v/>
      </c>
      <c r="AU683" s="51" t="str">
        <f t="shared" si="468"/>
        <v/>
      </c>
      <c r="AV683" s="51" t="str">
        <f t="shared" si="469"/>
        <v/>
      </c>
      <c r="AW683" s="51" t="str">
        <f t="shared" si="470"/>
        <v/>
      </c>
      <c r="AX683" s="51" t="str">
        <f t="shared" si="471"/>
        <v/>
      </c>
      <c r="AY683" s="51" t="str">
        <f t="shared" si="472"/>
        <v/>
      </c>
      <c r="AZ683" s="51" t="str">
        <f t="shared" si="473"/>
        <v/>
      </c>
      <c r="BA683" s="51" t="str">
        <f t="shared" si="474"/>
        <v/>
      </c>
      <c r="BB683" s="51" t="str">
        <f t="shared" si="475"/>
        <v/>
      </c>
      <c r="BC683" s="51" t="str">
        <f t="shared" si="476"/>
        <v/>
      </c>
      <c r="BD683" s="51" t="str">
        <f t="shared" si="477"/>
        <v/>
      </c>
      <c r="BE683" s="51" t="str">
        <f t="shared" si="478"/>
        <v/>
      </c>
      <c r="BF683" s="51" t="str">
        <f t="shared" si="479"/>
        <v/>
      </c>
      <c r="BG683" s="51" t="str">
        <f t="shared" si="480"/>
        <v/>
      </c>
      <c r="BH683" s="51" t="b">
        <f t="shared" si="481"/>
        <v>0</v>
      </c>
      <c r="BI683" s="51" t="str">
        <f t="shared" si="482"/>
        <v/>
      </c>
      <c r="BJ683" s="51" t="str">
        <f t="shared" si="483"/>
        <v/>
      </c>
      <c r="BK683" s="51" t="b">
        <f t="shared" si="484"/>
        <v>0</v>
      </c>
      <c r="BL683" s="192"/>
    </row>
    <row r="684" spans="1:64" ht="13.5" thickBot="1" x14ac:dyDescent="0.25">
      <c r="A684" s="185" t="s">
        <v>1355</v>
      </c>
      <c r="B684" s="194" t="s">
        <v>695</v>
      </c>
      <c r="C684" s="194" t="s">
        <v>695</v>
      </c>
      <c r="D684" s="194" t="s">
        <v>695</v>
      </c>
      <c r="E684" s="193" t="s">
        <v>694</v>
      </c>
      <c r="F684" s="160" t="s">
        <v>20</v>
      </c>
      <c r="G684" s="161"/>
      <c r="H684" s="186" t="str">
        <f t="shared" si="442"/>
        <v>N/A</v>
      </c>
      <c r="I684" s="186" t="b">
        <f t="shared" si="443"/>
        <v>1</v>
      </c>
      <c r="J684" s="186" t="str">
        <f t="shared" si="444"/>
        <v>N/A</v>
      </c>
      <c r="K684" s="186" t="b">
        <f t="shared" si="445"/>
        <v>1</v>
      </c>
      <c r="L684" s="186" t="str">
        <f t="shared" si="446"/>
        <v>N/A</v>
      </c>
      <c r="M684" s="186" t="b">
        <f t="shared" si="447"/>
        <v>1</v>
      </c>
      <c r="N684" s="186" t="str">
        <f t="shared" si="448"/>
        <v>Used?</v>
      </c>
      <c r="O684" s="186" t="b">
        <f t="shared" si="449"/>
        <v>0</v>
      </c>
      <c r="P684" s="26" t="s">
        <v>696</v>
      </c>
      <c r="Q684" s="160" t="s">
        <v>20</v>
      </c>
      <c r="R684" s="160" t="s">
        <v>20</v>
      </c>
      <c r="S684" s="26" t="s">
        <v>697</v>
      </c>
      <c r="T684" s="165" t="str">
        <f t="shared" si="450"/>
        <v>Not Used</v>
      </c>
      <c r="U684" s="162"/>
      <c r="V684" s="55"/>
      <c r="W684" s="51" t="b">
        <f t="shared" si="451"/>
        <v>1</v>
      </c>
      <c r="X684" s="51" t="str">
        <f t="shared" si="452"/>
        <v>Not Used</v>
      </c>
      <c r="Y684" s="51" t="str">
        <f t="shared" si="453"/>
        <v>Not Used</v>
      </c>
      <c r="Z684" s="51" t="str">
        <f t="shared" si="454"/>
        <v>Not Used</v>
      </c>
      <c r="AA684" s="51" t="str">
        <f t="shared" si="454"/>
        <v>Not Used</v>
      </c>
      <c r="AB684" s="51" t="str">
        <f t="shared" si="455"/>
        <v>Not Used</v>
      </c>
      <c r="AC684" s="51" t="b">
        <f t="shared" si="456"/>
        <v>1</v>
      </c>
      <c r="AD684" s="51">
        <f>COUNTIF($X$5:$X$684, "Not Used")</f>
        <v>680</v>
      </c>
      <c r="AE684" s="51">
        <f>COUNTIF($X$5:$X$684, "TRUE")</f>
        <v>0</v>
      </c>
      <c r="AF684" s="51" t="b">
        <f t="shared" si="457"/>
        <v>1</v>
      </c>
      <c r="AI684" s="51" t="b">
        <f t="shared" si="458"/>
        <v>0</v>
      </c>
      <c r="AJ684" s="51" t="b">
        <f t="shared" si="459"/>
        <v>0</v>
      </c>
      <c r="AK684" s="51" t="b">
        <f t="shared" si="460"/>
        <v>0</v>
      </c>
      <c r="AL684" s="51" t="b">
        <f t="shared" si="461"/>
        <v>0</v>
      </c>
      <c r="AM684" s="51" t="b">
        <f t="shared" si="462"/>
        <v>0</v>
      </c>
      <c r="AN684" s="51"/>
      <c r="AO684" s="51" t="b">
        <f t="shared" si="463"/>
        <v>0</v>
      </c>
      <c r="AP684" s="51" t="str">
        <f t="shared" si="485"/>
        <v>Not in MMS</v>
      </c>
      <c r="AQ684" s="51" t="b">
        <f t="shared" si="464"/>
        <v>0</v>
      </c>
      <c r="AR684" s="51" t="b">
        <f t="shared" si="465"/>
        <v>0</v>
      </c>
      <c r="AS684" s="51" t="str">
        <f t="shared" si="466"/>
        <v/>
      </c>
      <c r="AT684" s="51" t="str">
        <f t="shared" si="467"/>
        <v/>
      </c>
      <c r="AU684" s="51" t="str">
        <f t="shared" si="468"/>
        <v/>
      </c>
      <c r="AV684" s="51" t="str">
        <f t="shared" si="469"/>
        <v/>
      </c>
      <c r="AW684" s="51" t="str">
        <f t="shared" si="470"/>
        <v/>
      </c>
      <c r="AX684" s="51" t="str">
        <f t="shared" si="471"/>
        <v/>
      </c>
      <c r="AY684" s="51" t="str">
        <f t="shared" si="472"/>
        <v/>
      </c>
      <c r="AZ684" s="51" t="str">
        <f t="shared" si="473"/>
        <v/>
      </c>
      <c r="BA684" s="51" t="str">
        <f t="shared" si="474"/>
        <v/>
      </c>
      <c r="BB684" s="51" t="str">
        <f t="shared" si="475"/>
        <v/>
      </c>
      <c r="BC684" s="51" t="str">
        <f t="shared" si="476"/>
        <v/>
      </c>
      <c r="BD684" s="51" t="str">
        <f t="shared" si="477"/>
        <v/>
      </c>
      <c r="BE684" s="51" t="str">
        <f t="shared" si="478"/>
        <v/>
      </c>
      <c r="BF684" s="51" t="str">
        <f t="shared" si="479"/>
        <v/>
      </c>
      <c r="BG684" s="51" t="str">
        <f t="shared" si="480"/>
        <v/>
      </c>
      <c r="BH684" s="51" t="b">
        <f t="shared" si="481"/>
        <v>0</v>
      </c>
      <c r="BI684" s="51" t="str">
        <f t="shared" si="482"/>
        <v/>
      </c>
      <c r="BJ684" s="51" t="str">
        <f t="shared" si="483"/>
        <v/>
      </c>
      <c r="BK684" s="51" t="b">
        <f t="shared" si="484"/>
        <v>0</v>
      </c>
      <c r="BL684" s="192"/>
    </row>
    <row r="685" spans="1:64" ht="13.5" thickBot="1" x14ac:dyDescent="0.25">
      <c r="A685" s="185" t="s">
        <v>1356</v>
      </c>
      <c r="B685" s="194" t="s">
        <v>695</v>
      </c>
      <c r="C685" s="194" t="s">
        <v>695</v>
      </c>
      <c r="D685" s="194" t="s">
        <v>695</v>
      </c>
      <c r="E685" s="193" t="s">
        <v>694</v>
      </c>
      <c r="F685" s="160" t="s">
        <v>20</v>
      </c>
      <c r="G685" s="161"/>
      <c r="H685" s="186" t="str">
        <f t="shared" si="442"/>
        <v>N/A</v>
      </c>
      <c r="I685" s="186" t="b">
        <f t="shared" si="443"/>
        <v>1</v>
      </c>
      <c r="J685" s="186" t="str">
        <f t="shared" si="444"/>
        <v>N/A</v>
      </c>
      <c r="K685" s="186" t="b">
        <f t="shared" si="445"/>
        <v>1</v>
      </c>
      <c r="L685" s="186" t="str">
        <f t="shared" si="446"/>
        <v>N/A</v>
      </c>
      <c r="M685" s="186" t="b">
        <f t="shared" si="447"/>
        <v>1</v>
      </c>
      <c r="N685" s="186" t="str">
        <f t="shared" si="448"/>
        <v>Used?</v>
      </c>
      <c r="O685" s="186" t="b">
        <f t="shared" si="449"/>
        <v>0</v>
      </c>
      <c r="P685" s="26" t="s">
        <v>696</v>
      </c>
      <c r="Q685" s="160" t="s">
        <v>20</v>
      </c>
      <c r="R685" s="160" t="s">
        <v>20</v>
      </c>
      <c r="S685" s="26" t="s">
        <v>697</v>
      </c>
      <c r="T685" s="165" t="str">
        <f t="shared" si="450"/>
        <v>Not Used</v>
      </c>
      <c r="U685" s="162"/>
      <c r="V685" s="55"/>
      <c r="W685" s="51" t="b">
        <f t="shared" si="451"/>
        <v>1</v>
      </c>
      <c r="X685" s="51" t="str">
        <f t="shared" si="452"/>
        <v>Not Used</v>
      </c>
      <c r="Y685" s="51" t="str">
        <f t="shared" si="453"/>
        <v>Not Used</v>
      </c>
      <c r="Z685" s="51" t="str">
        <f t="shared" si="454"/>
        <v>Not Used</v>
      </c>
      <c r="AA685" s="51" t="str">
        <f t="shared" si="454"/>
        <v>Not Used</v>
      </c>
      <c r="AB685" s="51" t="str">
        <f t="shared" si="455"/>
        <v>Not Used</v>
      </c>
      <c r="AC685" s="51" t="b">
        <f t="shared" si="456"/>
        <v>1</v>
      </c>
      <c r="AD685" s="51">
        <f>COUNTIF($X$5:$X$685, "Not Used")</f>
        <v>681</v>
      </c>
      <c r="AE685" s="51">
        <f>COUNTIF($X$5:$X$685, "TRUE")</f>
        <v>0</v>
      </c>
      <c r="AF685" s="51" t="b">
        <f t="shared" si="457"/>
        <v>1</v>
      </c>
      <c r="AI685" s="51" t="b">
        <f t="shared" si="458"/>
        <v>0</v>
      </c>
      <c r="AJ685" s="51" t="b">
        <f t="shared" si="459"/>
        <v>0</v>
      </c>
      <c r="AK685" s="51" t="b">
        <f t="shared" si="460"/>
        <v>0</v>
      </c>
      <c r="AL685" s="51" t="b">
        <f t="shared" si="461"/>
        <v>0</v>
      </c>
      <c r="AM685" s="51" t="b">
        <f t="shared" si="462"/>
        <v>0</v>
      </c>
      <c r="AN685" s="51"/>
      <c r="AO685" s="51" t="b">
        <f t="shared" si="463"/>
        <v>0</v>
      </c>
      <c r="AP685" s="51" t="str">
        <f t="shared" si="485"/>
        <v>Not in MMS</v>
      </c>
      <c r="AQ685" s="51" t="b">
        <f t="shared" si="464"/>
        <v>0</v>
      </c>
      <c r="AR685" s="51" t="b">
        <f t="shared" si="465"/>
        <v>0</v>
      </c>
      <c r="AS685" s="51" t="str">
        <f t="shared" si="466"/>
        <v/>
      </c>
      <c r="AT685" s="51" t="str">
        <f t="shared" si="467"/>
        <v/>
      </c>
      <c r="AU685" s="51" t="str">
        <f t="shared" si="468"/>
        <v/>
      </c>
      <c r="AV685" s="51" t="str">
        <f t="shared" si="469"/>
        <v/>
      </c>
      <c r="AW685" s="51" t="str">
        <f t="shared" si="470"/>
        <v/>
      </c>
      <c r="AX685" s="51" t="str">
        <f t="shared" si="471"/>
        <v/>
      </c>
      <c r="AY685" s="51" t="str">
        <f t="shared" si="472"/>
        <v/>
      </c>
      <c r="AZ685" s="51" t="str">
        <f t="shared" si="473"/>
        <v/>
      </c>
      <c r="BA685" s="51" t="str">
        <f t="shared" si="474"/>
        <v/>
      </c>
      <c r="BB685" s="51" t="str">
        <f t="shared" si="475"/>
        <v/>
      </c>
      <c r="BC685" s="51" t="str">
        <f t="shared" si="476"/>
        <v/>
      </c>
      <c r="BD685" s="51" t="str">
        <f t="shared" si="477"/>
        <v/>
      </c>
      <c r="BE685" s="51" t="str">
        <f t="shared" si="478"/>
        <v/>
      </c>
      <c r="BF685" s="51" t="str">
        <f t="shared" si="479"/>
        <v/>
      </c>
      <c r="BG685" s="51" t="str">
        <f t="shared" si="480"/>
        <v/>
      </c>
      <c r="BH685" s="51" t="b">
        <f t="shared" si="481"/>
        <v>0</v>
      </c>
      <c r="BI685" s="51" t="str">
        <f t="shared" si="482"/>
        <v/>
      </c>
      <c r="BJ685" s="51" t="str">
        <f t="shared" si="483"/>
        <v/>
      </c>
      <c r="BK685" s="51" t="b">
        <f t="shared" si="484"/>
        <v>0</v>
      </c>
      <c r="BL685" s="192"/>
    </row>
    <row r="686" spans="1:64" ht="13.5" thickBot="1" x14ac:dyDescent="0.25">
      <c r="A686" s="185" t="s">
        <v>1357</v>
      </c>
      <c r="B686" s="194" t="s">
        <v>695</v>
      </c>
      <c r="C686" s="194" t="s">
        <v>695</v>
      </c>
      <c r="D686" s="194" t="s">
        <v>695</v>
      </c>
      <c r="E686" s="193" t="s">
        <v>694</v>
      </c>
      <c r="F686" s="160" t="s">
        <v>20</v>
      </c>
      <c r="G686" s="161"/>
      <c r="H686" s="186" t="str">
        <f t="shared" si="442"/>
        <v>N/A</v>
      </c>
      <c r="I686" s="186" t="b">
        <f t="shared" si="443"/>
        <v>1</v>
      </c>
      <c r="J686" s="186" t="str">
        <f t="shared" si="444"/>
        <v>N/A</v>
      </c>
      <c r="K686" s="186" t="b">
        <f t="shared" si="445"/>
        <v>1</v>
      </c>
      <c r="L686" s="186" t="str">
        <f t="shared" si="446"/>
        <v>N/A</v>
      </c>
      <c r="M686" s="186" t="b">
        <f t="shared" si="447"/>
        <v>1</v>
      </c>
      <c r="N686" s="186" t="str">
        <f t="shared" si="448"/>
        <v>Used?</v>
      </c>
      <c r="O686" s="186" t="b">
        <f t="shared" si="449"/>
        <v>0</v>
      </c>
      <c r="P686" s="26" t="s">
        <v>696</v>
      </c>
      <c r="Q686" s="160" t="s">
        <v>20</v>
      </c>
      <c r="R686" s="160" t="s">
        <v>20</v>
      </c>
      <c r="S686" s="26" t="s">
        <v>697</v>
      </c>
      <c r="T686" s="165" t="str">
        <f t="shared" si="450"/>
        <v>Not Used</v>
      </c>
      <c r="U686" s="162"/>
      <c r="V686" s="55"/>
      <c r="W686" s="51" t="b">
        <f t="shared" si="451"/>
        <v>1</v>
      </c>
      <c r="X686" s="51" t="str">
        <f t="shared" si="452"/>
        <v>Not Used</v>
      </c>
      <c r="Y686" s="51" t="str">
        <f t="shared" si="453"/>
        <v>Not Used</v>
      </c>
      <c r="Z686" s="51" t="str">
        <f t="shared" si="454"/>
        <v>Not Used</v>
      </c>
      <c r="AA686" s="51" t="str">
        <f t="shared" si="454"/>
        <v>Not Used</v>
      </c>
      <c r="AB686" s="51" t="str">
        <f t="shared" si="455"/>
        <v>Not Used</v>
      </c>
      <c r="AC686" s="51" t="b">
        <f t="shared" si="456"/>
        <v>1</v>
      </c>
      <c r="AD686" s="51">
        <f>COUNTIF($X$5:$X$686, "Not Used")</f>
        <v>682</v>
      </c>
      <c r="AE686" s="51">
        <f>COUNTIF($X$5:$X$686, "TRUE")</f>
        <v>0</v>
      </c>
      <c r="AF686" s="51" t="b">
        <f t="shared" si="457"/>
        <v>1</v>
      </c>
      <c r="AI686" s="51" t="b">
        <f t="shared" si="458"/>
        <v>0</v>
      </c>
      <c r="AJ686" s="51" t="b">
        <f t="shared" si="459"/>
        <v>0</v>
      </c>
      <c r="AK686" s="51" t="b">
        <f t="shared" si="460"/>
        <v>0</v>
      </c>
      <c r="AL686" s="51" t="b">
        <f t="shared" si="461"/>
        <v>0</v>
      </c>
      <c r="AM686" s="51" t="b">
        <f t="shared" si="462"/>
        <v>0</v>
      </c>
      <c r="AN686" s="51"/>
      <c r="AO686" s="51" t="b">
        <f t="shared" si="463"/>
        <v>0</v>
      </c>
      <c r="AP686" s="51" t="str">
        <f t="shared" si="485"/>
        <v>Not in MMS</v>
      </c>
      <c r="AQ686" s="51" t="b">
        <f t="shared" si="464"/>
        <v>0</v>
      </c>
      <c r="AR686" s="51" t="b">
        <f t="shared" si="465"/>
        <v>0</v>
      </c>
      <c r="AS686" s="51" t="str">
        <f t="shared" si="466"/>
        <v/>
      </c>
      <c r="AT686" s="51" t="str">
        <f t="shared" si="467"/>
        <v/>
      </c>
      <c r="AU686" s="51" t="str">
        <f t="shared" si="468"/>
        <v/>
      </c>
      <c r="AV686" s="51" t="str">
        <f t="shared" si="469"/>
        <v/>
      </c>
      <c r="AW686" s="51" t="str">
        <f t="shared" si="470"/>
        <v/>
      </c>
      <c r="AX686" s="51" t="str">
        <f t="shared" si="471"/>
        <v/>
      </c>
      <c r="AY686" s="51" t="str">
        <f t="shared" si="472"/>
        <v/>
      </c>
      <c r="AZ686" s="51" t="str">
        <f t="shared" si="473"/>
        <v/>
      </c>
      <c r="BA686" s="51" t="str">
        <f t="shared" si="474"/>
        <v/>
      </c>
      <c r="BB686" s="51" t="str">
        <f t="shared" si="475"/>
        <v/>
      </c>
      <c r="BC686" s="51" t="str">
        <f t="shared" si="476"/>
        <v/>
      </c>
      <c r="BD686" s="51" t="str">
        <f t="shared" si="477"/>
        <v/>
      </c>
      <c r="BE686" s="51" t="str">
        <f t="shared" si="478"/>
        <v/>
      </c>
      <c r="BF686" s="51" t="str">
        <f t="shared" si="479"/>
        <v/>
      </c>
      <c r="BG686" s="51" t="str">
        <f t="shared" si="480"/>
        <v/>
      </c>
      <c r="BH686" s="51" t="b">
        <f t="shared" si="481"/>
        <v>0</v>
      </c>
      <c r="BI686" s="51" t="str">
        <f t="shared" si="482"/>
        <v/>
      </c>
      <c r="BJ686" s="51" t="str">
        <f t="shared" si="483"/>
        <v/>
      </c>
      <c r="BK686" s="51" t="b">
        <f t="shared" si="484"/>
        <v>0</v>
      </c>
      <c r="BL686" s="192"/>
    </row>
    <row r="687" spans="1:64" ht="13.5" thickBot="1" x14ac:dyDescent="0.25">
      <c r="A687" s="185" t="s">
        <v>1358</v>
      </c>
      <c r="B687" s="194" t="s">
        <v>695</v>
      </c>
      <c r="C687" s="194" t="s">
        <v>695</v>
      </c>
      <c r="D687" s="194" t="s">
        <v>695</v>
      </c>
      <c r="E687" s="193" t="s">
        <v>694</v>
      </c>
      <c r="F687" s="160" t="s">
        <v>20</v>
      </c>
      <c r="G687" s="161"/>
      <c r="H687" s="186" t="str">
        <f t="shared" si="442"/>
        <v>N/A</v>
      </c>
      <c r="I687" s="186" t="b">
        <f t="shared" si="443"/>
        <v>1</v>
      </c>
      <c r="J687" s="186" t="str">
        <f t="shared" si="444"/>
        <v>N/A</v>
      </c>
      <c r="K687" s="186" t="b">
        <f t="shared" si="445"/>
        <v>1</v>
      </c>
      <c r="L687" s="186" t="str">
        <f t="shared" si="446"/>
        <v>N/A</v>
      </c>
      <c r="M687" s="186" t="b">
        <f t="shared" si="447"/>
        <v>1</v>
      </c>
      <c r="N687" s="186" t="str">
        <f t="shared" si="448"/>
        <v>Used?</v>
      </c>
      <c r="O687" s="186" t="b">
        <f t="shared" si="449"/>
        <v>0</v>
      </c>
      <c r="P687" s="26" t="s">
        <v>696</v>
      </c>
      <c r="Q687" s="160" t="s">
        <v>20</v>
      </c>
      <c r="R687" s="160" t="s">
        <v>20</v>
      </c>
      <c r="S687" s="26" t="s">
        <v>697</v>
      </c>
      <c r="T687" s="165" t="str">
        <f t="shared" si="450"/>
        <v>Not Used</v>
      </c>
      <c r="U687" s="162"/>
      <c r="V687" s="55"/>
      <c r="W687" s="51" t="b">
        <f t="shared" si="451"/>
        <v>1</v>
      </c>
      <c r="X687" s="51" t="str">
        <f t="shared" si="452"/>
        <v>Not Used</v>
      </c>
      <c r="Y687" s="51" t="str">
        <f t="shared" si="453"/>
        <v>Not Used</v>
      </c>
      <c r="Z687" s="51" t="str">
        <f t="shared" si="454"/>
        <v>Not Used</v>
      </c>
      <c r="AA687" s="51" t="str">
        <f t="shared" si="454"/>
        <v>Not Used</v>
      </c>
      <c r="AB687" s="51" t="str">
        <f t="shared" si="455"/>
        <v>Not Used</v>
      </c>
      <c r="AC687" s="51" t="b">
        <f t="shared" si="456"/>
        <v>1</v>
      </c>
      <c r="AD687" s="51">
        <f>COUNTIF($X$5:$X$687, "Not Used")</f>
        <v>683</v>
      </c>
      <c r="AE687" s="51">
        <f>COUNTIF($X$5:$X$687, "TRUE")</f>
        <v>0</v>
      </c>
      <c r="AF687" s="51" t="b">
        <f t="shared" si="457"/>
        <v>1</v>
      </c>
      <c r="AI687" s="51" t="b">
        <f t="shared" si="458"/>
        <v>0</v>
      </c>
      <c r="AJ687" s="51" t="b">
        <f t="shared" si="459"/>
        <v>0</v>
      </c>
      <c r="AK687" s="51" t="b">
        <f t="shared" si="460"/>
        <v>0</v>
      </c>
      <c r="AL687" s="51" t="b">
        <f t="shared" si="461"/>
        <v>0</v>
      </c>
      <c r="AM687" s="51" t="b">
        <f t="shared" si="462"/>
        <v>0</v>
      </c>
      <c r="AN687" s="51"/>
      <c r="AO687" s="51" t="b">
        <f t="shared" si="463"/>
        <v>0</v>
      </c>
      <c r="AP687" s="51" t="str">
        <f t="shared" si="485"/>
        <v>Not in MMS</v>
      </c>
      <c r="AQ687" s="51" t="b">
        <f t="shared" si="464"/>
        <v>0</v>
      </c>
      <c r="AR687" s="51" t="b">
        <f t="shared" si="465"/>
        <v>0</v>
      </c>
      <c r="AS687" s="51" t="str">
        <f t="shared" si="466"/>
        <v/>
      </c>
      <c r="AT687" s="51" t="str">
        <f t="shared" si="467"/>
        <v/>
      </c>
      <c r="AU687" s="51" t="str">
        <f t="shared" si="468"/>
        <v/>
      </c>
      <c r="AV687" s="51" t="str">
        <f t="shared" si="469"/>
        <v/>
      </c>
      <c r="AW687" s="51" t="str">
        <f t="shared" si="470"/>
        <v/>
      </c>
      <c r="AX687" s="51" t="str">
        <f t="shared" si="471"/>
        <v/>
      </c>
      <c r="AY687" s="51" t="str">
        <f t="shared" si="472"/>
        <v/>
      </c>
      <c r="AZ687" s="51" t="str">
        <f t="shared" si="473"/>
        <v/>
      </c>
      <c r="BA687" s="51" t="str">
        <f t="shared" si="474"/>
        <v/>
      </c>
      <c r="BB687" s="51" t="str">
        <f t="shared" si="475"/>
        <v/>
      </c>
      <c r="BC687" s="51" t="str">
        <f t="shared" si="476"/>
        <v/>
      </c>
      <c r="BD687" s="51" t="str">
        <f t="shared" si="477"/>
        <v/>
      </c>
      <c r="BE687" s="51" t="str">
        <f t="shared" si="478"/>
        <v/>
      </c>
      <c r="BF687" s="51" t="str">
        <f t="shared" si="479"/>
        <v/>
      </c>
      <c r="BG687" s="51" t="str">
        <f t="shared" si="480"/>
        <v/>
      </c>
      <c r="BH687" s="51" t="b">
        <f t="shared" si="481"/>
        <v>0</v>
      </c>
      <c r="BI687" s="51" t="str">
        <f t="shared" si="482"/>
        <v/>
      </c>
      <c r="BJ687" s="51" t="str">
        <f t="shared" si="483"/>
        <v/>
      </c>
      <c r="BK687" s="51" t="b">
        <f t="shared" si="484"/>
        <v>0</v>
      </c>
      <c r="BL687" s="192"/>
    </row>
    <row r="688" spans="1:64" ht="13.5" thickBot="1" x14ac:dyDescent="0.25">
      <c r="A688" s="185" t="s">
        <v>1359</v>
      </c>
      <c r="B688" s="194" t="s">
        <v>695</v>
      </c>
      <c r="C688" s="194" t="s">
        <v>695</v>
      </c>
      <c r="D688" s="194" t="s">
        <v>695</v>
      </c>
      <c r="E688" s="193" t="s">
        <v>694</v>
      </c>
      <c r="F688" s="160" t="s">
        <v>20</v>
      </c>
      <c r="G688" s="161"/>
      <c r="H688" s="186" t="str">
        <f t="shared" si="442"/>
        <v>N/A</v>
      </c>
      <c r="I688" s="186" t="b">
        <f t="shared" si="443"/>
        <v>1</v>
      </c>
      <c r="J688" s="186" t="str">
        <f t="shared" si="444"/>
        <v>N/A</v>
      </c>
      <c r="K688" s="186" t="b">
        <f t="shared" si="445"/>
        <v>1</v>
      </c>
      <c r="L688" s="186" t="str">
        <f t="shared" si="446"/>
        <v>N/A</v>
      </c>
      <c r="M688" s="186" t="b">
        <f t="shared" si="447"/>
        <v>1</v>
      </c>
      <c r="N688" s="186" t="str">
        <f t="shared" si="448"/>
        <v>Used?</v>
      </c>
      <c r="O688" s="186" t="b">
        <f t="shared" si="449"/>
        <v>0</v>
      </c>
      <c r="P688" s="26" t="s">
        <v>696</v>
      </c>
      <c r="Q688" s="160" t="s">
        <v>20</v>
      </c>
      <c r="R688" s="160" t="s">
        <v>20</v>
      </c>
      <c r="S688" s="26" t="s">
        <v>697</v>
      </c>
      <c r="T688" s="165" t="str">
        <f t="shared" si="450"/>
        <v>Not Used</v>
      </c>
      <c r="U688" s="162"/>
      <c r="V688" s="55"/>
      <c r="W688" s="51" t="b">
        <f t="shared" si="451"/>
        <v>1</v>
      </c>
      <c r="X688" s="51" t="str">
        <f t="shared" si="452"/>
        <v>Not Used</v>
      </c>
      <c r="Y688" s="51" t="str">
        <f t="shared" si="453"/>
        <v>Not Used</v>
      </c>
      <c r="Z688" s="51" t="str">
        <f t="shared" si="454"/>
        <v>Not Used</v>
      </c>
      <c r="AA688" s="51" t="str">
        <f t="shared" si="454"/>
        <v>Not Used</v>
      </c>
      <c r="AB688" s="51" t="str">
        <f t="shared" si="455"/>
        <v>Not Used</v>
      </c>
      <c r="AC688" s="51" t="b">
        <f t="shared" si="456"/>
        <v>1</v>
      </c>
      <c r="AD688" s="51">
        <f>COUNTIF($X$5:$X$688, "Not Used")</f>
        <v>684</v>
      </c>
      <c r="AE688" s="51">
        <f>COUNTIF($X$5:$X$688, "TRUE")</f>
        <v>0</v>
      </c>
      <c r="AF688" s="51" t="b">
        <f t="shared" si="457"/>
        <v>1</v>
      </c>
      <c r="AI688" s="51" t="b">
        <f t="shared" si="458"/>
        <v>0</v>
      </c>
      <c r="AJ688" s="51" t="b">
        <f t="shared" si="459"/>
        <v>0</v>
      </c>
      <c r="AK688" s="51" t="b">
        <f t="shared" si="460"/>
        <v>0</v>
      </c>
      <c r="AL688" s="51" t="b">
        <f t="shared" si="461"/>
        <v>0</v>
      </c>
      <c r="AM688" s="51" t="b">
        <f t="shared" si="462"/>
        <v>0</v>
      </c>
      <c r="AN688" s="51"/>
      <c r="AO688" s="51" t="b">
        <f t="shared" si="463"/>
        <v>0</v>
      </c>
      <c r="AP688" s="51" t="str">
        <f t="shared" si="485"/>
        <v>Not in MMS</v>
      </c>
      <c r="AQ688" s="51" t="b">
        <f t="shared" si="464"/>
        <v>0</v>
      </c>
      <c r="AR688" s="51" t="b">
        <f t="shared" si="465"/>
        <v>0</v>
      </c>
      <c r="AS688" s="51" t="str">
        <f t="shared" si="466"/>
        <v/>
      </c>
      <c r="AT688" s="51" t="str">
        <f t="shared" si="467"/>
        <v/>
      </c>
      <c r="AU688" s="51" t="str">
        <f t="shared" si="468"/>
        <v/>
      </c>
      <c r="AV688" s="51" t="str">
        <f t="shared" si="469"/>
        <v/>
      </c>
      <c r="AW688" s="51" t="str">
        <f t="shared" si="470"/>
        <v/>
      </c>
      <c r="AX688" s="51" t="str">
        <f t="shared" si="471"/>
        <v/>
      </c>
      <c r="AY688" s="51" t="str">
        <f t="shared" si="472"/>
        <v/>
      </c>
      <c r="AZ688" s="51" t="str">
        <f t="shared" si="473"/>
        <v/>
      </c>
      <c r="BA688" s="51" t="str">
        <f t="shared" si="474"/>
        <v/>
      </c>
      <c r="BB688" s="51" t="str">
        <f t="shared" si="475"/>
        <v/>
      </c>
      <c r="BC688" s="51" t="str">
        <f t="shared" si="476"/>
        <v/>
      </c>
      <c r="BD688" s="51" t="str">
        <f t="shared" si="477"/>
        <v/>
      </c>
      <c r="BE688" s="51" t="str">
        <f t="shared" si="478"/>
        <v/>
      </c>
      <c r="BF688" s="51" t="str">
        <f t="shared" si="479"/>
        <v/>
      </c>
      <c r="BG688" s="51" t="str">
        <f t="shared" si="480"/>
        <v/>
      </c>
      <c r="BH688" s="51" t="b">
        <f t="shared" si="481"/>
        <v>0</v>
      </c>
      <c r="BI688" s="51" t="str">
        <f t="shared" si="482"/>
        <v/>
      </c>
      <c r="BJ688" s="51" t="str">
        <f t="shared" si="483"/>
        <v/>
      </c>
      <c r="BK688" s="51" t="b">
        <f t="shared" si="484"/>
        <v>0</v>
      </c>
      <c r="BL688" s="192"/>
    </row>
    <row r="689" spans="1:64" ht="13.5" thickBot="1" x14ac:dyDescent="0.25">
      <c r="A689" s="185" t="s">
        <v>1360</v>
      </c>
      <c r="B689" s="194" t="s">
        <v>695</v>
      </c>
      <c r="C689" s="194" t="s">
        <v>695</v>
      </c>
      <c r="D689" s="194" t="s">
        <v>695</v>
      </c>
      <c r="E689" s="193" t="s">
        <v>694</v>
      </c>
      <c r="F689" s="160" t="s">
        <v>20</v>
      </c>
      <c r="G689" s="161"/>
      <c r="H689" s="186" t="str">
        <f t="shared" si="442"/>
        <v>N/A</v>
      </c>
      <c r="I689" s="186" t="b">
        <f t="shared" si="443"/>
        <v>1</v>
      </c>
      <c r="J689" s="186" t="str">
        <f t="shared" si="444"/>
        <v>N/A</v>
      </c>
      <c r="K689" s="186" t="b">
        <f t="shared" si="445"/>
        <v>1</v>
      </c>
      <c r="L689" s="186" t="str">
        <f t="shared" si="446"/>
        <v>N/A</v>
      </c>
      <c r="M689" s="186" t="b">
        <f t="shared" si="447"/>
        <v>1</v>
      </c>
      <c r="N689" s="186" t="str">
        <f t="shared" si="448"/>
        <v>Used?</v>
      </c>
      <c r="O689" s="186" t="b">
        <f t="shared" si="449"/>
        <v>0</v>
      </c>
      <c r="P689" s="26" t="s">
        <v>696</v>
      </c>
      <c r="Q689" s="160" t="s">
        <v>20</v>
      </c>
      <c r="R689" s="160" t="s">
        <v>20</v>
      </c>
      <c r="S689" s="26" t="s">
        <v>697</v>
      </c>
      <c r="T689" s="165" t="str">
        <f t="shared" si="450"/>
        <v>Not Used</v>
      </c>
      <c r="U689" s="162"/>
      <c r="V689" s="55"/>
      <c r="W689" s="51" t="b">
        <f t="shared" si="451"/>
        <v>1</v>
      </c>
      <c r="X689" s="51" t="str">
        <f t="shared" si="452"/>
        <v>Not Used</v>
      </c>
      <c r="Y689" s="51" t="str">
        <f t="shared" si="453"/>
        <v>Not Used</v>
      </c>
      <c r="Z689" s="51" t="str">
        <f t="shared" si="454"/>
        <v>Not Used</v>
      </c>
      <c r="AA689" s="51" t="str">
        <f t="shared" si="454"/>
        <v>Not Used</v>
      </c>
      <c r="AB689" s="51" t="str">
        <f t="shared" si="455"/>
        <v>Not Used</v>
      </c>
      <c r="AC689" s="51" t="b">
        <f t="shared" si="456"/>
        <v>1</v>
      </c>
      <c r="AD689" s="51">
        <f>COUNTIF($X$5:$X$689, "Not Used")</f>
        <v>685</v>
      </c>
      <c r="AE689" s="51">
        <f>COUNTIF($X$5:$X$689, "TRUE")</f>
        <v>0</v>
      </c>
      <c r="AF689" s="51" t="b">
        <f t="shared" si="457"/>
        <v>1</v>
      </c>
      <c r="AI689" s="51" t="b">
        <f t="shared" si="458"/>
        <v>0</v>
      </c>
      <c r="AJ689" s="51" t="b">
        <f t="shared" si="459"/>
        <v>0</v>
      </c>
      <c r="AK689" s="51" t="b">
        <f t="shared" si="460"/>
        <v>0</v>
      </c>
      <c r="AL689" s="51" t="b">
        <f t="shared" si="461"/>
        <v>0</v>
      </c>
      <c r="AM689" s="51" t="b">
        <f t="shared" si="462"/>
        <v>0</v>
      </c>
      <c r="AN689" s="51"/>
      <c r="AO689" s="51" t="b">
        <f t="shared" si="463"/>
        <v>0</v>
      </c>
      <c r="AP689" s="51" t="str">
        <f t="shared" si="485"/>
        <v>Not in MMS</v>
      </c>
      <c r="AQ689" s="51" t="b">
        <f t="shared" si="464"/>
        <v>0</v>
      </c>
      <c r="AR689" s="51" t="b">
        <f t="shared" si="465"/>
        <v>0</v>
      </c>
      <c r="AS689" s="51" t="str">
        <f t="shared" si="466"/>
        <v/>
      </c>
      <c r="AT689" s="51" t="str">
        <f t="shared" si="467"/>
        <v/>
      </c>
      <c r="AU689" s="51" t="str">
        <f t="shared" si="468"/>
        <v/>
      </c>
      <c r="AV689" s="51" t="str">
        <f t="shared" si="469"/>
        <v/>
      </c>
      <c r="AW689" s="51" t="str">
        <f t="shared" si="470"/>
        <v/>
      </c>
      <c r="AX689" s="51" t="str">
        <f t="shared" si="471"/>
        <v/>
      </c>
      <c r="AY689" s="51" t="str">
        <f t="shared" si="472"/>
        <v/>
      </c>
      <c r="AZ689" s="51" t="str">
        <f t="shared" si="473"/>
        <v/>
      </c>
      <c r="BA689" s="51" t="str">
        <f t="shared" si="474"/>
        <v/>
      </c>
      <c r="BB689" s="51" t="str">
        <f t="shared" si="475"/>
        <v/>
      </c>
      <c r="BC689" s="51" t="str">
        <f t="shared" si="476"/>
        <v/>
      </c>
      <c r="BD689" s="51" t="str">
        <f t="shared" si="477"/>
        <v/>
      </c>
      <c r="BE689" s="51" t="str">
        <f t="shared" si="478"/>
        <v/>
      </c>
      <c r="BF689" s="51" t="str">
        <f t="shared" si="479"/>
        <v/>
      </c>
      <c r="BG689" s="51" t="str">
        <f t="shared" si="480"/>
        <v/>
      </c>
      <c r="BH689" s="51" t="b">
        <f t="shared" si="481"/>
        <v>0</v>
      </c>
      <c r="BI689" s="51" t="str">
        <f t="shared" si="482"/>
        <v/>
      </c>
      <c r="BJ689" s="51" t="str">
        <f t="shared" si="483"/>
        <v/>
      </c>
      <c r="BK689" s="51" t="b">
        <f t="shared" si="484"/>
        <v>0</v>
      </c>
      <c r="BL689" s="192"/>
    </row>
    <row r="690" spans="1:64" ht="13.5" thickBot="1" x14ac:dyDescent="0.25">
      <c r="A690" s="185" t="s">
        <v>1361</v>
      </c>
      <c r="B690" s="194" t="s">
        <v>695</v>
      </c>
      <c r="C690" s="194" t="s">
        <v>695</v>
      </c>
      <c r="D690" s="194" t="s">
        <v>695</v>
      </c>
      <c r="E690" s="193" t="s">
        <v>694</v>
      </c>
      <c r="F690" s="160" t="s">
        <v>20</v>
      </c>
      <c r="G690" s="161"/>
      <c r="H690" s="186" t="str">
        <f t="shared" si="442"/>
        <v>N/A</v>
      </c>
      <c r="I690" s="186" t="b">
        <f t="shared" si="443"/>
        <v>1</v>
      </c>
      <c r="J690" s="186" t="str">
        <f t="shared" si="444"/>
        <v>N/A</v>
      </c>
      <c r="K690" s="186" t="b">
        <f t="shared" si="445"/>
        <v>1</v>
      </c>
      <c r="L690" s="186" t="str">
        <f t="shared" si="446"/>
        <v>N/A</v>
      </c>
      <c r="M690" s="186" t="b">
        <f t="shared" si="447"/>
        <v>1</v>
      </c>
      <c r="N690" s="186" t="str">
        <f t="shared" si="448"/>
        <v>Used?</v>
      </c>
      <c r="O690" s="186" t="b">
        <f t="shared" si="449"/>
        <v>0</v>
      </c>
      <c r="P690" s="26" t="s">
        <v>696</v>
      </c>
      <c r="Q690" s="160" t="s">
        <v>20</v>
      </c>
      <c r="R690" s="160" t="s">
        <v>20</v>
      </c>
      <c r="S690" s="26" t="s">
        <v>697</v>
      </c>
      <c r="T690" s="165" t="str">
        <f t="shared" si="450"/>
        <v>Not Used</v>
      </c>
      <c r="U690" s="162"/>
      <c r="V690" s="55"/>
      <c r="W690" s="51" t="b">
        <f t="shared" si="451"/>
        <v>1</v>
      </c>
      <c r="X690" s="51" t="str">
        <f t="shared" si="452"/>
        <v>Not Used</v>
      </c>
      <c r="Y690" s="51" t="str">
        <f t="shared" si="453"/>
        <v>Not Used</v>
      </c>
      <c r="Z690" s="51" t="str">
        <f t="shared" si="454"/>
        <v>Not Used</v>
      </c>
      <c r="AA690" s="51" t="str">
        <f t="shared" si="454"/>
        <v>Not Used</v>
      </c>
      <c r="AB690" s="51" t="str">
        <f t="shared" si="455"/>
        <v>Not Used</v>
      </c>
      <c r="AC690" s="51" t="b">
        <f t="shared" si="456"/>
        <v>1</v>
      </c>
      <c r="AD690" s="51">
        <f>COUNTIF($X$5:$X$690, "Not Used")</f>
        <v>686</v>
      </c>
      <c r="AE690" s="51">
        <f>COUNTIF($X$5:$X$690, "TRUE")</f>
        <v>0</v>
      </c>
      <c r="AF690" s="51" t="b">
        <f t="shared" si="457"/>
        <v>1</v>
      </c>
      <c r="AI690" s="51" t="b">
        <f t="shared" si="458"/>
        <v>0</v>
      </c>
      <c r="AJ690" s="51" t="b">
        <f t="shared" si="459"/>
        <v>0</v>
      </c>
      <c r="AK690" s="51" t="b">
        <f t="shared" si="460"/>
        <v>0</v>
      </c>
      <c r="AL690" s="51" t="b">
        <f t="shared" si="461"/>
        <v>0</v>
      </c>
      <c r="AM690" s="51" t="b">
        <f t="shared" si="462"/>
        <v>0</v>
      </c>
      <c r="AN690" s="51"/>
      <c r="AO690" s="51" t="b">
        <f t="shared" si="463"/>
        <v>0</v>
      </c>
      <c r="AP690" s="51" t="str">
        <f t="shared" si="485"/>
        <v>Not in MMS</v>
      </c>
      <c r="AQ690" s="51" t="b">
        <f t="shared" si="464"/>
        <v>0</v>
      </c>
      <c r="AR690" s="51" t="b">
        <f t="shared" si="465"/>
        <v>0</v>
      </c>
      <c r="AS690" s="51" t="str">
        <f t="shared" si="466"/>
        <v/>
      </c>
      <c r="AT690" s="51" t="str">
        <f t="shared" si="467"/>
        <v/>
      </c>
      <c r="AU690" s="51" t="str">
        <f t="shared" si="468"/>
        <v/>
      </c>
      <c r="AV690" s="51" t="str">
        <f t="shared" si="469"/>
        <v/>
      </c>
      <c r="AW690" s="51" t="str">
        <f t="shared" si="470"/>
        <v/>
      </c>
      <c r="AX690" s="51" t="str">
        <f t="shared" si="471"/>
        <v/>
      </c>
      <c r="AY690" s="51" t="str">
        <f t="shared" si="472"/>
        <v/>
      </c>
      <c r="AZ690" s="51" t="str">
        <f t="shared" si="473"/>
        <v/>
      </c>
      <c r="BA690" s="51" t="str">
        <f t="shared" si="474"/>
        <v/>
      </c>
      <c r="BB690" s="51" t="str">
        <f t="shared" si="475"/>
        <v/>
      </c>
      <c r="BC690" s="51" t="str">
        <f t="shared" si="476"/>
        <v/>
      </c>
      <c r="BD690" s="51" t="str">
        <f t="shared" si="477"/>
        <v/>
      </c>
      <c r="BE690" s="51" t="str">
        <f t="shared" si="478"/>
        <v/>
      </c>
      <c r="BF690" s="51" t="str">
        <f t="shared" si="479"/>
        <v/>
      </c>
      <c r="BG690" s="51" t="str">
        <f t="shared" si="480"/>
        <v/>
      </c>
      <c r="BH690" s="51" t="b">
        <f t="shared" si="481"/>
        <v>0</v>
      </c>
      <c r="BI690" s="51" t="str">
        <f t="shared" si="482"/>
        <v/>
      </c>
      <c r="BJ690" s="51" t="str">
        <f t="shared" si="483"/>
        <v/>
      </c>
      <c r="BK690" s="51" t="b">
        <f t="shared" si="484"/>
        <v>0</v>
      </c>
      <c r="BL690" s="192"/>
    </row>
    <row r="691" spans="1:64" ht="13.5" thickBot="1" x14ac:dyDescent="0.25">
      <c r="A691" s="185" t="s">
        <v>1362</v>
      </c>
      <c r="B691" s="194" t="s">
        <v>695</v>
      </c>
      <c r="C691" s="194" t="s">
        <v>695</v>
      </c>
      <c r="D691" s="194" t="s">
        <v>695</v>
      </c>
      <c r="E691" s="193" t="s">
        <v>694</v>
      </c>
      <c r="F691" s="160" t="s">
        <v>20</v>
      </c>
      <c r="G691" s="161"/>
      <c r="H691" s="186" t="str">
        <f t="shared" si="442"/>
        <v>N/A</v>
      </c>
      <c r="I691" s="186" t="b">
        <f t="shared" si="443"/>
        <v>1</v>
      </c>
      <c r="J691" s="186" t="str">
        <f t="shared" si="444"/>
        <v>N/A</v>
      </c>
      <c r="K691" s="186" t="b">
        <f t="shared" si="445"/>
        <v>1</v>
      </c>
      <c r="L691" s="186" t="str">
        <f t="shared" si="446"/>
        <v>N/A</v>
      </c>
      <c r="M691" s="186" t="b">
        <f t="shared" si="447"/>
        <v>1</v>
      </c>
      <c r="N691" s="186" t="str">
        <f t="shared" si="448"/>
        <v>Used?</v>
      </c>
      <c r="O691" s="186" t="b">
        <f t="shared" si="449"/>
        <v>0</v>
      </c>
      <c r="P691" s="26" t="s">
        <v>696</v>
      </c>
      <c r="Q691" s="160" t="s">
        <v>20</v>
      </c>
      <c r="R691" s="160" t="s">
        <v>20</v>
      </c>
      <c r="S691" s="26" t="s">
        <v>697</v>
      </c>
      <c r="T691" s="165" t="str">
        <f t="shared" si="450"/>
        <v>Not Used</v>
      </c>
      <c r="U691" s="162"/>
      <c r="V691" s="55"/>
      <c r="W691" s="51" t="b">
        <f t="shared" si="451"/>
        <v>1</v>
      </c>
      <c r="X691" s="51" t="str">
        <f t="shared" si="452"/>
        <v>Not Used</v>
      </c>
      <c r="Y691" s="51" t="str">
        <f t="shared" si="453"/>
        <v>Not Used</v>
      </c>
      <c r="Z691" s="51" t="str">
        <f t="shared" si="454"/>
        <v>Not Used</v>
      </c>
      <c r="AA691" s="51" t="str">
        <f t="shared" si="454"/>
        <v>Not Used</v>
      </c>
      <c r="AB691" s="51" t="str">
        <f t="shared" si="455"/>
        <v>Not Used</v>
      </c>
      <c r="AC691" s="51" t="b">
        <f t="shared" si="456"/>
        <v>1</v>
      </c>
      <c r="AD691" s="51">
        <f>COUNTIF($X$5:$X$691, "Not Used")</f>
        <v>687</v>
      </c>
      <c r="AE691" s="51">
        <f>COUNTIF($X$5:$X$691, "TRUE")</f>
        <v>0</v>
      </c>
      <c r="AF691" s="51" t="b">
        <f t="shared" si="457"/>
        <v>1</v>
      </c>
      <c r="AI691" s="51" t="b">
        <f t="shared" si="458"/>
        <v>0</v>
      </c>
      <c r="AJ691" s="51" t="b">
        <f t="shared" si="459"/>
        <v>0</v>
      </c>
      <c r="AK691" s="51" t="b">
        <f t="shared" si="460"/>
        <v>0</v>
      </c>
      <c r="AL691" s="51" t="b">
        <f t="shared" si="461"/>
        <v>0</v>
      </c>
      <c r="AM691" s="51" t="b">
        <f t="shared" si="462"/>
        <v>0</v>
      </c>
      <c r="AN691" s="51"/>
      <c r="AO691" s="51" t="b">
        <f t="shared" si="463"/>
        <v>0</v>
      </c>
      <c r="AP691" s="51" t="str">
        <f t="shared" si="485"/>
        <v>Not in MMS</v>
      </c>
      <c r="AQ691" s="51" t="b">
        <f t="shared" si="464"/>
        <v>0</v>
      </c>
      <c r="AR691" s="51" t="b">
        <f t="shared" si="465"/>
        <v>0</v>
      </c>
      <c r="AS691" s="51" t="str">
        <f t="shared" si="466"/>
        <v/>
      </c>
      <c r="AT691" s="51" t="str">
        <f t="shared" si="467"/>
        <v/>
      </c>
      <c r="AU691" s="51" t="str">
        <f t="shared" si="468"/>
        <v/>
      </c>
      <c r="AV691" s="51" t="str">
        <f t="shared" si="469"/>
        <v/>
      </c>
      <c r="AW691" s="51" t="str">
        <f t="shared" si="470"/>
        <v/>
      </c>
      <c r="AX691" s="51" t="str">
        <f t="shared" si="471"/>
        <v/>
      </c>
      <c r="AY691" s="51" t="str">
        <f t="shared" si="472"/>
        <v/>
      </c>
      <c r="AZ691" s="51" t="str">
        <f t="shared" si="473"/>
        <v/>
      </c>
      <c r="BA691" s="51" t="str">
        <f t="shared" si="474"/>
        <v/>
      </c>
      <c r="BB691" s="51" t="str">
        <f t="shared" si="475"/>
        <v/>
      </c>
      <c r="BC691" s="51" t="str">
        <f t="shared" si="476"/>
        <v/>
      </c>
      <c r="BD691" s="51" t="str">
        <f t="shared" si="477"/>
        <v/>
      </c>
      <c r="BE691" s="51" t="str">
        <f t="shared" si="478"/>
        <v/>
      </c>
      <c r="BF691" s="51" t="str">
        <f t="shared" si="479"/>
        <v/>
      </c>
      <c r="BG691" s="51" t="str">
        <f t="shared" si="480"/>
        <v/>
      </c>
      <c r="BH691" s="51" t="b">
        <f t="shared" si="481"/>
        <v>0</v>
      </c>
      <c r="BI691" s="51" t="str">
        <f t="shared" si="482"/>
        <v/>
      </c>
      <c r="BJ691" s="51" t="str">
        <f t="shared" si="483"/>
        <v/>
      </c>
      <c r="BK691" s="51" t="b">
        <f t="shared" si="484"/>
        <v>0</v>
      </c>
      <c r="BL691" s="192"/>
    </row>
    <row r="692" spans="1:64" ht="13.5" thickBot="1" x14ac:dyDescent="0.25">
      <c r="A692" s="185" t="s">
        <v>1363</v>
      </c>
      <c r="B692" s="194" t="s">
        <v>695</v>
      </c>
      <c r="C692" s="194" t="s">
        <v>695</v>
      </c>
      <c r="D692" s="194" t="s">
        <v>695</v>
      </c>
      <c r="E692" s="193" t="s">
        <v>694</v>
      </c>
      <c r="F692" s="160" t="s">
        <v>20</v>
      </c>
      <c r="G692" s="161"/>
      <c r="H692" s="186" t="str">
        <f t="shared" si="442"/>
        <v>N/A</v>
      </c>
      <c r="I692" s="186" t="b">
        <f t="shared" si="443"/>
        <v>1</v>
      </c>
      <c r="J692" s="186" t="str">
        <f t="shared" si="444"/>
        <v>N/A</v>
      </c>
      <c r="K692" s="186" t="b">
        <f t="shared" si="445"/>
        <v>1</v>
      </c>
      <c r="L692" s="186" t="str">
        <f t="shared" si="446"/>
        <v>N/A</v>
      </c>
      <c r="M692" s="186" t="b">
        <f t="shared" si="447"/>
        <v>1</v>
      </c>
      <c r="N692" s="186" t="str">
        <f t="shared" si="448"/>
        <v>Used?</v>
      </c>
      <c r="O692" s="186" t="b">
        <f t="shared" si="449"/>
        <v>0</v>
      </c>
      <c r="P692" s="26" t="s">
        <v>696</v>
      </c>
      <c r="Q692" s="160" t="s">
        <v>20</v>
      </c>
      <c r="R692" s="160" t="s">
        <v>20</v>
      </c>
      <c r="S692" s="26" t="s">
        <v>697</v>
      </c>
      <c r="T692" s="165" t="str">
        <f t="shared" si="450"/>
        <v>Not Used</v>
      </c>
      <c r="U692" s="162"/>
      <c r="V692" s="55"/>
      <c r="W692" s="51" t="b">
        <f t="shared" si="451"/>
        <v>1</v>
      </c>
      <c r="X692" s="51" t="str">
        <f t="shared" si="452"/>
        <v>Not Used</v>
      </c>
      <c r="Y692" s="51" t="str">
        <f t="shared" si="453"/>
        <v>Not Used</v>
      </c>
      <c r="Z692" s="51" t="str">
        <f t="shared" si="454"/>
        <v>Not Used</v>
      </c>
      <c r="AA692" s="51" t="str">
        <f t="shared" si="454"/>
        <v>Not Used</v>
      </c>
      <c r="AB692" s="51" t="str">
        <f t="shared" si="455"/>
        <v>Not Used</v>
      </c>
      <c r="AC692" s="51" t="b">
        <f t="shared" si="456"/>
        <v>1</v>
      </c>
      <c r="AD692" s="51">
        <f>COUNTIF($X$5:$X$692, "Not Used")</f>
        <v>688</v>
      </c>
      <c r="AE692" s="51">
        <f>COUNTIF($X$5:$X$692, "TRUE")</f>
        <v>0</v>
      </c>
      <c r="AF692" s="51" t="b">
        <f t="shared" si="457"/>
        <v>1</v>
      </c>
      <c r="AI692" s="51" t="b">
        <f t="shared" si="458"/>
        <v>0</v>
      </c>
      <c r="AJ692" s="51" t="b">
        <f t="shared" si="459"/>
        <v>0</v>
      </c>
      <c r="AK692" s="51" t="b">
        <f t="shared" si="460"/>
        <v>0</v>
      </c>
      <c r="AL692" s="51" t="b">
        <f t="shared" si="461"/>
        <v>0</v>
      </c>
      <c r="AM692" s="51" t="b">
        <f t="shared" si="462"/>
        <v>0</v>
      </c>
      <c r="AN692" s="51"/>
      <c r="AO692" s="51" t="b">
        <f t="shared" si="463"/>
        <v>0</v>
      </c>
      <c r="AP692" s="51" t="str">
        <f t="shared" si="485"/>
        <v>Not in MMS</v>
      </c>
      <c r="AQ692" s="51" t="b">
        <f t="shared" si="464"/>
        <v>0</v>
      </c>
      <c r="AR692" s="51" t="b">
        <f t="shared" si="465"/>
        <v>0</v>
      </c>
      <c r="AS692" s="51" t="str">
        <f t="shared" si="466"/>
        <v/>
      </c>
      <c r="AT692" s="51" t="str">
        <f t="shared" si="467"/>
        <v/>
      </c>
      <c r="AU692" s="51" t="str">
        <f t="shared" si="468"/>
        <v/>
      </c>
      <c r="AV692" s="51" t="str">
        <f t="shared" si="469"/>
        <v/>
      </c>
      <c r="AW692" s="51" t="str">
        <f t="shared" si="470"/>
        <v/>
      </c>
      <c r="AX692" s="51" t="str">
        <f t="shared" si="471"/>
        <v/>
      </c>
      <c r="AY692" s="51" t="str">
        <f t="shared" si="472"/>
        <v/>
      </c>
      <c r="AZ692" s="51" t="str">
        <f t="shared" si="473"/>
        <v/>
      </c>
      <c r="BA692" s="51" t="str">
        <f t="shared" si="474"/>
        <v/>
      </c>
      <c r="BB692" s="51" t="str">
        <f t="shared" si="475"/>
        <v/>
      </c>
      <c r="BC692" s="51" t="str">
        <f t="shared" si="476"/>
        <v/>
      </c>
      <c r="BD692" s="51" t="str">
        <f t="shared" si="477"/>
        <v/>
      </c>
      <c r="BE692" s="51" t="str">
        <f t="shared" si="478"/>
        <v/>
      </c>
      <c r="BF692" s="51" t="str">
        <f t="shared" si="479"/>
        <v/>
      </c>
      <c r="BG692" s="51" t="str">
        <f t="shared" si="480"/>
        <v/>
      </c>
      <c r="BH692" s="51" t="b">
        <f t="shared" si="481"/>
        <v>0</v>
      </c>
      <c r="BI692" s="51" t="str">
        <f t="shared" si="482"/>
        <v/>
      </c>
      <c r="BJ692" s="51" t="str">
        <f t="shared" si="483"/>
        <v/>
      </c>
      <c r="BK692" s="51" t="b">
        <f t="shared" si="484"/>
        <v>0</v>
      </c>
      <c r="BL692" s="192"/>
    </row>
    <row r="693" spans="1:64" ht="13.5" thickBot="1" x14ac:dyDescent="0.25">
      <c r="A693" s="185" t="s">
        <v>1364</v>
      </c>
      <c r="B693" s="194" t="s">
        <v>695</v>
      </c>
      <c r="C693" s="194" t="s">
        <v>695</v>
      </c>
      <c r="D693" s="194" t="s">
        <v>695</v>
      </c>
      <c r="E693" s="193" t="s">
        <v>694</v>
      </c>
      <c r="F693" s="160" t="s">
        <v>20</v>
      </c>
      <c r="G693" s="161"/>
      <c r="H693" s="186" t="str">
        <f t="shared" si="442"/>
        <v>N/A</v>
      </c>
      <c r="I693" s="186" t="b">
        <f t="shared" si="443"/>
        <v>1</v>
      </c>
      <c r="J693" s="186" t="str">
        <f t="shared" si="444"/>
        <v>N/A</v>
      </c>
      <c r="K693" s="186" t="b">
        <f t="shared" si="445"/>
        <v>1</v>
      </c>
      <c r="L693" s="186" t="str">
        <f t="shared" si="446"/>
        <v>N/A</v>
      </c>
      <c r="M693" s="186" t="b">
        <f t="shared" si="447"/>
        <v>1</v>
      </c>
      <c r="N693" s="186" t="str">
        <f t="shared" si="448"/>
        <v>Used?</v>
      </c>
      <c r="O693" s="186" t="b">
        <f t="shared" si="449"/>
        <v>0</v>
      </c>
      <c r="P693" s="26" t="s">
        <v>696</v>
      </c>
      <c r="Q693" s="160" t="s">
        <v>20</v>
      </c>
      <c r="R693" s="160" t="s">
        <v>20</v>
      </c>
      <c r="S693" s="26" t="s">
        <v>697</v>
      </c>
      <c r="T693" s="165" t="str">
        <f t="shared" si="450"/>
        <v>Not Used</v>
      </c>
      <c r="U693" s="162"/>
      <c r="V693" s="55"/>
      <c r="W693" s="51" t="b">
        <f t="shared" si="451"/>
        <v>1</v>
      </c>
      <c r="X693" s="51" t="str">
        <f t="shared" si="452"/>
        <v>Not Used</v>
      </c>
      <c r="Y693" s="51" t="str">
        <f t="shared" si="453"/>
        <v>Not Used</v>
      </c>
      <c r="Z693" s="51" t="str">
        <f t="shared" si="454"/>
        <v>Not Used</v>
      </c>
      <c r="AA693" s="51" t="str">
        <f t="shared" si="454"/>
        <v>Not Used</v>
      </c>
      <c r="AB693" s="51" t="str">
        <f t="shared" si="455"/>
        <v>Not Used</v>
      </c>
      <c r="AC693" s="51" t="b">
        <f t="shared" si="456"/>
        <v>1</v>
      </c>
      <c r="AD693" s="51">
        <f>COUNTIF($X$5:$X$693, "Not Used")</f>
        <v>689</v>
      </c>
      <c r="AE693" s="51">
        <f>COUNTIF($X$5:$X$693, "TRUE")</f>
        <v>0</v>
      </c>
      <c r="AF693" s="51" t="b">
        <f t="shared" si="457"/>
        <v>1</v>
      </c>
      <c r="AI693" s="51" t="b">
        <f t="shared" si="458"/>
        <v>0</v>
      </c>
      <c r="AJ693" s="51" t="b">
        <f t="shared" si="459"/>
        <v>0</v>
      </c>
      <c r="AK693" s="51" t="b">
        <f t="shared" si="460"/>
        <v>0</v>
      </c>
      <c r="AL693" s="51" t="b">
        <f t="shared" si="461"/>
        <v>0</v>
      </c>
      <c r="AM693" s="51" t="b">
        <f t="shared" si="462"/>
        <v>0</v>
      </c>
      <c r="AN693" s="51"/>
      <c r="AO693" s="51" t="b">
        <f t="shared" si="463"/>
        <v>0</v>
      </c>
      <c r="AP693" s="51" t="str">
        <f t="shared" si="485"/>
        <v>Not in MMS</v>
      </c>
      <c r="AQ693" s="51" t="b">
        <f t="shared" si="464"/>
        <v>0</v>
      </c>
      <c r="AR693" s="51" t="b">
        <f t="shared" si="465"/>
        <v>0</v>
      </c>
      <c r="AS693" s="51" t="str">
        <f t="shared" si="466"/>
        <v/>
      </c>
      <c r="AT693" s="51" t="str">
        <f t="shared" si="467"/>
        <v/>
      </c>
      <c r="AU693" s="51" t="str">
        <f t="shared" si="468"/>
        <v/>
      </c>
      <c r="AV693" s="51" t="str">
        <f t="shared" si="469"/>
        <v/>
      </c>
      <c r="AW693" s="51" t="str">
        <f t="shared" si="470"/>
        <v/>
      </c>
      <c r="AX693" s="51" t="str">
        <f t="shared" si="471"/>
        <v/>
      </c>
      <c r="AY693" s="51" t="str">
        <f t="shared" si="472"/>
        <v/>
      </c>
      <c r="AZ693" s="51" t="str">
        <f t="shared" si="473"/>
        <v/>
      </c>
      <c r="BA693" s="51" t="str">
        <f t="shared" si="474"/>
        <v/>
      </c>
      <c r="BB693" s="51" t="str">
        <f t="shared" si="475"/>
        <v/>
      </c>
      <c r="BC693" s="51" t="str">
        <f t="shared" si="476"/>
        <v/>
      </c>
      <c r="BD693" s="51" t="str">
        <f t="shared" si="477"/>
        <v/>
      </c>
      <c r="BE693" s="51" t="str">
        <f t="shared" si="478"/>
        <v/>
      </c>
      <c r="BF693" s="51" t="str">
        <f t="shared" si="479"/>
        <v/>
      </c>
      <c r="BG693" s="51" t="str">
        <f t="shared" si="480"/>
        <v/>
      </c>
      <c r="BH693" s="51" t="b">
        <f t="shared" si="481"/>
        <v>0</v>
      </c>
      <c r="BI693" s="51" t="str">
        <f t="shared" si="482"/>
        <v/>
      </c>
      <c r="BJ693" s="51" t="str">
        <f t="shared" si="483"/>
        <v/>
      </c>
      <c r="BK693" s="51" t="b">
        <f t="shared" si="484"/>
        <v>0</v>
      </c>
      <c r="BL693" s="192"/>
    </row>
    <row r="694" spans="1:64" ht="13.5" thickBot="1" x14ac:dyDescent="0.25">
      <c r="A694" s="185" t="s">
        <v>1365</v>
      </c>
      <c r="B694" s="194" t="s">
        <v>695</v>
      </c>
      <c r="C694" s="194" t="s">
        <v>695</v>
      </c>
      <c r="D694" s="194" t="s">
        <v>695</v>
      </c>
      <c r="E694" s="193" t="s">
        <v>694</v>
      </c>
      <c r="F694" s="160" t="s">
        <v>20</v>
      </c>
      <c r="G694" s="161"/>
      <c r="H694" s="186" t="str">
        <f t="shared" si="442"/>
        <v>N/A</v>
      </c>
      <c r="I694" s="186" t="b">
        <f t="shared" si="443"/>
        <v>1</v>
      </c>
      <c r="J694" s="186" t="str">
        <f t="shared" si="444"/>
        <v>N/A</v>
      </c>
      <c r="K694" s="186" t="b">
        <f t="shared" si="445"/>
        <v>1</v>
      </c>
      <c r="L694" s="186" t="str">
        <f t="shared" si="446"/>
        <v>N/A</v>
      </c>
      <c r="M694" s="186" t="b">
        <f t="shared" si="447"/>
        <v>1</v>
      </c>
      <c r="N694" s="186" t="str">
        <f t="shared" si="448"/>
        <v>Used?</v>
      </c>
      <c r="O694" s="186" t="b">
        <f t="shared" si="449"/>
        <v>0</v>
      </c>
      <c r="P694" s="26" t="s">
        <v>696</v>
      </c>
      <c r="Q694" s="160" t="s">
        <v>20</v>
      </c>
      <c r="R694" s="160" t="s">
        <v>20</v>
      </c>
      <c r="S694" s="26" t="s">
        <v>697</v>
      </c>
      <c r="T694" s="165" t="str">
        <f t="shared" si="450"/>
        <v>Not Used</v>
      </c>
      <c r="U694" s="162"/>
      <c r="V694" s="55"/>
      <c r="W694" s="51" t="b">
        <f t="shared" si="451"/>
        <v>1</v>
      </c>
      <c r="X694" s="51" t="str">
        <f t="shared" si="452"/>
        <v>Not Used</v>
      </c>
      <c r="Y694" s="51" t="str">
        <f t="shared" si="453"/>
        <v>Not Used</v>
      </c>
      <c r="Z694" s="51" t="str">
        <f t="shared" si="454"/>
        <v>Not Used</v>
      </c>
      <c r="AA694" s="51" t="str">
        <f t="shared" si="454"/>
        <v>Not Used</v>
      </c>
      <c r="AB694" s="51" t="str">
        <f t="shared" si="455"/>
        <v>Not Used</v>
      </c>
      <c r="AC694" s="51" t="b">
        <f t="shared" si="456"/>
        <v>1</v>
      </c>
      <c r="AD694" s="51">
        <f>COUNTIF($X$5:$X$694, "Not Used")</f>
        <v>690</v>
      </c>
      <c r="AE694" s="51">
        <f>COUNTIF($X$5:$X$694, "TRUE")</f>
        <v>0</v>
      </c>
      <c r="AF694" s="51" t="b">
        <f t="shared" si="457"/>
        <v>1</v>
      </c>
      <c r="AI694" s="51" t="b">
        <f t="shared" si="458"/>
        <v>0</v>
      </c>
      <c r="AJ694" s="51" t="b">
        <f t="shared" si="459"/>
        <v>0</v>
      </c>
      <c r="AK694" s="51" t="b">
        <f t="shared" si="460"/>
        <v>0</v>
      </c>
      <c r="AL694" s="51" t="b">
        <f t="shared" si="461"/>
        <v>0</v>
      </c>
      <c r="AM694" s="51" t="b">
        <f t="shared" si="462"/>
        <v>0</v>
      </c>
      <c r="AN694" s="51"/>
      <c r="AO694" s="51" t="b">
        <f t="shared" si="463"/>
        <v>0</v>
      </c>
      <c r="AP694" s="51" t="str">
        <f t="shared" si="485"/>
        <v>Not in MMS</v>
      </c>
      <c r="AQ694" s="51" t="b">
        <f t="shared" si="464"/>
        <v>0</v>
      </c>
      <c r="AR694" s="51" t="b">
        <f t="shared" si="465"/>
        <v>0</v>
      </c>
      <c r="AS694" s="51" t="str">
        <f t="shared" si="466"/>
        <v/>
      </c>
      <c r="AT694" s="51" t="str">
        <f t="shared" si="467"/>
        <v/>
      </c>
      <c r="AU694" s="51" t="str">
        <f t="shared" si="468"/>
        <v/>
      </c>
      <c r="AV694" s="51" t="str">
        <f t="shared" si="469"/>
        <v/>
      </c>
      <c r="AW694" s="51" t="str">
        <f t="shared" si="470"/>
        <v/>
      </c>
      <c r="AX694" s="51" t="str">
        <f t="shared" si="471"/>
        <v/>
      </c>
      <c r="AY694" s="51" t="str">
        <f t="shared" si="472"/>
        <v/>
      </c>
      <c r="AZ694" s="51" t="str">
        <f t="shared" si="473"/>
        <v/>
      </c>
      <c r="BA694" s="51" t="str">
        <f t="shared" si="474"/>
        <v/>
      </c>
      <c r="BB694" s="51" t="str">
        <f t="shared" si="475"/>
        <v/>
      </c>
      <c r="BC694" s="51" t="str">
        <f t="shared" si="476"/>
        <v/>
      </c>
      <c r="BD694" s="51" t="str">
        <f t="shared" si="477"/>
        <v/>
      </c>
      <c r="BE694" s="51" t="str">
        <f t="shared" si="478"/>
        <v/>
      </c>
      <c r="BF694" s="51" t="str">
        <f t="shared" si="479"/>
        <v/>
      </c>
      <c r="BG694" s="51" t="str">
        <f t="shared" si="480"/>
        <v/>
      </c>
      <c r="BH694" s="51" t="b">
        <f t="shared" si="481"/>
        <v>0</v>
      </c>
      <c r="BI694" s="51" t="str">
        <f t="shared" si="482"/>
        <v/>
      </c>
      <c r="BJ694" s="51" t="str">
        <f t="shared" si="483"/>
        <v/>
      </c>
      <c r="BK694" s="51" t="b">
        <f t="shared" si="484"/>
        <v>0</v>
      </c>
      <c r="BL694" s="192"/>
    </row>
    <row r="695" spans="1:64" ht="13.5" thickBot="1" x14ac:dyDescent="0.25">
      <c r="A695" s="185" t="s">
        <v>1366</v>
      </c>
      <c r="B695" s="194" t="s">
        <v>695</v>
      </c>
      <c r="C695" s="194" t="s">
        <v>695</v>
      </c>
      <c r="D695" s="194" t="s">
        <v>695</v>
      </c>
      <c r="E695" s="193" t="s">
        <v>694</v>
      </c>
      <c r="F695" s="160" t="s">
        <v>20</v>
      </c>
      <c r="G695" s="161"/>
      <c r="H695" s="186" t="str">
        <f t="shared" si="442"/>
        <v>N/A</v>
      </c>
      <c r="I695" s="186" t="b">
        <f t="shared" si="443"/>
        <v>1</v>
      </c>
      <c r="J695" s="186" t="str">
        <f t="shared" si="444"/>
        <v>N/A</v>
      </c>
      <c r="K695" s="186" t="b">
        <f t="shared" si="445"/>
        <v>1</v>
      </c>
      <c r="L695" s="186" t="str">
        <f t="shared" si="446"/>
        <v>N/A</v>
      </c>
      <c r="M695" s="186" t="b">
        <f t="shared" si="447"/>
        <v>1</v>
      </c>
      <c r="N695" s="186" t="str">
        <f t="shared" si="448"/>
        <v>Used?</v>
      </c>
      <c r="O695" s="186" t="b">
        <f t="shared" si="449"/>
        <v>0</v>
      </c>
      <c r="P695" s="26" t="s">
        <v>696</v>
      </c>
      <c r="Q695" s="160" t="s">
        <v>20</v>
      </c>
      <c r="R695" s="160" t="s">
        <v>20</v>
      </c>
      <c r="S695" s="26" t="s">
        <v>697</v>
      </c>
      <c r="T695" s="165" t="str">
        <f t="shared" si="450"/>
        <v>Not Used</v>
      </c>
      <c r="U695" s="162"/>
      <c r="V695" s="55"/>
      <c r="W695" s="51" t="b">
        <f t="shared" si="451"/>
        <v>1</v>
      </c>
      <c r="X695" s="51" t="str">
        <f t="shared" si="452"/>
        <v>Not Used</v>
      </c>
      <c r="Y695" s="51" t="str">
        <f t="shared" si="453"/>
        <v>Not Used</v>
      </c>
      <c r="Z695" s="51" t="str">
        <f t="shared" si="454"/>
        <v>Not Used</v>
      </c>
      <c r="AA695" s="51" t="str">
        <f t="shared" si="454"/>
        <v>Not Used</v>
      </c>
      <c r="AB695" s="51" t="str">
        <f t="shared" si="455"/>
        <v>Not Used</v>
      </c>
      <c r="AC695" s="51" t="b">
        <f t="shared" si="456"/>
        <v>1</v>
      </c>
      <c r="AD695" s="51">
        <f>COUNTIF($X$5:$X$695, "Not Used")</f>
        <v>691</v>
      </c>
      <c r="AE695" s="51">
        <f>COUNTIF($X$5:$X$695, "TRUE")</f>
        <v>0</v>
      </c>
      <c r="AF695" s="51" t="b">
        <f t="shared" si="457"/>
        <v>1</v>
      </c>
      <c r="AI695" s="51" t="b">
        <f t="shared" si="458"/>
        <v>0</v>
      </c>
      <c r="AJ695" s="51" t="b">
        <f t="shared" si="459"/>
        <v>0</v>
      </c>
      <c r="AK695" s="51" t="b">
        <f t="shared" si="460"/>
        <v>0</v>
      </c>
      <c r="AL695" s="51" t="b">
        <f t="shared" si="461"/>
        <v>0</v>
      </c>
      <c r="AM695" s="51" t="b">
        <f t="shared" si="462"/>
        <v>0</v>
      </c>
      <c r="AN695" s="51"/>
      <c r="AO695" s="51" t="b">
        <f t="shared" si="463"/>
        <v>0</v>
      </c>
      <c r="AP695" s="51" t="str">
        <f t="shared" si="485"/>
        <v>Not in MMS</v>
      </c>
      <c r="AQ695" s="51" t="b">
        <f t="shared" si="464"/>
        <v>0</v>
      </c>
      <c r="AR695" s="51" t="b">
        <f t="shared" si="465"/>
        <v>0</v>
      </c>
      <c r="AS695" s="51" t="str">
        <f t="shared" si="466"/>
        <v/>
      </c>
      <c r="AT695" s="51" t="str">
        <f t="shared" si="467"/>
        <v/>
      </c>
      <c r="AU695" s="51" t="str">
        <f t="shared" si="468"/>
        <v/>
      </c>
      <c r="AV695" s="51" t="str">
        <f t="shared" si="469"/>
        <v/>
      </c>
      <c r="AW695" s="51" t="str">
        <f t="shared" si="470"/>
        <v/>
      </c>
      <c r="AX695" s="51" t="str">
        <f t="shared" si="471"/>
        <v/>
      </c>
      <c r="AY695" s="51" t="str">
        <f t="shared" si="472"/>
        <v/>
      </c>
      <c r="AZ695" s="51" t="str">
        <f t="shared" si="473"/>
        <v/>
      </c>
      <c r="BA695" s="51" t="str">
        <f t="shared" si="474"/>
        <v/>
      </c>
      <c r="BB695" s="51" t="str">
        <f t="shared" si="475"/>
        <v/>
      </c>
      <c r="BC695" s="51" t="str">
        <f t="shared" si="476"/>
        <v/>
      </c>
      <c r="BD695" s="51" t="str">
        <f t="shared" si="477"/>
        <v/>
      </c>
      <c r="BE695" s="51" t="str">
        <f t="shared" si="478"/>
        <v/>
      </c>
      <c r="BF695" s="51" t="str">
        <f t="shared" si="479"/>
        <v/>
      </c>
      <c r="BG695" s="51" t="str">
        <f t="shared" si="480"/>
        <v/>
      </c>
      <c r="BH695" s="51" t="b">
        <f t="shared" si="481"/>
        <v>0</v>
      </c>
      <c r="BI695" s="51" t="str">
        <f t="shared" si="482"/>
        <v/>
      </c>
      <c r="BJ695" s="51" t="str">
        <f t="shared" si="483"/>
        <v/>
      </c>
      <c r="BK695" s="51" t="b">
        <f t="shared" si="484"/>
        <v>0</v>
      </c>
      <c r="BL695" s="192"/>
    </row>
    <row r="696" spans="1:64" ht="13.5" thickBot="1" x14ac:dyDescent="0.25">
      <c r="A696" s="185" t="s">
        <v>1367</v>
      </c>
      <c r="B696" s="194" t="s">
        <v>695</v>
      </c>
      <c r="C696" s="194" t="s">
        <v>695</v>
      </c>
      <c r="D696" s="194" t="s">
        <v>695</v>
      </c>
      <c r="E696" s="193" t="s">
        <v>694</v>
      </c>
      <c r="F696" s="160" t="s">
        <v>20</v>
      </c>
      <c r="G696" s="161"/>
      <c r="H696" s="186" t="str">
        <f t="shared" si="442"/>
        <v>N/A</v>
      </c>
      <c r="I696" s="186" t="b">
        <f t="shared" si="443"/>
        <v>1</v>
      </c>
      <c r="J696" s="186" t="str">
        <f t="shared" si="444"/>
        <v>N/A</v>
      </c>
      <c r="K696" s="186" t="b">
        <f t="shared" si="445"/>
        <v>1</v>
      </c>
      <c r="L696" s="186" t="str">
        <f t="shared" si="446"/>
        <v>N/A</v>
      </c>
      <c r="M696" s="186" t="b">
        <f t="shared" si="447"/>
        <v>1</v>
      </c>
      <c r="N696" s="186" t="str">
        <f t="shared" si="448"/>
        <v>Used?</v>
      </c>
      <c r="O696" s="186" t="b">
        <f t="shared" si="449"/>
        <v>0</v>
      </c>
      <c r="P696" s="26" t="s">
        <v>696</v>
      </c>
      <c r="Q696" s="160" t="s">
        <v>20</v>
      </c>
      <c r="R696" s="160" t="s">
        <v>20</v>
      </c>
      <c r="S696" s="26" t="s">
        <v>697</v>
      </c>
      <c r="T696" s="165" t="str">
        <f t="shared" si="450"/>
        <v>Not Used</v>
      </c>
      <c r="U696" s="162"/>
      <c r="V696" s="55"/>
      <c r="W696" s="51" t="b">
        <f t="shared" si="451"/>
        <v>1</v>
      </c>
      <c r="X696" s="51" t="str">
        <f t="shared" si="452"/>
        <v>Not Used</v>
      </c>
      <c r="Y696" s="51" t="str">
        <f t="shared" si="453"/>
        <v>Not Used</v>
      </c>
      <c r="Z696" s="51" t="str">
        <f t="shared" si="454"/>
        <v>Not Used</v>
      </c>
      <c r="AA696" s="51" t="str">
        <f t="shared" si="454"/>
        <v>Not Used</v>
      </c>
      <c r="AB696" s="51" t="str">
        <f t="shared" si="455"/>
        <v>Not Used</v>
      </c>
      <c r="AC696" s="51" t="b">
        <f t="shared" si="456"/>
        <v>1</v>
      </c>
      <c r="AD696" s="51">
        <f>COUNTIF($X$5:$X$696, "Not Used")</f>
        <v>692</v>
      </c>
      <c r="AE696" s="51">
        <f>COUNTIF($X$5:$X$696, "TRUE")</f>
        <v>0</v>
      </c>
      <c r="AF696" s="51" t="b">
        <f t="shared" si="457"/>
        <v>1</v>
      </c>
      <c r="AI696" s="51" t="b">
        <f t="shared" si="458"/>
        <v>0</v>
      </c>
      <c r="AJ696" s="51" t="b">
        <f t="shared" si="459"/>
        <v>0</v>
      </c>
      <c r="AK696" s="51" t="b">
        <f t="shared" si="460"/>
        <v>0</v>
      </c>
      <c r="AL696" s="51" t="b">
        <f t="shared" si="461"/>
        <v>0</v>
      </c>
      <c r="AM696" s="51" t="b">
        <f t="shared" si="462"/>
        <v>0</v>
      </c>
      <c r="AN696" s="51"/>
      <c r="AO696" s="51" t="b">
        <f t="shared" si="463"/>
        <v>0</v>
      </c>
      <c r="AP696" s="51" t="str">
        <f t="shared" si="485"/>
        <v>Not in MMS</v>
      </c>
      <c r="AQ696" s="51" t="b">
        <f t="shared" si="464"/>
        <v>0</v>
      </c>
      <c r="AR696" s="51" t="b">
        <f t="shared" si="465"/>
        <v>0</v>
      </c>
      <c r="AS696" s="51" t="str">
        <f t="shared" si="466"/>
        <v/>
      </c>
      <c r="AT696" s="51" t="str">
        <f t="shared" si="467"/>
        <v/>
      </c>
      <c r="AU696" s="51" t="str">
        <f t="shared" si="468"/>
        <v/>
      </c>
      <c r="AV696" s="51" t="str">
        <f t="shared" si="469"/>
        <v/>
      </c>
      <c r="AW696" s="51" t="str">
        <f t="shared" si="470"/>
        <v/>
      </c>
      <c r="AX696" s="51" t="str">
        <f t="shared" si="471"/>
        <v/>
      </c>
      <c r="AY696" s="51" t="str">
        <f t="shared" si="472"/>
        <v/>
      </c>
      <c r="AZ696" s="51" t="str">
        <f t="shared" si="473"/>
        <v/>
      </c>
      <c r="BA696" s="51" t="str">
        <f t="shared" si="474"/>
        <v/>
      </c>
      <c r="BB696" s="51" t="str">
        <f t="shared" si="475"/>
        <v/>
      </c>
      <c r="BC696" s="51" t="str">
        <f t="shared" si="476"/>
        <v/>
      </c>
      <c r="BD696" s="51" t="str">
        <f t="shared" si="477"/>
        <v/>
      </c>
      <c r="BE696" s="51" t="str">
        <f t="shared" si="478"/>
        <v/>
      </c>
      <c r="BF696" s="51" t="str">
        <f t="shared" si="479"/>
        <v/>
      </c>
      <c r="BG696" s="51" t="str">
        <f t="shared" si="480"/>
        <v/>
      </c>
      <c r="BH696" s="51" t="b">
        <f t="shared" si="481"/>
        <v>0</v>
      </c>
      <c r="BI696" s="51" t="str">
        <f t="shared" si="482"/>
        <v/>
      </c>
      <c r="BJ696" s="51" t="str">
        <f t="shared" si="483"/>
        <v/>
      </c>
      <c r="BK696" s="51" t="b">
        <f t="shared" si="484"/>
        <v>0</v>
      </c>
      <c r="BL696" s="192"/>
    </row>
    <row r="697" spans="1:64" ht="13.5" thickBot="1" x14ac:dyDescent="0.25">
      <c r="A697" s="185" t="s">
        <v>1368</v>
      </c>
      <c r="B697" s="194" t="s">
        <v>695</v>
      </c>
      <c r="C697" s="194" t="s">
        <v>695</v>
      </c>
      <c r="D697" s="194" t="s">
        <v>695</v>
      </c>
      <c r="E697" s="193" t="s">
        <v>694</v>
      </c>
      <c r="F697" s="160" t="s">
        <v>20</v>
      </c>
      <c r="G697" s="161"/>
      <c r="H697" s="186" t="str">
        <f t="shared" si="442"/>
        <v>N/A</v>
      </c>
      <c r="I697" s="186" t="b">
        <f t="shared" si="443"/>
        <v>1</v>
      </c>
      <c r="J697" s="186" t="str">
        <f t="shared" si="444"/>
        <v>N/A</v>
      </c>
      <c r="K697" s="186" t="b">
        <f t="shared" si="445"/>
        <v>1</v>
      </c>
      <c r="L697" s="186" t="str">
        <f t="shared" si="446"/>
        <v>N/A</v>
      </c>
      <c r="M697" s="186" t="b">
        <f t="shared" si="447"/>
        <v>1</v>
      </c>
      <c r="N697" s="186" t="str">
        <f t="shared" si="448"/>
        <v>Used?</v>
      </c>
      <c r="O697" s="186" t="b">
        <f t="shared" si="449"/>
        <v>0</v>
      </c>
      <c r="P697" s="26" t="s">
        <v>696</v>
      </c>
      <c r="Q697" s="160" t="s">
        <v>20</v>
      </c>
      <c r="R697" s="160" t="s">
        <v>20</v>
      </c>
      <c r="S697" s="26" t="s">
        <v>697</v>
      </c>
      <c r="T697" s="165" t="str">
        <f t="shared" si="450"/>
        <v>Not Used</v>
      </c>
      <c r="U697" s="162"/>
      <c r="V697" s="55"/>
      <c r="W697" s="51" t="b">
        <f t="shared" si="451"/>
        <v>1</v>
      </c>
      <c r="X697" s="51" t="str">
        <f t="shared" si="452"/>
        <v>Not Used</v>
      </c>
      <c r="Y697" s="51" t="str">
        <f t="shared" si="453"/>
        <v>Not Used</v>
      </c>
      <c r="Z697" s="51" t="str">
        <f t="shared" si="454"/>
        <v>Not Used</v>
      </c>
      <c r="AA697" s="51" t="str">
        <f t="shared" si="454"/>
        <v>Not Used</v>
      </c>
      <c r="AB697" s="51" t="str">
        <f t="shared" si="455"/>
        <v>Not Used</v>
      </c>
      <c r="AC697" s="51" t="b">
        <f t="shared" si="456"/>
        <v>1</v>
      </c>
      <c r="AD697" s="51">
        <f>COUNTIF($X$5:$X$697, "Not Used")</f>
        <v>693</v>
      </c>
      <c r="AE697" s="51">
        <f>COUNTIF($X$5:$X$697, "TRUE")</f>
        <v>0</v>
      </c>
      <c r="AF697" s="51" t="b">
        <f t="shared" si="457"/>
        <v>1</v>
      </c>
      <c r="AI697" s="51" t="b">
        <f t="shared" si="458"/>
        <v>0</v>
      </c>
      <c r="AJ697" s="51" t="b">
        <f t="shared" si="459"/>
        <v>0</v>
      </c>
      <c r="AK697" s="51" t="b">
        <f t="shared" si="460"/>
        <v>0</v>
      </c>
      <c r="AL697" s="51" t="b">
        <f t="shared" si="461"/>
        <v>0</v>
      </c>
      <c r="AM697" s="51" t="b">
        <f t="shared" si="462"/>
        <v>0</v>
      </c>
      <c r="AN697" s="51"/>
      <c r="AO697" s="51" t="b">
        <f t="shared" si="463"/>
        <v>0</v>
      </c>
      <c r="AP697" s="51" t="str">
        <f t="shared" si="485"/>
        <v>Not in MMS</v>
      </c>
      <c r="AQ697" s="51" t="b">
        <f t="shared" si="464"/>
        <v>0</v>
      </c>
      <c r="AR697" s="51" t="b">
        <f t="shared" si="465"/>
        <v>0</v>
      </c>
      <c r="AS697" s="51" t="str">
        <f t="shared" si="466"/>
        <v/>
      </c>
      <c r="AT697" s="51" t="str">
        <f t="shared" si="467"/>
        <v/>
      </c>
      <c r="AU697" s="51" t="str">
        <f t="shared" si="468"/>
        <v/>
      </c>
      <c r="AV697" s="51" t="str">
        <f t="shared" si="469"/>
        <v/>
      </c>
      <c r="AW697" s="51" t="str">
        <f t="shared" si="470"/>
        <v/>
      </c>
      <c r="AX697" s="51" t="str">
        <f t="shared" si="471"/>
        <v/>
      </c>
      <c r="AY697" s="51" t="str">
        <f t="shared" si="472"/>
        <v/>
      </c>
      <c r="AZ697" s="51" t="str">
        <f t="shared" si="473"/>
        <v/>
      </c>
      <c r="BA697" s="51" t="str">
        <f t="shared" si="474"/>
        <v/>
      </c>
      <c r="BB697" s="51" t="str">
        <f t="shared" si="475"/>
        <v/>
      </c>
      <c r="BC697" s="51" t="str">
        <f t="shared" si="476"/>
        <v/>
      </c>
      <c r="BD697" s="51" t="str">
        <f t="shared" si="477"/>
        <v/>
      </c>
      <c r="BE697" s="51" t="str">
        <f t="shared" si="478"/>
        <v/>
      </c>
      <c r="BF697" s="51" t="str">
        <f t="shared" si="479"/>
        <v/>
      </c>
      <c r="BG697" s="51" t="str">
        <f t="shared" si="480"/>
        <v/>
      </c>
      <c r="BH697" s="51" t="b">
        <f t="shared" si="481"/>
        <v>0</v>
      </c>
      <c r="BI697" s="51" t="str">
        <f t="shared" si="482"/>
        <v/>
      </c>
      <c r="BJ697" s="51" t="str">
        <f t="shared" si="483"/>
        <v/>
      </c>
      <c r="BK697" s="51" t="b">
        <f t="shared" si="484"/>
        <v>0</v>
      </c>
      <c r="BL697" s="192"/>
    </row>
    <row r="698" spans="1:64" ht="13.5" thickBot="1" x14ac:dyDescent="0.25">
      <c r="A698" s="185" t="s">
        <v>1369</v>
      </c>
      <c r="B698" s="194" t="s">
        <v>695</v>
      </c>
      <c r="C698" s="194" t="s">
        <v>695</v>
      </c>
      <c r="D698" s="194" t="s">
        <v>695</v>
      </c>
      <c r="E698" s="193" t="s">
        <v>694</v>
      </c>
      <c r="F698" s="160" t="s">
        <v>20</v>
      </c>
      <c r="G698" s="161"/>
      <c r="H698" s="186" t="str">
        <f t="shared" si="442"/>
        <v>N/A</v>
      </c>
      <c r="I698" s="186" t="b">
        <f t="shared" si="443"/>
        <v>1</v>
      </c>
      <c r="J698" s="186" t="str">
        <f t="shared" si="444"/>
        <v>N/A</v>
      </c>
      <c r="K698" s="186" t="b">
        <f t="shared" si="445"/>
        <v>1</v>
      </c>
      <c r="L698" s="186" t="str">
        <f t="shared" si="446"/>
        <v>N/A</v>
      </c>
      <c r="M698" s="186" t="b">
        <f t="shared" si="447"/>
        <v>1</v>
      </c>
      <c r="N698" s="186" t="str">
        <f t="shared" si="448"/>
        <v>Used?</v>
      </c>
      <c r="O698" s="186" t="b">
        <f t="shared" si="449"/>
        <v>0</v>
      </c>
      <c r="P698" s="26" t="s">
        <v>696</v>
      </c>
      <c r="Q698" s="160" t="s">
        <v>20</v>
      </c>
      <c r="R698" s="160" t="s">
        <v>20</v>
      </c>
      <c r="S698" s="26" t="s">
        <v>697</v>
      </c>
      <c r="T698" s="165" t="str">
        <f t="shared" si="450"/>
        <v>Not Used</v>
      </c>
      <c r="U698" s="162"/>
      <c r="V698" s="55"/>
      <c r="W698" s="51" t="b">
        <f t="shared" si="451"/>
        <v>1</v>
      </c>
      <c r="X698" s="51" t="str">
        <f t="shared" si="452"/>
        <v>Not Used</v>
      </c>
      <c r="Y698" s="51" t="str">
        <f t="shared" si="453"/>
        <v>Not Used</v>
      </c>
      <c r="Z698" s="51" t="str">
        <f t="shared" si="454"/>
        <v>Not Used</v>
      </c>
      <c r="AA698" s="51" t="str">
        <f t="shared" si="454"/>
        <v>Not Used</v>
      </c>
      <c r="AB698" s="51" t="str">
        <f t="shared" si="455"/>
        <v>Not Used</v>
      </c>
      <c r="AC698" s="51" t="b">
        <f t="shared" si="456"/>
        <v>1</v>
      </c>
      <c r="AD698" s="51">
        <f>COUNTIF($X$5:$X$698, "Not Used")</f>
        <v>694</v>
      </c>
      <c r="AE698" s="51">
        <f>COUNTIF($X$5:$X$698, "TRUE")</f>
        <v>0</v>
      </c>
      <c r="AF698" s="51" t="b">
        <f t="shared" si="457"/>
        <v>1</v>
      </c>
      <c r="AI698" s="51" t="b">
        <f t="shared" si="458"/>
        <v>0</v>
      </c>
      <c r="AJ698" s="51" t="b">
        <f t="shared" si="459"/>
        <v>0</v>
      </c>
      <c r="AK698" s="51" t="b">
        <f t="shared" si="460"/>
        <v>0</v>
      </c>
      <c r="AL698" s="51" t="b">
        <f t="shared" si="461"/>
        <v>0</v>
      </c>
      <c r="AM698" s="51" t="b">
        <f t="shared" si="462"/>
        <v>0</v>
      </c>
      <c r="AN698" s="51"/>
      <c r="AO698" s="51" t="b">
        <f t="shared" si="463"/>
        <v>0</v>
      </c>
      <c r="AP698" s="51" t="str">
        <f t="shared" si="485"/>
        <v>Not in MMS</v>
      </c>
      <c r="AQ698" s="51" t="b">
        <f t="shared" si="464"/>
        <v>0</v>
      </c>
      <c r="AR698" s="51" t="b">
        <f t="shared" si="465"/>
        <v>0</v>
      </c>
      <c r="AS698" s="51" t="str">
        <f t="shared" si="466"/>
        <v/>
      </c>
      <c r="AT698" s="51" t="str">
        <f t="shared" si="467"/>
        <v/>
      </c>
      <c r="AU698" s="51" t="str">
        <f t="shared" si="468"/>
        <v/>
      </c>
      <c r="AV698" s="51" t="str">
        <f t="shared" si="469"/>
        <v/>
      </c>
      <c r="AW698" s="51" t="str">
        <f t="shared" si="470"/>
        <v/>
      </c>
      <c r="AX698" s="51" t="str">
        <f t="shared" si="471"/>
        <v/>
      </c>
      <c r="AY698" s="51" t="str">
        <f t="shared" si="472"/>
        <v/>
      </c>
      <c r="AZ698" s="51" t="str">
        <f t="shared" si="473"/>
        <v/>
      </c>
      <c r="BA698" s="51" t="str">
        <f t="shared" si="474"/>
        <v/>
      </c>
      <c r="BB698" s="51" t="str">
        <f t="shared" si="475"/>
        <v/>
      </c>
      <c r="BC698" s="51" t="str">
        <f t="shared" si="476"/>
        <v/>
      </c>
      <c r="BD698" s="51" t="str">
        <f t="shared" si="477"/>
        <v/>
      </c>
      <c r="BE698" s="51" t="str">
        <f t="shared" si="478"/>
        <v/>
      </c>
      <c r="BF698" s="51" t="str">
        <f t="shared" si="479"/>
        <v/>
      </c>
      <c r="BG698" s="51" t="str">
        <f t="shared" si="480"/>
        <v/>
      </c>
      <c r="BH698" s="51" t="b">
        <f t="shared" si="481"/>
        <v>0</v>
      </c>
      <c r="BI698" s="51" t="str">
        <f t="shared" si="482"/>
        <v/>
      </c>
      <c r="BJ698" s="51" t="str">
        <f t="shared" si="483"/>
        <v/>
      </c>
      <c r="BK698" s="51" t="b">
        <f t="shared" si="484"/>
        <v>0</v>
      </c>
      <c r="BL698" s="192"/>
    </row>
    <row r="699" spans="1:64" ht="13.5" thickBot="1" x14ac:dyDescent="0.25">
      <c r="A699" s="185" t="s">
        <v>1370</v>
      </c>
      <c r="B699" s="194" t="s">
        <v>695</v>
      </c>
      <c r="C699" s="194" t="s">
        <v>695</v>
      </c>
      <c r="D699" s="194" t="s">
        <v>695</v>
      </c>
      <c r="E699" s="193" t="s">
        <v>694</v>
      </c>
      <c r="F699" s="160" t="s">
        <v>20</v>
      </c>
      <c r="G699" s="161"/>
      <c r="H699" s="186" t="str">
        <f t="shared" si="442"/>
        <v>N/A</v>
      </c>
      <c r="I699" s="186" t="b">
        <f t="shared" si="443"/>
        <v>1</v>
      </c>
      <c r="J699" s="186" t="str">
        <f t="shared" si="444"/>
        <v>N/A</v>
      </c>
      <c r="K699" s="186" t="b">
        <f t="shared" si="445"/>
        <v>1</v>
      </c>
      <c r="L699" s="186" t="str">
        <f t="shared" si="446"/>
        <v>N/A</v>
      </c>
      <c r="M699" s="186" t="b">
        <f t="shared" si="447"/>
        <v>1</v>
      </c>
      <c r="N699" s="186" t="str">
        <f t="shared" si="448"/>
        <v>Used?</v>
      </c>
      <c r="O699" s="186" t="b">
        <f t="shared" si="449"/>
        <v>0</v>
      </c>
      <c r="P699" s="26" t="s">
        <v>696</v>
      </c>
      <c r="Q699" s="160" t="s">
        <v>20</v>
      </c>
      <c r="R699" s="160" t="s">
        <v>20</v>
      </c>
      <c r="S699" s="26" t="s">
        <v>697</v>
      </c>
      <c r="T699" s="165" t="str">
        <f t="shared" si="450"/>
        <v>Not Used</v>
      </c>
      <c r="U699" s="162"/>
      <c r="V699" s="55"/>
      <c r="W699" s="51" t="b">
        <f t="shared" si="451"/>
        <v>1</v>
      </c>
      <c r="X699" s="51" t="str">
        <f t="shared" si="452"/>
        <v>Not Used</v>
      </c>
      <c r="Y699" s="51" t="str">
        <f t="shared" si="453"/>
        <v>Not Used</v>
      </c>
      <c r="Z699" s="51" t="str">
        <f t="shared" si="454"/>
        <v>Not Used</v>
      </c>
      <c r="AA699" s="51" t="str">
        <f t="shared" si="454"/>
        <v>Not Used</v>
      </c>
      <c r="AB699" s="51" t="str">
        <f t="shared" si="455"/>
        <v>Not Used</v>
      </c>
      <c r="AC699" s="51" t="b">
        <f t="shared" si="456"/>
        <v>1</v>
      </c>
      <c r="AD699" s="51">
        <f>COUNTIF($X$5:$X$699, "Not Used")</f>
        <v>695</v>
      </c>
      <c r="AE699" s="51">
        <f>COUNTIF($X$5:$X$699, "TRUE")</f>
        <v>0</v>
      </c>
      <c r="AF699" s="51" t="b">
        <f t="shared" si="457"/>
        <v>1</v>
      </c>
      <c r="AI699" s="51" t="b">
        <f t="shared" si="458"/>
        <v>0</v>
      </c>
      <c r="AJ699" s="51" t="b">
        <f t="shared" si="459"/>
        <v>0</v>
      </c>
      <c r="AK699" s="51" t="b">
        <f t="shared" si="460"/>
        <v>0</v>
      </c>
      <c r="AL699" s="51" t="b">
        <f t="shared" si="461"/>
        <v>0</v>
      </c>
      <c r="AM699" s="51" t="b">
        <f t="shared" si="462"/>
        <v>0</v>
      </c>
      <c r="AN699" s="51"/>
      <c r="AO699" s="51" t="b">
        <f t="shared" si="463"/>
        <v>0</v>
      </c>
      <c r="AP699" s="51" t="str">
        <f t="shared" si="485"/>
        <v>Not in MMS</v>
      </c>
      <c r="AQ699" s="51" t="b">
        <f t="shared" si="464"/>
        <v>0</v>
      </c>
      <c r="AR699" s="51" t="b">
        <f t="shared" si="465"/>
        <v>0</v>
      </c>
      <c r="AS699" s="51" t="str">
        <f t="shared" si="466"/>
        <v/>
      </c>
      <c r="AT699" s="51" t="str">
        <f t="shared" si="467"/>
        <v/>
      </c>
      <c r="AU699" s="51" t="str">
        <f t="shared" si="468"/>
        <v/>
      </c>
      <c r="AV699" s="51" t="str">
        <f t="shared" si="469"/>
        <v/>
      </c>
      <c r="AW699" s="51" t="str">
        <f t="shared" si="470"/>
        <v/>
      </c>
      <c r="AX699" s="51" t="str">
        <f t="shared" si="471"/>
        <v/>
      </c>
      <c r="AY699" s="51" t="str">
        <f t="shared" si="472"/>
        <v/>
      </c>
      <c r="AZ699" s="51" t="str">
        <f t="shared" si="473"/>
        <v/>
      </c>
      <c r="BA699" s="51" t="str">
        <f t="shared" si="474"/>
        <v/>
      </c>
      <c r="BB699" s="51" t="str">
        <f t="shared" si="475"/>
        <v/>
      </c>
      <c r="BC699" s="51" t="str">
        <f t="shared" si="476"/>
        <v/>
      </c>
      <c r="BD699" s="51" t="str">
        <f t="shared" si="477"/>
        <v/>
      </c>
      <c r="BE699" s="51" t="str">
        <f t="shared" si="478"/>
        <v/>
      </c>
      <c r="BF699" s="51" t="str">
        <f t="shared" si="479"/>
        <v/>
      </c>
      <c r="BG699" s="51" t="str">
        <f t="shared" si="480"/>
        <v/>
      </c>
      <c r="BH699" s="51" t="b">
        <f t="shared" si="481"/>
        <v>0</v>
      </c>
      <c r="BI699" s="51" t="str">
        <f t="shared" si="482"/>
        <v/>
      </c>
      <c r="BJ699" s="51" t="str">
        <f t="shared" si="483"/>
        <v/>
      </c>
      <c r="BK699" s="51" t="b">
        <f t="shared" si="484"/>
        <v>0</v>
      </c>
      <c r="BL699" s="192"/>
    </row>
    <row r="700" spans="1:64" ht="13.5" thickBot="1" x14ac:dyDescent="0.25">
      <c r="A700" s="185" t="s">
        <v>1371</v>
      </c>
      <c r="B700" s="194" t="s">
        <v>695</v>
      </c>
      <c r="C700" s="194" t="s">
        <v>695</v>
      </c>
      <c r="D700" s="194" t="s">
        <v>695</v>
      </c>
      <c r="E700" s="193" t="s">
        <v>694</v>
      </c>
      <c r="F700" s="160" t="s">
        <v>20</v>
      </c>
      <c r="G700" s="161"/>
      <c r="H700" s="186" t="str">
        <f t="shared" si="442"/>
        <v>N/A</v>
      </c>
      <c r="I700" s="186" t="b">
        <f t="shared" si="443"/>
        <v>1</v>
      </c>
      <c r="J700" s="186" t="str">
        <f t="shared" si="444"/>
        <v>N/A</v>
      </c>
      <c r="K700" s="186" t="b">
        <f t="shared" si="445"/>
        <v>1</v>
      </c>
      <c r="L700" s="186" t="str">
        <f t="shared" si="446"/>
        <v>N/A</v>
      </c>
      <c r="M700" s="186" t="b">
        <f t="shared" si="447"/>
        <v>1</v>
      </c>
      <c r="N700" s="186" t="str">
        <f t="shared" si="448"/>
        <v>Used?</v>
      </c>
      <c r="O700" s="186" t="b">
        <f t="shared" si="449"/>
        <v>0</v>
      </c>
      <c r="P700" s="26" t="s">
        <v>696</v>
      </c>
      <c r="Q700" s="160" t="s">
        <v>20</v>
      </c>
      <c r="R700" s="160" t="s">
        <v>20</v>
      </c>
      <c r="S700" s="26" t="s">
        <v>697</v>
      </c>
      <c r="T700" s="165" t="str">
        <f t="shared" si="450"/>
        <v>Not Used</v>
      </c>
      <c r="U700" s="162"/>
      <c r="V700" s="55"/>
      <c r="W700" s="51" t="b">
        <f t="shared" si="451"/>
        <v>1</v>
      </c>
      <c r="X700" s="51" t="str">
        <f t="shared" si="452"/>
        <v>Not Used</v>
      </c>
      <c r="Y700" s="51" t="str">
        <f t="shared" si="453"/>
        <v>Not Used</v>
      </c>
      <c r="Z700" s="51" t="str">
        <f t="shared" si="454"/>
        <v>Not Used</v>
      </c>
      <c r="AA700" s="51" t="str">
        <f t="shared" si="454"/>
        <v>Not Used</v>
      </c>
      <c r="AB700" s="51" t="str">
        <f t="shared" si="455"/>
        <v>Not Used</v>
      </c>
      <c r="AC700" s="51" t="b">
        <f t="shared" si="456"/>
        <v>1</v>
      </c>
      <c r="AD700" s="51">
        <f>COUNTIF($X$5:$X$700, "Not Used")</f>
        <v>696</v>
      </c>
      <c r="AE700" s="51">
        <f>COUNTIF($X$5:$X$700, "TRUE")</f>
        <v>0</v>
      </c>
      <c r="AF700" s="51" t="b">
        <f t="shared" si="457"/>
        <v>1</v>
      </c>
      <c r="AI700" s="51" t="b">
        <f t="shared" si="458"/>
        <v>0</v>
      </c>
      <c r="AJ700" s="51" t="b">
        <f t="shared" si="459"/>
        <v>0</v>
      </c>
      <c r="AK700" s="51" t="b">
        <f t="shared" si="460"/>
        <v>0</v>
      </c>
      <c r="AL700" s="51" t="b">
        <f t="shared" si="461"/>
        <v>0</v>
      </c>
      <c r="AM700" s="51" t="b">
        <f t="shared" si="462"/>
        <v>0</v>
      </c>
      <c r="AN700" s="51"/>
      <c r="AO700" s="51" t="b">
        <f t="shared" si="463"/>
        <v>0</v>
      </c>
      <c r="AP700" s="51" t="str">
        <f t="shared" si="485"/>
        <v>Not in MMS</v>
      </c>
      <c r="AQ700" s="51" t="b">
        <f t="shared" si="464"/>
        <v>0</v>
      </c>
      <c r="AR700" s="51" t="b">
        <f t="shared" si="465"/>
        <v>0</v>
      </c>
      <c r="AS700" s="51" t="str">
        <f t="shared" si="466"/>
        <v/>
      </c>
      <c r="AT700" s="51" t="str">
        <f t="shared" si="467"/>
        <v/>
      </c>
      <c r="AU700" s="51" t="str">
        <f t="shared" si="468"/>
        <v/>
      </c>
      <c r="AV700" s="51" t="str">
        <f t="shared" si="469"/>
        <v/>
      </c>
      <c r="AW700" s="51" t="str">
        <f t="shared" si="470"/>
        <v/>
      </c>
      <c r="AX700" s="51" t="str">
        <f t="shared" si="471"/>
        <v/>
      </c>
      <c r="AY700" s="51" t="str">
        <f t="shared" si="472"/>
        <v/>
      </c>
      <c r="AZ700" s="51" t="str">
        <f t="shared" si="473"/>
        <v/>
      </c>
      <c r="BA700" s="51" t="str">
        <f t="shared" si="474"/>
        <v/>
      </c>
      <c r="BB700" s="51" t="str">
        <f t="shared" si="475"/>
        <v/>
      </c>
      <c r="BC700" s="51" t="str">
        <f t="shared" si="476"/>
        <v/>
      </c>
      <c r="BD700" s="51" t="str">
        <f t="shared" si="477"/>
        <v/>
      </c>
      <c r="BE700" s="51" t="str">
        <f t="shared" si="478"/>
        <v/>
      </c>
      <c r="BF700" s="51" t="str">
        <f t="shared" si="479"/>
        <v/>
      </c>
      <c r="BG700" s="51" t="str">
        <f t="shared" si="480"/>
        <v/>
      </c>
      <c r="BH700" s="51" t="b">
        <f t="shared" si="481"/>
        <v>0</v>
      </c>
      <c r="BI700" s="51" t="str">
        <f t="shared" si="482"/>
        <v/>
      </c>
      <c r="BJ700" s="51" t="str">
        <f t="shared" si="483"/>
        <v/>
      </c>
      <c r="BK700" s="51" t="b">
        <f t="shared" si="484"/>
        <v>0</v>
      </c>
      <c r="BL700" s="192"/>
    </row>
    <row r="701" spans="1:64" ht="13.5" thickBot="1" x14ac:dyDescent="0.25">
      <c r="A701" s="185" t="s">
        <v>1372</v>
      </c>
      <c r="B701" s="194" t="s">
        <v>695</v>
      </c>
      <c r="C701" s="194" t="s">
        <v>695</v>
      </c>
      <c r="D701" s="194" t="s">
        <v>695</v>
      </c>
      <c r="E701" s="193" t="s">
        <v>694</v>
      </c>
      <c r="F701" s="160" t="s">
        <v>20</v>
      </c>
      <c r="G701" s="161"/>
      <c r="H701" s="186" t="str">
        <f t="shared" si="442"/>
        <v>N/A</v>
      </c>
      <c r="I701" s="186" t="b">
        <f t="shared" si="443"/>
        <v>1</v>
      </c>
      <c r="J701" s="186" t="str">
        <f t="shared" si="444"/>
        <v>N/A</v>
      </c>
      <c r="K701" s="186" t="b">
        <f t="shared" si="445"/>
        <v>1</v>
      </c>
      <c r="L701" s="186" t="str">
        <f t="shared" si="446"/>
        <v>N/A</v>
      </c>
      <c r="M701" s="186" t="b">
        <f t="shared" si="447"/>
        <v>1</v>
      </c>
      <c r="N701" s="186" t="str">
        <f t="shared" si="448"/>
        <v>Used?</v>
      </c>
      <c r="O701" s="186" t="b">
        <f t="shared" si="449"/>
        <v>0</v>
      </c>
      <c r="P701" s="26" t="s">
        <v>696</v>
      </c>
      <c r="Q701" s="160" t="s">
        <v>20</v>
      </c>
      <c r="R701" s="160" t="s">
        <v>20</v>
      </c>
      <c r="S701" s="26" t="s">
        <v>697</v>
      </c>
      <c r="T701" s="165" t="str">
        <f t="shared" si="450"/>
        <v>Not Used</v>
      </c>
      <c r="U701" s="162"/>
      <c r="V701" s="55"/>
      <c r="W701" s="51" t="b">
        <f t="shared" si="451"/>
        <v>1</v>
      </c>
      <c r="X701" s="51" t="str">
        <f t="shared" si="452"/>
        <v>Not Used</v>
      </c>
      <c r="Y701" s="51" t="str">
        <f t="shared" si="453"/>
        <v>Not Used</v>
      </c>
      <c r="Z701" s="51" t="str">
        <f t="shared" si="454"/>
        <v>Not Used</v>
      </c>
      <c r="AA701" s="51" t="str">
        <f t="shared" si="454"/>
        <v>Not Used</v>
      </c>
      <c r="AB701" s="51" t="str">
        <f t="shared" si="455"/>
        <v>Not Used</v>
      </c>
      <c r="AC701" s="51" t="b">
        <f t="shared" si="456"/>
        <v>1</v>
      </c>
      <c r="AD701" s="51">
        <f>COUNTIF($X$5:$X$701, "Not Used")</f>
        <v>697</v>
      </c>
      <c r="AE701" s="51">
        <f>COUNTIF($X$5:$X$701, "TRUE")</f>
        <v>0</v>
      </c>
      <c r="AF701" s="51" t="b">
        <f t="shared" si="457"/>
        <v>1</v>
      </c>
      <c r="AI701" s="51" t="b">
        <f t="shared" si="458"/>
        <v>0</v>
      </c>
      <c r="AJ701" s="51" t="b">
        <f t="shared" si="459"/>
        <v>0</v>
      </c>
      <c r="AK701" s="51" t="b">
        <f t="shared" si="460"/>
        <v>0</v>
      </c>
      <c r="AL701" s="51" t="b">
        <f t="shared" si="461"/>
        <v>0</v>
      </c>
      <c r="AM701" s="51" t="b">
        <f t="shared" si="462"/>
        <v>0</v>
      </c>
      <c r="AN701" s="51"/>
      <c r="AO701" s="51" t="b">
        <f t="shared" si="463"/>
        <v>0</v>
      </c>
      <c r="AP701" s="51" t="str">
        <f t="shared" si="485"/>
        <v>Not in MMS</v>
      </c>
      <c r="AQ701" s="51" t="b">
        <f t="shared" si="464"/>
        <v>0</v>
      </c>
      <c r="AR701" s="51" t="b">
        <f t="shared" si="465"/>
        <v>0</v>
      </c>
      <c r="AS701" s="51" t="str">
        <f t="shared" si="466"/>
        <v/>
      </c>
      <c r="AT701" s="51" t="str">
        <f t="shared" si="467"/>
        <v/>
      </c>
      <c r="AU701" s="51" t="str">
        <f t="shared" si="468"/>
        <v/>
      </c>
      <c r="AV701" s="51" t="str">
        <f t="shared" si="469"/>
        <v/>
      </c>
      <c r="AW701" s="51" t="str">
        <f t="shared" si="470"/>
        <v/>
      </c>
      <c r="AX701" s="51" t="str">
        <f t="shared" si="471"/>
        <v/>
      </c>
      <c r="AY701" s="51" t="str">
        <f t="shared" si="472"/>
        <v/>
      </c>
      <c r="AZ701" s="51" t="str">
        <f t="shared" si="473"/>
        <v/>
      </c>
      <c r="BA701" s="51" t="str">
        <f t="shared" si="474"/>
        <v/>
      </c>
      <c r="BB701" s="51" t="str">
        <f t="shared" si="475"/>
        <v/>
      </c>
      <c r="BC701" s="51" t="str">
        <f t="shared" si="476"/>
        <v/>
      </c>
      <c r="BD701" s="51" t="str">
        <f t="shared" si="477"/>
        <v/>
      </c>
      <c r="BE701" s="51" t="str">
        <f t="shared" si="478"/>
        <v/>
      </c>
      <c r="BF701" s="51" t="str">
        <f t="shared" si="479"/>
        <v/>
      </c>
      <c r="BG701" s="51" t="str">
        <f t="shared" si="480"/>
        <v/>
      </c>
      <c r="BH701" s="51" t="b">
        <f t="shared" si="481"/>
        <v>0</v>
      </c>
      <c r="BI701" s="51" t="str">
        <f t="shared" si="482"/>
        <v/>
      </c>
      <c r="BJ701" s="51" t="str">
        <f t="shared" si="483"/>
        <v/>
      </c>
      <c r="BK701" s="51" t="b">
        <f t="shared" si="484"/>
        <v>0</v>
      </c>
      <c r="BL701" s="192"/>
    </row>
    <row r="702" spans="1:64" ht="13.5" thickBot="1" x14ac:dyDescent="0.25">
      <c r="A702" s="185" t="s">
        <v>1373</v>
      </c>
      <c r="B702" s="194" t="s">
        <v>695</v>
      </c>
      <c r="C702" s="194" t="s">
        <v>695</v>
      </c>
      <c r="D702" s="194" t="s">
        <v>695</v>
      </c>
      <c r="E702" s="193" t="s">
        <v>694</v>
      </c>
      <c r="F702" s="160" t="s">
        <v>20</v>
      </c>
      <c r="G702" s="161"/>
      <c r="H702" s="186" t="str">
        <f t="shared" si="442"/>
        <v>N/A</v>
      </c>
      <c r="I702" s="186" t="b">
        <f t="shared" si="443"/>
        <v>1</v>
      </c>
      <c r="J702" s="186" t="str">
        <f t="shared" si="444"/>
        <v>N/A</v>
      </c>
      <c r="K702" s="186" t="b">
        <f t="shared" si="445"/>
        <v>1</v>
      </c>
      <c r="L702" s="186" t="str">
        <f t="shared" si="446"/>
        <v>N/A</v>
      </c>
      <c r="M702" s="186" t="b">
        <f t="shared" si="447"/>
        <v>1</v>
      </c>
      <c r="N702" s="186" t="str">
        <f t="shared" si="448"/>
        <v>Used?</v>
      </c>
      <c r="O702" s="186" t="b">
        <f t="shared" si="449"/>
        <v>0</v>
      </c>
      <c r="P702" s="26" t="s">
        <v>696</v>
      </c>
      <c r="Q702" s="160" t="s">
        <v>20</v>
      </c>
      <c r="R702" s="160" t="s">
        <v>20</v>
      </c>
      <c r="S702" s="26" t="s">
        <v>697</v>
      </c>
      <c r="T702" s="165" t="str">
        <f t="shared" si="450"/>
        <v>Not Used</v>
      </c>
      <c r="U702" s="162"/>
      <c r="V702" s="55"/>
      <c r="W702" s="51" t="b">
        <f t="shared" si="451"/>
        <v>1</v>
      </c>
      <c r="X702" s="51" t="str">
        <f t="shared" si="452"/>
        <v>Not Used</v>
      </c>
      <c r="Y702" s="51" t="str">
        <f t="shared" si="453"/>
        <v>Not Used</v>
      </c>
      <c r="Z702" s="51" t="str">
        <f t="shared" si="454"/>
        <v>Not Used</v>
      </c>
      <c r="AA702" s="51" t="str">
        <f t="shared" si="454"/>
        <v>Not Used</v>
      </c>
      <c r="AB702" s="51" t="str">
        <f t="shared" si="455"/>
        <v>Not Used</v>
      </c>
      <c r="AC702" s="51" t="b">
        <f t="shared" si="456"/>
        <v>1</v>
      </c>
      <c r="AD702" s="51">
        <f>COUNTIF($X$5:$X$702, "Not Used")</f>
        <v>698</v>
      </c>
      <c r="AE702" s="51">
        <f>COUNTIF($X$5:$X$702, "TRUE")</f>
        <v>0</v>
      </c>
      <c r="AF702" s="51" t="b">
        <f t="shared" si="457"/>
        <v>1</v>
      </c>
      <c r="AI702" s="51" t="b">
        <f t="shared" si="458"/>
        <v>0</v>
      </c>
      <c r="AJ702" s="51" t="b">
        <f t="shared" si="459"/>
        <v>0</v>
      </c>
      <c r="AK702" s="51" t="b">
        <f t="shared" si="460"/>
        <v>0</v>
      </c>
      <c r="AL702" s="51" t="b">
        <f t="shared" si="461"/>
        <v>0</v>
      </c>
      <c r="AM702" s="51" t="b">
        <f t="shared" si="462"/>
        <v>0</v>
      </c>
      <c r="AN702" s="51"/>
      <c r="AO702" s="51" t="b">
        <f t="shared" si="463"/>
        <v>0</v>
      </c>
      <c r="AP702" s="51" t="str">
        <f t="shared" si="485"/>
        <v>Not in MMS</v>
      </c>
      <c r="AQ702" s="51" t="b">
        <f t="shared" si="464"/>
        <v>0</v>
      </c>
      <c r="AR702" s="51" t="b">
        <f t="shared" si="465"/>
        <v>0</v>
      </c>
      <c r="AS702" s="51" t="str">
        <f t="shared" si="466"/>
        <v/>
      </c>
      <c r="AT702" s="51" t="str">
        <f t="shared" si="467"/>
        <v/>
      </c>
      <c r="AU702" s="51" t="str">
        <f t="shared" si="468"/>
        <v/>
      </c>
      <c r="AV702" s="51" t="str">
        <f t="shared" si="469"/>
        <v/>
      </c>
      <c r="AW702" s="51" t="str">
        <f t="shared" si="470"/>
        <v/>
      </c>
      <c r="AX702" s="51" t="str">
        <f t="shared" si="471"/>
        <v/>
      </c>
      <c r="AY702" s="51" t="str">
        <f t="shared" si="472"/>
        <v/>
      </c>
      <c r="AZ702" s="51" t="str">
        <f t="shared" si="473"/>
        <v/>
      </c>
      <c r="BA702" s="51" t="str">
        <f t="shared" si="474"/>
        <v/>
      </c>
      <c r="BB702" s="51" t="str">
        <f t="shared" si="475"/>
        <v/>
      </c>
      <c r="BC702" s="51" t="str">
        <f t="shared" si="476"/>
        <v/>
      </c>
      <c r="BD702" s="51" t="str">
        <f t="shared" si="477"/>
        <v/>
      </c>
      <c r="BE702" s="51" t="str">
        <f t="shared" si="478"/>
        <v/>
      </c>
      <c r="BF702" s="51" t="str">
        <f t="shared" si="479"/>
        <v/>
      </c>
      <c r="BG702" s="51" t="str">
        <f t="shared" si="480"/>
        <v/>
      </c>
      <c r="BH702" s="51" t="b">
        <f t="shared" si="481"/>
        <v>0</v>
      </c>
      <c r="BI702" s="51" t="str">
        <f t="shared" si="482"/>
        <v/>
      </c>
      <c r="BJ702" s="51" t="str">
        <f t="shared" si="483"/>
        <v/>
      </c>
      <c r="BK702" s="51" t="b">
        <f t="shared" si="484"/>
        <v>0</v>
      </c>
      <c r="BL702" s="192"/>
    </row>
    <row r="703" spans="1:64" ht="13.5" thickBot="1" x14ac:dyDescent="0.25">
      <c r="A703" s="185" t="s">
        <v>1374</v>
      </c>
      <c r="B703" s="194" t="s">
        <v>695</v>
      </c>
      <c r="C703" s="194" t="s">
        <v>695</v>
      </c>
      <c r="D703" s="194" t="s">
        <v>695</v>
      </c>
      <c r="E703" s="193" t="s">
        <v>694</v>
      </c>
      <c r="F703" s="160" t="s">
        <v>20</v>
      </c>
      <c r="G703" s="161"/>
      <c r="H703" s="186" t="str">
        <f t="shared" si="442"/>
        <v>N/A</v>
      </c>
      <c r="I703" s="186" t="b">
        <f t="shared" si="443"/>
        <v>1</v>
      </c>
      <c r="J703" s="186" t="str">
        <f t="shared" si="444"/>
        <v>N/A</v>
      </c>
      <c r="K703" s="186" t="b">
        <f t="shared" si="445"/>
        <v>1</v>
      </c>
      <c r="L703" s="186" t="str">
        <f t="shared" si="446"/>
        <v>N/A</v>
      </c>
      <c r="M703" s="186" t="b">
        <f t="shared" si="447"/>
        <v>1</v>
      </c>
      <c r="N703" s="186" t="str">
        <f t="shared" si="448"/>
        <v>Used?</v>
      </c>
      <c r="O703" s="186" t="b">
        <f t="shared" si="449"/>
        <v>0</v>
      </c>
      <c r="P703" s="26" t="s">
        <v>696</v>
      </c>
      <c r="Q703" s="160" t="s">
        <v>20</v>
      </c>
      <c r="R703" s="160" t="s">
        <v>20</v>
      </c>
      <c r="S703" s="26" t="s">
        <v>697</v>
      </c>
      <c r="T703" s="165" t="str">
        <f t="shared" si="450"/>
        <v>Not Used</v>
      </c>
      <c r="U703" s="162"/>
      <c r="V703" s="55"/>
      <c r="W703" s="51" t="b">
        <f t="shared" si="451"/>
        <v>1</v>
      </c>
      <c r="X703" s="51" t="str">
        <f t="shared" si="452"/>
        <v>Not Used</v>
      </c>
      <c r="Y703" s="51" t="str">
        <f t="shared" si="453"/>
        <v>Not Used</v>
      </c>
      <c r="Z703" s="51" t="str">
        <f t="shared" si="454"/>
        <v>Not Used</v>
      </c>
      <c r="AA703" s="51" t="str">
        <f t="shared" si="454"/>
        <v>Not Used</v>
      </c>
      <c r="AB703" s="51" t="str">
        <f t="shared" si="455"/>
        <v>Not Used</v>
      </c>
      <c r="AC703" s="51" t="b">
        <f t="shared" si="456"/>
        <v>1</v>
      </c>
      <c r="AD703" s="51">
        <f>COUNTIF($X$5:$X$703, "Not Used")</f>
        <v>699</v>
      </c>
      <c r="AE703" s="51">
        <f>COUNTIF($X$5:$X$703, "TRUE")</f>
        <v>0</v>
      </c>
      <c r="AF703" s="51" t="b">
        <f t="shared" si="457"/>
        <v>1</v>
      </c>
      <c r="AI703" s="51" t="b">
        <f t="shared" si="458"/>
        <v>0</v>
      </c>
      <c r="AJ703" s="51" t="b">
        <f t="shared" si="459"/>
        <v>0</v>
      </c>
      <c r="AK703" s="51" t="b">
        <f t="shared" si="460"/>
        <v>0</v>
      </c>
      <c r="AL703" s="51" t="b">
        <f t="shared" si="461"/>
        <v>0</v>
      </c>
      <c r="AM703" s="51" t="b">
        <f t="shared" si="462"/>
        <v>0</v>
      </c>
      <c r="AN703" s="51"/>
      <c r="AO703" s="51" t="b">
        <f t="shared" si="463"/>
        <v>0</v>
      </c>
      <c r="AP703" s="51" t="str">
        <f t="shared" si="485"/>
        <v>Not in MMS</v>
      </c>
      <c r="AQ703" s="51" t="b">
        <f t="shared" si="464"/>
        <v>0</v>
      </c>
      <c r="AR703" s="51" t="b">
        <f t="shared" si="465"/>
        <v>0</v>
      </c>
      <c r="AS703" s="51" t="str">
        <f t="shared" si="466"/>
        <v/>
      </c>
      <c r="AT703" s="51" t="str">
        <f t="shared" si="467"/>
        <v/>
      </c>
      <c r="AU703" s="51" t="str">
        <f t="shared" si="468"/>
        <v/>
      </c>
      <c r="AV703" s="51" t="str">
        <f t="shared" si="469"/>
        <v/>
      </c>
      <c r="AW703" s="51" t="str">
        <f t="shared" si="470"/>
        <v/>
      </c>
      <c r="AX703" s="51" t="str">
        <f t="shared" si="471"/>
        <v/>
      </c>
      <c r="AY703" s="51" t="str">
        <f t="shared" si="472"/>
        <v/>
      </c>
      <c r="AZ703" s="51" t="str">
        <f t="shared" si="473"/>
        <v/>
      </c>
      <c r="BA703" s="51" t="str">
        <f t="shared" si="474"/>
        <v/>
      </c>
      <c r="BB703" s="51" t="str">
        <f t="shared" si="475"/>
        <v/>
      </c>
      <c r="BC703" s="51" t="str">
        <f t="shared" si="476"/>
        <v/>
      </c>
      <c r="BD703" s="51" t="str">
        <f t="shared" si="477"/>
        <v/>
      </c>
      <c r="BE703" s="51" t="str">
        <f t="shared" si="478"/>
        <v/>
      </c>
      <c r="BF703" s="51" t="str">
        <f t="shared" si="479"/>
        <v/>
      </c>
      <c r="BG703" s="51" t="str">
        <f t="shared" si="480"/>
        <v/>
      </c>
      <c r="BH703" s="51" t="b">
        <f t="shared" si="481"/>
        <v>0</v>
      </c>
      <c r="BI703" s="51" t="str">
        <f t="shared" si="482"/>
        <v/>
      </c>
      <c r="BJ703" s="51" t="str">
        <f t="shared" si="483"/>
        <v/>
      </c>
      <c r="BK703" s="51" t="b">
        <f t="shared" si="484"/>
        <v>0</v>
      </c>
      <c r="BL703" s="192"/>
    </row>
    <row r="704" spans="1:64" ht="13.5" thickBot="1" x14ac:dyDescent="0.25">
      <c r="A704" s="185" t="s">
        <v>1375</v>
      </c>
      <c r="B704" s="194" t="s">
        <v>695</v>
      </c>
      <c r="C704" s="194" t="s">
        <v>695</v>
      </c>
      <c r="D704" s="194" t="s">
        <v>695</v>
      </c>
      <c r="E704" s="193" t="s">
        <v>694</v>
      </c>
      <c r="F704" s="160" t="s">
        <v>20</v>
      </c>
      <c r="G704" s="161"/>
      <c r="H704" s="186" t="str">
        <f t="shared" si="442"/>
        <v>N/A</v>
      </c>
      <c r="I704" s="186" t="b">
        <f t="shared" si="443"/>
        <v>1</v>
      </c>
      <c r="J704" s="186" t="str">
        <f t="shared" si="444"/>
        <v>N/A</v>
      </c>
      <c r="K704" s="186" t="b">
        <f t="shared" si="445"/>
        <v>1</v>
      </c>
      <c r="L704" s="186" t="str">
        <f t="shared" si="446"/>
        <v>N/A</v>
      </c>
      <c r="M704" s="186" t="b">
        <f t="shared" si="447"/>
        <v>1</v>
      </c>
      <c r="N704" s="186" t="str">
        <f t="shared" si="448"/>
        <v>Used?</v>
      </c>
      <c r="O704" s="186" t="b">
        <f t="shared" si="449"/>
        <v>0</v>
      </c>
      <c r="P704" s="26" t="s">
        <v>696</v>
      </c>
      <c r="Q704" s="160" t="s">
        <v>20</v>
      </c>
      <c r="R704" s="160" t="s">
        <v>20</v>
      </c>
      <c r="S704" s="26" t="s">
        <v>697</v>
      </c>
      <c r="T704" s="165" t="str">
        <f t="shared" si="450"/>
        <v>Not Used</v>
      </c>
      <c r="U704" s="162"/>
      <c r="V704" s="55"/>
      <c r="W704" s="51" t="b">
        <f t="shared" si="451"/>
        <v>1</v>
      </c>
      <c r="X704" s="51" t="str">
        <f t="shared" si="452"/>
        <v>Not Used</v>
      </c>
      <c r="Y704" s="51" t="str">
        <f t="shared" si="453"/>
        <v>Not Used</v>
      </c>
      <c r="Z704" s="51" t="str">
        <f t="shared" si="454"/>
        <v>Not Used</v>
      </c>
      <c r="AA704" s="51" t="str">
        <f t="shared" si="454"/>
        <v>Not Used</v>
      </c>
      <c r="AB704" s="51" t="str">
        <f t="shared" si="455"/>
        <v>Not Used</v>
      </c>
      <c r="AC704" s="51" t="b">
        <f t="shared" si="456"/>
        <v>1</v>
      </c>
      <c r="AD704" s="51">
        <f>COUNTIF($X$5:$X$704, "Not Used")</f>
        <v>700</v>
      </c>
      <c r="AE704" s="51">
        <f>COUNTIF($X$5:$X$704, "TRUE")</f>
        <v>0</v>
      </c>
      <c r="AF704" s="51" t="b">
        <f t="shared" si="457"/>
        <v>1</v>
      </c>
      <c r="AI704" s="51" t="b">
        <f t="shared" si="458"/>
        <v>0</v>
      </c>
      <c r="AJ704" s="51" t="b">
        <f t="shared" si="459"/>
        <v>0</v>
      </c>
      <c r="AK704" s="51" t="b">
        <f t="shared" si="460"/>
        <v>0</v>
      </c>
      <c r="AL704" s="51" t="b">
        <f t="shared" si="461"/>
        <v>0</v>
      </c>
      <c r="AM704" s="51" t="b">
        <f t="shared" si="462"/>
        <v>0</v>
      </c>
      <c r="AN704" s="51"/>
      <c r="AO704" s="51" t="b">
        <f t="shared" si="463"/>
        <v>0</v>
      </c>
      <c r="AP704" s="51" t="str">
        <f t="shared" si="485"/>
        <v>Not in MMS</v>
      </c>
      <c r="AQ704" s="51" t="b">
        <f t="shared" si="464"/>
        <v>0</v>
      </c>
      <c r="AR704" s="51" t="b">
        <f t="shared" si="465"/>
        <v>0</v>
      </c>
      <c r="AS704" s="51" t="str">
        <f t="shared" si="466"/>
        <v/>
      </c>
      <c r="AT704" s="51" t="str">
        <f t="shared" si="467"/>
        <v/>
      </c>
      <c r="AU704" s="51" t="str">
        <f t="shared" si="468"/>
        <v/>
      </c>
      <c r="AV704" s="51" t="str">
        <f t="shared" si="469"/>
        <v/>
      </c>
      <c r="AW704" s="51" t="str">
        <f t="shared" si="470"/>
        <v/>
      </c>
      <c r="AX704" s="51" t="str">
        <f t="shared" si="471"/>
        <v/>
      </c>
      <c r="AY704" s="51" t="str">
        <f t="shared" si="472"/>
        <v/>
      </c>
      <c r="AZ704" s="51" t="str">
        <f t="shared" si="473"/>
        <v/>
      </c>
      <c r="BA704" s="51" t="str">
        <f t="shared" si="474"/>
        <v/>
      </c>
      <c r="BB704" s="51" t="str">
        <f t="shared" si="475"/>
        <v/>
      </c>
      <c r="BC704" s="51" t="str">
        <f t="shared" si="476"/>
        <v/>
      </c>
      <c r="BD704" s="51" t="str">
        <f t="shared" si="477"/>
        <v/>
      </c>
      <c r="BE704" s="51" t="str">
        <f t="shared" si="478"/>
        <v/>
      </c>
      <c r="BF704" s="51" t="str">
        <f t="shared" si="479"/>
        <v/>
      </c>
      <c r="BG704" s="51" t="str">
        <f t="shared" si="480"/>
        <v/>
      </c>
      <c r="BH704" s="51" t="b">
        <f t="shared" si="481"/>
        <v>0</v>
      </c>
      <c r="BI704" s="51" t="str">
        <f t="shared" si="482"/>
        <v/>
      </c>
      <c r="BJ704" s="51" t="str">
        <f t="shared" si="483"/>
        <v/>
      </c>
      <c r="BK704" s="51" t="b">
        <f t="shared" si="484"/>
        <v>0</v>
      </c>
      <c r="BL704" s="192"/>
    </row>
    <row r="705" spans="1:64" ht="13.5" thickBot="1" x14ac:dyDescent="0.25">
      <c r="A705" s="185" t="s">
        <v>1376</v>
      </c>
      <c r="B705" s="194" t="s">
        <v>695</v>
      </c>
      <c r="C705" s="194" t="s">
        <v>695</v>
      </c>
      <c r="D705" s="194" t="s">
        <v>695</v>
      </c>
      <c r="E705" s="193" t="s">
        <v>694</v>
      </c>
      <c r="F705" s="160" t="s">
        <v>20</v>
      </c>
      <c r="G705" s="161"/>
      <c r="H705" s="186" t="str">
        <f t="shared" si="442"/>
        <v>N/A</v>
      </c>
      <c r="I705" s="186" t="b">
        <f t="shared" si="443"/>
        <v>1</v>
      </c>
      <c r="J705" s="186" t="str">
        <f t="shared" si="444"/>
        <v>N/A</v>
      </c>
      <c r="K705" s="186" t="b">
        <f t="shared" si="445"/>
        <v>1</v>
      </c>
      <c r="L705" s="186" t="str">
        <f t="shared" si="446"/>
        <v>N/A</v>
      </c>
      <c r="M705" s="186" t="b">
        <f t="shared" si="447"/>
        <v>1</v>
      </c>
      <c r="N705" s="186" t="str">
        <f t="shared" si="448"/>
        <v>Used?</v>
      </c>
      <c r="O705" s="186" t="b">
        <f t="shared" si="449"/>
        <v>0</v>
      </c>
      <c r="P705" s="26" t="s">
        <v>696</v>
      </c>
      <c r="Q705" s="160" t="s">
        <v>20</v>
      </c>
      <c r="R705" s="160" t="s">
        <v>20</v>
      </c>
      <c r="S705" s="26" t="s">
        <v>697</v>
      </c>
      <c r="T705" s="165" t="str">
        <f t="shared" si="450"/>
        <v>Not Used</v>
      </c>
      <c r="U705" s="162"/>
      <c r="V705" s="55"/>
      <c r="W705" s="51" t="b">
        <f t="shared" si="451"/>
        <v>1</v>
      </c>
      <c r="X705" s="51" t="str">
        <f t="shared" si="452"/>
        <v>Not Used</v>
      </c>
      <c r="Y705" s="51" t="str">
        <f t="shared" si="453"/>
        <v>Not Used</v>
      </c>
      <c r="Z705" s="51" t="str">
        <f t="shared" si="454"/>
        <v>Not Used</v>
      </c>
      <c r="AA705" s="51" t="str">
        <f t="shared" si="454"/>
        <v>Not Used</v>
      </c>
      <c r="AB705" s="51" t="str">
        <f t="shared" si="455"/>
        <v>Not Used</v>
      </c>
      <c r="AC705" s="51" t="b">
        <f t="shared" si="456"/>
        <v>1</v>
      </c>
      <c r="AD705" s="51">
        <f>COUNTIF($X$5:$X$705, "Not Used")</f>
        <v>701</v>
      </c>
      <c r="AE705" s="51">
        <f>COUNTIF($X$5:$X$705, "TRUE")</f>
        <v>0</v>
      </c>
      <c r="AF705" s="51" t="b">
        <f t="shared" si="457"/>
        <v>1</v>
      </c>
      <c r="AI705" s="51" t="b">
        <f t="shared" si="458"/>
        <v>0</v>
      </c>
      <c r="AJ705" s="51" t="b">
        <f t="shared" si="459"/>
        <v>0</v>
      </c>
      <c r="AK705" s="51" t="b">
        <f t="shared" si="460"/>
        <v>0</v>
      </c>
      <c r="AL705" s="51" t="b">
        <f t="shared" si="461"/>
        <v>0</v>
      </c>
      <c r="AM705" s="51" t="b">
        <f t="shared" si="462"/>
        <v>0</v>
      </c>
      <c r="AN705" s="51"/>
      <c r="AO705" s="51" t="b">
        <f t="shared" si="463"/>
        <v>0</v>
      </c>
      <c r="AP705" s="51" t="str">
        <f t="shared" si="485"/>
        <v>Not in MMS</v>
      </c>
      <c r="AQ705" s="51" t="b">
        <f t="shared" si="464"/>
        <v>0</v>
      </c>
      <c r="AR705" s="51" t="b">
        <f t="shared" si="465"/>
        <v>0</v>
      </c>
      <c r="AS705" s="51" t="str">
        <f t="shared" si="466"/>
        <v/>
      </c>
      <c r="AT705" s="51" t="str">
        <f t="shared" si="467"/>
        <v/>
      </c>
      <c r="AU705" s="51" t="str">
        <f t="shared" si="468"/>
        <v/>
      </c>
      <c r="AV705" s="51" t="str">
        <f t="shared" si="469"/>
        <v/>
      </c>
      <c r="AW705" s="51" t="str">
        <f t="shared" si="470"/>
        <v/>
      </c>
      <c r="AX705" s="51" t="str">
        <f t="shared" si="471"/>
        <v/>
      </c>
      <c r="AY705" s="51" t="str">
        <f t="shared" si="472"/>
        <v/>
      </c>
      <c r="AZ705" s="51" t="str">
        <f t="shared" si="473"/>
        <v/>
      </c>
      <c r="BA705" s="51" t="str">
        <f t="shared" si="474"/>
        <v/>
      </c>
      <c r="BB705" s="51" t="str">
        <f t="shared" si="475"/>
        <v/>
      </c>
      <c r="BC705" s="51" t="str">
        <f t="shared" si="476"/>
        <v/>
      </c>
      <c r="BD705" s="51" t="str">
        <f t="shared" si="477"/>
        <v/>
      </c>
      <c r="BE705" s="51" t="str">
        <f t="shared" si="478"/>
        <v/>
      </c>
      <c r="BF705" s="51" t="str">
        <f t="shared" si="479"/>
        <v/>
      </c>
      <c r="BG705" s="51" t="str">
        <f t="shared" si="480"/>
        <v/>
      </c>
      <c r="BH705" s="51" t="b">
        <f t="shared" si="481"/>
        <v>0</v>
      </c>
      <c r="BI705" s="51" t="str">
        <f t="shared" si="482"/>
        <v/>
      </c>
      <c r="BJ705" s="51" t="str">
        <f t="shared" si="483"/>
        <v/>
      </c>
      <c r="BK705" s="51" t="b">
        <f t="shared" si="484"/>
        <v>0</v>
      </c>
      <c r="BL705" s="192"/>
    </row>
    <row r="706" spans="1:64" ht="13.5" thickBot="1" x14ac:dyDescent="0.25">
      <c r="A706" s="185" t="s">
        <v>1377</v>
      </c>
      <c r="B706" s="194" t="s">
        <v>695</v>
      </c>
      <c r="C706" s="194" t="s">
        <v>695</v>
      </c>
      <c r="D706" s="194" t="s">
        <v>695</v>
      </c>
      <c r="E706" s="193" t="s">
        <v>694</v>
      </c>
      <c r="F706" s="160" t="s">
        <v>20</v>
      </c>
      <c r="G706" s="161"/>
      <c r="H706" s="186" t="str">
        <f t="shared" si="442"/>
        <v>N/A</v>
      </c>
      <c r="I706" s="186" t="b">
        <f t="shared" si="443"/>
        <v>1</v>
      </c>
      <c r="J706" s="186" t="str">
        <f t="shared" si="444"/>
        <v>N/A</v>
      </c>
      <c r="K706" s="186" t="b">
        <f t="shared" si="445"/>
        <v>1</v>
      </c>
      <c r="L706" s="186" t="str">
        <f t="shared" si="446"/>
        <v>N/A</v>
      </c>
      <c r="M706" s="186" t="b">
        <f t="shared" si="447"/>
        <v>1</v>
      </c>
      <c r="N706" s="186" t="str">
        <f t="shared" si="448"/>
        <v>Used?</v>
      </c>
      <c r="O706" s="186" t="b">
        <f t="shared" si="449"/>
        <v>0</v>
      </c>
      <c r="P706" s="26" t="s">
        <v>696</v>
      </c>
      <c r="Q706" s="160" t="s">
        <v>20</v>
      </c>
      <c r="R706" s="160" t="s">
        <v>20</v>
      </c>
      <c r="S706" s="26" t="s">
        <v>697</v>
      </c>
      <c r="T706" s="165" t="str">
        <f t="shared" si="450"/>
        <v>Not Used</v>
      </c>
      <c r="U706" s="162"/>
      <c r="V706" s="55"/>
      <c r="W706" s="51" t="b">
        <f t="shared" si="451"/>
        <v>1</v>
      </c>
      <c r="X706" s="51" t="str">
        <f t="shared" si="452"/>
        <v>Not Used</v>
      </c>
      <c r="Y706" s="51" t="str">
        <f t="shared" si="453"/>
        <v>Not Used</v>
      </c>
      <c r="Z706" s="51" t="str">
        <f t="shared" si="454"/>
        <v>Not Used</v>
      </c>
      <c r="AA706" s="51" t="str">
        <f t="shared" si="454"/>
        <v>Not Used</v>
      </c>
      <c r="AB706" s="51" t="str">
        <f t="shared" si="455"/>
        <v>Not Used</v>
      </c>
      <c r="AC706" s="51" t="b">
        <f t="shared" si="456"/>
        <v>1</v>
      </c>
      <c r="AD706" s="51">
        <f>COUNTIF($X$5:$X$706, "Not Used")</f>
        <v>702</v>
      </c>
      <c r="AE706" s="51">
        <f>COUNTIF($X$5:$X$706, "TRUE")</f>
        <v>0</v>
      </c>
      <c r="AF706" s="51" t="b">
        <f t="shared" si="457"/>
        <v>1</v>
      </c>
      <c r="AI706" s="51" t="b">
        <f t="shared" si="458"/>
        <v>0</v>
      </c>
      <c r="AJ706" s="51" t="b">
        <f t="shared" si="459"/>
        <v>0</v>
      </c>
      <c r="AK706" s="51" t="b">
        <f t="shared" si="460"/>
        <v>0</v>
      </c>
      <c r="AL706" s="51" t="b">
        <f t="shared" si="461"/>
        <v>0</v>
      </c>
      <c r="AM706" s="51" t="b">
        <f t="shared" si="462"/>
        <v>0</v>
      </c>
      <c r="AN706" s="51"/>
      <c r="AO706" s="51" t="b">
        <f t="shared" si="463"/>
        <v>0</v>
      </c>
      <c r="AP706" s="51" t="str">
        <f t="shared" si="485"/>
        <v>Not in MMS</v>
      </c>
      <c r="AQ706" s="51" t="b">
        <f t="shared" si="464"/>
        <v>0</v>
      </c>
      <c r="AR706" s="51" t="b">
        <f t="shared" si="465"/>
        <v>0</v>
      </c>
      <c r="AS706" s="51" t="str">
        <f t="shared" si="466"/>
        <v/>
      </c>
      <c r="AT706" s="51" t="str">
        <f t="shared" si="467"/>
        <v/>
      </c>
      <c r="AU706" s="51" t="str">
        <f t="shared" si="468"/>
        <v/>
      </c>
      <c r="AV706" s="51" t="str">
        <f t="shared" si="469"/>
        <v/>
      </c>
      <c r="AW706" s="51" t="str">
        <f t="shared" si="470"/>
        <v/>
      </c>
      <c r="AX706" s="51" t="str">
        <f t="shared" si="471"/>
        <v/>
      </c>
      <c r="AY706" s="51" t="str">
        <f t="shared" si="472"/>
        <v/>
      </c>
      <c r="AZ706" s="51" t="str">
        <f t="shared" si="473"/>
        <v/>
      </c>
      <c r="BA706" s="51" t="str">
        <f t="shared" si="474"/>
        <v/>
      </c>
      <c r="BB706" s="51" t="str">
        <f t="shared" si="475"/>
        <v/>
      </c>
      <c r="BC706" s="51" t="str">
        <f t="shared" si="476"/>
        <v/>
      </c>
      <c r="BD706" s="51" t="str">
        <f t="shared" si="477"/>
        <v/>
      </c>
      <c r="BE706" s="51" t="str">
        <f t="shared" si="478"/>
        <v/>
      </c>
      <c r="BF706" s="51" t="str">
        <f t="shared" si="479"/>
        <v/>
      </c>
      <c r="BG706" s="51" t="str">
        <f t="shared" si="480"/>
        <v/>
      </c>
      <c r="BH706" s="51" t="b">
        <f t="shared" si="481"/>
        <v>0</v>
      </c>
      <c r="BI706" s="51" t="str">
        <f t="shared" si="482"/>
        <v/>
      </c>
      <c r="BJ706" s="51" t="str">
        <f t="shared" si="483"/>
        <v/>
      </c>
      <c r="BK706" s="51" t="b">
        <f t="shared" si="484"/>
        <v>0</v>
      </c>
      <c r="BL706" s="192"/>
    </row>
    <row r="707" spans="1:64" ht="13.5" thickBot="1" x14ac:dyDescent="0.25">
      <c r="A707" s="185" t="s">
        <v>1378</v>
      </c>
      <c r="B707" s="194" t="s">
        <v>695</v>
      </c>
      <c r="C707" s="194" t="s">
        <v>695</v>
      </c>
      <c r="D707" s="194" t="s">
        <v>695</v>
      </c>
      <c r="E707" s="193" t="s">
        <v>694</v>
      </c>
      <c r="F707" s="160" t="s">
        <v>20</v>
      </c>
      <c r="G707" s="161"/>
      <c r="H707" s="186" t="str">
        <f t="shared" si="442"/>
        <v>N/A</v>
      </c>
      <c r="I707" s="186" t="b">
        <f t="shared" si="443"/>
        <v>1</v>
      </c>
      <c r="J707" s="186" t="str">
        <f t="shared" si="444"/>
        <v>N/A</v>
      </c>
      <c r="K707" s="186" t="b">
        <f t="shared" si="445"/>
        <v>1</v>
      </c>
      <c r="L707" s="186" t="str">
        <f t="shared" si="446"/>
        <v>N/A</v>
      </c>
      <c r="M707" s="186" t="b">
        <f t="shared" si="447"/>
        <v>1</v>
      </c>
      <c r="N707" s="186" t="str">
        <f t="shared" si="448"/>
        <v>Used?</v>
      </c>
      <c r="O707" s="186" t="b">
        <f t="shared" si="449"/>
        <v>0</v>
      </c>
      <c r="P707" s="26" t="s">
        <v>696</v>
      </c>
      <c r="Q707" s="160" t="s">
        <v>20</v>
      </c>
      <c r="R707" s="160" t="s">
        <v>20</v>
      </c>
      <c r="S707" s="26" t="s">
        <v>697</v>
      </c>
      <c r="T707" s="165" t="str">
        <f t="shared" si="450"/>
        <v>Not Used</v>
      </c>
      <c r="U707" s="162"/>
      <c r="V707" s="55"/>
      <c r="W707" s="51" t="b">
        <f t="shared" si="451"/>
        <v>1</v>
      </c>
      <c r="X707" s="51" t="str">
        <f t="shared" si="452"/>
        <v>Not Used</v>
      </c>
      <c r="Y707" s="51" t="str">
        <f t="shared" si="453"/>
        <v>Not Used</v>
      </c>
      <c r="Z707" s="51" t="str">
        <f t="shared" si="454"/>
        <v>Not Used</v>
      </c>
      <c r="AA707" s="51" t="str">
        <f t="shared" si="454"/>
        <v>Not Used</v>
      </c>
      <c r="AB707" s="51" t="str">
        <f t="shared" si="455"/>
        <v>Not Used</v>
      </c>
      <c r="AC707" s="51" t="b">
        <f t="shared" si="456"/>
        <v>1</v>
      </c>
      <c r="AD707" s="51">
        <f>COUNTIF($X$5:$X$707, "Not Used")</f>
        <v>703</v>
      </c>
      <c r="AE707" s="51">
        <f>COUNTIF($X$5:$X$707, "TRUE")</f>
        <v>0</v>
      </c>
      <c r="AF707" s="51" t="b">
        <f t="shared" si="457"/>
        <v>1</v>
      </c>
      <c r="AI707" s="51" t="b">
        <f t="shared" si="458"/>
        <v>0</v>
      </c>
      <c r="AJ707" s="51" t="b">
        <f t="shared" si="459"/>
        <v>0</v>
      </c>
      <c r="AK707" s="51" t="b">
        <f t="shared" si="460"/>
        <v>0</v>
      </c>
      <c r="AL707" s="51" t="b">
        <f t="shared" si="461"/>
        <v>0</v>
      </c>
      <c r="AM707" s="51" t="b">
        <f t="shared" si="462"/>
        <v>0</v>
      </c>
      <c r="AN707" s="51"/>
      <c r="AO707" s="51" t="b">
        <f t="shared" si="463"/>
        <v>0</v>
      </c>
      <c r="AP707" s="51" t="str">
        <f t="shared" si="485"/>
        <v>Not in MMS</v>
      </c>
      <c r="AQ707" s="51" t="b">
        <f t="shared" si="464"/>
        <v>0</v>
      </c>
      <c r="AR707" s="51" t="b">
        <f t="shared" si="465"/>
        <v>0</v>
      </c>
      <c r="AS707" s="51" t="str">
        <f t="shared" si="466"/>
        <v/>
      </c>
      <c r="AT707" s="51" t="str">
        <f t="shared" si="467"/>
        <v/>
      </c>
      <c r="AU707" s="51" t="str">
        <f t="shared" si="468"/>
        <v/>
      </c>
      <c r="AV707" s="51" t="str">
        <f t="shared" si="469"/>
        <v/>
      </c>
      <c r="AW707" s="51" t="str">
        <f t="shared" si="470"/>
        <v/>
      </c>
      <c r="AX707" s="51" t="str">
        <f t="shared" si="471"/>
        <v/>
      </c>
      <c r="AY707" s="51" t="str">
        <f t="shared" si="472"/>
        <v/>
      </c>
      <c r="AZ707" s="51" t="str">
        <f t="shared" si="473"/>
        <v/>
      </c>
      <c r="BA707" s="51" t="str">
        <f t="shared" si="474"/>
        <v/>
      </c>
      <c r="BB707" s="51" t="str">
        <f t="shared" si="475"/>
        <v/>
      </c>
      <c r="BC707" s="51" t="str">
        <f t="shared" si="476"/>
        <v/>
      </c>
      <c r="BD707" s="51" t="str">
        <f t="shared" si="477"/>
        <v/>
      </c>
      <c r="BE707" s="51" t="str">
        <f t="shared" si="478"/>
        <v/>
      </c>
      <c r="BF707" s="51" t="str">
        <f t="shared" si="479"/>
        <v/>
      </c>
      <c r="BG707" s="51" t="str">
        <f t="shared" si="480"/>
        <v/>
      </c>
      <c r="BH707" s="51" t="b">
        <f t="shared" si="481"/>
        <v>0</v>
      </c>
      <c r="BI707" s="51" t="str">
        <f t="shared" si="482"/>
        <v/>
      </c>
      <c r="BJ707" s="51" t="str">
        <f t="shared" si="483"/>
        <v/>
      </c>
      <c r="BK707" s="51" t="b">
        <f t="shared" si="484"/>
        <v>0</v>
      </c>
      <c r="BL707" s="192"/>
    </row>
    <row r="708" spans="1:64" ht="13.5" thickBot="1" x14ac:dyDescent="0.25">
      <c r="A708" s="185" t="s">
        <v>1379</v>
      </c>
      <c r="B708" s="194" t="s">
        <v>695</v>
      </c>
      <c r="C708" s="194" t="s">
        <v>695</v>
      </c>
      <c r="D708" s="194" t="s">
        <v>695</v>
      </c>
      <c r="E708" s="193" t="s">
        <v>694</v>
      </c>
      <c r="F708" s="160" t="s">
        <v>20</v>
      </c>
      <c r="G708" s="161"/>
      <c r="H708" s="186" t="str">
        <f t="shared" si="442"/>
        <v>N/A</v>
      </c>
      <c r="I708" s="186" t="b">
        <f t="shared" si="443"/>
        <v>1</v>
      </c>
      <c r="J708" s="186" t="str">
        <f t="shared" si="444"/>
        <v>N/A</v>
      </c>
      <c r="K708" s="186" t="b">
        <f t="shared" si="445"/>
        <v>1</v>
      </c>
      <c r="L708" s="186" t="str">
        <f t="shared" si="446"/>
        <v>N/A</v>
      </c>
      <c r="M708" s="186" t="b">
        <f t="shared" si="447"/>
        <v>1</v>
      </c>
      <c r="N708" s="186" t="str">
        <f t="shared" si="448"/>
        <v>Used?</v>
      </c>
      <c r="O708" s="186" t="b">
        <f t="shared" si="449"/>
        <v>0</v>
      </c>
      <c r="P708" s="26" t="s">
        <v>696</v>
      </c>
      <c r="Q708" s="160" t="s">
        <v>20</v>
      </c>
      <c r="R708" s="160" t="s">
        <v>20</v>
      </c>
      <c r="S708" s="26" t="s">
        <v>697</v>
      </c>
      <c r="T708" s="165" t="str">
        <f t="shared" si="450"/>
        <v>Not Used</v>
      </c>
      <c r="U708" s="162"/>
      <c r="V708" s="55"/>
      <c r="W708" s="51" t="b">
        <f t="shared" si="451"/>
        <v>1</v>
      </c>
      <c r="X708" s="51" t="str">
        <f t="shared" si="452"/>
        <v>Not Used</v>
      </c>
      <c r="Y708" s="51" t="str">
        <f t="shared" si="453"/>
        <v>Not Used</v>
      </c>
      <c r="Z708" s="51" t="str">
        <f t="shared" si="454"/>
        <v>Not Used</v>
      </c>
      <c r="AA708" s="51" t="str">
        <f t="shared" si="454"/>
        <v>Not Used</v>
      </c>
      <c r="AB708" s="51" t="str">
        <f t="shared" si="455"/>
        <v>Not Used</v>
      </c>
      <c r="AC708" s="51" t="b">
        <f t="shared" si="456"/>
        <v>1</v>
      </c>
      <c r="AD708" s="51">
        <f>COUNTIF($X$5:$X$708, "Not Used")</f>
        <v>704</v>
      </c>
      <c r="AE708" s="51">
        <f>COUNTIF($X$5:$X$708, "TRUE")</f>
        <v>0</v>
      </c>
      <c r="AF708" s="51" t="b">
        <f t="shared" si="457"/>
        <v>1</v>
      </c>
      <c r="AI708" s="51" t="b">
        <f t="shared" si="458"/>
        <v>0</v>
      </c>
      <c r="AJ708" s="51" t="b">
        <f t="shared" si="459"/>
        <v>0</v>
      </c>
      <c r="AK708" s="51" t="b">
        <f t="shared" si="460"/>
        <v>0</v>
      </c>
      <c r="AL708" s="51" t="b">
        <f t="shared" si="461"/>
        <v>0</v>
      </c>
      <c r="AM708" s="51" t="b">
        <f t="shared" si="462"/>
        <v>0</v>
      </c>
      <c r="AN708" s="51"/>
      <c r="AO708" s="51" t="b">
        <f t="shared" si="463"/>
        <v>0</v>
      </c>
      <c r="AP708" s="51" t="str">
        <f t="shared" si="485"/>
        <v>Not in MMS</v>
      </c>
      <c r="AQ708" s="51" t="b">
        <f t="shared" si="464"/>
        <v>0</v>
      </c>
      <c r="AR708" s="51" t="b">
        <f t="shared" si="465"/>
        <v>0</v>
      </c>
      <c r="AS708" s="51" t="str">
        <f t="shared" si="466"/>
        <v/>
      </c>
      <c r="AT708" s="51" t="str">
        <f t="shared" si="467"/>
        <v/>
      </c>
      <c r="AU708" s="51" t="str">
        <f t="shared" si="468"/>
        <v/>
      </c>
      <c r="AV708" s="51" t="str">
        <f t="shared" si="469"/>
        <v/>
      </c>
      <c r="AW708" s="51" t="str">
        <f t="shared" si="470"/>
        <v/>
      </c>
      <c r="AX708" s="51" t="str">
        <f t="shared" si="471"/>
        <v/>
      </c>
      <c r="AY708" s="51" t="str">
        <f t="shared" si="472"/>
        <v/>
      </c>
      <c r="AZ708" s="51" t="str">
        <f t="shared" si="473"/>
        <v/>
      </c>
      <c r="BA708" s="51" t="str">
        <f t="shared" si="474"/>
        <v/>
      </c>
      <c r="BB708" s="51" t="str">
        <f t="shared" si="475"/>
        <v/>
      </c>
      <c r="BC708" s="51" t="str">
        <f t="shared" si="476"/>
        <v/>
      </c>
      <c r="BD708" s="51" t="str">
        <f t="shared" si="477"/>
        <v/>
      </c>
      <c r="BE708" s="51" t="str">
        <f t="shared" si="478"/>
        <v/>
      </c>
      <c r="BF708" s="51" t="str">
        <f t="shared" si="479"/>
        <v/>
      </c>
      <c r="BG708" s="51" t="str">
        <f t="shared" si="480"/>
        <v/>
      </c>
      <c r="BH708" s="51" t="b">
        <f t="shared" si="481"/>
        <v>0</v>
      </c>
      <c r="BI708" s="51" t="str">
        <f t="shared" si="482"/>
        <v/>
      </c>
      <c r="BJ708" s="51" t="str">
        <f t="shared" si="483"/>
        <v/>
      </c>
      <c r="BK708" s="51" t="b">
        <f t="shared" si="484"/>
        <v>0</v>
      </c>
      <c r="BL708" s="192"/>
    </row>
    <row r="709" spans="1:64" ht="13.5" thickBot="1" x14ac:dyDescent="0.25">
      <c r="A709" s="185" t="s">
        <v>1380</v>
      </c>
      <c r="B709" s="194" t="s">
        <v>695</v>
      </c>
      <c r="C709" s="194" t="s">
        <v>695</v>
      </c>
      <c r="D709" s="194" t="s">
        <v>695</v>
      </c>
      <c r="E709" s="193" t="s">
        <v>694</v>
      </c>
      <c r="F709" s="160" t="s">
        <v>20</v>
      </c>
      <c r="G709" s="161"/>
      <c r="H709" s="186" t="str">
        <f t="shared" si="442"/>
        <v>N/A</v>
      </c>
      <c r="I709" s="186" t="b">
        <f t="shared" si="443"/>
        <v>1</v>
      </c>
      <c r="J709" s="186" t="str">
        <f t="shared" si="444"/>
        <v>N/A</v>
      </c>
      <c r="K709" s="186" t="b">
        <f t="shared" si="445"/>
        <v>1</v>
      </c>
      <c r="L709" s="186" t="str">
        <f t="shared" si="446"/>
        <v>N/A</v>
      </c>
      <c r="M709" s="186" t="b">
        <f t="shared" si="447"/>
        <v>1</v>
      </c>
      <c r="N709" s="186" t="str">
        <f t="shared" si="448"/>
        <v>Used?</v>
      </c>
      <c r="O709" s="186" t="b">
        <f t="shared" si="449"/>
        <v>0</v>
      </c>
      <c r="P709" s="26" t="s">
        <v>696</v>
      </c>
      <c r="Q709" s="160" t="s">
        <v>20</v>
      </c>
      <c r="R709" s="160" t="s">
        <v>20</v>
      </c>
      <c r="S709" s="26" t="s">
        <v>697</v>
      </c>
      <c r="T709" s="165" t="str">
        <f t="shared" si="450"/>
        <v>Not Used</v>
      </c>
      <c r="U709" s="162"/>
      <c r="V709" s="55"/>
      <c r="W709" s="51" t="b">
        <f t="shared" si="451"/>
        <v>1</v>
      </c>
      <c r="X709" s="51" t="str">
        <f t="shared" si="452"/>
        <v>Not Used</v>
      </c>
      <c r="Y709" s="51" t="str">
        <f t="shared" si="453"/>
        <v>Not Used</v>
      </c>
      <c r="Z709" s="51" t="str">
        <f t="shared" si="454"/>
        <v>Not Used</v>
      </c>
      <c r="AA709" s="51" t="str">
        <f t="shared" si="454"/>
        <v>Not Used</v>
      </c>
      <c r="AB709" s="51" t="str">
        <f t="shared" si="455"/>
        <v>Not Used</v>
      </c>
      <c r="AC709" s="51" t="b">
        <f t="shared" si="456"/>
        <v>1</v>
      </c>
      <c r="AD709" s="51">
        <f>COUNTIF($X$5:$X$709, "Not Used")</f>
        <v>705</v>
      </c>
      <c r="AE709" s="51">
        <f>COUNTIF($X$5:$X$709, "TRUE")</f>
        <v>0</v>
      </c>
      <c r="AF709" s="51" t="b">
        <f t="shared" si="457"/>
        <v>1</v>
      </c>
      <c r="AI709" s="51" t="b">
        <f t="shared" si="458"/>
        <v>0</v>
      </c>
      <c r="AJ709" s="51" t="b">
        <f t="shared" si="459"/>
        <v>0</v>
      </c>
      <c r="AK709" s="51" t="b">
        <f t="shared" si="460"/>
        <v>0</v>
      </c>
      <c r="AL709" s="51" t="b">
        <f t="shared" si="461"/>
        <v>0</v>
      </c>
      <c r="AM709" s="51" t="b">
        <f t="shared" si="462"/>
        <v>0</v>
      </c>
      <c r="AN709" s="51"/>
      <c r="AO709" s="51" t="b">
        <f t="shared" si="463"/>
        <v>0</v>
      </c>
      <c r="AP709" s="51" t="str">
        <f t="shared" si="485"/>
        <v>Not in MMS</v>
      </c>
      <c r="AQ709" s="51" t="b">
        <f t="shared" si="464"/>
        <v>0</v>
      </c>
      <c r="AR709" s="51" t="b">
        <f t="shared" si="465"/>
        <v>0</v>
      </c>
      <c r="AS709" s="51" t="str">
        <f t="shared" si="466"/>
        <v/>
      </c>
      <c r="AT709" s="51" t="str">
        <f t="shared" si="467"/>
        <v/>
      </c>
      <c r="AU709" s="51" t="str">
        <f t="shared" si="468"/>
        <v/>
      </c>
      <c r="AV709" s="51" t="str">
        <f t="shared" si="469"/>
        <v/>
      </c>
      <c r="AW709" s="51" t="str">
        <f t="shared" si="470"/>
        <v/>
      </c>
      <c r="AX709" s="51" t="str">
        <f t="shared" si="471"/>
        <v/>
      </c>
      <c r="AY709" s="51" t="str">
        <f t="shared" si="472"/>
        <v/>
      </c>
      <c r="AZ709" s="51" t="str">
        <f t="shared" si="473"/>
        <v/>
      </c>
      <c r="BA709" s="51" t="str">
        <f t="shared" si="474"/>
        <v/>
      </c>
      <c r="BB709" s="51" t="str">
        <f t="shared" si="475"/>
        <v/>
      </c>
      <c r="BC709" s="51" t="str">
        <f t="shared" si="476"/>
        <v/>
      </c>
      <c r="BD709" s="51" t="str">
        <f t="shared" si="477"/>
        <v/>
      </c>
      <c r="BE709" s="51" t="str">
        <f t="shared" si="478"/>
        <v/>
      </c>
      <c r="BF709" s="51" t="str">
        <f t="shared" si="479"/>
        <v/>
      </c>
      <c r="BG709" s="51" t="str">
        <f t="shared" si="480"/>
        <v/>
      </c>
      <c r="BH709" s="51" t="b">
        <f t="shared" si="481"/>
        <v>0</v>
      </c>
      <c r="BI709" s="51" t="str">
        <f t="shared" si="482"/>
        <v/>
      </c>
      <c r="BJ709" s="51" t="str">
        <f t="shared" si="483"/>
        <v/>
      </c>
      <c r="BK709" s="51" t="b">
        <f t="shared" si="484"/>
        <v>0</v>
      </c>
      <c r="BL709" s="192"/>
    </row>
    <row r="710" spans="1:64" ht="13.5" thickBot="1" x14ac:dyDescent="0.25">
      <c r="A710" s="185" t="s">
        <v>1381</v>
      </c>
      <c r="B710" s="194" t="s">
        <v>695</v>
      </c>
      <c r="C710" s="194" t="s">
        <v>695</v>
      </c>
      <c r="D710" s="194" t="s">
        <v>695</v>
      </c>
      <c r="E710" s="193" t="s">
        <v>694</v>
      </c>
      <c r="F710" s="160" t="s">
        <v>20</v>
      </c>
      <c r="G710" s="161"/>
      <c r="H710" s="186" t="str">
        <f t="shared" si="442"/>
        <v>N/A</v>
      </c>
      <c r="I710" s="186" t="b">
        <f t="shared" si="443"/>
        <v>1</v>
      </c>
      <c r="J710" s="186" t="str">
        <f t="shared" si="444"/>
        <v>N/A</v>
      </c>
      <c r="K710" s="186" t="b">
        <f t="shared" si="445"/>
        <v>1</v>
      </c>
      <c r="L710" s="186" t="str">
        <f t="shared" si="446"/>
        <v>N/A</v>
      </c>
      <c r="M710" s="186" t="b">
        <f t="shared" si="447"/>
        <v>1</v>
      </c>
      <c r="N710" s="186" t="str">
        <f t="shared" si="448"/>
        <v>Used?</v>
      </c>
      <c r="O710" s="186" t="b">
        <f t="shared" si="449"/>
        <v>0</v>
      </c>
      <c r="P710" s="26" t="s">
        <v>696</v>
      </c>
      <c r="Q710" s="160" t="s">
        <v>20</v>
      </c>
      <c r="R710" s="160" t="s">
        <v>20</v>
      </c>
      <c r="S710" s="26" t="s">
        <v>697</v>
      </c>
      <c r="T710" s="165" t="str">
        <f t="shared" si="450"/>
        <v>Not Used</v>
      </c>
      <c r="U710" s="162"/>
      <c r="V710" s="55"/>
      <c r="W710" s="51" t="b">
        <f t="shared" si="451"/>
        <v>1</v>
      </c>
      <c r="X710" s="51" t="str">
        <f t="shared" si="452"/>
        <v>Not Used</v>
      </c>
      <c r="Y710" s="51" t="str">
        <f t="shared" si="453"/>
        <v>Not Used</v>
      </c>
      <c r="Z710" s="51" t="str">
        <f t="shared" si="454"/>
        <v>Not Used</v>
      </c>
      <c r="AA710" s="51" t="str">
        <f t="shared" si="454"/>
        <v>Not Used</v>
      </c>
      <c r="AB710" s="51" t="str">
        <f t="shared" si="455"/>
        <v>Not Used</v>
      </c>
      <c r="AC710" s="51" t="b">
        <f t="shared" si="456"/>
        <v>1</v>
      </c>
      <c r="AD710" s="51">
        <f>COUNTIF($X$5:$X$710, "Not Used")</f>
        <v>706</v>
      </c>
      <c r="AE710" s="51">
        <f>COUNTIF($X$5:$X$710, "TRUE")</f>
        <v>0</v>
      </c>
      <c r="AF710" s="51" t="b">
        <f t="shared" si="457"/>
        <v>1</v>
      </c>
      <c r="AI710" s="51" t="b">
        <f t="shared" si="458"/>
        <v>0</v>
      </c>
      <c r="AJ710" s="51" t="b">
        <f t="shared" si="459"/>
        <v>0</v>
      </c>
      <c r="AK710" s="51" t="b">
        <f t="shared" si="460"/>
        <v>0</v>
      </c>
      <c r="AL710" s="51" t="b">
        <f t="shared" si="461"/>
        <v>0</v>
      </c>
      <c r="AM710" s="51" t="b">
        <f t="shared" si="462"/>
        <v>0</v>
      </c>
      <c r="AN710" s="51"/>
      <c r="AO710" s="51" t="b">
        <f t="shared" si="463"/>
        <v>0</v>
      </c>
      <c r="AP710" s="51" t="str">
        <f t="shared" si="485"/>
        <v>Not in MMS</v>
      </c>
      <c r="AQ710" s="51" t="b">
        <f t="shared" si="464"/>
        <v>0</v>
      </c>
      <c r="AR710" s="51" t="b">
        <f t="shared" si="465"/>
        <v>0</v>
      </c>
      <c r="AS710" s="51" t="str">
        <f t="shared" si="466"/>
        <v/>
      </c>
      <c r="AT710" s="51" t="str">
        <f t="shared" si="467"/>
        <v/>
      </c>
      <c r="AU710" s="51" t="str">
        <f t="shared" si="468"/>
        <v/>
      </c>
      <c r="AV710" s="51" t="str">
        <f t="shared" si="469"/>
        <v/>
      </c>
      <c r="AW710" s="51" t="str">
        <f t="shared" si="470"/>
        <v/>
      </c>
      <c r="AX710" s="51" t="str">
        <f t="shared" si="471"/>
        <v/>
      </c>
      <c r="AY710" s="51" t="str">
        <f t="shared" si="472"/>
        <v/>
      </c>
      <c r="AZ710" s="51" t="str">
        <f t="shared" si="473"/>
        <v/>
      </c>
      <c r="BA710" s="51" t="str">
        <f t="shared" si="474"/>
        <v/>
      </c>
      <c r="BB710" s="51" t="str">
        <f t="shared" si="475"/>
        <v/>
      </c>
      <c r="BC710" s="51" t="str">
        <f t="shared" si="476"/>
        <v/>
      </c>
      <c r="BD710" s="51" t="str">
        <f t="shared" si="477"/>
        <v/>
      </c>
      <c r="BE710" s="51" t="str">
        <f t="shared" si="478"/>
        <v/>
      </c>
      <c r="BF710" s="51" t="str">
        <f t="shared" si="479"/>
        <v/>
      </c>
      <c r="BG710" s="51" t="str">
        <f t="shared" si="480"/>
        <v/>
      </c>
      <c r="BH710" s="51" t="b">
        <f t="shared" si="481"/>
        <v>0</v>
      </c>
      <c r="BI710" s="51" t="str">
        <f t="shared" si="482"/>
        <v/>
      </c>
      <c r="BJ710" s="51" t="str">
        <f t="shared" si="483"/>
        <v/>
      </c>
      <c r="BK710" s="51" t="b">
        <f t="shared" si="484"/>
        <v>0</v>
      </c>
      <c r="BL710" s="192"/>
    </row>
    <row r="711" spans="1:64" ht="13.5" thickBot="1" x14ac:dyDescent="0.25">
      <c r="A711" s="185" t="s">
        <v>1382</v>
      </c>
      <c r="B711" s="194" t="s">
        <v>695</v>
      </c>
      <c r="C711" s="194" t="s">
        <v>695</v>
      </c>
      <c r="D711" s="194" t="s">
        <v>695</v>
      </c>
      <c r="E711" s="193" t="s">
        <v>694</v>
      </c>
      <c r="F711" s="160" t="s">
        <v>20</v>
      </c>
      <c r="G711" s="161"/>
      <c r="H711" s="186" t="str">
        <f t="shared" si="442"/>
        <v>N/A</v>
      </c>
      <c r="I711" s="186" t="b">
        <f t="shared" si="443"/>
        <v>1</v>
      </c>
      <c r="J711" s="186" t="str">
        <f t="shared" si="444"/>
        <v>N/A</v>
      </c>
      <c r="K711" s="186" t="b">
        <f t="shared" si="445"/>
        <v>1</v>
      </c>
      <c r="L711" s="186" t="str">
        <f t="shared" si="446"/>
        <v>N/A</v>
      </c>
      <c r="M711" s="186" t="b">
        <f t="shared" si="447"/>
        <v>1</v>
      </c>
      <c r="N711" s="186" t="str">
        <f t="shared" si="448"/>
        <v>Used?</v>
      </c>
      <c r="O711" s="186" t="b">
        <f t="shared" si="449"/>
        <v>0</v>
      </c>
      <c r="P711" s="26" t="s">
        <v>696</v>
      </c>
      <c r="Q711" s="160" t="s">
        <v>20</v>
      </c>
      <c r="R711" s="160" t="s">
        <v>20</v>
      </c>
      <c r="S711" s="26" t="s">
        <v>697</v>
      </c>
      <c r="T711" s="165" t="str">
        <f t="shared" si="450"/>
        <v>Not Used</v>
      </c>
      <c r="U711" s="162"/>
      <c r="V711" s="55"/>
      <c r="W711" s="51" t="b">
        <f t="shared" si="451"/>
        <v>1</v>
      </c>
      <c r="X711" s="51" t="str">
        <f t="shared" si="452"/>
        <v>Not Used</v>
      </c>
      <c r="Y711" s="51" t="str">
        <f t="shared" si="453"/>
        <v>Not Used</v>
      </c>
      <c r="Z711" s="51" t="str">
        <f t="shared" si="454"/>
        <v>Not Used</v>
      </c>
      <c r="AA711" s="51" t="str">
        <f t="shared" si="454"/>
        <v>Not Used</v>
      </c>
      <c r="AB711" s="51" t="str">
        <f t="shared" si="455"/>
        <v>Not Used</v>
      </c>
      <c r="AC711" s="51" t="b">
        <f t="shared" si="456"/>
        <v>1</v>
      </c>
      <c r="AD711" s="51">
        <f>COUNTIF($X$5:$X$711, "Not Used")</f>
        <v>707</v>
      </c>
      <c r="AE711" s="51">
        <f>COUNTIF($X$5:$X$711, "TRUE")</f>
        <v>0</v>
      </c>
      <c r="AF711" s="51" t="b">
        <f t="shared" si="457"/>
        <v>1</v>
      </c>
      <c r="AI711" s="51" t="b">
        <f t="shared" si="458"/>
        <v>0</v>
      </c>
      <c r="AJ711" s="51" t="b">
        <f t="shared" si="459"/>
        <v>0</v>
      </c>
      <c r="AK711" s="51" t="b">
        <f t="shared" si="460"/>
        <v>0</v>
      </c>
      <c r="AL711" s="51" t="b">
        <f t="shared" si="461"/>
        <v>0</v>
      </c>
      <c r="AM711" s="51" t="b">
        <f t="shared" si="462"/>
        <v>0</v>
      </c>
      <c r="AN711" s="51"/>
      <c r="AO711" s="51" t="b">
        <f t="shared" si="463"/>
        <v>0</v>
      </c>
      <c r="AP711" s="51" t="str">
        <f t="shared" si="485"/>
        <v>Not in MMS</v>
      </c>
      <c r="AQ711" s="51" t="b">
        <f t="shared" si="464"/>
        <v>0</v>
      </c>
      <c r="AR711" s="51" t="b">
        <f t="shared" si="465"/>
        <v>0</v>
      </c>
      <c r="AS711" s="51" t="str">
        <f t="shared" si="466"/>
        <v/>
      </c>
      <c r="AT711" s="51" t="str">
        <f t="shared" si="467"/>
        <v/>
      </c>
      <c r="AU711" s="51" t="str">
        <f t="shared" si="468"/>
        <v/>
      </c>
      <c r="AV711" s="51" t="str">
        <f t="shared" si="469"/>
        <v/>
      </c>
      <c r="AW711" s="51" t="str">
        <f t="shared" si="470"/>
        <v/>
      </c>
      <c r="AX711" s="51" t="str">
        <f t="shared" si="471"/>
        <v/>
      </c>
      <c r="AY711" s="51" t="str">
        <f t="shared" si="472"/>
        <v/>
      </c>
      <c r="AZ711" s="51" t="str">
        <f t="shared" si="473"/>
        <v/>
      </c>
      <c r="BA711" s="51" t="str">
        <f t="shared" si="474"/>
        <v/>
      </c>
      <c r="BB711" s="51" t="str">
        <f t="shared" si="475"/>
        <v/>
      </c>
      <c r="BC711" s="51" t="str">
        <f t="shared" si="476"/>
        <v/>
      </c>
      <c r="BD711" s="51" t="str">
        <f t="shared" si="477"/>
        <v/>
      </c>
      <c r="BE711" s="51" t="str">
        <f t="shared" si="478"/>
        <v/>
      </c>
      <c r="BF711" s="51" t="str">
        <f t="shared" si="479"/>
        <v/>
      </c>
      <c r="BG711" s="51" t="str">
        <f t="shared" si="480"/>
        <v/>
      </c>
      <c r="BH711" s="51" t="b">
        <f t="shared" si="481"/>
        <v>0</v>
      </c>
      <c r="BI711" s="51" t="str">
        <f t="shared" si="482"/>
        <v/>
      </c>
      <c r="BJ711" s="51" t="str">
        <f t="shared" si="483"/>
        <v/>
      </c>
      <c r="BK711" s="51" t="b">
        <f t="shared" si="484"/>
        <v>0</v>
      </c>
      <c r="BL711" s="192"/>
    </row>
    <row r="712" spans="1:64" ht="13.5" thickBot="1" x14ac:dyDescent="0.25">
      <c r="A712" s="185" t="s">
        <v>1383</v>
      </c>
      <c r="B712" s="194" t="s">
        <v>695</v>
      </c>
      <c r="C712" s="194" t="s">
        <v>695</v>
      </c>
      <c r="D712" s="194" t="s">
        <v>695</v>
      </c>
      <c r="E712" s="193" t="s">
        <v>694</v>
      </c>
      <c r="F712" s="160" t="s">
        <v>20</v>
      </c>
      <c r="G712" s="161"/>
      <c r="H712" s="186" t="str">
        <f t="shared" si="442"/>
        <v>N/A</v>
      </c>
      <c r="I712" s="186" t="b">
        <f t="shared" si="443"/>
        <v>1</v>
      </c>
      <c r="J712" s="186" t="str">
        <f t="shared" si="444"/>
        <v>N/A</v>
      </c>
      <c r="K712" s="186" t="b">
        <f t="shared" si="445"/>
        <v>1</v>
      </c>
      <c r="L712" s="186" t="str">
        <f t="shared" si="446"/>
        <v>N/A</v>
      </c>
      <c r="M712" s="186" t="b">
        <f t="shared" si="447"/>
        <v>1</v>
      </c>
      <c r="N712" s="186" t="str">
        <f t="shared" si="448"/>
        <v>Used?</v>
      </c>
      <c r="O712" s="186" t="b">
        <f t="shared" si="449"/>
        <v>0</v>
      </c>
      <c r="P712" s="26" t="s">
        <v>696</v>
      </c>
      <c r="Q712" s="160" t="s">
        <v>20</v>
      </c>
      <c r="R712" s="160" t="s">
        <v>20</v>
      </c>
      <c r="S712" s="26" t="s">
        <v>697</v>
      </c>
      <c r="T712" s="165" t="str">
        <f t="shared" si="450"/>
        <v>Not Used</v>
      </c>
      <c r="U712" s="162"/>
      <c r="V712" s="55"/>
      <c r="W712" s="51" t="b">
        <f t="shared" si="451"/>
        <v>1</v>
      </c>
      <c r="X712" s="51" t="str">
        <f t="shared" si="452"/>
        <v>Not Used</v>
      </c>
      <c r="Y712" s="51" t="str">
        <f t="shared" si="453"/>
        <v>Not Used</v>
      </c>
      <c r="Z712" s="51" t="str">
        <f t="shared" si="454"/>
        <v>Not Used</v>
      </c>
      <c r="AA712" s="51" t="str">
        <f t="shared" si="454"/>
        <v>Not Used</v>
      </c>
      <c r="AB712" s="51" t="str">
        <f t="shared" si="455"/>
        <v>Not Used</v>
      </c>
      <c r="AC712" s="51" t="b">
        <f t="shared" si="456"/>
        <v>1</v>
      </c>
      <c r="AD712" s="51">
        <f>COUNTIF($X$5:$X$712, "Not Used")</f>
        <v>708</v>
      </c>
      <c r="AE712" s="51">
        <f>COUNTIF($X$5:$X$712, "TRUE")</f>
        <v>0</v>
      </c>
      <c r="AF712" s="51" t="b">
        <f t="shared" si="457"/>
        <v>1</v>
      </c>
      <c r="AI712" s="51" t="b">
        <f t="shared" si="458"/>
        <v>0</v>
      </c>
      <c r="AJ712" s="51" t="b">
        <f t="shared" si="459"/>
        <v>0</v>
      </c>
      <c r="AK712" s="51" t="b">
        <f t="shared" si="460"/>
        <v>0</v>
      </c>
      <c r="AL712" s="51" t="b">
        <f t="shared" si="461"/>
        <v>0</v>
      </c>
      <c r="AM712" s="51" t="b">
        <f t="shared" si="462"/>
        <v>0</v>
      </c>
      <c r="AN712" s="51"/>
      <c r="AO712" s="51" t="b">
        <f t="shared" si="463"/>
        <v>0</v>
      </c>
      <c r="AP712" s="51" t="str">
        <f t="shared" si="485"/>
        <v>Not in MMS</v>
      </c>
      <c r="AQ712" s="51" t="b">
        <f t="shared" si="464"/>
        <v>0</v>
      </c>
      <c r="AR712" s="51" t="b">
        <f t="shared" si="465"/>
        <v>0</v>
      </c>
      <c r="AS712" s="51" t="str">
        <f t="shared" si="466"/>
        <v/>
      </c>
      <c r="AT712" s="51" t="str">
        <f t="shared" si="467"/>
        <v/>
      </c>
      <c r="AU712" s="51" t="str">
        <f t="shared" si="468"/>
        <v/>
      </c>
      <c r="AV712" s="51" t="str">
        <f t="shared" si="469"/>
        <v/>
      </c>
      <c r="AW712" s="51" t="str">
        <f t="shared" si="470"/>
        <v/>
      </c>
      <c r="AX712" s="51" t="str">
        <f t="shared" si="471"/>
        <v/>
      </c>
      <c r="AY712" s="51" t="str">
        <f t="shared" si="472"/>
        <v/>
      </c>
      <c r="AZ712" s="51" t="str">
        <f t="shared" si="473"/>
        <v/>
      </c>
      <c r="BA712" s="51" t="str">
        <f t="shared" si="474"/>
        <v/>
      </c>
      <c r="BB712" s="51" t="str">
        <f t="shared" si="475"/>
        <v/>
      </c>
      <c r="BC712" s="51" t="str">
        <f t="shared" si="476"/>
        <v/>
      </c>
      <c r="BD712" s="51" t="str">
        <f t="shared" si="477"/>
        <v/>
      </c>
      <c r="BE712" s="51" t="str">
        <f t="shared" si="478"/>
        <v/>
      </c>
      <c r="BF712" s="51" t="str">
        <f t="shared" si="479"/>
        <v/>
      </c>
      <c r="BG712" s="51" t="str">
        <f t="shared" si="480"/>
        <v/>
      </c>
      <c r="BH712" s="51" t="b">
        <f t="shared" si="481"/>
        <v>0</v>
      </c>
      <c r="BI712" s="51" t="str">
        <f t="shared" si="482"/>
        <v/>
      </c>
      <c r="BJ712" s="51" t="str">
        <f t="shared" si="483"/>
        <v/>
      </c>
      <c r="BK712" s="51" t="b">
        <f t="shared" si="484"/>
        <v>0</v>
      </c>
      <c r="BL712" s="192"/>
    </row>
    <row r="713" spans="1:64" ht="13.5" thickBot="1" x14ac:dyDescent="0.25">
      <c r="A713" s="185" t="s">
        <v>1384</v>
      </c>
      <c r="B713" s="194" t="s">
        <v>695</v>
      </c>
      <c r="C713" s="194" t="s">
        <v>695</v>
      </c>
      <c r="D713" s="194" t="s">
        <v>695</v>
      </c>
      <c r="E713" s="193" t="s">
        <v>694</v>
      </c>
      <c r="F713" s="160" t="s">
        <v>20</v>
      </c>
      <c r="G713" s="161"/>
      <c r="H713" s="186" t="str">
        <f t="shared" si="442"/>
        <v>N/A</v>
      </c>
      <c r="I713" s="186" t="b">
        <f t="shared" si="443"/>
        <v>1</v>
      </c>
      <c r="J713" s="186" t="str">
        <f t="shared" si="444"/>
        <v>N/A</v>
      </c>
      <c r="K713" s="186" t="b">
        <f t="shared" si="445"/>
        <v>1</v>
      </c>
      <c r="L713" s="186" t="str">
        <f t="shared" si="446"/>
        <v>N/A</v>
      </c>
      <c r="M713" s="186" t="b">
        <f t="shared" si="447"/>
        <v>1</v>
      </c>
      <c r="N713" s="186" t="str">
        <f t="shared" si="448"/>
        <v>Used?</v>
      </c>
      <c r="O713" s="186" t="b">
        <f t="shared" si="449"/>
        <v>0</v>
      </c>
      <c r="P713" s="26" t="s">
        <v>696</v>
      </c>
      <c r="Q713" s="160" t="s">
        <v>20</v>
      </c>
      <c r="R713" s="160" t="s">
        <v>20</v>
      </c>
      <c r="S713" s="26" t="s">
        <v>697</v>
      </c>
      <c r="T713" s="165" t="str">
        <f t="shared" si="450"/>
        <v>Not Used</v>
      </c>
      <c r="U713" s="162"/>
      <c r="V713" s="55"/>
      <c r="W713" s="51" t="b">
        <f t="shared" si="451"/>
        <v>1</v>
      </c>
      <c r="X713" s="51" t="str">
        <f t="shared" si="452"/>
        <v>Not Used</v>
      </c>
      <c r="Y713" s="51" t="str">
        <f t="shared" si="453"/>
        <v>Not Used</v>
      </c>
      <c r="Z713" s="51" t="str">
        <f t="shared" si="454"/>
        <v>Not Used</v>
      </c>
      <c r="AA713" s="51" t="str">
        <f t="shared" si="454"/>
        <v>Not Used</v>
      </c>
      <c r="AB713" s="51" t="str">
        <f t="shared" si="455"/>
        <v>Not Used</v>
      </c>
      <c r="AC713" s="51" t="b">
        <f t="shared" si="456"/>
        <v>1</v>
      </c>
      <c r="AD713" s="51">
        <f>COUNTIF($X$5:$X$713, "Not Used")</f>
        <v>709</v>
      </c>
      <c r="AE713" s="51">
        <f>COUNTIF($X$5:$X$713, "TRUE")</f>
        <v>0</v>
      </c>
      <c r="AF713" s="51" t="b">
        <f t="shared" si="457"/>
        <v>1</v>
      </c>
      <c r="AI713" s="51" t="b">
        <f t="shared" si="458"/>
        <v>0</v>
      </c>
      <c r="AJ713" s="51" t="b">
        <f t="shared" si="459"/>
        <v>0</v>
      </c>
      <c r="AK713" s="51" t="b">
        <f t="shared" si="460"/>
        <v>0</v>
      </c>
      <c r="AL713" s="51" t="b">
        <f t="shared" si="461"/>
        <v>0</v>
      </c>
      <c r="AM713" s="51" t="b">
        <f t="shared" si="462"/>
        <v>0</v>
      </c>
      <c r="AN713" s="51"/>
      <c r="AO713" s="51" t="b">
        <f t="shared" si="463"/>
        <v>0</v>
      </c>
      <c r="AP713" s="51" t="str">
        <f t="shared" si="485"/>
        <v>Not in MMS</v>
      </c>
      <c r="AQ713" s="51" t="b">
        <f t="shared" si="464"/>
        <v>0</v>
      </c>
      <c r="AR713" s="51" t="b">
        <f t="shared" si="465"/>
        <v>0</v>
      </c>
      <c r="AS713" s="51" t="str">
        <f t="shared" si="466"/>
        <v/>
      </c>
      <c r="AT713" s="51" t="str">
        <f t="shared" si="467"/>
        <v/>
      </c>
      <c r="AU713" s="51" t="str">
        <f t="shared" si="468"/>
        <v/>
      </c>
      <c r="AV713" s="51" t="str">
        <f t="shared" si="469"/>
        <v/>
      </c>
      <c r="AW713" s="51" t="str">
        <f t="shared" si="470"/>
        <v/>
      </c>
      <c r="AX713" s="51" t="str">
        <f t="shared" si="471"/>
        <v/>
      </c>
      <c r="AY713" s="51" t="str">
        <f t="shared" si="472"/>
        <v/>
      </c>
      <c r="AZ713" s="51" t="str">
        <f t="shared" si="473"/>
        <v/>
      </c>
      <c r="BA713" s="51" t="str">
        <f t="shared" si="474"/>
        <v/>
      </c>
      <c r="BB713" s="51" t="str">
        <f t="shared" si="475"/>
        <v/>
      </c>
      <c r="BC713" s="51" t="str">
        <f t="shared" si="476"/>
        <v/>
      </c>
      <c r="BD713" s="51" t="str">
        <f t="shared" si="477"/>
        <v/>
      </c>
      <c r="BE713" s="51" t="str">
        <f t="shared" si="478"/>
        <v/>
      </c>
      <c r="BF713" s="51" t="str">
        <f t="shared" si="479"/>
        <v/>
      </c>
      <c r="BG713" s="51" t="str">
        <f t="shared" si="480"/>
        <v/>
      </c>
      <c r="BH713" s="51" t="b">
        <f t="shared" si="481"/>
        <v>0</v>
      </c>
      <c r="BI713" s="51" t="str">
        <f t="shared" si="482"/>
        <v/>
      </c>
      <c r="BJ713" s="51" t="str">
        <f t="shared" si="483"/>
        <v/>
      </c>
      <c r="BK713" s="51" t="b">
        <f t="shared" si="484"/>
        <v>0</v>
      </c>
      <c r="BL713" s="192"/>
    </row>
    <row r="714" spans="1:64" ht="13.5" thickBot="1" x14ac:dyDescent="0.25">
      <c r="A714" s="185" t="s">
        <v>1385</v>
      </c>
      <c r="B714" s="194" t="s">
        <v>695</v>
      </c>
      <c r="C714" s="194" t="s">
        <v>695</v>
      </c>
      <c r="D714" s="194" t="s">
        <v>695</v>
      </c>
      <c r="E714" s="193" t="s">
        <v>694</v>
      </c>
      <c r="F714" s="160" t="s">
        <v>20</v>
      </c>
      <c r="G714" s="161"/>
      <c r="H714" s="186" t="str">
        <f t="shared" si="442"/>
        <v>N/A</v>
      </c>
      <c r="I714" s="186" t="b">
        <f t="shared" si="443"/>
        <v>1</v>
      </c>
      <c r="J714" s="186" t="str">
        <f t="shared" si="444"/>
        <v>N/A</v>
      </c>
      <c r="K714" s="186" t="b">
        <f t="shared" si="445"/>
        <v>1</v>
      </c>
      <c r="L714" s="186" t="str">
        <f t="shared" si="446"/>
        <v>N/A</v>
      </c>
      <c r="M714" s="186" t="b">
        <f t="shared" si="447"/>
        <v>1</v>
      </c>
      <c r="N714" s="186" t="str">
        <f t="shared" si="448"/>
        <v>Used?</v>
      </c>
      <c r="O714" s="186" t="b">
        <f t="shared" si="449"/>
        <v>0</v>
      </c>
      <c r="P714" s="26" t="s">
        <v>696</v>
      </c>
      <c r="Q714" s="160" t="s">
        <v>20</v>
      </c>
      <c r="R714" s="160" t="s">
        <v>20</v>
      </c>
      <c r="S714" s="26" t="s">
        <v>697</v>
      </c>
      <c r="T714" s="165" t="str">
        <f t="shared" si="450"/>
        <v>Not Used</v>
      </c>
      <c r="U714" s="162"/>
      <c r="V714" s="55"/>
      <c r="W714" s="51" t="b">
        <f t="shared" si="451"/>
        <v>1</v>
      </c>
      <c r="X714" s="51" t="str">
        <f t="shared" si="452"/>
        <v>Not Used</v>
      </c>
      <c r="Y714" s="51" t="str">
        <f t="shared" si="453"/>
        <v>Not Used</v>
      </c>
      <c r="Z714" s="51" t="str">
        <f t="shared" si="454"/>
        <v>Not Used</v>
      </c>
      <c r="AA714" s="51" t="str">
        <f t="shared" si="454"/>
        <v>Not Used</v>
      </c>
      <c r="AB714" s="51" t="str">
        <f t="shared" si="455"/>
        <v>Not Used</v>
      </c>
      <c r="AC714" s="51" t="b">
        <f t="shared" si="456"/>
        <v>1</v>
      </c>
      <c r="AD714" s="51">
        <f>COUNTIF($X$5:$X$714, "Not Used")</f>
        <v>710</v>
      </c>
      <c r="AE714" s="51">
        <f>COUNTIF($X$5:$X$714, "TRUE")</f>
        <v>0</v>
      </c>
      <c r="AF714" s="51" t="b">
        <f t="shared" si="457"/>
        <v>1</v>
      </c>
      <c r="AI714" s="51" t="b">
        <f t="shared" si="458"/>
        <v>0</v>
      </c>
      <c r="AJ714" s="51" t="b">
        <f t="shared" si="459"/>
        <v>0</v>
      </c>
      <c r="AK714" s="51" t="b">
        <f t="shared" si="460"/>
        <v>0</v>
      </c>
      <c r="AL714" s="51" t="b">
        <f t="shared" si="461"/>
        <v>0</v>
      </c>
      <c r="AM714" s="51" t="b">
        <f t="shared" si="462"/>
        <v>0</v>
      </c>
      <c r="AN714" s="51"/>
      <c r="AO714" s="51" t="b">
        <f t="shared" si="463"/>
        <v>0</v>
      </c>
      <c r="AP714" s="51" t="str">
        <f t="shared" si="485"/>
        <v>Not in MMS</v>
      </c>
      <c r="AQ714" s="51" t="b">
        <f t="shared" si="464"/>
        <v>0</v>
      </c>
      <c r="AR714" s="51" t="b">
        <f t="shared" si="465"/>
        <v>0</v>
      </c>
      <c r="AS714" s="51" t="str">
        <f t="shared" si="466"/>
        <v/>
      </c>
      <c r="AT714" s="51" t="str">
        <f t="shared" si="467"/>
        <v/>
      </c>
      <c r="AU714" s="51" t="str">
        <f t="shared" si="468"/>
        <v/>
      </c>
      <c r="AV714" s="51" t="str">
        <f t="shared" si="469"/>
        <v/>
      </c>
      <c r="AW714" s="51" t="str">
        <f t="shared" si="470"/>
        <v/>
      </c>
      <c r="AX714" s="51" t="str">
        <f t="shared" si="471"/>
        <v/>
      </c>
      <c r="AY714" s="51" t="str">
        <f t="shared" si="472"/>
        <v/>
      </c>
      <c r="AZ714" s="51" t="str">
        <f t="shared" si="473"/>
        <v/>
      </c>
      <c r="BA714" s="51" t="str">
        <f t="shared" si="474"/>
        <v/>
      </c>
      <c r="BB714" s="51" t="str">
        <f t="shared" si="475"/>
        <v/>
      </c>
      <c r="BC714" s="51" t="str">
        <f t="shared" si="476"/>
        <v/>
      </c>
      <c r="BD714" s="51" t="str">
        <f t="shared" si="477"/>
        <v/>
      </c>
      <c r="BE714" s="51" t="str">
        <f t="shared" si="478"/>
        <v/>
      </c>
      <c r="BF714" s="51" t="str">
        <f t="shared" si="479"/>
        <v/>
      </c>
      <c r="BG714" s="51" t="str">
        <f t="shared" si="480"/>
        <v/>
      </c>
      <c r="BH714" s="51" t="b">
        <f t="shared" si="481"/>
        <v>0</v>
      </c>
      <c r="BI714" s="51" t="str">
        <f t="shared" si="482"/>
        <v/>
      </c>
      <c r="BJ714" s="51" t="str">
        <f t="shared" si="483"/>
        <v/>
      </c>
      <c r="BK714" s="51" t="b">
        <f t="shared" si="484"/>
        <v>0</v>
      </c>
      <c r="BL714" s="192"/>
    </row>
    <row r="715" spans="1:64" ht="13.5" thickBot="1" x14ac:dyDescent="0.25">
      <c r="A715" s="185" t="s">
        <v>1912</v>
      </c>
      <c r="B715" s="194" t="s">
        <v>695</v>
      </c>
      <c r="C715" s="194" t="s">
        <v>695</v>
      </c>
      <c r="D715" s="194" t="s">
        <v>695</v>
      </c>
      <c r="E715" s="193" t="s">
        <v>694</v>
      </c>
      <c r="F715" s="160" t="s">
        <v>20</v>
      </c>
      <c r="G715" s="161"/>
      <c r="H715" s="186" t="str">
        <f t="shared" si="442"/>
        <v>N/A</v>
      </c>
      <c r="I715" s="186" t="b">
        <f t="shared" si="443"/>
        <v>1</v>
      </c>
      <c r="J715" s="186" t="str">
        <f t="shared" si="444"/>
        <v>N/A</v>
      </c>
      <c r="K715" s="186" t="b">
        <f t="shared" si="445"/>
        <v>1</v>
      </c>
      <c r="L715" s="186" t="str">
        <f t="shared" si="446"/>
        <v>N/A</v>
      </c>
      <c r="M715" s="186" t="b">
        <f t="shared" si="447"/>
        <v>1</v>
      </c>
      <c r="N715" s="186" t="str">
        <f t="shared" si="448"/>
        <v>Used?</v>
      </c>
      <c r="O715" s="186" t="b">
        <f t="shared" si="449"/>
        <v>0</v>
      </c>
      <c r="P715" s="26" t="s">
        <v>696</v>
      </c>
      <c r="Q715" s="160" t="s">
        <v>20</v>
      </c>
      <c r="R715" s="160" t="s">
        <v>20</v>
      </c>
      <c r="S715" s="26" t="s">
        <v>697</v>
      </c>
      <c r="T715" s="165" t="str">
        <f t="shared" si="450"/>
        <v>Not Used</v>
      </c>
      <c r="U715" s="162"/>
      <c r="V715" s="55"/>
      <c r="W715" s="51" t="b">
        <f t="shared" si="451"/>
        <v>1</v>
      </c>
      <c r="X715" s="51" t="str">
        <f t="shared" si="452"/>
        <v>Not Used</v>
      </c>
      <c r="Y715" s="51" t="str">
        <f t="shared" si="453"/>
        <v>Not Used</v>
      </c>
      <c r="Z715" s="51" t="str">
        <f t="shared" si="454"/>
        <v>Not Used</v>
      </c>
      <c r="AA715" s="51" t="str">
        <f t="shared" si="454"/>
        <v>Not Used</v>
      </c>
      <c r="AB715" s="51" t="str">
        <f t="shared" si="455"/>
        <v>Not Used</v>
      </c>
      <c r="AC715" s="51" t="b">
        <f t="shared" si="456"/>
        <v>1</v>
      </c>
      <c r="AD715" s="51">
        <f>COUNTIF($X$5:$X$716, "Not Used")</f>
        <v>712</v>
      </c>
      <c r="AE715" s="51">
        <f>COUNTIF($X$5:$X$716, "TRUE")</f>
        <v>0</v>
      </c>
      <c r="AF715" s="51" t="b">
        <f t="shared" si="457"/>
        <v>1</v>
      </c>
      <c r="AI715" s="51" t="b">
        <f t="shared" si="458"/>
        <v>0</v>
      </c>
      <c r="AJ715" s="51" t="b">
        <f t="shared" si="459"/>
        <v>0</v>
      </c>
      <c r="AK715" s="51" t="b">
        <f t="shared" si="460"/>
        <v>0</v>
      </c>
      <c r="AL715" s="51" t="b">
        <f t="shared" si="461"/>
        <v>0</v>
      </c>
      <c r="AM715" s="51" t="b">
        <f t="shared" si="462"/>
        <v>0</v>
      </c>
      <c r="AN715" s="51"/>
      <c r="AO715" s="51" t="b">
        <f t="shared" si="463"/>
        <v>0</v>
      </c>
      <c r="AP715" s="51" t="str">
        <f t="shared" si="485"/>
        <v>Not in MMS</v>
      </c>
      <c r="AQ715" s="51" t="b">
        <f t="shared" si="464"/>
        <v>0</v>
      </c>
      <c r="AR715" s="51" t="b">
        <f t="shared" si="465"/>
        <v>0</v>
      </c>
      <c r="AS715" s="51" t="str">
        <f t="shared" si="466"/>
        <v/>
      </c>
      <c r="AT715" s="51" t="str">
        <f t="shared" si="467"/>
        <v/>
      </c>
      <c r="AU715" s="51" t="str">
        <f t="shared" si="468"/>
        <v/>
      </c>
      <c r="AV715" s="51" t="str">
        <f t="shared" si="469"/>
        <v/>
      </c>
      <c r="AW715" s="51" t="str">
        <f t="shared" si="470"/>
        <v/>
      </c>
      <c r="AX715" s="51" t="str">
        <f t="shared" si="471"/>
        <v/>
      </c>
      <c r="AY715" s="51" t="str">
        <f t="shared" si="472"/>
        <v/>
      </c>
      <c r="AZ715" s="51" t="str">
        <f t="shared" si="473"/>
        <v/>
      </c>
      <c r="BA715" s="51" t="str">
        <f t="shared" si="474"/>
        <v/>
      </c>
      <c r="BB715" s="51" t="str">
        <f t="shared" si="475"/>
        <v/>
      </c>
      <c r="BC715" s="51" t="str">
        <f t="shared" si="476"/>
        <v/>
      </c>
      <c r="BD715" s="51" t="str">
        <f t="shared" si="477"/>
        <v/>
      </c>
      <c r="BE715" s="51" t="str">
        <f t="shared" si="478"/>
        <v/>
      </c>
      <c r="BF715" s="51" t="str">
        <f t="shared" si="479"/>
        <v/>
      </c>
      <c r="BG715" s="51" t="str">
        <f t="shared" si="480"/>
        <v/>
      </c>
      <c r="BH715" s="51" t="b">
        <f t="shared" si="481"/>
        <v>0</v>
      </c>
      <c r="BI715" s="51" t="str">
        <f t="shared" si="482"/>
        <v/>
      </c>
      <c r="BJ715" s="51" t="str">
        <f t="shared" si="483"/>
        <v/>
      </c>
      <c r="BK715" s="51" t="b">
        <f t="shared" si="484"/>
        <v>0</v>
      </c>
      <c r="BL715" s="192"/>
    </row>
    <row r="716" spans="1:64" ht="13.5" thickBot="1" x14ac:dyDescent="0.25">
      <c r="A716" s="185" t="s">
        <v>1386</v>
      </c>
      <c r="B716" s="194" t="s">
        <v>695</v>
      </c>
      <c r="C716" s="194" t="s">
        <v>695</v>
      </c>
      <c r="D716" s="194" t="s">
        <v>695</v>
      </c>
      <c r="E716" s="193" t="s">
        <v>694</v>
      </c>
      <c r="F716" s="160" t="s">
        <v>20</v>
      </c>
      <c r="G716" s="161"/>
      <c r="H716" s="186" t="str">
        <f t="shared" si="442"/>
        <v>N/A</v>
      </c>
      <c r="I716" s="186" t="b">
        <f t="shared" si="443"/>
        <v>1</v>
      </c>
      <c r="J716" s="186" t="str">
        <f t="shared" si="444"/>
        <v>N/A</v>
      </c>
      <c r="K716" s="186" t="b">
        <f t="shared" si="445"/>
        <v>1</v>
      </c>
      <c r="L716" s="186" t="str">
        <f t="shared" si="446"/>
        <v>N/A</v>
      </c>
      <c r="M716" s="186" t="b">
        <f t="shared" si="447"/>
        <v>1</v>
      </c>
      <c r="N716" s="186" t="str">
        <f t="shared" si="448"/>
        <v>Used?</v>
      </c>
      <c r="O716" s="186" t="b">
        <f t="shared" si="449"/>
        <v>0</v>
      </c>
      <c r="P716" s="26" t="s">
        <v>696</v>
      </c>
      <c r="Q716" s="160" t="s">
        <v>20</v>
      </c>
      <c r="R716" s="160" t="s">
        <v>20</v>
      </c>
      <c r="S716" s="26" t="s">
        <v>697</v>
      </c>
      <c r="T716" s="165" t="str">
        <f t="shared" si="450"/>
        <v>Not Used</v>
      </c>
      <c r="U716" s="162"/>
      <c r="V716" s="55"/>
      <c r="W716" s="51" t="b">
        <f t="shared" si="451"/>
        <v>1</v>
      </c>
      <c r="X716" s="51" t="str">
        <f t="shared" si="452"/>
        <v>Not Used</v>
      </c>
      <c r="Y716" s="51" t="str">
        <f t="shared" si="453"/>
        <v>Not Used</v>
      </c>
      <c r="Z716" s="51" t="str">
        <f t="shared" si="454"/>
        <v>Not Used</v>
      </c>
      <c r="AA716" s="51" t="str">
        <f t="shared" si="454"/>
        <v>Not Used</v>
      </c>
      <c r="AB716" s="51" t="str">
        <f t="shared" si="455"/>
        <v>Not Used</v>
      </c>
      <c r="AC716" s="51" t="b">
        <f t="shared" si="456"/>
        <v>1</v>
      </c>
      <c r="AD716" s="51">
        <f>COUNTIF($X$5:$X$716, "Not Used")</f>
        <v>712</v>
      </c>
      <c r="AE716" s="51">
        <f>COUNTIF($X$5:$X$716, "TRUE")</f>
        <v>0</v>
      </c>
      <c r="AF716" s="51" t="b">
        <f t="shared" si="457"/>
        <v>1</v>
      </c>
      <c r="AI716" s="51" t="b">
        <f t="shared" si="458"/>
        <v>0</v>
      </c>
      <c r="AJ716" s="51" t="b">
        <f t="shared" si="459"/>
        <v>0</v>
      </c>
      <c r="AK716" s="51" t="b">
        <f t="shared" si="460"/>
        <v>0</v>
      </c>
      <c r="AL716" s="51" t="b">
        <f t="shared" si="461"/>
        <v>0</v>
      </c>
      <c r="AM716" s="51" t="b">
        <f t="shared" si="462"/>
        <v>0</v>
      </c>
      <c r="AN716" s="51"/>
      <c r="AO716" s="51" t="b">
        <f t="shared" si="463"/>
        <v>0</v>
      </c>
      <c r="AP716" s="51" t="str">
        <f t="shared" si="485"/>
        <v>Not in MMS</v>
      </c>
      <c r="AQ716" s="51" t="b">
        <f t="shared" si="464"/>
        <v>0</v>
      </c>
      <c r="AR716" s="51" t="b">
        <f t="shared" si="465"/>
        <v>0</v>
      </c>
      <c r="AS716" s="51" t="str">
        <f t="shared" si="466"/>
        <v/>
      </c>
      <c r="AT716" s="51" t="str">
        <f t="shared" si="467"/>
        <v/>
      </c>
      <c r="AU716" s="51" t="str">
        <f t="shared" si="468"/>
        <v/>
      </c>
      <c r="AV716" s="51" t="str">
        <f t="shared" si="469"/>
        <v/>
      </c>
      <c r="AW716" s="51" t="str">
        <f t="shared" si="470"/>
        <v/>
      </c>
      <c r="AX716" s="51" t="str">
        <f t="shared" si="471"/>
        <v/>
      </c>
      <c r="AY716" s="51" t="str">
        <f t="shared" si="472"/>
        <v/>
      </c>
      <c r="AZ716" s="51" t="str">
        <f t="shared" si="473"/>
        <v/>
      </c>
      <c r="BA716" s="51" t="str">
        <f t="shared" si="474"/>
        <v/>
      </c>
      <c r="BB716" s="51" t="str">
        <f t="shared" si="475"/>
        <v/>
      </c>
      <c r="BC716" s="51" t="str">
        <f t="shared" si="476"/>
        <v/>
      </c>
      <c r="BD716" s="51" t="str">
        <f t="shared" si="477"/>
        <v/>
      </c>
      <c r="BE716" s="51" t="str">
        <f t="shared" si="478"/>
        <v/>
      </c>
      <c r="BF716" s="51" t="str">
        <f t="shared" si="479"/>
        <v/>
      </c>
      <c r="BG716" s="51" t="str">
        <f t="shared" si="480"/>
        <v/>
      </c>
      <c r="BH716" s="51" t="b">
        <f t="shared" si="481"/>
        <v>0</v>
      </c>
      <c r="BI716" s="51" t="str">
        <f t="shared" si="482"/>
        <v/>
      </c>
      <c r="BJ716" s="51" t="str">
        <f t="shared" si="483"/>
        <v/>
      </c>
      <c r="BK716" s="51" t="b">
        <f t="shared" si="484"/>
        <v>0</v>
      </c>
      <c r="BL716" s="192"/>
    </row>
    <row r="717" spans="1:64" ht="13.5" thickBot="1" x14ac:dyDescent="0.25">
      <c r="A717" s="185" t="s">
        <v>1387</v>
      </c>
      <c r="B717" s="194" t="s">
        <v>695</v>
      </c>
      <c r="C717" s="194" t="s">
        <v>695</v>
      </c>
      <c r="D717" s="194" t="s">
        <v>695</v>
      </c>
      <c r="E717" s="193" t="s">
        <v>694</v>
      </c>
      <c r="F717" s="160" t="s">
        <v>20</v>
      </c>
      <c r="G717" s="161"/>
      <c r="H717" s="186" t="str">
        <f t="shared" si="442"/>
        <v>N/A</v>
      </c>
      <c r="I717" s="186" t="b">
        <f t="shared" si="443"/>
        <v>1</v>
      </c>
      <c r="J717" s="186" t="str">
        <f t="shared" si="444"/>
        <v>N/A</v>
      </c>
      <c r="K717" s="186" t="b">
        <f t="shared" si="445"/>
        <v>1</v>
      </c>
      <c r="L717" s="186" t="str">
        <f t="shared" si="446"/>
        <v>N/A</v>
      </c>
      <c r="M717" s="186" t="b">
        <f t="shared" si="447"/>
        <v>1</v>
      </c>
      <c r="N717" s="186" t="str">
        <f t="shared" si="448"/>
        <v>Used?</v>
      </c>
      <c r="O717" s="186" t="b">
        <f t="shared" si="449"/>
        <v>0</v>
      </c>
      <c r="P717" s="26" t="s">
        <v>696</v>
      </c>
      <c r="Q717" s="160" t="s">
        <v>20</v>
      </c>
      <c r="R717" s="160" t="s">
        <v>20</v>
      </c>
      <c r="S717" s="26" t="s">
        <v>697</v>
      </c>
      <c r="T717" s="165" t="str">
        <f t="shared" si="450"/>
        <v>Not Used</v>
      </c>
      <c r="U717" s="162"/>
      <c r="V717" s="55"/>
      <c r="W717" s="51" t="b">
        <f t="shared" si="451"/>
        <v>1</v>
      </c>
      <c r="X717" s="51" t="str">
        <f t="shared" si="452"/>
        <v>Not Used</v>
      </c>
      <c r="Y717" s="51" t="str">
        <f t="shared" si="453"/>
        <v>Not Used</v>
      </c>
      <c r="Z717" s="51" t="str">
        <f t="shared" si="454"/>
        <v>Not Used</v>
      </c>
      <c r="AA717" s="51" t="str">
        <f t="shared" si="454"/>
        <v>Not Used</v>
      </c>
      <c r="AB717" s="51" t="str">
        <f t="shared" si="455"/>
        <v>Not Used</v>
      </c>
      <c r="AC717" s="51" t="b">
        <f t="shared" si="456"/>
        <v>1</v>
      </c>
      <c r="AD717" s="51">
        <f>COUNTIF($X$5:$X$717, "Not Used")</f>
        <v>713</v>
      </c>
      <c r="AE717" s="51">
        <f>COUNTIF($X$5:$X$717, "TRUE")</f>
        <v>0</v>
      </c>
      <c r="AF717" s="51" t="b">
        <f t="shared" si="457"/>
        <v>1</v>
      </c>
      <c r="AI717" s="51" t="b">
        <f t="shared" si="458"/>
        <v>0</v>
      </c>
      <c r="AJ717" s="51" t="b">
        <f t="shared" si="459"/>
        <v>0</v>
      </c>
      <c r="AK717" s="51" t="b">
        <f t="shared" si="460"/>
        <v>0</v>
      </c>
      <c r="AL717" s="51" t="b">
        <f t="shared" si="461"/>
        <v>0</v>
      </c>
      <c r="AM717" s="51" t="b">
        <f t="shared" si="462"/>
        <v>0</v>
      </c>
      <c r="AN717" s="51"/>
      <c r="AO717" s="51" t="b">
        <f t="shared" si="463"/>
        <v>0</v>
      </c>
      <c r="AP717" s="51" t="str">
        <f t="shared" si="485"/>
        <v>Not in MMS</v>
      </c>
      <c r="AQ717" s="51" t="b">
        <f t="shared" si="464"/>
        <v>0</v>
      </c>
      <c r="AR717" s="51" t="b">
        <f t="shared" si="465"/>
        <v>0</v>
      </c>
      <c r="AS717" s="51" t="str">
        <f t="shared" si="466"/>
        <v/>
      </c>
      <c r="AT717" s="51" t="str">
        <f t="shared" si="467"/>
        <v/>
      </c>
      <c r="AU717" s="51" t="str">
        <f t="shared" si="468"/>
        <v/>
      </c>
      <c r="AV717" s="51" t="str">
        <f t="shared" si="469"/>
        <v/>
      </c>
      <c r="AW717" s="51" t="str">
        <f t="shared" si="470"/>
        <v/>
      </c>
      <c r="AX717" s="51" t="str">
        <f t="shared" si="471"/>
        <v/>
      </c>
      <c r="AY717" s="51" t="str">
        <f t="shared" si="472"/>
        <v/>
      </c>
      <c r="AZ717" s="51" t="str">
        <f t="shared" si="473"/>
        <v/>
      </c>
      <c r="BA717" s="51" t="str">
        <f t="shared" si="474"/>
        <v/>
      </c>
      <c r="BB717" s="51" t="str">
        <f t="shared" si="475"/>
        <v/>
      </c>
      <c r="BC717" s="51" t="str">
        <f t="shared" si="476"/>
        <v/>
      </c>
      <c r="BD717" s="51" t="str">
        <f t="shared" si="477"/>
        <v/>
      </c>
      <c r="BE717" s="51" t="str">
        <f t="shared" si="478"/>
        <v/>
      </c>
      <c r="BF717" s="51" t="str">
        <f t="shared" si="479"/>
        <v/>
      </c>
      <c r="BG717" s="51" t="str">
        <f t="shared" si="480"/>
        <v/>
      </c>
      <c r="BH717" s="51" t="b">
        <f t="shared" si="481"/>
        <v>0</v>
      </c>
      <c r="BI717" s="51" t="str">
        <f t="shared" si="482"/>
        <v/>
      </c>
      <c r="BJ717" s="51" t="str">
        <f t="shared" si="483"/>
        <v/>
      </c>
      <c r="BK717" s="51" t="b">
        <f t="shared" si="484"/>
        <v>0</v>
      </c>
      <c r="BL717" s="192"/>
    </row>
    <row r="718" spans="1:64" ht="13.5" thickBot="1" x14ac:dyDescent="0.25">
      <c r="A718" s="185" t="s">
        <v>1388</v>
      </c>
      <c r="B718" s="194" t="s">
        <v>695</v>
      </c>
      <c r="C718" s="194" t="s">
        <v>695</v>
      </c>
      <c r="D718" s="194" t="s">
        <v>695</v>
      </c>
      <c r="E718" s="193" t="s">
        <v>694</v>
      </c>
      <c r="F718" s="160" t="s">
        <v>20</v>
      </c>
      <c r="G718" s="161"/>
      <c r="H718" s="186" t="str">
        <f t="shared" si="442"/>
        <v>N/A</v>
      </c>
      <c r="I718" s="186" t="b">
        <f t="shared" si="443"/>
        <v>1</v>
      </c>
      <c r="J718" s="186" t="str">
        <f t="shared" si="444"/>
        <v>N/A</v>
      </c>
      <c r="K718" s="186" t="b">
        <f t="shared" si="445"/>
        <v>1</v>
      </c>
      <c r="L718" s="186" t="str">
        <f t="shared" si="446"/>
        <v>N/A</v>
      </c>
      <c r="M718" s="186" t="b">
        <f t="shared" si="447"/>
        <v>1</v>
      </c>
      <c r="N718" s="186" t="str">
        <f t="shared" si="448"/>
        <v>Used?</v>
      </c>
      <c r="O718" s="186" t="b">
        <f t="shared" si="449"/>
        <v>0</v>
      </c>
      <c r="P718" s="26" t="s">
        <v>696</v>
      </c>
      <c r="Q718" s="160" t="s">
        <v>20</v>
      </c>
      <c r="R718" s="160" t="s">
        <v>20</v>
      </c>
      <c r="S718" s="26" t="s">
        <v>697</v>
      </c>
      <c r="T718" s="165" t="str">
        <f t="shared" si="450"/>
        <v>Not Used</v>
      </c>
      <c r="U718" s="162"/>
      <c r="V718" s="55"/>
      <c r="W718" s="51" t="b">
        <f t="shared" si="451"/>
        <v>1</v>
      </c>
      <c r="X718" s="51" t="str">
        <f t="shared" si="452"/>
        <v>Not Used</v>
      </c>
      <c r="Y718" s="51" t="str">
        <f t="shared" si="453"/>
        <v>Not Used</v>
      </c>
      <c r="Z718" s="51" t="str">
        <f t="shared" si="454"/>
        <v>Not Used</v>
      </c>
      <c r="AA718" s="51" t="str">
        <f t="shared" si="454"/>
        <v>Not Used</v>
      </c>
      <c r="AB718" s="51" t="str">
        <f t="shared" si="455"/>
        <v>Not Used</v>
      </c>
      <c r="AC718" s="51" t="b">
        <f t="shared" si="456"/>
        <v>1</v>
      </c>
      <c r="AD718" s="51">
        <f>COUNTIF($X$5:$X$718, "Not Used")</f>
        <v>714</v>
      </c>
      <c r="AE718" s="51">
        <f>COUNTIF($X$5:$X$718, "TRUE")</f>
        <v>0</v>
      </c>
      <c r="AF718" s="51" t="b">
        <f t="shared" si="457"/>
        <v>1</v>
      </c>
      <c r="AI718" s="51" t="b">
        <f t="shared" si="458"/>
        <v>0</v>
      </c>
      <c r="AJ718" s="51" t="b">
        <f t="shared" si="459"/>
        <v>0</v>
      </c>
      <c r="AK718" s="51" t="b">
        <f t="shared" si="460"/>
        <v>0</v>
      </c>
      <c r="AL718" s="51" t="b">
        <f t="shared" si="461"/>
        <v>0</v>
      </c>
      <c r="AM718" s="51" t="b">
        <f t="shared" si="462"/>
        <v>0</v>
      </c>
      <c r="AN718" s="51"/>
      <c r="AO718" s="51" t="b">
        <f t="shared" si="463"/>
        <v>0</v>
      </c>
      <c r="AP718" s="51" t="str">
        <f t="shared" si="485"/>
        <v>Not in MMS</v>
      </c>
      <c r="AQ718" s="51" t="b">
        <f t="shared" si="464"/>
        <v>0</v>
      </c>
      <c r="AR718" s="51" t="b">
        <f t="shared" si="465"/>
        <v>0</v>
      </c>
      <c r="AS718" s="51" t="str">
        <f t="shared" si="466"/>
        <v/>
      </c>
      <c r="AT718" s="51" t="str">
        <f t="shared" si="467"/>
        <v/>
      </c>
      <c r="AU718" s="51" t="str">
        <f t="shared" si="468"/>
        <v/>
      </c>
      <c r="AV718" s="51" t="str">
        <f t="shared" si="469"/>
        <v/>
      </c>
      <c r="AW718" s="51" t="str">
        <f t="shared" si="470"/>
        <v/>
      </c>
      <c r="AX718" s="51" t="str">
        <f t="shared" si="471"/>
        <v/>
      </c>
      <c r="AY718" s="51" t="str">
        <f t="shared" si="472"/>
        <v/>
      </c>
      <c r="AZ718" s="51" t="str">
        <f t="shared" si="473"/>
        <v/>
      </c>
      <c r="BA718" s="51" t="str">
        <f t="shared" si="474"/>
        <v/>
      </c>
      <c r="BB718" s="51" t="str">
        <f t="shared" si="475"/>
        <v/>
      </c>
      <c r="BC718" s="51" t="str">
        <f t="shared" si="476"/>
        <v/>
      </c>
      <c r="BD718" s="51" t="str">
        <f t="shared" si="477"/>
        <v/>
      </c>
      <c r="BE718" s="51" t="str">
        <f t="shared" si="478"/>
        <v/>
      </c>
      <c r="BF718" s="51" t="str">
        <f t="shared" si="479"/>
        <v/>
      </c>
      <c r="BG718" s="51" t="str">
        <f t="shared" si="480"/>
        <v/>
      </c>
      <c r="BH718" s="51" t="b">
        <f t="shared" si="481"/>
        <v>0</v>
      </c>
      <c r="BI718" s="51" t="str">
        <f t="shared" si="482"/>
        <v/>
      </c>
      <c r="BJ718" s="51" t="str">
        <f t="shared" si="483"/>
        <v/>
      </c>
      <c r="BK718" s="51" t="b">
        <f t="shared" si="484"/>
        <v>0</v>
      </c>
      <c r="BL718" s="192"/>
    </row>
    <row r="719" spans="1:64" ht="13.5" thickBot="1" x14ac:dyDescent="0.25">
      <c r="A719" s="185" t="s">
        <v>1389</v>
      </c>
      <c r="B719" s="194" t="s">
        <v>695</v>
      </c>
      <c r="C719" s="194" t="s">
        <v>695</v>
      </c>
      <c r="D719" s="194" t="s">
        <v>695</v>
      </c>
      <c r="E719" s="193" t="s">
        <v>694</v>
      </c>
      <c r="F719" s="160" t="s">
        <v>20</v>
      </c>
      <c r="G719" s="161"/>
      <c r="H719" s="186" t="str">
        <f t="shared" si="442"/>
        <v>N/A</v>
      </c>
      <c r="I719" s="186" t="b">
        <f t="shared" si="443"/>
        <v>1</v>
      </c>
      <c r="J719" s="186" t="str">
        <f t="shared" si="444"/>
        <v>N/A</v>
      </c>
      <c r="K719" s="186" t="b">
        <f t="shared" si="445"/>
        <v>1</v>
      </c>
      <c r="L719" s="186" t="str">
        <f t="shared" si="446"/>
        <v>N/A</v>
      </c>
      <c r="M719" s="186" t="b">
        <f t="shared" si="447"/>
        <v>1</v>
      </c>
      <c r="N719" s="186" t="str">
        <f t="shared" si="448"/>
        <v>Used?</v>
      </c>
      <c r="O719" s="186" t="b">
        <f t="shared" si="449"/>
        <v>0</v>
      </c>
      <c r="P719" s="26" t="s">
        <v>696</v>
      </c>
      <c r="Q719" s="160" t="s">
        <v>20</v>
      </c>
      <c r="R719" s="160" t="s">
        <v>20</v>
      </c>
      <c r="S719" s="26" t="s">
        <v>697</v>
      </c>
      <c r="T719" s="165" t="str">
        <f t="shared" si="450"/>
        <v>Not Used</v>
      </c>
      <c r="U719" s="162"/>
      <c r="V719" s="55"/>
      <c r="W719" s="51" t="b">
        <f t="shared" si="451"/>
        <v>1</v>
      </c>
      <c r="X719" s="51" t="str">
        <f t="shared" si="452"/>
        <v>Not Used</v>
      </c>
      <c r="Y719" s="51" t="str">
        <f t="shared" si="453"/>
        <v>Not Used</v>
      </c>
      <c r="Z719" s="51" t="str">
        <f t="shared" si="454"/>
        <v>Not Used</v>
      </c>
      <c r="AA719" s="51" t="str">
        <f t="shared" si="454"/>
        <v>Not Used</v>
      </c>
      <c r="AB719" s="51" t="str">
        <f t="shared" si="455"/>
        <v>Not Used</v>
      </c>
      <c r="AC719" s="51" t="b">
        <f t="shared" si="456"/>
        <v>1</v>
      </c>
      <c r="AD719" s="51">
        <f>COUNTIF($X$5:$X$719, "Not Used")</f>
        <v>715</v>
      </c>
      <c r="AE719" s="51">
        <f>COUNTIF($X$5:$X$719, "TRUE")</f>
        <v>0</v>
      </c>
      <c r="AF719" s="51" t="b">
        <f t="shared" si="457"/>
        <v>1</v>
      </c>
      <c r="AI719" s="51" t="b">
        <f t="shared" si="458"/>
        <v>0</v>
      </c>
      <c r="AJ719" s="51" t="b">
        <f t="shared" si="459"/>
        <v>0</v>
      </c>
      <c r="AK719" s="51" t="b">
        <f t="shared" si="460"/>
        <v>0</v>
      </c>
      <c r="AL719" s="51" t="b">
        <f t="shared" si="461"/>
        <v>0</v>
      </c>
      <c r="AM719" s="51" t="b">
        <f t="shared" si="462"/>
        <v>0</v>
      </c>
      <c r="AN719" s="51"/>
      <c r="AO719" s="51" t="b">
        <f t="shared" si="463"/>
        <v>0</v>
      </c>
      <c r="AP719" s="51" t="str">
        <f t="shared" si="485"/>
        <v>Not in MMS</v>
      </c>
      <c r="AQ719" s="51" t="b">
        <f t="shared" si="464"/>
        <v>0</v>
      </c>
      <c r="AR719" s="51" t="b">
        <f t="shared" si="465"/>
        <v>0</v>
      </c>
      <c r="AS719" s="51" t="str">
        <f t="shared" si="466"/>
        <v/>
      </c>
      <c r="AT719" s="51" t="str">
        <f t="shared" si="467"/>
        <v/>
      </c>
      <c r="AU719" s="51" t="str">
        <f t="shared" si="468"/>
        <v/>
      </c>
      <c r="AV719" s="51" t="str">
        <f t="shared" si="469"/>
        <v/>
      </c>
      <c r="AW719" s="51" t="str">
        <f t="shared" si="470"/>
        <v/>
      </c>
      <c r="AX719" s="51" t="str">
        <f t="shared" si="471"/>
        <v/>
      </c>
      <c r="AY719" s="51" t="str">
        <f t="shared" si="472"/>
        <v/>
      </c>
      <c r="AZ719" s="51" t="str">
        <f t="shared" si="473"/>
        <v/>
      </c>
      <c r="BA719" s="51" t="str">
        <f t="shared" si="474"/>
        <v/>
      </c>
      <c r="BB719" s="51" t="str">
        <f t="shared" si="475"/>
        <v/>
      </c>
      <c r="BC719" s="51" t="str">
        <f t="shared" si="476"/>
        <v/>
      </c>
      <c r="BD719" s="51" t="str">
        <f t="shared" si="477"/>
        <v/>
      </c>
      <c r="BE719" s="51" t="str">
        <f t="shared" si="478"/>
        <v/>
      </c>
      <c r="BF719" s="51" t="str">
        <f t="shared" si="479"/>
        <v/>
      </c>
      <c r="BG719" s="51" t="str">
        <f t="shared" si="480"/>
        <v/>
      </c>
      <c r="BH719" s="51" t="b">
        <f t="shared" si="481"/>
        <v>0</v>
      </c>
      <c r="BI719" s="51" t="str">
        <f t="shared" si="482"/>
        <v/>
      </c>
      <c r="BJ719" s="51" t="str">
        <f t="shared" si="483"/>
        <v/>
      </c>
      <c r="BK719" s="51" t="b">
        <f t="shared" si="484"/>
        <v>0</v>
      </c>
      <c r="BL719" s="192"/>
    </row>
    <row r="720" spans="1:64" ht="13.5" thickBot="1" x14ac:dyDescent="0.25">
      <c r="A720" s="185" t="s">
        <v>1390</v>
      </c>
      <c r="B720" s="194" t="s">
        <v>695</v>
      </c>
      <c r="C720" s="194" t="s">
        <v>695</v>
      </c>
      <c r="D720" s="194" t="s">
        <v>695</v>
      </c>
      <c r="E720" s="193" t="s">
        <v>694</v>
      </c>
      <c r="F720" s="160" t="s">
        <v>20</v>
      </c>
      <c r="G720" s="161"/>
      <c r="H720" s="186" t="str">
        <f t="shared" si="442"/>
        <v>N/A</v>
      </c>
      <c r="I720" s="186" t="b">
        <f t="shared" si="443"/>
        <v>1</v>
      </c>
      <c r="J720" s="186" t="str">
        <f t="shared" si="444"/>
        <v>N/A</v>
      </c>
      <c r="K720" s="186" t="b">
        <f t="shared" si="445"/>
        <v>1</v>
      </c>
      <c r="L720" s="186" t="str">
        <f t="shared" si="446"/>
        <v>N/A</v>
      </c>
      <c r="M720" s="186" t="b">
        <f t="shared" si="447"/>
        <v>1</v>
      </c>
      <c r="N720" s="186" t="str">
        <f t="shared" si="448"/>
        <v>Used?</v>
      </c>
      <c r="O720" s="186" t="b">
        <f t="shared" si="449"/>
        <v>0</v>
      </c>
      <c r="P720" s="26" t="s">
        <v>696</v>
      </c>
      <c r="Q720" s="160" t="s">
        <v>20</v>
      </c>
      <c r="R720" s="160" t="s">
        <v>20</v>
      </c>
      <c r="S720" s="26" t="s">
        <v>697</v>
      </c>
      <c r="T720" s="165" t="str">
        <f t="shared" si="450"/>
        <v>Not Used</v>
      </c>
      <c r="U720" s="162"/>
      <c r="V720" s="55"/>
      <c r="W720" s="51" t="b">
        <f t="shared" si="451"/>
        <v>1</v>
      </c>
      <c r="X720" s="51" t="str">
        <f t="shared" si="452"/>
        <v>Not Used</v>
      </c>
      <c r="Y720" s="51" t="str">
        <f t="shared" si="453"/>
        <v>Not Used</v>
      </c>
      <c r="Z720" s="51" t="str">
        <f t="shared" si="454"/>
        <v>Not Used</v>
      </c>
      <c r="AA720" s="51" t="str">
        <f t="shared" si="454"/>
        <v>Not Used</v>
      </c>
      <c r="AB720" s="51" t="str">
        <f t="shared" si="455"/>
        <v>Not Used</v>
      </c>
      <c r="AC720" s="51" t="b">
        <f t="shared" si="456"/>
        <v>1</v>
      </c>
      <c r="AD720" s="51">
        <f>COUNTIF($X$5:$X$720, "Not Used")</f>
        <v>716</v>
      </c>
      <c r="AE720" s="51">
        <f>COUNTIF($X$5:$X$720, "TRUE")</f>
        <v>0</v>
      </c>
      <c r="AF720" s="51" t="b">
        <f t="shared" si="457"/>
        <v>1</v>
      </c>
      <c r="AI720" s="51" t="b">
        <f t="shared" si="458"/>
        <v>0</v>
      </c>
      <c r="AJ720" s="51" t="b">
        <f t="shared" si="459"/>
        <v>0</v>
      </c>
      <c r="AK720" s="51" t="b">
        <f t="shared" si="460"/>
        <v>0</v>
      </c>
      <c r="AL720" s="51" t="b">
        <f t="shared" si="461"/>
        <v>0</v>
      </c>
      <c r="AM720" s="51" t="b">
        <f t="shared" si="462"/>
        <v>0</v>
      </c>
      <c r="AN720" s="51"/>
      <c r="AO720" s="51" t="b">
        <f t="shared" si="463"/>
        <v>0</v>
      </c>
      <c r="AP720" s="51" t="str">
        <f t="shared" si="485"/>
        <v>Not in MMS</v>
      </c>
      <c r="AQ720" s="51" t="b">
        <f t="shared" si="464"/>
        <v>0</v>
      </c>
      <c r="AR720" s="51" t="b">
        <f t="shared" si="465"/>
        <v>0</v>
      </c>
      <c r="AS720" s="51" t="str">
        <f t="shared" si="466"/>
        <v/>
      </c>
      <c r="AT720" s="51" t="str">
        <f t="shared" si="467"/>
        <v/>
      </c>
      <c r="AU720" s="51" t="str">
        <f t="shared" si="468"/>
        <v/>
      </c>
      <c r="AV720" s="51" t="str">
        <f t="shared" si="469"/>
        <v/>
      </c>
      <c r="AW720" s="51" t="str">
        <f t="shared" si="470"/>
        <v/>
      </c>
      <c r="AX720" s="51" t="str">
        <f t="shared" si="471"/>
        <v/>
      </c>
      <c r="AY720" s="51" t="str">
        <f t="shared" si="472"/>
        <v/>
      </c>
      <c r="AZ720" s="51" t="str">
        <f t="shared" si="473"/>
        <v/>
      </c>
      <c r="BA720" s="51" t="str">
        <f t="shared" si="474"/>
        <v/>
      </c>
      <c r="BB720" s="51" t="str">
        <f t="shared" si="475"/>
        <v/>
      </c>
      <c r="BC720" s="51" t="str">
        <f t="shared" si="476"/>
        <v/>
      </c>
      <c r="BD720" s="51" t="str">
        <f t="shared" si="477"/>
        <v/>
      </c>
      <c r="BE720" s="51" t="str">
        <f t="shared" si="478"/>
        <v/>
      </c>
      <c r="BF720" s="51" t="str">
        <f t="shared" si="479"/>
        <v/>
      </c>
      <c r="BG720" s="51" t="str">
        <f t="shared" si="480"/>
        <v/>
      </c>
      <c r="BH720" s="51" t="b">
        <f t="shared" si="481"/>
        <v>0</v>
      </c>
      <c r="BI720" s="51" t="str">
        <f t="shared" si="482"/>
        <v/>
      </c>
      <c r="BJ720" s="51" t="str">
        <f t="shared" si="483"/>
        <v/>
      </c>
      <c r="BK720" s="51" t="b">
        <f t="shared" si="484"/>
        <v>0</v>
      </c>
      <c r="BL720" s="192"/>
    </row>
    <row r="721" spans="1:64" ht="13.5" thickBot="1" x14ac:dyDescent="0.25">
      <c r="A721" s="185" t="s">
        <v>1391</v>
      </c>
      <c r="B721" s="194" t="s">
        <v>695</v>
      </c>
      <c r="C721" s="194" t="s">
        <v>695</v>
      </c>
      <c r="D721" s="194" t="s">
        <v>695</v>
      </c>
      <c r="E721" s="193" t="s">
        <v>694</v>
      </c>
      <c r="F721" s="160" t="s">
        <v>20</v>
      </c>
      <c r="G721" s="161"/>
      <c r="H721" s="186" t="str">
        <f t="shared" si="442"/>
        <v>N/A</v>
      </c>
      <c r="I721" s="186" t="b">
        <f t="shared" si="443"/>
        <v>1</v>
      </c>
      <c r="J721" s="186" t="str">
        <f t="shared" si="444"/>
        <v>N/A</v>
      </c>
      <c r="K721" s="186" t="b">
        <f t="shared" si="445"/>
        <v>1</v>
      </c>
      <c r="L721" s="186" t="str">
        <f t="shared" si="446"/>
        <v>N/A</v>
      </c>
      <c r="M721" s="186" t="b">
        <f t="shared" si="447"/>
        <v>1</v>
      </c>
      <c r="N721" s="186" t="str">
        <f t="shared" si="448"/>
        <v>Used?</v>
      </c>
      <c r="O721" s="186" t="b">
        <f t="shared" si="449"/>
        <v>0</v>
      </c>
      <c r="P721" s="26" t="s">
        <v>696</v>
      </c>
      <c r="Q721" s="160" t="s">
        <v>20</v>
      </c>
      <c r="R721" s="160" t="s">
        <v>20</v>
      </c>
      <c r="S721" s="26" t="s">
        <v>697</v>
      </c>
      <c r="T721" s="165" t="str">
        <f t="shared" si="450"/>
        <v>Not Used</v>
      </c>
      <c r="U721" s="162"/>
      <c r="V721" s="55"/>
      <c r="W721" s="51" t="b">
        <f t="shared" si="451"/>
        <v>1</v>
      </c>
      <c r="X721" s="51" t="str">
        <f t="shared" si="452"/>
        <v>Not Used</v>
      </c>
      <c r="Y721" s="51" t="str">
        <f t="shared" si="453"/>
        <v>Not Used</v>
      </c>
      <c r="Z721" s="51" t="str">
        <f t="shared" si="454"/>
        <v>Not Used</v>
      </c>
      <c r="AA721" s="51" t="str">
        <f t="shared" si="454"/>
        <v>Not Used</v>
      </c>
      <c r="AB721" s="51" t="str">
        <f t="shared" si="455"/>
        <v>Not Used</v>
      </c>
      <c r="AC721" s="51" t="b">
        <f t="shared" si="456"/>
        <v>1</v>
      </c>
      <c r="AD721" s="51">
        <f>COUNTIF($X$5:$X$721, "Not Used")</f>
        <v>717</v>
      </c>
      <c r="AE721" s="51">
        <f>COUNTIF($X$5:$X$721, "TRUE")</f>
        <v>0</v>
      </c>
      <c r="AF721" s="51" t="b">
        <f t="shared" si="457"/>
        <v>1</v>
      </c>
      <c r="AI721" s="51" t="b">
        <f t="shared" si="458"/>
        <v>0</v>
      </c>
      <c r="AJ721" s="51" t="b">
        <f t="shared" si="459"/>
        <v>0</v>
      </c>
      <c r="AK721" s="51" t="b">
        <f t="shared" si="460"/>
        <v>0</v>
      </c>
      <c r="AL721" s="51" t="b">
        <f t="shared" si="461"/>
        <v>0</v>
      </c>
      <c r="AM721" s="51" t="b">
        <f t="shared" si="462"/>
        <v>0</v>
      </c>
      <c r="AN721" s="51"/>
      <c r="AO721" s="51" t="b">
        <f t="shared" si="463"/>
        <v>0</v>
      </c>
      <c r="AP721" s="51" t="str">
        <f t="shared" si="485"/>
        <v>Not in MMS</v>
      </c>
      <c r="AQ721" s="51" t="b">
        <f t="shared" si="464"/>
        <v>0</v>
      </c>
      <c r="AR721" s="51" t="b">
        <f t="shared" si="465"/>
        <v>0</v>
      </c>
      <c r="AS721" s="51" t="str">
        <f t="shared" si="466"/>
        <v/>
      </c>
      <c r="AT721" s="51" t="str">
        <f t="shared" si="467"/>
        <v/>
      </c>
      <c r="AU721" s="51" t="str">
        <f t="shared" si="468"/>
        <v/>
      </c>
      <c r="AV721" s="51" t="str">
        <f t="shared" si="469"/>
        <v/>
      </c>
      <c r="AW721" s="51" t="str">
        <f t="shared" si="470"/>
        <v/>
      </c>
      <c r="AX721" s="51" t="str">
        <f t="shared" si="471"/>
        <v/>
      </c>
      <c r="AY721" s="51" t="str">
        <f t="shared" si="472"/>
        <v/>
      </c>
      <c r="AZ721" s="51" t="str">
        <f t="shared" si="473"/>
        <v/>
      </c>
      <c r="BA721" s="51" t="str">
        <f t="shared" si="474"/>
        <v/>
      </c>
      <c r="BB721" s="51" t="str">
        <f t="shared" si="475"/>
        <v/>
      </c>
      <c r="BC721" s="51" t="str">
        <f t="shared" si="476"/>
        <v/>
      </c>
      <c r="BD721" s="51" t="str">
        <f t="shared" si="477"/>
        <v/>
      </c>
      <c r="BE721" s="51" t="str">
        <f t="shared" si="478"/>
        <v/>
      </c>
      <c r="BF721" s="51" t="str">
        <f t="shared" si="479"/>
        <v/>
      </c>
      <c r="BG721" s="51" t="str">
        <f t="shared" si="480"/>
        <v/>
      </c>
      <c r="BH721" s="51" t="b">
        <f t="shared" si="481"/>
        <v>0</v>
      </c>
      <c r="BI721" s="51" t="str">
        <f t="shared" si="482"/>
        <v/>
      </c>
      <c r="BJ721" s="51" t="str">
        <f t="shared" si="483"/>
        <v/>
      </c>
      <c r="BK721" s="51" t="b">
        <f t="shared" si="484"/>
        <v>0</v>
      </c>
      <c r="BL721" s="192"/>
    </row>
    <row r="722" spans="1:64" ht="13.5" thickBot="1" x14ac:dyDescent="0.25">
      <c r="A722" s="185" t="s">
        <v>1392</v>
      </c>
      <c r="B722" s="194" t="s">
        <v>695</v>
      </c>
      <c r="C722" s="194" t="s">
        <v>695</v>
      </c>
      <c r="D722" s="194" t="s">
        <v>695</v>
      </c>
      <c r="E722" s="193" t="s">
        <v>694</v>
      </c>
      <c r="F722" s="160" t="s">
        <v>20</v>
      </c>
      <c r="G722" s="161"/>
      <c r="H722" s="186" t="str">
        <f t="shared" si="442"/>
        <v>N/A</v>
      </c>
      <c r="I722" s="186" t="b">
        <f t="shared" si="443"/>
        <v>1</v>
      </c>
      <c r="J722" s="186" t="str">
        <f t="shared" si="444"/>
        <v>N/A</v>
      </c>
      <c r="K722" s="186" t="b">
        <f t="shared" si="445"/>
        <v>1</v>
      </c>
      <c r="L722" s="186" t="str">
        <f t="shared" si="446"/>
        <v>N/A</v>
      </c>
      <c r="M722" s="186" t="b">
        <f t="shared" si="447"/>
        <v>1</v>
      </c>
      <c r="N722" s="186" t="str">
        <f t="shared" si="448"/>
        <v>Used?</v>
      </c>
      <c r="O722" s="186" t="b">
        <f t="shared" si="449"/>
        <v>0</v>
      </c>
      <c r="P722" s="26" t="s">
        <v>696</v>
      </c>
      <c r="Q722" s="160" t="s">
        <v>20</v>
      </c>
      <c r="R722" s="160" t="s">
        <v>20</v>
      </c>
      <c r="S722" s="26" t="s">
        <v>697</v>
      </c>
      <c r="T722" s="165" t="str">
        <f t="shared" si="450"/>
        <v>Not Used</v>
      </c>
      <c r="U722" s="162"/>
      <c r="V722" s="55"/>
      <c r="W722" s="51" t="b">
        <f t="shared" si="451"/>
        <v>1</v>
      </c>
      <c r="X722" s="51" t="str">
        <f t="shared" si="452"/>
        <v>Not Used</v>
      </c>
      <c r="Y722" s="51" t="str">
        <f t="shared" si="453"/>
        <v>Not Used</v>
      </c>
      <c r="Z722" s="51" t="str">
        <f t="shared" si="454"/>
        <v>Not Used</v>
      </c>
      <c r="AA722" s="51" t="str">
        <f t="shared" si="454"/>
        <v>Not Used</v>
      </c>
      <c r="AB722" s="51" t="str">
        <f t="shared" si="455"/>
        <v>Not Used</v>
      </c>
      <c r="AC722" s="51" t="b">
        <f t="shared" si="456"/>
        <v>1</v>
      </c>
      <c r="AD722" s="51">
        <f>COUNTIF($X$5:$X$722, "Not Used")</f>
        <v>718</v>
      </c>
      <c r="AE722" s="51">
        <f>COUNTIF($X$5:$X$722, "TRUE")</f>
        <v>0</v>
      </c>
      <c r="AF722" s="51" t="b">
        <f t="shared" si="457"/>
        <v>1</v>
      </c>
      <c r="AI722" s="51" t="b">
        <f t="shared" si="458"/>
        <v>0</v>
      </c>
      <c r="AJ722" s="51" t="b">
        <f t="shared" si="459"/>
        <v>0</v>
      </c>
      <c r="AK722" s="51" t="b">
        <f t="shared" si="460"/>
        <v>0</v>
      </c>
      <c r="AL722" s="51" t="b">
        <f t="shared" si="461"/>
        <v>0</v>
      </c>
      <c r="AM722" s="51" t="b">
        <f t="shared" si="462"/>
        <v>0</v>
      </c>
      <c r="AN722" s="51"/>
      <c r="AO722" s="51" t="b">
        <f t="shared" si="463"/>
        <v>0</v>
      </c>
      <c r="AP722" s="51" t="str">
        <f t="shared" si="485"/>
        <v>Not in MMS</v>
      </c>
      <c r="AQ722" s="51" t="b">
        <f t="shared" si="464"/>
        <v>0</v>
      </c>
      <c r="AR722" s="51" t="b">
        <f t="shared" si="465"/>
        <v>0</v>
      </c>
      <c r="AS722" s="51" t="str">
        <f t="shared" si="466"/>
        <v/>
      </c>
      <c r="AT722" s="51" t="str">
        <f t="shared" si="467"/>
        <v/>
      </c>
      <c r="AU722" s="51" t="str">
        <f t="shared" si="468"/>
        <v/>
      </c>
      <c r="AV722" s="51" t="str">
        <f t="shared" si="469"/>
        <v/>
      </c>
      <c r="AW722" s="51" t="str">
        <f t="shared" si="470"/>
        <v/>
      </c>
      <c r="AX722" s="51" t="str">
        <f t="shared" si="471"/>
        <v/>
      </c>
      <c r="AY722" s="51" t="str">
        <f t="shared" si="472"/>
        <v/>
      </c>
      <c r="AZ722" s="51" t="str">
        <f t="shared" si="473"/>
        <v/>
      </c>
      <c r="BA722" s="51" t="str">
        <f t="shared" si="474"/>
        <v/>
      </c>
      <c r="BB722" s="51" t="str">
        <f t="shared" si="475"/>
        <v/>
      </c>
      <c r="BC722" s="51" t="str">
        <f t="shared" si="476"/>
        <v/>
      </c>
      <c r="BD722" s="51" t="str">
        <f t="shared" si="477"/>
        <v/>
      </c>
      <c r="BE722" s="51" t="str">
        <f t="shared" si="478"/>
        <v/>
      </c>
      <c r="BF722" s="51" t="str">
        <f t="shared" si="479"/>
        <v/>
      </c>
      <c r="BG722" s="51" t="str">
        <f t="shared" si="480"/>
        <v/>
      </c>
      <c r="BH722" s="51" t="b">
        <f t="shared" si="481"/>
        <v>0</v>
      </c>
      <c r="BI722" s="51" t="str">
        <f t="shared" si="482"/>
        <v/>
      </c>
      <c r="BJ722" s="51" t="str">
        <f t="shared" si="483"/>
        <v/>
      </c>
      <c r="BK722" s="51" t="b">
        <f t="shared" si="484"/>
        <v>0</v>
      </c>
      <c r="BL722" s="192"/>
    </row>
    <row r="723" spans="1:64" ht="13.5" thickBot="1" x14ac:dyDescent="0.25">
      <c r="A723" s="185" t="s">
        <v>1393</v>
      </c>
      <c r="B723" s="194" t="s">
        <v>695</v>
      </c>
      <c r="C723" s="194" t="s">
        <v>695</v>
      </c>
      <c r="D723" s="194" t="s">
        <v>695</v>
      </c>
      <c r="E723" s="193" t="s">
        <v>694</v>
      </c>
      <c r="F723" s="160" t="s">
        <v>20</v>
      </c>
      <c r="G723" s="161"/>
      <c r="H723" s="186" t="str">
        <f t="shared" si="442"/>
        <v>N/A</v>
      </c>
      <c r="I723" s="186" t="b">
        <f t="shared" si="443"/>
        <v>1</v>
      </c>
      <c r="J723" s="186" t="str">
        <f t="shared" si="444"/>
        <v>N/A</v>
      </c>
      <c r="K723" s="186" t="b">
        <f t="shared" si="445"/>
        <v>1</v>
      </c>
      <c r="L723" s="186" t="str">
        <f t="shared" si="446"/>
        <v>N/A</v>
      </c>
      <c r="M723" s="186" t="b">
        <f t="shared" si="447"/>
        <v>1</v>
      </c>
      <c r="N723" s="186" t="str">
        <f t="shared" si="448"/>
        <v>Used?</v>
      </c>
      <c r="O723" s="186" t="b">
        <f t="shared" si="449"/>
        <v>0</v>
      </c>
      <c r="P723" s="26" t="s">
        <v>696</v>
      </c>
      <c r="Q723" s="160" t="s">
        <v>20</v>
      </c>
      <c r="R723" s="160" t="s">
        <v>20</v>
      </c>
      <c r="S723" s="26" t="s">
        <v>697</v>
      </c>
      <c r="T723" s="165" t="str">
        <f t="shared" si="450"/>
        <v>Not Used</v>
      </c>
      <c r="U723" s="162"/>
      <c r="V723" s="55"/>
      <c r="W723" s="51" t="b">
        <f t="shared" si="451"/>
        <v>1</v>
      </c>
      <c r="X723" s="51" t="str">
        <f t="shared" si="452"/>
        <v>Not Used</v>
      </c>
      <c r="Y723" s="51" t="str">
        <f t="shared" si="453"/>
        <v>Not Used</v>
      </c>
      <c r="Z723" s="51" t="str">
        <f t="shared" si="454"/>
        <v>Not Used</v>
      </c>
      <c r="AA723" s="51" t="str">
        <f t="shared" si="454"/>
        <v>Not Used</v>
      </c>
      <c r="AB723" s="51" t="str">
        <f t="shared" si="455"/>
        <v>Not Used</v>
      </c>
      <c r="AC723" s="51" t="b">
        <f t="shared" si="456"/>
        <v>1</v>
      </c>
      <c r="AD723" s="51">
        <f>COUNTIF($X$5:$X$723, "Not Used")</f>
        <v>719</v>
      </c>
      <c r="AE723" s="51">
        <f>COUNTIF($X$5:$X$723, "TRUE")</f>
        <v>0</v>
      </c>
      <c r="AF723" s="51" t="b">
        <f t="shared" si="457"/>
        <v>1</v>
      </c>
      <c r="AI723" s="51" t="b">
        <f t="shared" si="458"/>
        <v>0</v>
      </c>
      <c r="AJ723" s="51" t="b">
        <f t="shared" si="459"/>
        <v>0</v>
      </c>
      <c r="AK723" s="51" t="b">
        <f t="shared" si="460"/>
        <v>0</v>
      </c>
      <c r="AL723" s="51" t="b">
        <f t="shared" si="461"/>
        <v>0</v>
      </c>
      <c r="AM723" s="51" t="b">
        <f t="shared" si="462"/>
        <v>0</v>
      </c>
      <c r="AN723" s="51"/>
      <c r="AO723" s="51" t="b">
        <f t="shared" si="463"/>
        <v>0</v>
      </c>
      <c r="AP723" s="51" t="str">
        <f t="shared" si="485"/>
        <v>Not in MMS</v>
      </c>
      <c r="AQ723" s="51" t="b">
        <f t="shared" si="464"/>
        <v>0</v>
      </c>
      <c r="AR723" s="51" t="b">
        <f t="shared" si="465"/>
        <v>0</v>
      </c>
      <c r="AS723" s="51" t="str">
        <f t="shared" si="466"/>
        <v/>
      </c>
      <c r="AT723" s="51" t="str">
        <f t="shared" si="467"/>
        <v/>
      </c>
      <c r="AU723" s="51" t="str">
        <f t="shared" si="468"/>
        <v/>
      </c>
      <c r="AV723" s="51" t="str">
        <f t="shared" si="469"/>
        <v/>
      </c>
      <c r="AW723" s="51" t="str">
        <f t="shared" si="470"/>
        <v/>
      </c>
      <c r="AX723" s="51" t="str">
        <f t="shared" si="471"/>
        <v/>
      </c>
      <c r="AY723" s="51" t="str">
        <f t="shared" si="472"/>
        <v/>
      </c>
      <c r="AZ723" s="51" t="str">
        <f t="shared" si="473"/>
        <v/>
      </c>
      <c r="BA723" s="51" t="str">
        <f t="shared" si="474"/>
        <v/>
      </c>
      <c r="BB723" s="51" t="str">
        <f t="shared" si="475"/>
        <v/>
      </c>
      <c r="BC723" s="51" t="str">
        <f t="shared" si="476"/>
        <v/>
      </c>
      <c r="BD723" s="51" t="str">
        <f t="shared" si="477"/>
        <v/>
      </c>
      <c r="BE723" s="51" t="str">
        <f t="shared" si="478"/>
        <v/>
      </c>
      <c r="BF723" s="51" t="str">
        <f t="shared" si="479"/>
        <v/>
      </c>
      <c r="BG723" s="51" t="str">
        <f t="shared" si="480"/>
        <v/>
      </c>
      <c r="BH723" s="51" t="b">
        <f t="shared" si="481"/>
        <v>0</v>
      </c>
      <c r="BI723" s="51" t="str">
        <f t="shared" si="482"/>
        <v/>
      </c>
      <c r="BJ723" s="51" t="str">
        <f t="shared" si="483"/>
        <v/>
      </c>
      <c r="BK723" s="51" t="b">
        <f t="shared" si="484"/>
        <v>0</v>
      </c>
      <c r="BL723" s="192"/>
    </row>
    <row r="724" spans="1:64" ht="13.5" thickBot="1" x14ac:dyDescent="0.25">
      <c r="A724" s="185" t="s">
        <v>1394</v>
      </c>
      <c r="B724" s="194" t="s">
        <v>695</v>
      </c>
      <c r="C724" s="194" t="s">
        <v>695</v>
      </c>
      <c r="D724" s="194" t="s">
        <v>695</v>
      </c>
      <c r="E724" s="193" t="s">
        <v>694</v>
      </c>
      <c r="F724" s="160" t="s">
        <v>20</v>
      </c>
      <c r="G724" s="161"/>
      <c r="H724" s="186" t="str">
        <f t="shared" si="442"/>
        <v>N/A</v>
      </c>
      <c r="I724" s="186" t="b">
        <f t="shared" si="443"/>
        <v>1</v>
      </c>
      <c r="J724" s="186" t="str">
        <f t="shared" si="444"/>
        <v>N/A</v>
      </c>
      <c r="K724" s="186" t="b">
        <f t="shared" si="445"/>
        <v>1</v>
      </c>
      <c r="L724" s="186" t="str">
        <f t="shared" si="446"/>
        <v>N/A</v>
      </c>
      <c r="M724" s="186" t="b">
        <f t="shared" si="447"/>
        <v>1</v>
      </c>
      <c r="N724" s="186" t="str">
        <f t="shared" si="448"/>
        <v>Used?</v>
      </c>
      <c r="O724" s="186" t="b">
        <f t="shared" si="449"/>
        <v>0</v>
      </c>
      <c r="P724" s="26" t="s">
        <v>696</v>
      </c>
      <c r="Q724" s="160" t="s">
        <v>20</v>
      </c>
      <c r="R724" s="160" t="s">
        <v>20</v>
      </c>
      <c r="S724" s="26" t="s">
        <v>697</v>
      </c>
      <c r="T724" s="165" t="str">
        <f t="shared" si="450"/>
        <v>Not Used</v>
      </c>
      <c r="U724" s="162"/>
      <c r="V724" s="55"/>
      <c r="W724" s="51" t="b">
        <f t="shared" si="451"/>
        <v>1</v>
      </c>
      <c r="X724" s="51" t="str">
        <f t="shared" si="452"/>
        <v>Not Used</v>
      </c>
      <c r="Y724" s="51" t="str">
        <f t="shared" si="453"/>
        <v>Not Used</v>
      </c>
      <c r="Z724" s="51" t="str">
        <f t="shared" si="454"/>
        <v>Not Used</v>
      </c>
      <c r="AA724" s="51" t="str">
        <f t="shared" si="454"/>
        <v>Not Used</v>
      </c>
      <c r="AB724" s="51" t="str">
        <f t="shared" si="455"/>
        <v>Not Used</v>
      </c>
      <c r="AC724" s="51" t="b">
        <f t="shared" si="456"/>
        <v>1</v>
      </c>
      <c r="AD724" s="51">
        <f>COUNTIF($X$5:$X$724, "Not Used")</f>
        <v>720</v>
      </c>
      <c r="AE724" s="51">
        <f>COUNTIF($X$5:$X$724, "TRUE")</f>
        <v>0</v>
      </c>
      <c r="AF724" s="51" t="b">
        <f t="shared" si="457"/>
        <v>1</v>
      </c>
      <c r="AI724" s="51" t="b">
        <f t="shared" si="458"/>
        <v>0</v>
      </c>
      <c r="AJ724" s="51" t="b">
        <f t="shared" si="459"/>
        <v>0</v>
      </c>
      <c r="AK724" s="51" t="b">
        <f t="shared" si="460"/>
        <v>0</v>
      </c>
      <c r="AL724" s="51" t="b">
        <f t="shared" si="461"/>
        <v>0</v>
      </c>
      <c r="AM724" s="51" t="b">
        <f t="shared" si="462"/>
        <v>0</v>
      </c>
      <c r="AN724" s="51"/>
      <c r="AO724" s="51" t="b">
        <f t="shared" si="463"/>
        <v>0</v>
      </c>
      <c r="AP724" s="51" t="str">
        <f t="shared" si="485"/>
        <v>Not in MMS</v>
      </c>
      <c r="AQ724" s="51" t="b">
        <f t="shared" si="464"/>
        <v>0</v>
      </c>
      <c r="AR724" s="51" t="b">
        <f t="shared" si="465"/>
        <v>0</v>
      </c>
      <c r="AS724" s="51" t="str">
        <f t="shared" si="466"/>
        <v/>
      </c>
      <c r="AT724" s="51" t="str">
        <f t="shared" si="467"/>
        <v/>
      </c>
      <c r="AU724" s="51" t="str">
        <f t="shared" si="468"/>
        <v/>
      </c>
      <c r="AV724" s="51" t="str">
        <f t="shared" si="469"/>
        <v/>
      </c>
      <c r="AW724" s="51" t="str">
        <f t="shared" si="470"/>
        <v/>
      </c>
      <c r="AX724" s="51" t="str">
        <f t="shared" si="471"/>
        <v/>
      </c>
      <c r="AY724" s="51" t="str">
        <f t="shared" si="472"/>
        <v/>
      </c>
      <c r="AZ724" s="51" t="str">
        <f t="shared" si="473"/>
        <v/>
      </c>
      <c r="BA724" s="51" t="str">
        <f t="shared" si="474"/>
        <v/>
      </c>
      <c r="BB724" s="51" t="str">
        <f t="shared" si="475"/>
        <v/>
      </c>
      <c r="BC724" s="51" t="str">
        <f t="shared" si="476"/>
        <v/>
      </c>
      <c r="BD724" s="51" t="str">
        <f t="shared" si="477"/>
        <v/>
      </c>
      <c r="BE724" s="51" t="str">
        <f t="shared" si="478"/>
        <v/>
      </c>
      <c r="BF724" s="51" t="str">
        <f t="shared" si="479"/>
        <v/>
      </c>
      <c r="BG724" s="51" t="str">
        <f t="shared" si="480"/>
        <v/>
      </c>
      <c r="BH724" s="51" t="b">
        <f t="shared" si="481"/>
        <v>0</v>
      </c>
      <c r="BI724" s="51" t="str">
        <f t="shared" si="482"/>
        <v/>
      </c>
      <c r="BJ724" s="51" t="str">
        <f t="shared" si="483"/>
        <v/>
      </c>
      <c r="BK724" s="51" t="b">
        <f t="shared" si="484"/>
        <v>0</v>
      </c>
      <c r="BL724" s="192"/>
    </row>
    <row r="725" spans="1:64" ht="13.5" thickBot="1" x14ac:dyDescent="0.25">
      <c r="A725" s="185" t="s">
        <v>1395</v>
      </c>
      <c r="B725" s="194" t="s">
        <v>695</v>
      </c>
      <c r="C725" s="194" t="s">
        <v>695</v>
      </c>
      <c r="D725" s="194" t="s">
        <v>695</v>
      </c>
      <c r="E725" s="193" t="s">
        <v>694</v>
      </c>
      <c r="F725" s="160" t="s">
        <v>20</v>
      </c>
      <c r="G725" s="161"/>
      <c r="H725" s="186" t="str">
        <f t="shared" si="442"/>
        <v>N/A</v>
      </c>
      <c r="I725" s="186" t="b">
        <f t="shared" si="443"/>
        <v>1</v>
      </c>
      <c r="J725" s="186" t="str">
        <f t="shared" si="444"/>
        <v>N/A</v>
      </c>
      <c r="K725" s="186" t="b">
        <f t="shared" si="445"/>
        <v>1</v>
      </c>
      <c r="L725" s="186" t="str">
        <f t="shared" si="446"/>
        <v>N/A</v>
      </c>
      <c r="M725" s="186" t="b">
        <f t="shared" si="447"/>
        <v>1</v>
      </c>
      <c r="N725" s="186" t="str">
        <f t="shared" si="448"/>
        <v>Used?</v>
      </c>
      <c r="O725" s="186" t="b">
        <f t="shared" si="449"/>
        <v>0</v>
      </c>
      <c r="P725" s="26" t="s">
        <v>696</v>
      </c>
      <c r="Q725" s="160" t="s">
        <v>20</v>
      </c>
      <c r="R725" s="160" t="s">
        <v>20</v>
      </c>
      <c r="S725" s="26" t="s">
        <v>697</v>
      </c>
      <c r="T725" s="165" t="str">
        <f t="shared" si="450"/>
        <v>Not Used</v>
      </c>
      <c r="U725" s="162"/>
      <c r="V725" s="55"/>
      <c r="W725" s="51" t="b">
        <f t="shared" si="451"/>
        <v>1</v>
      </c>
      <c r="X725" s="51" t="str">
        <f t="shared" si="452"/>
        <v>Not Used</v>
      </c>
      <c r="Y725" s="51" t="str">
        <f t="shared" si="453"/>
        <v>Not Used</v>
      </c>
      <c r="Z725" s="51" t="str">
        <f t="shared" si="454"/>
        <v>Not Used</v>
      </c>
      <c r="AA725" s="51" t="str">
        <f t="shared" si="454"/>
        <v>Not Used</v>
      </c>
      <c r="AB725" s="51" t="str">
        <f t="shared" si="455"/>
        <v>Not Used</v>
      </c>
      <c r="AC725" s="51" t="b">
        <f t="shared" si="456"/>
        <v>1</v>
      </c>
      <c r="AD725" s="51">
        <f>COUNTIF($X$5:$X$725, "Not Used")</f>
        <v>721</v>
      </c>
      <c r="AE725" s="51">
        <f>COUNTIF($X$5:$X$725, "TRUE")</f>
        <v>0</v>
      </c>
      <c r="AF725" s="51" t="b">
        <f t="shared" si="457"/>
        <v>1</v>
      </c>
      <c r="AI725" s="51" t="b">
        <f t="shared" si="458"/>
        <v>0</v>
      </c>
      <c r="AJ725" s="51" t="b">
        <f t="shared" si="459"/>
        <v>0</v>
      </c>
      <c r="AK725" s="51" t="b">
        <f t="shared" si="460"/>
        <v>0</v>
      </c>
      <c r="AL725" s="51" t="b">
        <f t="shared" si="461"/>
        <v>0</v>
      </c>
      <c r="AM725" s="51" t="b">
        <f t="shared" si="462"/>
        <v>0</v>
      </c>
      <c r="AN725" s="51"/>
      <c r="AO725" s="51" t="b">
        <f t="shared" si="463"/>
        <v>0</v>
      </c>
      <c r="AP725" s="51" t="str">
        <f t="shared" si="485"/>
        <v>Not in MMS</v>
      </c>
      <c r="AQ725" s="51" t="b">
        <f t="shared" si="464"/>
        <v>0</v>
      </c>
      <c r="AR725" s="51" t="b">
        <f t="shared" si="465"/>
        <v>0</v>
      </c>
      <c r="AS725" s="51" t="str">
        <f t="shared" si="466"/>
        <v/>
      </c>
      <c r="AT725" s="51" t="str">
        <f t="shared" si="467"/>
        <v/>
      </c>
      <c r="AU725" s="51" t="str">
        <f t="shared" si="468"/>
        <v/>
      </c>
      <c r="AV725" s="51" t="str">
        <f t="shared" si="469"/>
        <v/>
      </c>
      <c r="AW725" s="51" t="str">
        <f t="shared" si="470"/>
        <v/>
      </c>
      <c r="AX725" s="51" t="str">
        <f t="shared" si="471"/>
        <v/>
      </c>
      <c r="AY725" s="51" t="str">
        <f t="shared" si="472"/>
        <v/>
      </c>
      <c r="AZ725" s="51" t="str">
        <f t="shared" si="473"/>
        <v/>
      </c>
      <c r="BA725" s="51" t="str">
        <f t="shared" si="474"/>
        <v/>
      </c>
      <c r="BB725" s="51" t="str">
        <f t="shared" si="475"/>
        <v/>
      </c>
      <c r="BC725" s="51" t="str">
        <f t="shared" si="476"/>
        <v/>
      </c>
      <c r="BD725" s="51" t="str">
        <f t="shared" si="477"/>
        <v/>
      </c>
      <c r="BE725" s="51" t="str">
        <f t="shared" si="478"/>
        <v/>
      </c>
      <c r="BF725" s="51" t="str">
        <f t="shared" si="479"/>
        <v/>
      </c>
      <c r="BG725" s="51" t="str">
        <f t="shared" si="480"/>
        <v/>
      </c>
      <c r="BH725" s="51" t="b">
        <f t="shared" si="481"/>
        <v>0</v>
      </c>
      <c r="BI725" s="51" t="str">
        <f t="shared" si="482"/>
        <v/>
      </c>
      <c r="BJ725" s="51" t="str">
        <f t="shared" si="483"/>
        <v/>
      </c>
      <c r="BK725" s="51" t="b">
        <f t="shared" si="484"/>
        <v>0</v>
      </c>
      <c r="BL725" s="192"/>
    </row>
    <row r="726" spans="1:64" ht="13.5" thickBot="1" x14ac:dyDescent="0.25">
      <c r="A726" s="185" t="s">
        <v>1396</v>
      </c>
      <c r="B726" s="194" t="s">
        <v>695</v>
      </c>
      <c r="C726" s="194" t="s">
        <v>695</v>
      </c>
      <c r="D726" s="194" t="s">
        <v>695</v>
      </c>
      <c r="E726" s="193" t="s">
        <v>694</v>
      </c>
      <c r="F726" s="160" t="s">
        <v>20</v>
      </c>
      <c r="G726" s="161"/>
      <c r="H726" s="186" t="str">
        <f t="shared" ref="H726:H727" si="486">IF(B726="YES",(IF(F726="Yes",TRUE,(IF(F726="YES WITH MODIFICATION",(IF((NOT(ISBLANK(U726))),"Used with modification","Change Request?")),(IF(F726="N/A",(IF((NOT(ISBLANK(G726))),"Not Used","Rationale?")),(IF(F726="&lt;Select&gt;","Used?",FALSE)))))))),"N/A")</f>
        <v>N/A</v>
      </c>
      <c r="I726" s="186" t="b">
        <f t="shared" ref="I726:I727" si="487">IF(B726="YES",OR(IF(F726="YES",TRUE,FALSE),IF(AND(F726="YES WITH MODIFICATION",NOT(ISBLANK(U726))),TRUE,FALSE),(IF(F726="N/A",NOT(ISBLANK(G726))))),TRUE)</f>
        <v>1</v>
      </c>
      <c r="J726" s="186" t="str">
        <f t="shared" ref="J726:J727" si="488">IF(C726="YES",(IF(F726="YES",TRUE,(IF(F726="YES WITH MODIFICATION",(IF((NOT(ISBLANK(U726))),"Used with modification","Change Request?")),(IF(F726="N/A",(IF((NOT(ISBLANK(G726))),"Not Used","Rationale?")),(IF(F726="&lt;Select&gt;","Used?",FALSE)))))))),"N/A")</f>
        <v>N/A</v>
      </c>
      <c r="K726" s="186" t="b">
        <f t="shared" ref="K726:K727" si="489">IF(C726="YES",OR(IF(F726="YES",TRUE,FALSE),IF(AND(F726="YES WITH MODIFICATION",NOT(ISBLANK(U726))),TRUE,FALSE),(IF(F726="N/A",NOT(ISBLANK(G726))))),TRUE)</f>
        <v>1</v>
      </c>
      <c r="L726" s="186" t="str">
        <f t="shared" ref="L726:L727" si="490">IF(D726="YES",(IF(F726="YES",TRUE,(IF(F726="YES WITH MODIFICATION",(IF((NOT(ISBLANK(U726))),"Used with modification","Change Request?")),(IF(F726="N/A",(IF((NOT(ISBLANK(G726))),"Not Used","Rationale?")),(IF(F726="&lt;Select&gt;","Used?",FALSE)))))))),"N/A")</f>
        <v>N/A</v>
      </c>
      <c r="M726" s="186" t="b">
        <f t="shared" ref="M726:M727" si="491">IF(D726="YES",OR(IF(F726="YES",TRUE,FALSE),IF(AND(F726="YES WITH MODIFICATION",NOT(ISBLANK(U726))),TRUE,FALSE),(IF(F726="N/A",NOT(ISBLANK(G726))))),TRUE)</f>
        <v>1</v>
      </c>
      <c r="N726" s="186" t="str">
        <f t="shared" ref="N726" si="492">IF(E726="YES",(IF(F726="YES",TRUE,(IF(F726="YES WITH MODIFICATION",(IF((NOT(ISBLANK(U726))),"Used with modification","Change Request?")),(IF(F726="N/A",(IF((NOT(ISBLANK(G726))),"Not Used","Rationale?")),(IF(F726="&lt;Select&gt;","Used?",FALSE)))))))),"N/A")</f>
        <v>Used?</v>
      </c>
      <c r="O726" s="186" t="b">
        <f t="shared" ref="O726" si="493">IF(E726="YES",OR(IF(F726="YES",TRUE,FALSE),IF(AND(F726="YES WITH MODIFICATION",NOT(ISBLANK(U726))),TRUE,FALSE),(IF(F726="N/A",NOT(ISBLANK(G726))))),TRUE)</f>
        <v>0</v>
      </c>
      <c r="P726" s="26" t="s">
        <v>696</v>
      </c>
      <c r="Q726" s="160" t="s">
        <v>20</v>
      </c>
      <c r="R726" s="160" t="s">
        <v>20</v>
      </c>
      <c r="S726" s="26" t="s">
        <v>697</v>
      </c>
      <c r="T726" s="165" t="str">
        <f t="shared" ref="T726:T727" si="494">IF(NOT(OR(F726="Yes",F726="YES WITH MODIFICATION")),"Not Used",(AND(X726=Y726,X726=(OR(Z726=TRUE,AA726=TRUE)), X726=AB726, X726=AC726)))</f>
        <v>Not Used</v>
      </c>
      <c r="U726" s="162"/>
      <c r="V726" s="55"/>
      <c r="W726" s="51" t="b">
        <f t="shared" ref="W726:W727" si="495">IF(T726=TRUE,TRUE,(IF(T726="Not Used", TRUE,FALSE)))</f>
        <v>1</v>
      </c>
      <c r="X726" s="51" t="str">
        <f t="shared" ref="X726:X727" si="496">IF(OR(F726="YES",F726="YES WITH MODIFICATION"),TRUE,"Not Used")</f>
        <v>Not Used</v>
      </c>
      <c r="Y726" s="51" t="str">
        <f t="shared" ref="Y726:Y727" si="497">IF(OR(P726="SC §3.X.X.X", ISBLANK(P726)),"Not Used", TRUE)</f>
        <v>Not Used</v>
      </c>
      <c r="Z726" s="51" t="str">
        <f t="shared" ref="Z726:AA727" si="498">IF(OR(Q726="&lt;Select&gt;",(ISBLANK(Q726))),"Not Used",TRUE)</f>
        <v>Not Used</v>
      </c>
      <c r="AA726" s="51" t="str">
        <f t="shared" si="498"/>
        <v>Not Used</v>
      </c>
      <c r="AB726" s="51" t="str">
        <f t="shared" ref="AB726:AB727" si="499">IF(OR(S726="&lt;enter location here&gt;",(ISBLANK(S726))),"Not Used",TRUE)</f>
        <v>Not Used</v>
      </c>
      <c r="AC726" s="51" t="b">
        <f t="shared" ref="AC726:AC727" si="500">IF(F726="YES WITH MODIFICATION",IF(NOT(ISBLANK(U726)),TRUE,FALSE),TRUE)</f>
        <v>1</v>
      </c>
      <c r="AD726" s="51">
        <f>COUNTIF($X$5:$X$726, "Not Used")</f>
        <v>722</v>
      </c>
      <c r="AE726" s="51">
        <f>COUNTIF($X$5:$X$726, "TRUE")</f>
        <v>0</v>
      </c>
      <c r="AF726" s="51" t="b">
        <f t="shared" ref="AF726:AF727" si="501">IF(F726="&lt;Select&gt;", TRUE,FALSE)</f>
        <v>1</v>
      </c>
      <c r="AI726" s="51" t="b">
        <f t="shared" ref="AI726:AI727" si="502">IF(F726="N/A", TRUE, FALSE)</f>
        <v>0</v>
      </c>
      <c r="AJ726" s="51" t="b">
        <f t="shared" ref="AJ726:AJ727" si="503">IF(AI726=TRUE, IF(NOT(ISBLANK(G726)), TRUE, FALSE))</f>
        <v>0</v>
      </c>
      <c r="AK726" s="51" t="b">
        <f t="shared" ref="AK726:AK727" si="504">IF(F726="YES WITH MODIFICATION", TRUE, FALSE)</f>
        <v>0</v>
      </c>
      <c r="AL726" s="51" t="b">
        <f t="shared" ref="AL726:AL727" si="505">IF(ISBLANK(U726), FALSE, TRUE)</f>
        <v>0</v>
      </c>
      <c r="AM726" s="51" t="b">
        <f t="shared" ref="AM726:AM727" si="506">IF(AND(AK726=TRUE, AL726=TRUE), TRUE, FALSE)</f>
        <v>0</v>
      </c>
      <c r="AN726" s="51"/>
      <c r="AO726" s="51" t="b">
        <f t="shared" ref="AO726:AO727" si="507">IF(AND(F726="YES WITH MODIFICATION", NOT(ISBLANK(U726))), TRUE, FALSE)</f>
        <v>0</v>
      </c>
      <c r="AP726" s="51" t="str">
        <f t="shared" si="485"/>
        <v>Not in MMS</v>
      </c>
      <c r="AQ726" s="51" t="b">
        <f t="shared" ref="AQ726:AQ727" si="508">IF(S726="&lt;enter location here&gt;", FALSE, TRUE)</f>
        <v>0</v>
      </c>
      <c r="AR726" s="51" t="b">
        <f t="shared" ref="AR726:AR727" si="509">IF(F726="&lt;Select&gt;", FALSE, IF(T726=FALSE, FALSE, TRUE))</f>
        <v>0</v>
      </c>
      <c r="AS726" s="51" t="str">
        <f t="shared" ref="AS726:AS727" si="510">IF(ISNUMBER(SEARCH("Tier 1 Sub MMS",AP726)), IF(F726="&lt;Select&gt;", FALSE, IF(AND(F726="N/A", J726="Rationale?"), FALSE, TRUE)), "")</f>
        <v/>
      </c>
      <c r="AT726" s="51" t="str">
        <f t="shared" ref="AT726:AT727" si="511">IF(ISNUMBER(SEARCH("Tier 1 MMS",AP726)), IF(F726="&lt;Select&gt;", FALSE, IF(AND(F726="N/A", H726="Rationale?"), FALSE, TRUE)), "")</f>
        <v/>
      </c>
      <c r="AU726" s="51" t="str">
        <f t="shared" ref="AU726:AU727" si="512">IF(ISNUMBER(SEARCH("Tier 1 MMS",AP726)), IF(F726="&lt;Select&gt;", FALSE, IF(AND(F726="YES WITH MODIFICATION", H726="Change Request?"), FALSE, TRUE)), "")</f>
        <v/>
      </c>
      <c r="AV726" s="51" t="str">
        <f t="shared" ref="AV726:AV727" si="513">IF(ISNUMBER(SEARCH("Tier 1 MMS",AP726)), IF(AK726=TRUE, TRUE, ""),"")</f>
        <v/>
      </c>
      <c r="AW726" s="51" t="str">
        <f t="shared" ref="AW726:AW727" si="514">IF(ISNUMBER(SEARCH("Tier 1 MMS",AP726)), IF(AL726=TRUE, TRUE, ""),"")</f>
        <v/>
      </c>
      <c r="AX726" s="51" t="str">
        <f t="shared" ref="AX726:AX727" si="515">IF(ISNUMBER(SEARCH("Tier 1 MMS",AP726)), IF(AI726=TRUE, TRUE, ""),"")</f>
        <v/>
      </c>
      <c r="AY726" s="51" t="str">
        <f t="shared" ref="AY726:AY727" si="516">IF(ISNUMBER(SEARCH("Tier 1 MMS",AP726)), IF(AJ726=TRUE, TRUE, ""),"")</f>
        <v/>
      </c>
      <c r="AZ726" s="51" t="str">
        <f t="shared" ref="AZ726:AZ727" si="517">IF(ISNUMBER(SEARCH("Tier 1 Sub MMS",AP726)), IF(AK726=TRUE, TRUE, ""),"")</f>
        <v/>
      </c>
      <c r="BA726" s="51" t="str">
        <f t="shared" ref="BA726:BA727" si="518">IF(ISNUMBER(SEARCH("Tier 1 Sub MMS",AP726)), IF(AL726=TRUE, TRUE, ""),"")</f>
        <v/>
      </c>
      <c r="BB726" s="51" t="str">
        <f t="shared" ref="BB726:BB727" si="519">IF(ISNUMBER(SEARCH("Tier 1 Sub MMS",AP726)), IF(AI726=TRUE, TRUE, ""),"")</f>
        <v/>
      </c>
      <c r="BC726" s="51" t="str">
        <f t="shared" ref="BC726:BC727" si="520">IF(ISNUMBER(SEARCH("Tier 1 Sub MMS",AP726)), IF(AJ726=TRUE, TRUE, ""),"")</f>
        <v/>
      </c>
      <c r="BD726" s="51" t="str">
        <f t="shared" ref="BD726:BD727" si="521">IF(ISNUMBER(SEARCH("Tier 2 MMS",AP726)), IF(AK726=TRUE, TRUE, ""),"")</f>
        <v/>
      </c>
      <c r="BE726" s="51" t="str">
        <f t="shared" ref="BE726:BE727" si="522">IF(ISNUMBER(SEARCH("Tier 2 MMS",AP726)), IF(AL726=TRUE, TRUE, ""),"")</f>
        <v/>
      </c>
      <c r="BF726" s="51" t="str">
        <f t="shared" ref="BF726:BF727" si="523">IF(ISNUMBER(SEARCH("Tier 2 MMS",AP726)), IF(AI726=TRUE, TRUE, ""),"")</f>
        <v/>
      </c>
      <c r="BG726" s="51" t="str">
        <f t="shared" ref="BG726:BG727" si="524">IF(ISNUMBER(SEARCH("Tier 2 MMS",AP726)), IF(AJ726=TRUE, TRUE, ""),"")</f>
        <v/>
      </c>
      <c r="BH726" s="51" t="b">
        <f t="shared" ref="BH726:BH727" si="525" xml:space="preserve"> IF(OR(F726="&lt;Select&gt;", AQ726=FALSE), FALSE, TRUE)</f>
        <v>0</v>
      </c>
      <c r="BI726" s="51" t="str">
        <f t="shared" ref="BI726:BI727" si="526">IF(E726="YES", "", IF(E726="NO", IF(F726="N/A",TRUE,IF(F726="YES",FALSE))))</f>
        <v/>
      </c>
      <c r="BJ726" s="51" t="str">
        <f t="shared" ref="BJ726:BJ727" si="527">IF(E726="YES", "", IF(E726="NO", IF(AND(F726="N/A", NOT(ISBLANK(G726))), TRUE, IF(AND(F726="YES",AL726=TRUE),TRUE,FALSE))))</f>
        <v/>
      </c>
      <c r="BK726" s="51" t="b">
        <f t="shared" ref="BK726:BK727" si="528" xml:space="preserve"> IF(OR(F726="&lt;Select&gt;", T726=FALSE), FALSE, TRUE)</f>
        <v>0</v>
      </c>
      <c r="BL726" s="192"/>
    </row>
    <row r="727" spans="1:64" ht="13.5" thickBot="1" x14ac:dyDescent="0.25">
      <c r="A727" s="185" t="s">
        <v>1397</v>
      </c>
      <c r="B727" s="194" t="s">
        <v>695</v>
      </c>
      <c r="C727" s="194" t="s">
        <v>695</v>
      </c>
      <c r="D727" s="194" t="s">
        <v>695</v>
      </c>
      <c r="E727" s="194" t="s">
        <v>695</v>
      </c>
      <c r="F727" s="160" t="s">
        <v>20</v>
      </c>
      <c r="G727" s="161"/>
      <c r="H727" s="186" t="str">
        <f t="shared" si="486"/>
        <v>N/A</v>
      </c>
      <c r="I727" s="186" t="b">
        <f t="shared" si="487"/>
        <v>1</v>
      </c>
      <c r="J727" s="186" t="str">
        <f t="shared" si="488"/>
        <v>N/A</v>
      </c>
      <c r="K727" s="186" t="b">
        <f t="shared" si="489"/>
        <v>1</v>
      </c>
      <c r="L727" s="186" t="str">
        <f t="shared" si="490"/>
        <v>N/A</v>
      </c>
      <c r="M727" s="186" t="b">
        <f t="shared" si="491"/>
        <v>1</v>
      </c>
      <c r="N727" s="186" t="b">
        <f>IF(E727="YES",(IF(F727="YES",TRUE,(IF(F727="YES WITH MODIFICATION",(IF((NOT(ISBLANK(U727))),"Used with modification","Change Request?")),(IF(F727="N/A",(IF((NOT(ISBLANK(G727))),"Not Used","Rationale?")),(IF(F727="&lt;Select&gt;","Used?",FALSE)))))))),IF(E727="NO",(IF(F727="&lt;Select&gt;",TRUE,(IF(F727="N/A",(IF((NOT(ISBLANK(G727))),"Not Used","Rationale?")),IF(F727="YES",(IF(NOT(ISBLANK(U727)),"New Message","Change Request?")))))))))</f>
        <v>1</v>
      </c>
      <c r="O727" s="186" t="b">
        <f>IF(E727="YES",OR(IF(F727="YES",TRUE,FALSE),IF(AND(F727="YES WITH MODIFICATION",NOT(ISBLANK(U727))),TRUE,FALSE),(IF(F727="N/A",NOT(ISBLANK(G727))))), IF(E727="NO",IF(F727="&lt;Select&gt;",TRUE,IF(F727="YES",(IF(NOT(ISBLANK(U727)),TRUE,FALSE)),IF(F727="N/A",(IF(NOT(ISBLANK(G727)),TRUE,FALSE)))))))</f>
        <v>1</v>
      </c>
      <c r="P727" s="26" t="s">
        <v>696</v>
      </c>
      <c r="Q727" s="160" t="s">
        <v>20</v>
      </c>
      <c r="R727" s="160" t="s">
        <v>20</v>
      </c>
      <c r="S727" s="26" t="s">
        <v>697</v>
      </c>
      <c r="T727" s="165" t="str">
        <f t="shared" si="494"/>
        <v>Not Used</v>
      </c>
      <c r="U727" s="162"/>
      <c r="V727" s="55"/>
      <c r="W727" s="51" t="b">
        <f t="shared" si="495"/>
        <v>1</v>
      </c>
      <c r="X727" s="51" t="str">
        <f t="shared" si="496"/>
        <v>Not Used</v>
      </c>
      <c r="Y727" s="51" t="str">
        <f t="shared" si="497"/>
        <v>Not Used</v>
      </c>
      <c r="Z727" s="51" t="str">
        <f t="shared" si="498"/>
        <v>Not Used</v>
      </c>
      <c r="AA727" s="51" t="str">
        <f t="shared" si="498"/>
        <v>Not Used</v>
      </c>
      <c r="AB727" s="51" t="str">
        <f t="shared" si="499"/>
        <v>Not Used</v>
      </c>
      <c r="AC727" s="51" t="b">
        <f t="shared" si="500"/>
        <v>1</v>
      </c>
      <c r="AD727" s="51">
        <f>COUNTIF($X$5:$X$727, "Not Used")</f>
        <v>723</v>
      </c>
      <c r="AE727" s="51">
        <f>COUNTIF($X$5:$X$727, "TRUE")</f>
        <v>0</v>
      </c>
      <c r="AF727" s="51" t="b">
        <f t="shared" si="501"/>
        <v>1</v>
      </c>
      <c r="AI727" s="51" t="b">
        <f t="shared" si="502"/>
        <v>0</v>
      </c>
      <c r="AJ727" s="51" t="b">
        <f t="shared" si="503"/>
        <v>0</v>
      </c>
      <c r="AK727" s="51" t="b">
        <f t="shared" si="504"/>
        <v>0</v>
      </c>
      <c r="AL727" s="51" t="b">
        <f t="shared" si="505"/>
        <v>0</v>
      </c>
      <c r="AM727" s="51" t="b">
        <f t="shared" si="506"/>
        <v>0</v>
      </c>
      <c r="AN727" s="51"/>
      <c r="AO727" s="51" t="b">
        <f t="shared" si="507"/>
        <v>0</v>
      </c>
      <c r="AP727" s="51" t="str">
        <f t="shared" ref="AP727" si="529">IF(AND(B727="YES", C727="YES", D727="YES"), "Tier 1 MMS, Tier 1 Sub MMS, Tier 2 MMS", IF(AND(B727="YES", C727="YES"), "Tier 1 MMS, Tier 1 Sub MMS", IF(AND(B727="YES", D727="YES"), "Tier 1 MMS, Tier 2 MMS", IF(AND(C727="YES", D727="YES"), "Tier 1 Sub MMS, Tier 2 MMS", IF(B727="YES", "Tier 1 MMS", IF(C727="YES", "Tier 1 Sub MMS", IF(D727="YES", "Tier 2 MMS", "Not in MMS")))))))</f>
        <v>Not in MMS</v>
      </c>
      <c r="AQ727" s="51" t="b">
        <f t="shared" si="508"/>
        <v>0</v>
      </c>
      <c r="AR727" s="51" t="b">
        <f t="shared" si="509"/>
        <v>0</v>
      </c>
      <c r="AS727" s="51" t="str">
        <f t="shared" si="510"/>
        <v/>
      </c>
      <c r="AT727" s="51" t="str">
        <f t="shared" si="511"/>
        <v/>
      </c>
      <c r="AU727" s="51" t="str">
        <f t="shared" si="512"/>
        <v/>
      </c>
      <c r="AV727" s="51" t="str">
        <f t="shared" si="513"/>
        <v/>
      </c>
      <c r="AW727" s="51" t="str">
        <f t="shared" si="514"/>
        <v/>
      </c>
      <c r="AX727" s="51" t="str">
        <f t="shared" si="515"/>
        <v/>
      </c>
      <c r="AY727" s="51" t="str">
        <f t="shared" si="516"/>
        <v/>
      </c>
      <c r="AZ727" s="51" t="str">
        <f t="shared" si="517"/>
        <v/>
      </c>
      <c r="BA727" s="51" t="str">
        <f t="shared" si="518"/>
        <v/>
      </c>
      <c r="BB727" s="51" t="str">
        <f t="shared" si="519"/>
        <v/>
      </c>
      <c r="BC727" s="51" t="str">
        <f t="shared" si="520"/>
        <v/>
      </c>
      <c r="BD727" s="51" t="str">
        <f t="shared" si="521"/>
        <v/>
      </c>
      <c r="BE727" s="51" t="str">
        <f t="shared" si="522"/>
        <v/>
      </c>
      <c r="BF727" s="51" t="str">
        <f t="shared" si="523"/>
        <v/>
      </c>
      <c r="BG727" s="51" t="str">
        <f t="shared" si="524"/>
        <v/>
      </c>
      <c r="BH727" s="51" t="b">
        <f t="shared" si="525"/>
        <v>0</v>
      </c>
      <c r="BI727" s="51" t="b">
        <f t="shared" si="526"/>
        <v>0</v>
      </c>
      <c r="BJ727" s="51" t="b">
        <f t="shared" si="527"/>
        <v>0</v>
      </c>
      <c r="BK727" s="51" t="b">
        <f t="shared" si="528"/>
        <v>0</v>
      </c>
      <c r="BL727" s="51"/>
    </row>
    <row r="728" spans="1:64" x14ac:dyDescent="0.25">
      <c r="A728" s="15"/>
      <c r="B728" s="15"/>
      <c r="C728" s="15"/>
      <c r="D728" s="15"/>
      <c r="E728" s="15"/>
      <c r="F728" s="15"/>
      <c r="G728" s="15"/>
      <c r="H728" s="15"/>
      <c r="I728" s="15"/>
      <c r="J728" s="15"/>
      <c r="K728" s="15"/>
      <c r="L728" s="15"/>
      <c r="M728" s="15"/>
      <c r="N728" s="15"/>
      <c r="O728" s="15"/>
      <c r="P728" s="15"/>
      <c r="Q728" s="15"/>
      <c r="R728" s="15"/>
      <c r="S728" s="15"/>
      <c r="T728" s="28"/>
      <c r="U728" s="15"/>
      <c r="V728" s="15"/>
      <c r="W728" s="192"/>
      <c r="X728" s="192"/>
      <c r="Y728" s="192"/>
      <c r="Z728" s="192"/>
      <c r="AA728" s="192"/>
      <c r="AB728" s="192"/>
      <c r="AC728" s="192"/>
      <c r="AD728" s="192"/>
      <c r="AE728" s="192"/>
      <c r="AF728" s="192"/>
      <c r="AI728" s="192"/>
      <c r="AJ728" s="192"/>
      <c r="AK728" s="192"/>
      <c r="AL728" s="192"/>
      <c r="AM728" s="192"/>
      <c r="AN728" s="192"/>
      <c r="AO728" s="192"/>
      <c r="AP728" s="192"/>
      <c r="AQ728" s="192"/>
      <c r="AR728" s="192"/>
      <c r="AS728" s="192"/>
      <c r="AT728" s="192"/>
      <c r="AU728" s="192"/>
      <c r="AV728" s="192"/>
      <c r="AW728" s="192"/>
      <c r="AX728" s="192"/>
      <c r="AY728" s="192"/>
      <c r="AZ728" s="192"/>
      <c r="BA728" s="192"/>
      <c r="BB728" s="192"/>
      <c r="BC728" s="192"/>
      <c r="BD728" s="192"/>
      <c r="BE728" s="192"/>
      <c r="BF728" s="192"/>
      <c r="BG728" s="192"/>
      <c r="BH728" s="192"/>
      <c r="BI728" s="192"/>
      <c r="BJ728" s="192"/>
      <c r="BK728" s="192"/>
      <c r="BL728" s="192"/>
    </row>
    <row r="729" spans="1:64"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92"/>
      <c r="X729" s="192"/>
      <c r="Y729" s="192"/>
      <c r="Z729" s="192"/>
      <c r="AA729" s="192"/>
      <c r="AB729" s="192"/>
      <c r="AC729" s="192"/>
      <c r="AD729" s="192"/>
      <c r="AE729" s="192"/>
      <c r="AF729" s="192"/>
      <c r="AI729" s="192"/>
      <c r="AJ729" s="192"/>
      <c r="AK729" s="192"/>
      <c r="AL729" s="192"/>
      <c r="AM729" s="192"/>
      <c r="AN729" s="192"/>
      <c r="AO729" s="192"/>
      <c r="AP729" s="192"/>
      <c r="AQ729" s="192"/>
      <c r="AR729" s="192"/>
      <c r="AS729" s="192"/>
      <c r="AT729" s="192"/>
      <c r="AU729" s="192"/>
      <c r="AV729" s="192"/>
      <c r="AW729" s="192"/>
      <c r="AX729" s="192"/>
      <c r="AY729" s="192"/>
      <c r="AZ729" s="192"/>
      <c r="BA729" s="192"/>
      <c r="BB729" s="192"/>
      <c r="BC729" s="192"/>
      <c r="BD729" s="192"/>
      <c r="BE729" s="192"/>
      <c r="BF729" s="192"/>
      <c r="BG729" s="192"/>
      <c r="BH729" s="192"/>
      <c r="BI729" s="192"/>
      <c r="BJ729" s="192"/>
      <c r="BK729" s="192"/>
      <c r="BL729" s="192"/>
    </row>
    <row r="730" spans="1:64"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92"/>
      <c r="X730" s="192"/>
      <c r="Y730" s="192"/>
      <c r="Z730" s="192"/>
      <c r="AA730" s="192"/>
      <c r="AB730" s="192"/>
      <c r="AC730" s="192"/>
      <c r="AD730" s="192"/>
      <c r="AE730" s="192"/>
      <c r="AF730" s="192"/>
      <c r="AI730" s="192"/>
      <c r="AJ730" s="192"/>
      <c r="AK730" s="192"/>
      <c r="AL730" s="192"/>
      <c r="AM730" s="192"/>
      <c r="AN730" s="192"/>
      <c r="AO730" s="192"/>
      <c r="AP730" s="192"/>
      <c r="AQ730" s="192"/>
      <c r="AR730" s="192"/>
      <c r="AS730" s="192"/>
      <c r="AT730" s="192"/>
      <c r="AU730" s="192"/>
      <c r="AV730" s="192"/>
      <c r="AW730" s="192"/>
      <c r="AX730" s="192"/>
      <c r="AY730" s="192"/>
      <c r="AZ730" s="192"/>
      <c r="BA730" s="192"/>
      <c r="BB730" s="192"/>
      <c r="BC730" s="192"/>
      <c r="BD730" s="192"/>
      <c r="BE730" s="192"/>
      <c r="BF730" s="192"/>
      <c r="BG730" s="192"/>
      <c r="BH730" s="192"/>
      <c r="BI730" s="192"/>
      <c r="BJ730" s="192"/>
      <c r="BK730" s="192"/>
      <c r="BL730" s="192"/>
    </row>
    <row r="731" spans="1:64"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92"/>
      <c r="X731" s="192"/>
      <c r="Y731" s="192"/>
      <c r="Z731" s="192"/>
      <c r="AA731" s="192"/>
      <c r="AB731" s="192"/>
      <c r="AC731" s="192"/>
      <c r="AD731" s="192"/>
      <c r="AE731" s="192"/>
      <c r="AF731" s="192"/>
      <c r="AI731" s="192"/>
      <c r="AJ731" s="192"/>
      <c r="AK731" s="192"/>
      <c r="AL731" s="192"/>
      <c r="AM731" s="192"/>
      <c r="AN731" s="192"/>
      <c r="AO731" s="192"/>
      <c r="AP731" s="192"/>
      <c r="AQ731" s="192"/>
      <c r="AR731" s="192"/>
      <c r="AS731" s="192"/>
      <c r="AT731" s="192"/>
      <c r="AU731" s="192"/>
      <c r="AV731" s="192"/>
      <c r="AW731" s="192"/>
      <c r="AX731" s="192"/>
      <c r="AY731" s="192"/>
      <c r="AZ731" s="192"/>
      <c r="BA731" s="192"/>
      <c r="BB731" s="192"/>
      <c r="BC731" s="192"/>
      <c r="BD731" s="192"/>
      <c r="BE731" s="192"/>
      <c r="BF731" s="192"/>
      <c r="BG731" s="192"/>
      <c r="BH731" s="192"/>
      <c r="BI731" s="192"/>
      <c r="BJ731" s="192"/>
      <c r="BK731" s="192"/>
      <c r="BL731" s="192"/>
    </row>
    <row r="732" spans="1:64" x14ac:dyDescent="0.25">
      <c r="A732" s="192"/>
      <c r="B732" s="15"/>
      <c r="C732" s="15"/>
      <c r="D732" s="15"/>
      <c r="E732" s="15"/>
      <c r="F732" s="15"/>
      <c r="G732" s="15"/>
      <c r="H732" s="15"/>
      <c r="I732" s="15"/>
      <c r="J732" s="15"/>
      <c r="K732" s="15"/>
      <c r="L732" s="15"/>
      <c r="M732" s="15"/>
      <c r="N732" s="15"/>
      <c r="O732" s="15"/>
      <c r="P732" s="15"/>
      <c r="Q732" s="15"/>
      <c r="R732" s="15"/>
      <c r="S732" s="15"/>
      <c r="T732" s="15"/>
      <c r="U732" s="15"/>
      <c r="V732" s="15"/>
      <c r="W732" s="192"/>
      <c r="X732" s="192"/>
      <c r="Y732" s="192"/>
      <c r="Z732" s="192"/>
      <c r="AA732" s="192"/>
      <c r="AB732" s="192"/>
      <c r="AC732" s="192"/>
      <c r="AD732" s="192"/>
      <c r="AE732" s="192"/>
      <c r="AF732" s="192"/>
      <c r="AI732" s="192"/>
      <c r="AJ732" s="192"/>
      <c r="AK732" s="192"/>
      <c r="AL732" s="192"/>
      <c r="AM732" s="192"/>
      <c r="AN732" s="192"/>
      <c r="AO732" s="192"/>
      <c r="AP732" s="192"/>
      <c r="AQ732" s="192"/>
      <c r="AR732" s="192"/>
      <c r="AS732" s="192"/>
      <c r="AT732" s="192"/>
      <c r="AU732" s="192"/>
      <c r="AV732" s="192"/>
      <c r="AW732" s="192"/>
      <c r="AX732" s="192"/>
      <c r="AY732" s="192"/>
      <c r="AZ732" s="192"/>
      <c r="BA732" s="192"/>
      <c r="BB732" s="192"/>
      <c r="BC732" s="192"/>
      <c r="BD732" s="192"/>
      <c r="BE732" s="192"/>
      <c r="BF732" s="192"/>
      <c r="BG732" s="192"/>
      <c r="BH732" s="192"/>
      <c r="BI732" s="192"/>
      <c r="BJ732" s="192"/>
      <c r="BK732" s="192"/>
      <c r="BL732" s="192"/>
    </row>
    <row r="733" spans="1:64" x14ac:dyDescent="0.25">
      <c r="A733" s="192"/>
      <c r="B733" s="15"/>
      <c r="C733" s="15"/>
      <c r="D733" s="15"/>
      <c r="E733" s="15"/>
      <c r="F733" s="15"/>
      <c r="G733" s="15"/>
      <c r="H733" s="15"/>
      <c r="I733" s="15"/>
      <c r="J733" s="15"/>
      <c r="K733" s="15"/>
      <c r="L733" s="15"/>
      <c r="M733" s="15"/>
      <c r="N733" s="15"/>
      <c r="O733" s="15"/>
      <c r="P733" s="15"/>
      <c r="Q733" s="15"/>
      <c r="R733" s="15"/>
      <c r="S733" s="15"/>
      <c r="T733" s="15"/>
      <c r="U733" s="15"/>
      <c r="V733" s="15"/>
      <c r="W733" s="192"/>
      <c r="X733" s="192"/>
      <c r="Y733" s="192"/>
      <c r="Z733" s="192"/>
      <c r="AA733" s="192"/>
      <c r="AB733" s="192"/>
      <c r="AC733" s="192"/>
      <c r="AD733" s="192"/>
      <c r="AE733" s="192"/>
      <c r="AF733" s="192"/>
      <c r="AI733" s="192"/>
      <c r="AJ733" s="192"/>
      <c r="AK733" s="192"/>
      <c r="AL733" s="192"/>
      <c r="AM733" s="192"/>
      <c r="AN733" s="192"/>
      <c r="AO733" s="192"/>
      <c r="AP733" s="192"/>
      <c r="AQ733" s="192"/>
      <c r="AR733" s="192"/>
      <c r="AS733" s="192"/>
      <c r="AT733" s="192"/>
      <c r="AU733" s="192"/>
      <c r="AV733" s="192"/>
      <c r="AW733" s="192"/>
      <c r="AX733" s="192"/>
      <c r="AY733" s="192"/>
      <c r="AZ733" s="192"/>
      <c r="BA733" s="192"/>
      <c r="BB733" s="192"/>
      <c r="BC733" s="192"/>
      <c r="BD733" s="192"/>
      <c r="BE733" s="192"/>
      <c r="BF733" s="192"/>
      <c r="BG733" s="192"/>
      <c r="BH733" s="192"/>
      <c r="BI733" s="192"/>
      <c r="BJ733" s="192"/>
      <c r="BK733" s="192"/>
      <c r="BL733" s="192"/>
    </row>
    <row r="734" spans="1:64" x14ac:dyDescent="0.25">
      <c r="A734" s="192" t="s">
        <v>1398</v>
      </c>
      <c r="B734" s="15"/>
      <c r="C734" s="15"/>
      <c r="D734" s="15"/>
      <c r="E734" s="15"/>
      <c r="F734" s="15"/>
      <c r="G734" s="15"/>
      <c r="H734" s="15"/>
      <c r="I734" s="15"/>
      <c r="J734" s="15"/>
      <c r="K734" s="15"/>
      <c r="L734" s="15"/>
      <c r="M734" s="15"/>
      <c r="N734" s="15"/>
      <c r="O734" s="15"/>
      <c r="P734" s="15"/>
      <c r="Q734" s="15"/>
      <c r="R734" s="15"/>
      <c r="S734" s="15"/>
      <c r="T734" s="15"/>
      <c r="U734" s="15"/>
      <c r="V734" s="15"/>
      <c r="W734" s="192"/>
      <c r="X734" s="192"/>
      <c r="Y734" s="192"/>
      <c r="Z734" s="192"/>
      <c r="AA734" s="192"/>
      <c r="AB734" s="192"/>
      <c r="AC734" s="192"/>
      <c r="AD734" s="192"/>
      <c r="AE734" s="192"/>
      <c r="AF734" s="192"/>
      <c r="AI734" s="192"/>
      <c r="AJ734" s="192"/>
      <c r="AK734" s="192"/>
      <c r="AL734" s="192"/>
      <c r="AM734" s="192"/>
      <c r="AN734" s="192"/>
      <c r="AO734" s="192"/>
      <c r="AP734" s="192"/>
      <c r="AQ734" s="192"/>
      <c r="AR734" s="192"/>
      <c r="AS734" s="192"/>
      <c r="AT734" s="192"/>
      <c r="AU734" s="192"/>
      <c r="AV734" s="192"/>
      <c r="AW734" s="192"/>
      <c r="AX734" s="192"/>
      <c r="AY734" s="192"/>
      <c r="AZ734" s="192"/>
      <c r="BA734" s="192"/>
      <c r="BB734" s="192"/>
      <c r="BC734" s="192"/>
      <c r="BD734" s="192"/>
      <c r="BE734" s="192"/>
      <c r="BF734" s="192"/>
      <c r="BG734" s="192"/>
      <c r="BH734" s="192"/>
      <c r="BI734" s="192"/>
      <c r="BJ734" s="192"/>
      <c r="BK734" s="192"/>
      <c r="BL734" s="192"/>
    </row>
    <row r="735" spans="1:64" x14ac:dyDescent="0.25">
      <c r="A735" s="192" t="s">
        <v>1399</v>
      </c>
      <c r="B735" s="15"/>
      <c r="C735" s="15"/>
      <c r="D735" s="15"/>
      <c r="E735" s="15"/>
      <c r="F735" s="15"/>
      <c r="G735" s="15"/>
      <c r="H735" s="15"/>
      <c r="I735" s="15"/>
      <c r="J735" s="15"/>
      <c r="K735" s="15"/>
      <c r="L735" s="15"/>
      <c r="M735" s="15"/>
      <c r="N735" s="15"/>
      <c r="O735" s="15"/>
      <c r="P735" s="15"/>
      <c r="Q735" s="15"/>
      <c r="R735" s="15"/>
      <c r="S735" s="15"/>
      <c r="T735" s="15"/>
      <c r="U735" s="15"/>
      <c r="V735" s="15"/>
      <c r="W735" s="192"/>
      <c r="X735" s="192"/>
      <c r="Y735" s="192"/>
      <c r="Z735" s="192"/>
      <c r="AA735" s="192"/>
      <c r="AB735" s="192"/>
      <c r="AC735" s="192"/>
      <c r="AD735" s="192"/>
      <c r="AE735" s="192"/>
      <c r="AF735" s="192"/>
      <c r="AI735" s="192"/>
      <c r="AJ735" s="192"/>
      <c r="AK735" s="192"/>
      <c r="AL735" s="192"/>
      <c r="AM735" s="192"/>
      <c r="AN735" s="192"/>
      <c r="AO735" s="192"/>
      <c r="AP735" s="192"/>
      <c r="AQ735" s="192"/>
      <c r="AR735" s="192"/>
      <c r="AS735" s="192"/>
      <c r="AT735" s="192"/>
      <c r="AU735" s="192"/>
      <c r="AV735" s="192"/>
      <c r="AW735" s="192"/>
      <c r="AX735" s="192"/>
      <c r="AY735" s="192"/>
      <c r="AZ735" s="192"/>
      <c r="BA735" s="192"/>
      <c r="BB735" s="192"/>
      <c r="BC735" s="192"/>
      <c r="BD735" s="192"/>
      <c r="BE735" s="192"/>
      <c r="BF735" s="192"/>
      <c r="BG735" s="192"/>
      <c r="BH735" s="192"/>
      <c r="BI735" s="192"/>
      <c r="BJ735" s="192"/>
      <c r="BK735" s="192"/>
      <c r="BL735" s="192"/>
    </row>
    <row r="736" spans="1:64" x14ac:dyDescent="0.25">
      <c r="A736" s="192" t="s">
        <v>1400</v>
      </c>
      <c r="B736" s="15"/>
      <c r="C736" s="15"/>
      <c r="D736" s="15"/>
      <c r="E736" s="15"/>
      <c r="F736" s="15"/>
      <c r="G736" s="15"/>
      <c r="H736" s="15"/>
      <c r="I736" s="15"/>
      <c r="J736" s="15"/>
      <c r="K736" s="15"/>
      <c r="L736" s="15"/>
      <c r="M736" s="15"/>
      <c r="N736" s="15"/>
      <c r="O736" s="15"/>
      <c r="P736" s="15"/>
      <c r="Q736" s="15"/>
      <c r="R736" s="15"/>
      <c r="S736" s="15"/>
      <c r="T736" s="15"/>
      <c r="U736" s="15"/>
      <c r="V736" s="15"/>
      <c r="W736" s="192"/>
      <c r="X736" s="192"/>
      <c r="Y736" s="192"/>
      <c r="Z736" s="192"/>
      <c r="AA736" s="192"/>
      <c r="AB736" s="192"/>
      <c r="AC736" s="192"/>
      <c r="AD736" s="192"/>
      <c r="AE736" s="192"/>
      <c r="AF736" s="192"/>
      <c r="AI736" s="192"/>
      <c r="AJ736" s="192"/>
      <c r="AK736" s="192"/>
      <c r="AL736" s="192"/>
      <c r="AM736" s="192"/>
      <c r="AN736" s="192"/>
      <c r="AO736" s="192"/>
      <c r="AP736" s="192"/>
      <c r="AQ736" s="192"/>
      <c r="AR736" s="192"/>
      <c r="AS736" s="192"/>
      <c r="AT736" s="192"/>
      <c r="AU736" s="192"/>
      <c r="AV736" s="192"/>
      <c r="AW736" s="192"/>
      <c r="AX736" s="192"/>
      <c r="AY736" s="192"/>
      <c r="AZ736" s="192"/>
      <c r="BA736" s="192"/>
      <c r="BB736" s="192"/>
      <c r="BC736" s="192"/>
      <c r="BD736" s="192"/>
      <c r="BE736" s="192"/>
      <c r="BF736" s="192"/>
      <c r="BG736" s="192"/>
      <c r="BH736" s="192"/>
      <c r="BI736" s="192"/>
      <c r="BJ736" s="192"/>
      <c r="BK736" s="192"/>
      <c r="BL736" s="192"/>
    </row>
    <row r="737" spans="1:64" x14ac:dyDescent="0.25">
      <c r="A737" s="192" t="s">
        <v>1401</v>
      </c>
      <c r="B737" s="15"/>
      <c r="C737" s="15"/>
      <c r="D737" s="15"/>
      <c r="E737" s="15"/>
      <c r="F737" s="15"/>
      <c r="G737" s="15"/>
      <c r="H737" s="15"/>
      <c r="I737" s="15"/>
      <c r="J737" s="15"/>
      <c r="K737" s="15"/>
      <c r="L737" s="15"/>
      <c r="M737" s="15"/>
      <c r="N737" s="15"/>
      <c r="O737" s="15"/>
      <c r="P737" s="15"/>
      <c r="Q737" s="15"/>
      <c r="R737" s="15"/>
      <c r="S737" s="15"/>
      <c r="T737" s="15"/>
      <c r="U737" s="15"/>
      <c r="V737" s="15"/>
      <c r="W737" s="192"/>
      <c r="X737" s="192"/>
      <c r="Y737" s="192"/>
      <c r="Z737" s="192"/>
      <c r="AA737" s="192"/>
      <c r="AB737" s="192"/>
      <c r="AC737" s="192"/>
      <c r="AD737" s="192"/>
      <c r="AE737" s="192"/>
      <c r="AF737" s="192"/>
      <c r="AI737" s="192"/>
      <c r="AJ737" s="192"/>
      <c r="AK737" s="192"/>
      <c r="AL737" s="192"/>
      <c r="AM737" s="192"/>
      <c r="AN737" s="192"/>
      <c r="AO737" s="192"/>
      <c r="AP737" s="192"/>
      <c r="AQ737" s="192"/>
      <c r="AR737" s="192"/>
      <c r="AS737" s="192"/>
      <c r="AT737" s="192"/>
      <c r="AU737" s="192"/>
      <c r="AV737" s="192"/>
      <c r="AW737" s="192"/>
      <c r="AX737" s="192"/>
      <c r="AY737" s="192"/>
      <c r="AZ737" s="192"/>
      <c r="BA737" s="192"/>
      <c r="BB737" s="192"/>
      <c r="BC737" s="192"/>
      <c r="BD737" s="192"/>
      <c r="BE737" s="192"/>
      <c r="BF737" s="192"/>
      <c r="BG737" s="192"/>
      <c r="BH737" s="192"/>
      <c r="BI737" s="192"/>
      <c r="BJ737" s="192"/>
      <c r="BK737" s="192"/>
      <c r="BL737" s="192"/>
    </row>
    <row r="738" spans="1:64" x14ac:dyDescent="0.25">
      <c r="A738" s="192" t="s">
        <v>1402</v>
      </c>
      <c r="B738" s="15"/>
      <c r="C738" s="15"/>
      <c r="D738" s="15"/>
      <c r="E738" s="15"/>
      <c r="F738" s="15"/>
      <c r="G738" s="15"/>
      <c r="H738" s="15"/>
      <c r="I738" s="15"/>
      <c r="J738" s="15"/>
      <c r="K738" s="15"/>
      <c r="L738" s="15"/>
      <c r="M738" s="15"/>
      <c r="N738" s="15"/>
      <c r="O738" s="15"/>
      <c r="P738" s="15"/>
      <c r="Q738" s="15"/>
      <c r="R738" s="15"/>
      <c r="S738" s="15"/>
      <c r="T738" s="15"/>
      <c r="U738" s="15"/>
      <c r="V738" s="15"/>
      <c r="W738" s="192"/>
      <c r="X738" s="192"/>
      <c r="Y738" s="192"/>
      <c r="Z738" s="192"/>
      <c r="AA738" s="192"/>
      <c r="AB738" s="192"/>
      <c r="AC738" s="192"/>
      <c r="AD738" s="192"/>
      <c r="AE738" s="192"/>
      <c r="AF738" s="192"/>
      <c r="AI738" s="192"/>
      <c r="AJ738" s="192"/>
      <c r="AK738" s="192"/>
      <c r="AL738" s="192"/>
      <c r="AM738" s="192"/>
      <c r="AN738" s="192"/>
      <c r="AO738" s="192"/>
      <c r="AP738" s="192"/>
      <c r="AQ738" s="192"/>
      <c r="AR738" s="192"/>
      <c r="AS738" s="192"/>
      <c r="AT738" s="192"/>
      <c r="AU738" s="192"/>
      <c r="AV738" s="192"/>
      <c r="AW738" s="192"/>
      <c r="AX738" s="192"/>
      <c r="AY738" s="192"/>
      <c r="AZ738" s="192"/>
      <c r="BA738" s="192"/>
      <c r="BB738" s="192"/>
      <c r="BC738" s="192"/>
      <c r="BD738" s="192"/>
      <c r="BE738" s="192"/>
      <c r="BF738" s="192"/>
      <c r="BG738" s="192"/>
      <c r="BH738" s="192"/>
      <c r="BI738" s="192"/>
      <c r="BJ738" s="192"/>
      <c r="BK738" s="192"/>
      <c r="BL738" s="192"/>
    </row>
    <row r="739" spans="1:64" x14ac:dyDescent="0.25">
      <c r="A739" s="192" t="s">
        <v>1403</v>
      </c>
      <c r="B739" s="15"/>
      <c r="C739" s="15"/>
      <c r="D739" s="15"/>
      <c r="E739" s="15"/>
      <c r="F739" s="15"/>
      <c r="G739" s="15"/>
      <c r="H739" s="15"/>
      <c r="I739" s="15"/>
      <c r="J739" s="15"/>
      <c r="K739" s="15"/>
      <c r="L739" s="15"/>
      <c r="M739" s="15"/>
      <c r="N739" s="15"/>
      <c r="O739" s="15"/>
      <c r="P739" s="15"/>
      <c r="Q739" s="15"/>
      <c r="R739" s="15"/>
      <c r="S739" s="15"/>
      <c r="T739" s="15"/>
      <c r="U739" s="15"/>
      <c r="V739" s="15"/>
      <c r="W739" s="192"/>
      <c r="X739" s="192"/>
      <c r="Y739" s="192"/>
      <c r="Z739" s="192"/>
      <c r="AA739" s="192"/>
      <c r="AB739" s="192"/>
      <c r="AC739" s="192"/>
      <c r="AD739" s="192"/>
      <c r="AE739" s="192"/>
      <c r="AF739" s="192"/>
      <c r="AI739" s="192"/>
      <c r="AJ739" s="192"/>
      <c r="AK739" s="192"/>
      <c r="AL739" s="192"/>
      <c r="AM739" s="192"/>
      <c r="AN739" s="192"/>
      <c r="AO739" s="192"/>
      <c r="AP739" s="192"/>
      <c r="AQ739" s="192"/>
      <c r="AR739" s="192"/>
      <c r="AS739" s="192"/>
      <c r="AT739" s="192"/>
      <c r="AU739" s="192"/>
      <c r="AV739" s="192"/>
      <c r="AW739" s="192"/>
      <c r="AX739" s="192"/>
      <c r="AY739" s="192"/>
      <c r="AZ739" s="192"/>
      <c r="BA739" s="192"/>
      <c r="BB739" s="192"/>
      <c r="BC739" s="192"/>
      <c r="BD739" s="192"/>
      <c r="BE739" s="192"/>
      <c r="BF739" s="192"/>
      <c r="BG739" s="192"/>
      <c r="BH739" s="192"/>
      <c r="BI739" s="192"/>
      <c r="BJ739" s="192"/>
      <c r="BK739" s="192"/>
      <c r="BL739" s="192"/>
    </row>
    <row r="740" spans="1:64" x14ac:dyDescent="0.25">
      <c r="W740" s="192"/>
      <c r="X740" s="192"/>
      <c r="Y740" s="192"/>
      <c r="Z740" s="192"/>
      <c r="AA740" s="192"/>
      <c r="AB740" s="192"/>
      <c r="AC740" s="192"/>
      <c r="AD740" s="192"/>
      <c r="AE740" s="192"/>
      <c r="AF740" s="192"/>
      <c r="AI740" s="192"/>
      <c r="AJ740" s="192"/>
      <c r="AK740" s="192"/>
      <c r="AL740" s="192"/>
      <c r="AM740" s="192"/>
      <c r="AN740" s="192"/>
      <c r="AO740" s="192"/>
      <c r="AP740" s="192"/>
      <c r="AQ740" s="192"/>
      <c r="AR740" s="192"/>
      <c r="AS740" s="192"/>
      <c r="AT740" s="192"/>
      <c r="AU740" s="192"/>
      <c r="AV740" s="192"/>
      <c r="AW740" s="192"/>
      <c r="AX740" s="192"/>
      <c r="AY740" s="192"/>
      <c r="AZ740" s="192"/>
      <c r="BA740" s="192"/>
      <c r="BB740" s="192"/>
      <c r="BC740" s="192"/>
      <c r="BD740" s="192"/>
      <c r="BE740" s="192"/>
      <c r="BF740" s="192"/>
      <c r="BG740" s="192"/>
      <c r="BH740" s="192"/>
      <c r="BI740" s="192"/>
      <c r="BJ740" s="192"/>
      <c r="BK740" s="192"/>
      <c r="BL740" s="192"/>
    </row>
    <row r="741" spans="1:64" x14ac:dyDescent="0.25">
      <c r="W741" s="192"/>
      <c r="X741" s="192"/>
      <c r="Y741" s="192"/>
      <c r="Z741" s="192"/>
      <c r="AA741" s="192"/>
      <c r="AB741" s="192"/>
      <c r="AC741" s="192"/>
      <c r="AD741" s="192"/>
      <c r="AE741" s="192"/>
      <c r="AF741" s="192"/>
      <c r="AI741" s="192"/>
      <c r="AJ741" s="192"/>
      <c r="AK741" s="192"/>
      <c r="AL741" s="192"/>
      <c r="AM741" s="192"/>
      <c r="AN741" s="192"/>
      <c r="AO741" s="192"/>
      <c r="AP741" s="192"/>
      <c r="AQ741" s="192"/>
      <c r="AR741" s="192"/>
      <c r="AS741" s="192"/>
      <c r="AT741" s="192"/>
      <c r="AU741" s="192"/>
      <c r="AV741" s="192"/>
      <c r="AW741" s="192"/>
      <c r="AX741" s="192"/>
      <c r="AY741" s="192"/>
      <c r="AZ741" s="192"/>
      <c r="BA741" s="192"/>
      <c r="BB741" s="192"/>
      <c r="BC741" s="192"/>
      <c r="BD741" s="192"/>
      <c r="BE741" s="192"/>
      <c r="BF741" s="192"/>
      <c r="BG741" s="192"/>
      <c r="BH741" s="192"/>
      <c r="BI741" s="192"/>
      <c r="BJ741" s="192"/>
      <c r="BK741" s="192"/>
      <c r="BL741" s="192"/>
    </row>
    <row r="742" spans="1:64" x14ac:dyDescent="0.25">
      <c r="W742" s="192"/>
      <c r="X742" s="192"/>
      <c r="Y742" s="192"/>
      <c r="Z742" s="192"/>
      <c r="AA742" s="192"/>
      <c r="AB742" s="192"/>
      <c r="AC742" s="192"/>
      <c r="AD742" s="192"/>
      <c r="AE742" s="192"/>
      <c r="AF742" s="192"/>
      <c r="AI742" s="192"/>
      <c r="AJ742" s="192"/>
      <c r="AK742" s="192"/>
      <c r="AL742" s="192"/>
      <c r="AM742" s="192"/>
      <c r="AN742" s="192"/>
      <c r="AO742" s="192"/>
      <c r="AP742" s="192"/>
      <c r="AQ742" s="192"/>
      <c r="AR742" s="192"/>
      <c r="AS742" s="192"/>
      <c r="AT742" s="192"/>
      <c r="AU742" s="192"/>
      <c r="AV742" s="192"/>
      <c r="AW742" s="192"/>
      <c r="AX742" s="192"/>
      <c r="AY742" s="192"/>
      <c r="AZ742" s="192"/>
      <c r="BA742" s="192"/>
      <c r="BB742" s="192"/>
      <c r="BC742" s="192"/>
      <c r="BD742" s="192"/>
      <c r="BE742" s="192"/>
      <c r="BF742" s="192"/>
      <c r="BG742" s="192"/>
      <c r="BH742" s="192"/>
      <c r="BI742" s="192"/>
      <c r="BJ742" s="192"/>
      <c r="BK742" s="192"/>
      <c r="BL742" s="192"/>
    </row>
    <row r="743" spans="1:64" x14ac:dyDescent="0.25">
      <c r="W743" s="192"/>
      <c r="X743" s="192"/>
      <c r="Y743" s="192"/>
      <c r="Z743" s="192"/>
      <c r="AA743" s="192"/>
      <c r="AB743" s="192"/>
      <c r="AC743" s="192"/>
      <c r="AD743" s="192"/>
      <c r="AE743" s="192"/>
      <c r="AF743" s="192"/>
      <c r="AI743" s="192"/>
      <c r="AJ743" s="192"/>
      <c r="AK743" s="192"/>
      <c r="AL743" s="192"/>
      <c r="AM743" s="192"/>
      <c r="AN743" s="192"/>
      <c r="AO743" s="192"/>
      <c r="AP743" s="192"/>
      <c r="AQ743" s="192"/>
      <c r="AR743" s="192"/>
      <c r="AS743" s="192"/>
      <c r="AT743" s="192"/>
      <c r="AU743" s="192"/>
      <c r="AV743" s="192"/>
      <c r="AW743" s="192"/>
      <c r="AX743" s="192"/>
      <c r="AY743" s="192"/>
      <c r="AZ743" s="192"/>
      <c r="BA743" s="192"/>
      <c r="BB743" s="192"/>
      <c r="BC743" s="192"/>
      <c r="BD743" s="192"/>
      <c r="BE743" s="192"/>
      <c r="BF743" s="192"/>
      <c r="BG743" s="192"/>
      <c r="BH743" s="192"/>
      <c r="BI743" s="192"/>
      <c r="BJ743" s="192"/>
      <c r="BK743" s="192"/>
      <c r="BL743" s="192"/>
    </row>
    <row r="744" spans="1:64" x14ac:dyDescent="0.25">
      <c r="W744" s="192"/>
      <c r="X744" s="192"/>
      <c r="Y744" s="192"/>
      <c r="Z744" s="192"/>
      <c r="AA744" s="192"/>
      <c r="AB744" s="192"/>
      <c r="AC744" s="192"/>
      <c r="AD744" s="192"/>
      <c r="AE744" s="192"/>
      <c r="AF744" s="192"/>
      <c r="AI744" s="192"/>
      <c r="AJ744" s="192"/>
      <c r="AK744" s="192"/>
      <c r="AL744" s="192"/>
      <c r="AM744" s="192"/>
      <c r="AN744" s="192"/>
      <c r="AO744" s="192"/>
      <c r="AP744" s="192"/>
      <c r="AQ744" s="192"/>
      <c r="AR744" s="192"/>
      <c r="AS744" s="192"/>
      <c r="AT744" s="192"/>
      <c r="AU744" s="192"/>
      <c r="AV744" s="192"/>
      <c r="AW744" s="192"/>
      <c r="AX744" s="192"/>
      <c r="AY744" s="192"/>
      <c r="AZ744" s="192"/>
      <c r="BA744" s="192"/>
      <c r="BB744" s="192"/>
      <c r="BC744" s="192"/>
      <c r="BD744" s="192"/>
      <c r="BE744" s="192"/>
      <c r="BF744" s="192"/>
      <c r="BG744" s="192"/>
      <c r="BH744" s="192"/>
      <c r="BI744" s="192"/>
      <c r="BJ744" s="192"/>
      <c r="BK744" s="192"/>
      <c r="BL744" s="192"/>
    </row>
    <row r="745" spans="1:64" x14ac:dyDescent="0.25">
      <c r="W745" s="192"/>
      <c r="X745" s="192"/>
      <c r="Y745" s="192"/>
      <c r="Z745" s="192"/>
      <c r="AA745" s="192"/>
      <c r="AB745" s="192"/>
      <c r="AC745" s="192"/>
      <c r="AD745" s="192"/>
      <c r="AE745" s="192"/>
      <c r="AF745" s="192"/>
      <c r="AI745" s="192"/>
      <c r="AJ745" s="192"/>
      <c r="AK745" s="192"/>
      <c r="AL745" s="192"/>
      <c r="AM745" s="192"/>
      <c r="AN745" s="192"/>
      <c r="AO745" s="192"/>
      <c r="AP745" s="192"/>
      <c r="AQ745" s="192"/>
      <c r="AR745" s="192"/>
      <c r="AS745" s="192"/>
      <c r="AT745" s="192"/>
      <c r="AU745" s="192"/>
      <c r="AV745" s="192"/>
      <c r="AW745" s="192"/>
      <c r="AX745" s="192"/>
      <c r="AY745" s="192"/>
      <c r="AZ745" s="192"/>
      <c r="BA745" s="192"/>
      <c r="BB745" s="192"/>
      <c r="BC745" s="192"/>
      <c r="BD745" s="192"/>
      <c r="BE745" s="192"/>
      <c r="BF745" s="192"/>
      <c r="BG745" s="192"/>
      <c r="BH745" s="192"/>
      <c r="BI745" s="192"/>
      <c r="BJ745" s="192"/>
      <c r="BK745" s="192"/>
      <c r="BL745" s="192"/>
    </row>
    <row r="746" spans="1:64" x14ac:dyDescent="0.25">
      <c r="W746" s="192"/>
      <c r="X746" s="192"/>
      <c r="Y746" s="192"/>
      <c r="Z746" s="192"/>
      <c r="AA746" s="192"/>
      <c r="AB746" s="192"/>
      <c r="AC746" s="192"/>
      <c r="AD746" s="192"/>
      <c r="AE746" s="192"/>
      <c r="AF746" s="192"/>
      <c r="AI746" s="192"/>
      <c r="AJ746" s="192"/>
      <c r="AK746" s="192"/>
      <c r="AL746" s="192"/>
      <c r="AM746" s="192"/>
      <c r="AN746" s="192"/>
      <c r="AO746" s="192"/>
      <c r="AP746" s="192"/>
      <c r="AQ746" s="192"/>
      <c r="AR746" s="192"/>
      <c r="AS746" s="192"/>
      <c r="AT746" s="192"/>
      <c r="AU746" s="192"/>
      <c r="AV746" s="192"/>
      <c r="AW746" s="192"/>
      <c r="AX746" s="192"/>
      <c r="AY746" s="192"/>
      <c r="AZ746" s="192"/>
      <c r="BA746" s="192"/>
      <c r="BB746" s="192"/>
      <c r="BC746" s="192"/>
      <c r="BD746" s="192"/>
      <c r="BE746" s="192"/>
      <c r="BF746" s="192"/>
      <c r="BG746" s="192"/>
      <c r="BH746" s="192"/>
      <c r="BI746" s="192"/>
      <c r="BJ746" s="192"/>
      <c r="BK746" s="192"/>
      <c r="BL746" s="192"/>
    </row>
    <row r="747" spans="1:64" x14ac:dyDescent="0.25">
      <c r="W747" s="192"/>
      <c r="X747" s="192"/>
      <c r="Y747" s="192"/>
      <c r="Z747" s="192"/>
      <c r="AA747" s="192"/>
      <c r="AB747" s="192"/>
      <c r="AC747" s="192"/>
      <c r="AD747" s="192"/>
      <c r="AE747" s="192"/>
      <c r="AF747" s="192"/>
      <c r="AI747" s="192"/>
      <c r="AJ747" s="192"/>
      <c r="AK747" s="192"/>
      <c r="AL747" s="192"/>
      <c r="AM747" s="192"/>
      <c r="AN747" s="192"/>
      <c r="AO747" s="192"/>
      <c r="AP747" s="192"/>
      <c r="AQ747" s="192"/>
      <c r="AR747" s="192"/>
      <c r="AS747" s="192"/>
      <c r="AT747" s="192"/>
      <c r="AU747" s="192"/>
      <c r="AV747" s="192"/>
      <c r="AW747" s="192"/>
      <c r="AX747" s="192"/>
      <c r="AY747" s="192"/>
      <c r="AZ747" s="192"/>
      <c r="BA747" s="192"/>
      <c r="BB747" s="192"/>
      <c r="BC747" s="192"/>
      <c r="BD747" s="192"/>
      <c r="BE747" s="192"/>
      <c r="BF747" s="192"/>
      <c r="BG747" s="192"/>
      <c r="BH747" s="192"/>
      <c r="BI747" s="192"/>
      <c r="BJ747" s="192"/>
      <c r="BK747" s="192"/>
      <c r="BL747" s="192"/>
    </row>
    <row r="748" spans="1:64" x14ac:dyDescent="0.25">
      <c r="W748" s="192"/>
      <c r="X748" s="192"/>
      <c r="Y748" s="192"/>
      <c r="Z748" s="192"/>
      <c r="AA748" s="192"/>
      <c r="AB748" s="192"/>
      <c r="AC748" s="192"/>
      <c r="AD748" s="192"/>
      <c r="AE748" s="192"/>
      <c r="AF748" s="192"/>
      <c r="AI748" s="192"/>
      <c r="AJ748" s="192"/>
      <c r="AK748" s="192"/>
      <c r="AL748" s="192"/>
      <c r="AM748" s="192"/>
      <c r="AN748" s="192"/>
      <c r="AO748" s="192"/>
      <c r="AP748" s="192"/>
      <c r="AQ748" s="192"/>
      <c r="AR748" s="192"/>
      <c r="AS748" s="192"/>
      <c r="AT748" s="192"/>
      <c r="AU748" s="192"/>
      <c r="AV748" s="192"/>
      <c r="AW748" s="192"/>
      <c r="AX748" s="192"/>
      <c r="AY748" s="192"/>
      <c r="AZ748" s="192"/>
      <c r="BA748" s="192"/>
      <c r="BB748" s="192"/>
      <c r="BC748" s="192"/>
      <c r="BD748" s="192"/>
      <c r="BE748" s="192"/>
      <c r="BF748" s="192"/>
      <c r="BG748" s="192"/>
      <c r="BH748" s="192"/>
      <c r="BI748" s="192"/>
      <c r="BJ748" s="192"/>
      <c r="BK748" s="192"/>
      <c r="BL748" s="192"/>
    </row>
    <row r="749" spans="1:64" x14ac:dyDescent="0.25">
      <c r="W749" s="192"/>
      <c r="X749" s="192"/>
      <c r="Y749" s="192"/>
      <c r="Z749" s="192"/>
      <c r="AA749" s="192"/>
      <c r="AB749" s="192"/>
      <c r="AC749" s="192"/>
      <c r="AD749" s="192"/>
      <c r="AE749" s="192"/>
      <c r="AF749" s="192"/>
      <c r="AI749" s="192"/>
      <c r="AJ749" s="192"/>
      <c r="AK749" s="192"/>
      <c r="AL749" s="192"/>
      <c r="AM749" s="192"/>
      <c r="AN749" s="192"/>
      <c r="AO749" s="192"/>
      <c r="AP749" s="192"/>
      <c r="AQ749" s="192"/>
      <c r="AR749" s="192"/>
      <c r="AS749" s="192"/>
      <c r="AT749" s="192"/>
      <c r="AU749" s="192"/>
      <c r="AV749" s="192"/>
      <c r="AW749" s="192"/>
      <c r="AX749" s="192"/>
      <c r="AY749" s="192"/>
      <c r="AZ749" s="192"/>
      <c r="BA749" s="192"/>
      <c r="BB749" s="192"/>
      <c r="BC749" s="192"/>
      <c r="BD749" s="192"/>
      <c r="BE749" s="192"/>
      <c r="BF749" s="192"/>
      <c r="BG749" s="192"/>
      <c r="BH749" s="192"/>
      <c r="BI749" s="192"/>
      <c r="BJ749" s="192"/>
      <c r="BK749" s="192"/>
      <c r="BL749" s="192"/>
    </row>
    <row r="750" spans="1:64" x14ac:dyDescent="0.25">
      <c r="W750" s="192"/>
      <c r="X750" s="192"/>
      <c r="Y750" s="192"/>
      <c r="Z750" s="192"/>
      <c r="AA750" s="192"/>
      <c r="AB750" s="192"/>
      <c r="AC750" s="192"/>
      <c r="AD750" s="192"/>
      <c r="AE750" s="192"/>
      <c r="AF750" s="192"/>
      <c r="AI750" s="192"/>
      <c r="AJ750" s="192"/>
      <c r="AK750" s="192"/>
      <c r="AL750" s="192"/>
      <c r="AM750" s="192"/>
      <c r="AN750" s="192"/>
      <c r="AO750" s="192"/>
      <c r="AP750" s="192"/>
      <c r="AQ750" s="192"/>
      <c r="AR750" s="192"/>
      <c r="AS750" s="192"/>
      <c r="AT750" s="192"/>
      <c r="AU750" s="192"/>
      <c r="AV750" s="192"/>
      <c r="AW750" s="192"/>
      <c r="AX750" s="192"/>
      <c r="AY750" s="192"/>
      <c r="AZ750" s="192"/>
      <c r="BA750" s="192"/>
      <c r="BB750" s="192"/>
      <c r="BC750" s="192"/>
      <c r="BD750" s="192"/>
      <c r="BE750" s="192"/>
      <c r="BF750" s="192"/>
      <c r="BG750" s="192"/>
      <c r="BH750" s="192"/>
      <c r="BI750" s="192"/>
      <c r="BJ750" s="192"/>
      <c r="BK750" s="192"/>
      <c r="BL750" s="192"/>
    </row>
    <row r="751" spans="1:64" x14ac:dyDescent="0.25">
      <c r="W751" s="192"/>
      <c r="X751" s="192"/>
      <c r="Y751" s="192"/>
      <c r="Z751" s="192"/>
      <c r="AA751" s="192"/>
      <c r="AB751" s="192"/>
      <c r="AC751" s="192"/>
      <c r="AD751" s="192"/>
      <c r="AE751" s="192"/>
      <c r="AF751" s="192"/>
      <c r="AI751" s="192"/>
      <c r="AJ751" s="192"/>
      <c r="AK751" s="192"/>
      <c r="AL751" s="192"/>
      <c r="AM751" s="192"/>
      <c r="AN751" s="192"/>
      <c r="AO751" s="192"/>
      <c r="AP751" s="192"/>
      <c r="AQ751" s="192"/>
      <c r="AR751" s="192"/>
      <c r="AS751" s="192"/>
      <c r="AT751" s="192"/>
      <c r="AU751" s="192"/>
      <c r="AV751" s="192"/>
      <c r="AW751" s="192"/>
      <c r="AX751" s="192"/>
      <c r="AY751" s="192"/>
      <c r="AZ751" s="192"/>
      <c r="BA751" s="192"/>
      <c r="BB751" s="192"/>
      <c r="BC751" s="192"/>
      <c r="BD751" s="192"/>
      <c r="BE751" s="192"/>
      <c r="BF751" s="192"/>
      <c r="BG751" s="192"/>
      <c r="BH751" s="192"/>
      <c r="BI751" s="192"/>
      <c r="BJ751" s="192"/>
      <c r="BK751" s="192"/>
      <c r="BL751" s="192"/>
    </row>
    <row r="752" spans="1:64" x14ac:dyDescent="0.25">
      <c r="W752" s="192"/>
      <c r="X752" s="192"/>
      <c r="Y752" s="192"/>
      <c r="Z752" s="192"/>
      <c r="AA752" s="192"/>
      <c r="AB752" s="192"/>
      <c r="AC752" s="192"/>
      <c r="AD752" s="192"/>
      <c r="AE752" s="192"/>
      <c r="AF752" s="192"/>
      <c r="AI752" s="192"/>
      <c r="AJ752" s="192"/>
      <c r="AK752" s="192"/>
      <c r="AL752" s="192"/>
      <c r="AM752" s="192"/>
      <c r="AN752" s="192"/>
      <c r="AO752" s="192"/>
      <c r="AP752" s="192"/>
      <c r="AQ752" s="192"/>
      <c r="AR752" s="192"/>
      <c r="AS752" s="192"/>
      <c r="AT752" s="192"/>
      <c r="AU752" s="192"/>
      <c r="AV752" s="192"/>
      <c r="AW752" s="192"/>
      <c r="AX752" s="192"/>
      <c r="AY752" s="192"/>
      <c r="AZ752" s="192"/>
      <c r="BA752" s="192"/>
      <c r="BB752" s="192"/>
      <c r="BC752" s="192"/>
      <c r="BD752" s="192"/>
      <c r="BE752" s="192"/>
      <c r="BF752" s="192"/>
      <c r="BG752" s="192"/>
      <c r="BH752" s="192"/>
      <c r="BI752" s="192"/>
      <c r="BJ752" s="192"/>
      <c r="BK752" s="192"/>
      <c r="BL752" s="192"/>
    </row>
  </sheetData>
  <sheetProtection algorithmName="SHA-512" hashValue="f8tZgCVc70qXyJc6tnFpqNCxOnY5V6w8OFL1RH0RyezWYt5qY9ckByTjz36leH0n95Mf8QgeRwO8CzzCB67a3w==" saltValue="hyvDXm5XC2yI7NxF/BzjRA==" spinCount="100000" sheet="1" objects="1" scenarios="1" sort="0" autoFilter="0"/>
  <autoFilter ref="A4:BO716" xr:uid="{00000000-0001-0000-0800-000000000000}"/>
  <mergeCells count="1">
    <mergeCell ref="BP1:BS1"/>
  </mergeCells>
  <conditionalFormatting sqref="F5:F727">
    <cfRule type="containsText" dxfId="81" priority="10" operator="containsText" text="&lt;Select&gt;">
      <formula>NOT(ISERROR(SEARCH("&lt;Select&gt;",F5)))</formula>
    </cfRule>
  </conditionalFormatting>
  <conditionalFormatting sqref="F5:G727">
    <cfRule type="notContainsBlanks" dxfId="80" priority="11">
      <formula>LEN(TRIM(F5))&gt;0</formula>
    </cfRule>
  </conditionalFormatting>
  <conditionalFormatting sqref="H2 J2 L2 N2 H5:N727 T5:T727">
    <cfRule type="containsText" dxfId="79" priority="4" operator="containsText" text="FALSE">
      <formula>NOT(ISERROR(SEARCH("FALSE",H2)))</formula>
    </cfRule>
    <cfRule type="containsText" dxfId="78" priority="5" operator="containsText" text="TRUE">
      <formula>NOT(ISERROR(SEARCH("TRUE",H2)))</formula>
    </cfRule>
  </conditionalFormatting>
  <conditionalFormatting sqref="P5:P727">
    <cfRule type="containsText" dxfId="77" priority="8" operator="containsText" text="SC §3.X.X.X">
      <formula>NOT(ISERROR(SEARCH("SC §3.X.X.X",P5)))</formula>
    </cfRule>
  </conditionalFormatting>
  <conditionalFormatting sqref="Q5:R727">
    <cfRule type="containsText" dxfId="76" priority="1" operator="containsText" text="X">
      <formula>NOT(ISERROR(SEARCH("X",Q5)))</formula>
    </cfRule>
  </conditionalFormatting>
  <conditionalFormatting sqref="S5:S727 P5:P727">
    <cfRule type="containsBlanks" dxfId="75" priority="9">
      <formula>LEN(TRIM(P5))=0</formula>
    </cfRule>
  </conditionalFormatting>
  <conditionalFormatting sqref="S5:S727">
    <cfRule type="containsText" dxfId="74" priority="7" operator="containsText" text="&lt;enter location here&gt;">
      <formula>NOT(ISERROR(SEARCH("&lt;enter location here&gt;",S5)))</formula>
    </cfRule>
  </conditionalFormatting>
  <conditionalFormatting sqref="T2">
    <cfRule type="containsText" dxfId="73" priority="2" operator="containsText" text="FALSE">
      <formula>NOT(ISERROR(SEARCH("FALSE",T2)))</formula>
    </cfRule>
    <cfRule type="containsText" dxfId="72" priority="3" operator="containsText" text="TRUE">
      <formula>NOT(ISERROR(SEARCH("TRUE",T2)))</formula>
    </cfRule>
  </conditionalFormatting>
  <conditionalFormatting sqref="U5:V727">
    <cfRule type="containsBlanks" dxfId="71" priority="6">
      <formula>LEN(TRIM(U5))=0</formula>
    </cfRule>
  </conditionalFormatting>
  <dataValidations count="3">
    <dataValidation type="list" allowBlank="1" showInputMessage="1" showErrorMessage="1" sqref="F5:F726" xr:uid="{C8B7B171-6029-4C0A-B6D5-0580DFEAA7E0}">
      <formula1>"&lt;Select&gt;, YES,YES WITH MODIFICATION, NO, N/A"</formula1>
    </dataValidation>
    <dataValidation type="list" allowBlank="1" showInputMessage="1" showErrorMessage="1" sqref="F727" xr:uid="{9E3ED5BD-FAAF-4F81-B91C-15D8361CC508}">
      <formula1>"&lt;Select&gt;, YES,N/A"</formula1>
    </dataValidation>
    <dataValidation type="list" allowBlank="1" showInputMessage="1" showErrorMessage="1" sqref="Q5:R727" xr:uid="{63FA1F0F-133D-4C18-80E7-CDEFE08A4784}">
      <formula1>$BO$5:$BO$7</formula1>
    </dataValidation>
  </dataValidations>
  <pageMargins left="0.45" right="0.45" top="0.75" bottom="0.75" header="0.3" footer="0.3"/>
  <pageSetup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tabColor theme="4"/>
  </sheetPr>
  <dimension ref="A1:Z29"/>
  <sheetViews>
    <sheetView zoomScale="85" zoomScaleNormal="85" workbookViewId="0"/>
  </sheetViews>
  <sheetFormatPr defaultColWidth="9.140625" defaultRowHeight="12.75" x14ac:dyDescent="0.2"/>
  <cols>
    <col min="1" max="1" width="37.7109375" style="40" customWidth="1"/>
    <col min="2" max="2" width="35.140625" style="40" customWidth="1"/>
    <col min="3" max="3" width="28.42578125" style="40" customWidth="1"/>
    <col min="4" max="4" width="27.28515625" style="40" customWidth="1"/>
    <col min="5" max="5" width="26.42578125" style="40" customWidth="1"/>
    <col min="6" max="6" width="31.140625" style="40" customWidth="1"/>
    <col min="7" max="7" width="79.85546875" style="40" customWidth="1"/>
    <col min="8" max="10" width="31.140625" style="217" hidden="1" customWidth="1"/>
    <col min="11" max="11" width="19.28515625" style="217" hidden="1" customWidth="1"/>
    <col min="12" max="13" width="16.140625" style="217" hidden="1" customWidth="1"/>
    <col min="14" max="14" width="26.140625" style="217" hidden="1" customWidth="1"/>
    <col min="15" max="17" width="24.140625" style="217" hidden="1" customWidth="1"/>
    <col min="18" max="18" width="12.5703125" style="217" hidden="1" customWidth="1"/>
    <col min="19" max="20" width="9.140625" style="217" hidden="1" customWidth="1"/>
    <col min="21" max="24" width="12.7109375" style="217" hidden="1" customWidth="1"/>
    <col min="25" max="25" width="16.140625" style="217" hidden="1" customWidth="1"/>
    <col min="26" max="26" width="32.5703125" style="217" hidden="1" customWidth="1"/>
    <col min="27" max="29" width="9.140625" style="40" customWidth="1"/>
    <col min="30" max="16384" width="9.140625" style="40"/>
  </cols>
  <sheetData>
    <row r="1" spans="1:26" s="38" customFormat="1" ht="34.5" customHeight="1" thickBot="1" x14ac:dyDescent="0.3">
      <c r="A1" s="43" t="s">
        <v>21</v>
      </c>
      <c r="C1" s="40"/>
      <c r="D1" s="56" t="s">
        <v>422</v>
      </c>
      <c r="E1" s="277" t="s">
        <v>423</v>
      </c>
      <c r="F1" s="278"/>
      <c r="G1" s="278"/>
      <c r="H1" s="241"/>
      <c r="I1" s="241"/>
      <c r="J1" s="241"/>
      <c r="K1" s="242"/>
      <c r="L1" s="242"/>
      <c r="M1" s="242"/>
      <c r="N1" s="242"/>
      <c r="O1" s="242"/>
      <c r="P1" s="242"/>
      <c r="Q1" s="242"/>
      <c r="R1" s="242"/>
      <c r="S1" s="242"/>
      <c r="T1" s="242"/>
      <c r="U1" s="242"/>
      <c r="V1" s="242"/>
      <c r="W1" s="242"/>
      <c r="X1" s="242"/>
      <c r="Y1" s="242"/>
      <c r="Z1" s="242"/>
    </row>
    <row r="2" spans="1:26" s="38" customFormat="1" ht="16.5" thickBot="1" x14ac:dyDescent="0.3">
      <c r="A2" s="43" t="s">
        <v>22</v>
      </c>
      <c r="C2" s="40"/>
      <c r="D2" s="41" t="b">
        <f>AND(E5:E14)</f>
        <v>1</v>
      </c>
      <c r="H2" s="242"/>
      <c r="I2" s="242"/>
      <c r="J2" s="242"/>
      <c r="K2" s="242"/>
      <c r="L2" s="242"/>
      <c r="M2" s="242"/>
      <c r="N2" s="242"/>
      <c r="O2" s="242"/>
      <c r="P2" s="242"/>
      <c r="Q2" s="242"/>
      <c r="R2" s="242"/>
      <c r="S2" s="242"/>
      <c r="T2" s="242"/>
      <c r="U2" s="242"/>
      <c r="V2" s="242"/>
      <c r="W2" s="242"/>
      <c r="X2" s="242"/>
      <c r="Y2" s="242"/>
      <c r="Z2" s="242"/>
    </row>
    <row r="3" spans="1:26" s="38" customFormat="1" ht="16.5" thickBot="1" x14ac:dyDescent="0.3">
      <c r="A3" s="43"/>
      <c r="H3" s="242"/>
      <c r="I3" s="242"/>
      <c r="J3" s="242"/>
      <c r="K3" s="242"/>
      <c r="L3" s="242"/>
      <c r="M3" s="242"/>
      <c r="N3" s="242"/>
      <c r="O3" s="242"/>
      <c r="P3" s="242"/>
      <c r="Q3" s="242"/>
      <c r="R3" s="242"/>
      <c r="S3" s="242"/>
      <c r="T3" s="242"/>
      <c r="U3" s="242"/>
      <c r="V3" s="242"/>
      <c r="W3" s="242"/>
      <c r="X3" s="242"/>
      <c r="Y3" s="242"/>
      <c r="Z3" s="242"/>
    </row>
    <row r="4" spans="1:26" ht="39" thickBot="1" x14ac:dyDescent="0.25">
      <c r="A4" s="39" t="s">
        <v>19</v>
      </c>
      <c r="B4" s="39" t="s">
        <v>23</v>
      </c>
      <c r="C4" s="39" t="s">
        <v>24</v>
      </c>
      <c r="D4" s="39" t="s">
        <v>1868</v>
      </c>
      <c r="E4" s="39" t="s">
        <v>27</v>
      </c>
      <c r="G4" s="42"/>
      <c r="H4" s="56" t="s">
        <v>373</v>
      </c>
      <c r="I4" s="231" t="s">
        <v>375</v>
      </c>
      <c r="J4" s="243" t="s">
        <v>23</v>
      </c>
      <c r="K4" s="244" t="s">
        <v>25</v>
      </c>
      <c r="L4" s="244" t="s">
        <v>26</v>
      </c>
      <c r="M4" s="244" t="s">
        <v>486</v>
      </c>
      <c r="N4" s="244" t="s">
        <v>475</v>
      </c>
      <c r="O4" s="244" t="s">
        <v>676</v>
      </c>
      <c r="P4" s="245" t="s">
        <v>481</v>
      </c>
      <c r="Q4" s="245" t="s">
        <v>481</v>
      </c>
      <c r="R4" s="32" t="s">
        <v>424</v>
      </c>
      <c r="S4" s="32" t="s">
        <v>425</v>
      </c>
      <c r="T4" s="32" t="s">
        <v>426</v>
      </c>
      <c r="U4" s="32" t="s">
        <v>1882</v>
      </c>
      <c r="V4" s="32" t="s">
        <v>354</v>
      </c>
      <c r="W4" s="32" t="s">
        <v>482</v>
      </c>
      <c r="X4" s="32" t="s">
        <v>476</v>
      </c>
      <c r="Y4" s="32" t="s">
        <v>476</v>
      </c>
      <c r="Z4" s="217" t="s">
        <v>477</v>
      </c>
    </row>
    <row r="5" spans="1:26" ht="13.5" thickBot="1" x14ac:dyDescent="0.25">
      <c r="A5" s="36" t="s">
        <v>28</v>
      </c>
      <c r="B5" s="37" t="s">
        <v>29</v>
      </c>
      <c r="C5" s="37" t="s">
        <v>20</v>
      </c>
      <c r="D5" s="37" t="s">
        <v>338</v>
      </c>
      <c r="E5" s="41" t="b">
        <f>AND(K5=L5,K5=M5)</f>
        <v>1</v>
      </c>
      <c r="G5" s="42"/>
      <c r="H5" s="246" t="s">
        <v>478</v>
      </c>
      <c r="I5" s="247" t="b">
        <f>IF(W5=0, TRUE, FALSE)</f>
        <v>1</v>
      </c>
      <c r="J5" s="248"/>
      <c r="K5" s="249" t="b">
        <f t="shared" ref="K5:K14" si="0">IF(OR(A5="&lt;Enter Non-OMS Message Name&gt;",ISBLANK(A5)),FALSE,TRUE)</f>
        <v>0</v>
      </c>
      <c r="L5" s="249" t="b">
        <f t="shared" ref="L5:L14" si="1">IF(OR(B5="&lt;Enter Rationale Here&gt;", ISBLANK(B5)),FALSE,TRUE)</f>
        <v>0</v>
      </c>
      <c r="M5" s="249" t="b">
        <f>IF(C5="Yes", TRUE, FALSE)</f>
        <v>0</v>
      </c>
      <c r="N5" s="250" t="b">
        <f t="shared" ref="N5:N14" si="2">IF(C5&lt;&gt;"&lt;Select&gt;",TRUE,FALSE)</f>
        <v>0</v>
      </c>
      <c r="O5" s="249" t="b">
        <f t="shared" ref="O5:O14" si="3">IF(D5="&lt;Enter Change Request Identifier Here&gt;",FALSE,TRUE)</f>
        <v>1</v>
      </c>
      <c r="P5" s="149" t="b">
        <f>IF(AND(K5=TRUE,L5=TRUE,N5=TRUE),TRUE,IF(AND(K5=FALSE,L5=FALSE,N5=FALSE),TRUE,FALSE))</f>
        <v>1</v>
      </c>
      <c r="Q5" s="149" t="b">
        <f>IF(P5=TRUE,TRUE,"")</f>
        <v>1</v>
      </c>
      <c r="R5" s="32">
        <f>COUNTIF(K5:K14, TRUE)</f>
        <v>0</v>
      </c>
      <c r="S5" s="32">
        <f>COUNTIF(L5:L14, TRUE)</f>
        <v>0</v>
      </c>
      <c r="T5" s="217" t="b">
        <f t="shared" ref="T5:T14" si="4">IF(K5=L5, TRUE)</f>
        <v>1</v>
      </c>
      <c r="V5" s="217" t="b">
        <f>IF(OR(ISBLANK(A5), A5="&lt;Enter Non-OMS Message Name&gt;"), FALSE, TRUE)</f>
        <v>0</v>
      </c>
      <c r="W5" s="217">
        <f>COUNTIF(V5:V14,TRUE)</f>
        <v>0</v>
      </c>
      <c r="X5" s="217" t="str">
        <f>IF(V5=TRUE,TRUE,"")</f>
        <v/>
      </c>
      <c r="Y5" s="217" t="b">
        <f t="shared" ref="Y5:Y14" si="5">OR(AND(K5=TRUE, L5=TRUE, N5=TRUE), AND(K5=FALSE, L5=FALSE, N5=FALSE))</f>
        <v>1</v>
      </c>
      <c r="Z5" s="217" t="b">
        <f>AND(Y5:Y14)</f>
        <v>1</v>
      </c>
    </row>
    <row r="6" spans="1:26" ht="13.5" thickBot="1" x14ac:dyDescent="0.25">
      <c r="A6" s="36" t="s">
        <v>28</v>
      </c>
      <c r="B6" s="37" t="s">
        <v>29</v>
      </c>
      <c r="C6" s="37" t="s">
        <v>20</v>
      </c>
      <c r="D6" s="37" t="s">
        <v>338</v>
      </c>
      <c r="E6" s="41" t="b">
        <f t="shared" ref="E6:E14" si="6">AND(K6=L6,K6=M6)</f>
        <v>1</v>
      </c>
      <c r="G6" s="42"/>
      <c r="H6" s="251" t="s">
        <v>479</v>
      </c>
      <c r="I6" s="252" t="str">
        <f>IF(W5=0, "N/A", IF(OR(AND(R5=0,S5=0), R5=S5), TRUE, IF(OR(R5&gt;0,S5&gt;0), FALSE)))</f>
        <v>N/A</v>
      </c>
      <c r="J6" s="253" t="str">
        <f>IF(I6="N/A", "No Non-OMS Msgs", "Auto Calculated")</f>
        <v>No Non-OMS Msgs</v>
      </c>
      <c r="K6" s="249" t="b">
        <f t="shared" si="0"/>
        <v>0</v>
      </c>
      <c r="L6" s="249" t="b">
        <f t="shared" si="1"/>
        <v>0</v>
      </c>
      <c r="M6" s="249" t="b">
        <f t="shared" ref="M6:M14" si="7">IF(C6="Yes", TRUE, FALSE)</f>
        <v>0</v>
      </c>
      <c r="N6" s="250" t="b">
        <f t="shared" si="2"/>
        <v>0</v>
      </c>
      <c r="O6" s="249" t="b">
        <f t="shared" si="3"/>
        <v>1</v>
      </c>
      <c r="P6" s="149" t="b">
        <f t="shared" ref="P6:P14" si="8">IF(AND(K6=TRUE,L6=TRUE,N6=TRUE),TRUE,IF(AND(K6=FALSE,L6=FALSE,N6=FALSE),TRUE,FALSE))</f>
        <v>1</v>
      </c>
      <c r="Q6" s="149" t="b">
        <f t="shared" ref="Q6:Q14" si="9">IF(P6=TRUE,TRUE,"")</f>
        <v>1</v>
      </c>
      <c r="T6" s="217" t="b">
        <f t="shared" si="4"/>
        <v>1</v>
      </c>
      <c r="V6" s="217" t="b">
        <f t="shared" ref="V6:V14" si="10">IF(OR(ISBLANK(A6), A6="&lt;Enter Non-OMS Message Name&gt;"), FALSE, TRUE)</f>
        <v>0</v>
      </c>
      <c r="X6" s="217" t="str">
        <f t="shared" ref="X6:X14" si="11">IF(V6=TRUE,TRUE,"")</f>
        <v/>
      </c>
      <c r="Y6" s="217" t="b">
        <f t="shared" si="5"/>
        <v>1</v>
      </c>
    </row>
    <row r="7" spans="1:26" ht="13.5" thickBot="1" x14ac:dyDescent="0.25">
      <c r="A7" s="36" t="s">
        <v>28</v>
      </c>
      <c r="B7" s="37" t="s">
        <v>29</v>
      </c>
      <c r="C7" s="37" t="s">
        <v>20</v>
      </c>
      <c r="D7" s="37" t="s">
        <v>338</v>
      </c>
      <c r="E7" s="41" t="b">
        <f t="shared" si="6"/>
        <v>1</v>
      </c>
      <c r="G7" s="42"/>
      <c r="H7" s="254" t="s">
        <v>480</v>
      </c>
      <c r="I7" s="247" t="str">
        <f>IF(W5=0,"N/A",IF(AND(X5:X14, P5:P14),TRUE,FALSE))</f>
        <v>N/A</v>
      </c>
      <c r="J7" s="253" t="str">
        <f>IF(I7="N/A", "No Non-OMS Msgs", "Auto Calculated")</f>
        <v>No Non-OMS Msgs</v>
      </c>
      <c r="K7" s="249" t="b">
        <f t="shared" si="0"/>
        <v>0</v>
      </c>
      <c r="L7" s="249" t="b">
        <f t="shared" si="1"/>
        <v>0</v>
      </c>
      <c r="M7" s="249" t="b">
        <f t="shared" si="7"/>
        <v>0</v>
      </c>
      <c r="N7" s="250" t="b">
        <f t="shared" si="2"/>
        <v>0</v>
      </c>
      <c r="O7" s="249" t="b">
        <f t="shared" si="3"/>
        <v>1</v>
      </c>
      <c r="P7" s="149" t="b">
        <f t="shared" si="8"/>
        <v>1</v>
      </c>
      <c r="Q7" s="149" t="b">
        <f t="shared" si="9"/>
        <v>1</v>
      </c>
      <c r="T7" s="217" t="b">
        <f t="shared" si="4"/>
        <v>1</v>
      </c>
      <c r="V7" s="217" t="b">
        <f t="shared" si="10"/>
        <v>0</v>
      </c>
      <c r="X7" s="217" t="str">
        <f t="shared" si="11"/>
        <v/>
      </c>
      <c r="Y7" s="217" t="b">
        <f t="shared" si="5"/>
        <v>1</v>
      </c>
    </row>
    <row r="8" spans="1:26" ht="13.5" thickBot="1" x14ac:dyDescent="0.25">
      <c r="A8" s="36" t="s">
        <v>28</v>
      </c>
      <c r="B8" s="37" t="s">
        <v>29</v>
      </c>
      <c r="C8" s="37" t="s">
        <v>20</v>
      </c>
      <c r="D8" s="37" t="s">
        <v>338</v>
      </c>
      <c r="E8" s="41" t="b">
        <f t="shared" si="6"/>
        <v>1</v>
      </c>
      <c r="G8" s="67"/>
      <c r="H8" s="255"/>
      <c r="I8" s="255"/>
      <c r="K8" s="249" t="b">
        <f t="shared" si="0"/>
        <v>0</v>
      </c>
      <c r="L8" s="249" t="b">
        <f t="shared" si="1"/>
        <v>0</v>
      </c>
      <c r="M8" s="249" t="b">
        <f t="shared" si="7"/>
        <v>0</v>
      </c>
      <c r="N8" s="250" t="b">
        <f t="shared" si="2"/>
        <v>0</v>
      </c>
      <c r="O8" s="249" t="b">
        <f t="shared" si="3"/>
        <v>1</v>
      </c>
      <c r="P8" s="149" t="b">
        <f t="shared" si="8"/>
        <v>1</v>
      </c>
      <c r="Q8" s="149" t="b">
        <f t="shared" si="9"/>
        <v>1</v>
      </c>
      <c r="T8" s="217" t="b">
        <f t="shared" si="4"/>
        <v>1</v>
      </c>
      <c r="V8" s="217" t="b">
        <f t="shared" si="10"/>
        <v>0</v>
      </c>
      <c r="X8" s="217" t="str">
        <f t="shared" si="11"/>
        <v/>
      </c>
      <c r="Y8" s="217" t="b">
        <f t="shared" si="5"/>
        <v>1</v>
      </c>
    </row>
    <row r="9" spans="1:26" ht="13.5" thickBot="1" x14ac:dyDescent="0.25">
      <c r="A9" s="36" t="s">
        <v>28</v>
      </c>
      <c r="B9" s="37" t="s">
        <v>29</v>
      </c>
      <c r="C9" s="37" t="s">
        <v>20</v>
      </c>
      <c r="D9" s="37" t="s">
        <v>338</v>
      </c>
      <c r="E9" s="41" t="b">
        <f t="shared" si="6"/>
        <v>1</v>
      </c>
      <c r="F9" s="67"/>
      <c r="G9" s="67"/>
      <c r="I9" s="255"/>
      <c r="J9" s="255"/>
      <c r="K9" s="249" t="b">
        <f t="shared" si="0"/>
        <v>0</v>
      </c>
      <c r="L9" s="249" t="b">
        <f t="shared" si="1"/>
        <v>0</v>
      </c>
      <c r="M9" s="249" t="b">
        <f t="shared" si="7"/>
        <v>0</v>
      </c>
      <c r="N9" s="250" t="b">
        <f t="shared" si="2"/>
        <v>0</v>
      </c>
      <c r="O9" s="249" t="b">
        <f t="shared" si="3"/>
        <v>1</v>
      </c>
      <c r="P9" s="149" t="b">
        <f t="shared" si="8"/>
        <v>1</v>
      </c>
      <c r="Q9" s="149" t="b">
        <f t="shared" si="9"/>
        <v>1</v>
      </c>
      <c r="T9" s="217" t="b">
        <f t="shared" si="4"/>
        <v>1</v>
      </c>
      <c r="V9" s="217" t="b">
        <f t="shared" si="10"/>
        <v>0</v>
      </c>
      <c r="X9" s="217" t="str">
        <f t="shared" si="11"/>
        <v/>
      </c>
      <c r="Y9" s="217" t="b">
        <f t="shared" si="5"/>
        <v>1</v>
      </c>
    </row>
    <row r="10" spans="1:26" ht="13.5" thickBot="1" x14ac:dyDescent="0.25">
      <c r="A10" s="36" t="s">
        <v>28</v>
      </c>
      <c r="B10" s="37" t="s">
        <v>29</v>
      </c>
      <c r="C10" s="37" t="s">
        <v>20</v>
      </c>
      <c r="D10" s="37" t="s">
        <v>338</v>
      </c>
      <c r="E10" s="41" t="b">
        <f t="shared" si="6"/>
        <v>1</v>
      </c>
      <c r="F10" s="67"/>
      <c r="G10" s="67"/>
      <c r="H10" s="255"/>
      <c r="I10" s="255"/>
      <c r="J10" s="255"/>
      <c r="K10" s="249" t="b">
        <f t="shared" si="0"/>
        <v>0</v>
      </c>
      <c r="L10" s="249" t="b">
        <f t="shared" si="1"/>
        <v>0</v>
      </c>
      <c r="M10" s="249" t="b">
        <f t="shared" si="7"/>
        <v>0</v>
      </c>
      <c r="N10" s="250" t="b">
        <f t="shared" si="2"/>
        <v>0</v>
      </c>
      <c r="O10" s="249" t="b">
        <f t="shared" si="3"/>
        <v>1</v>
      </c>
      <c r="P10" s="149" t="b">
        <f t="shared" si="8"/>
        <v>1</v>
      </c>
      <c r="Q10" s="149" t="b">
        <f t="shared" si="9"/>
        <v>1</v>
      </c>
      <c r="T10" s="217" t="b">
        <f t="shared" si="4"/>
        <v>1</v>
      </c>
      <c r="V10" s="217" t="b">
        <f t="shared" si="10"/>
        <v>0</v>
      </c>
      <c r="X10" s="217" t="str">
        <f t="shared" si="11"/>
        <v/>
      </c>
      <c r="Y10" s="217" t="b">
        <f t="shared" si="5"/>
        <v>1</v>
      </c>
    </row>
    <row r="11" spans="1:26" ht="13.5" thickBot="1" x14ac:dyDescent="0.25">
      <c r="A11" s="36" t="s">
        <v>28</v>
      </c>
      <c r="B11" s="37" t="s">
        <v>29</v>
      </c>
      <c r="C11" s="37" t="s">
        <v>20</v>
      </c>
      <c r="D11" s="37" t="s">
        <v>338</v>
      </c>
      <c r="E11" s="41" t="b">
        <f t="shared" si="6"/>
        <v>1</v>
      </c>
      <c r="F11" s="67"/>
      <c r="G11" s="67"/>
      <c r="H11" s="255"/>
      <c r="I11" s="255"/>
      <c r="J11" s="255"/>
      <c r="K11" s="249" t="b">
        <f t="shared" si="0"/>
        <v>0</v>
      </c>
      <c r="L11" s="249" t="b">
        <f t="shared" si="1"/>
        <v>0</v>
      </c>
      <c r="M11" s="249" t="b">
        <f t="shared" si="7"/>
        <v>0</v>
      </c>
      <c r="N11" s="250" t="b">
        <f t="shared" si="2"/>
        <v>0</v>
      </c>
      <c r="O11" s="249" t="b">
        <f t="shared" si="3"/>
        <v>1</v>
      </c>
      <c r="P11" s="149" t="b">
        <f t="shared" si="8"/>
        <v>1</v>
      </c>
      <c r="Q11" s="149" t="b">
        <f t="shared" si="9"/>
        <v>1</v>
      </c>
      <c r="T11" s="217" t="b">
        <f t="shared" si="4"/>
        <v>1</v>
      </c>
      <c r="V11" s="217" t="b">
        <f t="shared" si="10"/>
        <v>0</v>
      </c>
      <c r="X11" s="217" t="str">
        <f t="shared" si="11"/>
        <v/>
      </c>
      <c r="Y11" s="217" t="b">
        <f t="shared" si="5"/>
        <v>1</v>
      </c>
    </row>
    <row r="12" spans="1:26" ht="13.5" thickBot="1" x14ac:dyDescent="0.25">
      <c r="A12" s="36" t="s">
        <v>28</v>
      </c>
      <c r="B12" s="37" t="s">
        <v>29</v>
      </c>
      <c r="C12" s="37" t="s">
        <v>20</v>
      </c>
      <c r="D12" s="37" t="s">
        <v>338</v>
      </c>
      <c r="E12" s="41" t="b">
        <f t="shared" si="6"/>
        <v>1</v>
      </c>
      <c r="F12" s="67"/>
      <c r="G12" s="67"/>
      <c r="H12" s="255"/>
      <c r="I12" s="255"/>
      <c r="J12" s="255"/>
      <c r="K12" s="249" t="b">
        <f t="shared" si="0"/>
        <v>0</v>
      </c>
      <c r="L12" s="249" t="b">
        <f t="shared" si="1"/>
        <v>0</v>
      </c>
      <c r="M12" s="249" t="b">
        <f t="shared" si="7"/>
        <v>0</v>
      </c>
      <c r="N12" s="250" t="b">
        <f t="shared" si="2"/>
        <v>0</v>
      </c>
      <c r="O12" s="249" t="b">
        <f t="shared" si="3"/>
        <v>1</v>
      </c>
      <c r="P12" s="149" t="b">
        <f t="shared" si="8"/>
        <v>1</v>
      </c>
      <c r="Q12" s="149" t="b">
        <f t="shared" si="9"/>
        <v>1</v>
      </c>
      <c r="T12" s="217" t="b">
        <f t="shared" si="4"/>
        <v>1</v>
      </c>
      <c r="V12" s="217" t="b">
        <f t="shared" si="10"/>
        <v>0</v>
      </c>
      <c r="X12" s="217" t="str">
        <f t="shared" si="11"/>
        <v/>
      </c>
      <c r="Y12" s="217" t="b">
        <f t="shared" si="5"/>
        <v>1</v>
      </c>
    </row>
    <row r="13" spans="1:26" ht="13.5" thickBot="1" x14ac:dyDescent="0.25">
      <c r="A13" s="36" t="s">
        <v>28</v>
      </c>
      <c r="B13" s="37" t="s">
        <v>29</v>
      </c>
      <c r="C13" s="37" t="s">
        <v>20</v>
      </c>
      <c r="D13" s="37" t="s">
        <v>338</v>
      </c>
      <c r="E13" s="41" t="b">
        <f t="shared" si="6"/>
        <v>1</v>
      </c>
      <c r="F13" s="67"/>
      <c r="G13" s="67"/>
      <c r="H13" s="255"/>
      <c r="I13" s="255"/>
      <c r="J13" s="255"/>
      <c r="K13" s="249" t="b">
        <f t="shared" si="0"/>
        <v>0</v>
      </c>
      <c r="L13" s="249" t="b">
        <f t="shared" si="1"/>
        <v>0</v>
      </c>
      <c r="M13" s="249" t="b">
        <f t="shared" si="7"/>
        <v>0</v>
      </c>
      <c r="N13" s="250" t="b">
        <f t="shared" si="2"/>
        <v>0</v>
      </c>
      <c r="O13" s="249" t="b">
        <f t="shared" si="3"/>
        <v>1</v>
      </c>
      <c r="P13" s="149" t="b">
        <f t="shared" si="8"/>
        <v>1</v>
      </c>
      <c r="Q13" s="149" t="b">
        <f t="shared" si="9"/>
        <v>1</v>
      </c>
      <c r="T13" s="217" t="b">
        <f t="shared" si="4"/>
        <v>1</v>
      </c>
      <c r="V13" s="217" t="b">
        <f t="shared" si="10"/>
        <v>0</v>
      </c>
      <c r="X13" s="217" t="str">
        <f t="shared" si="11"/>
        <v/>
      </c>
      <c r="Y13" s="217" t="b">
        <f t="shared" si="5"/>
        <v>1</v>
      </c>
    </row>
    <row r="14" spans="1:26" ht="13.5" thickBot="1" x14ac:dyDescent="0.25">
      <c r="A14" s="36" t="s">
        <v>28</v>
      </c>
      <c r="B14" s="37" t="s">
        <v>29</v>
      </c>
      <c r="C14" s="37" t="s">
        <v>20</v>
      </c>
      <c r="D14" s="37" t="s">
        <v>338</v>
      </c>
      <c r="E14" s="41" t="b">
        <f t="shared" si="6"/>
        <v>1</v>
      </c>
      <c r="F14" s="67"/>
      <c r="G14" s="42"/>
      <c r="H14" s="256"/>
      <c r="I14" s="256"/>
      <c r="J14" s="255"/>
      <c r="K14" s="249" t="b">
        <f t="shared" si="0"/>
        <v>0</v>
      </c>
      <c r="L14" s="249" t="b">
        <f t="shared" si="1"/>
        <v>0</v>
      </c>
      <c r="M14" s="249" t="b">
        <f t="shared" si="7"/>
        <v>0</v>
      </c>
      <c r="N14" s="250" t="b">
        <f t="shared" si="2"/>
        <v>0</v>
      </c>
      <c r="O14" s="249" t="b">
        <f t="shared" si="3"/>
        <v>1</v>
      </c>
      <c r="P14" s="149" t="b">
        <f t="shared" si="8"/>
        <v>1</v>
      </c>
      <c r="Q14" s="149" t="b">
        <f t="shared" si="9"/>
        <v>1</v>
      </c>
      <c r="T14" s="217" t="b">
        <f t="shared" si="4"/>
        <v>1</v>
      </c>
      <c r="V14" s="217" t="b">
        <f t="shared" si="10"/>
        <v>0</v>
      </c>
      <c r="X14" s="217" t="str">
        <f t="shared" si="11"/>
        <v/>
      </c>
      <c r="Y14" s="217" t="b">
        <f t="shared" si="5"/>
        <v>1</v>
      </c>
    </row>
    <row r="15" spans="1:26" x14ac:dyDescent="0.2">
      <c r="A15" s="42"/>
      <c r="B15" s="42"/>
      <c r="C15" s="42"/>
      <c r="D15" s="42"/>
      <c r="E15" s="42"/>
      <c r="F15" s="42"/>
      <c r="J15" s="256"/>
      <c r="K15" s="256"/>
      <c r="L15" s="256"/>
      <c r="M15" s="256"/>
    </row>
    <row r="16" spans="1:26" x14ac:dyDescent="0.2">
      <c r="A16" s="42"/>
      <c r="B16" s="42"/>
      <c r="C16" s="42"/>
      <c r="D16" s="42"/>
      <c r="E16" s="42"/>
      <c r="F16" s="42"/>
      <c r="J16" s="256"/>
      <c r="K16" s="256"/>
      <c r="L16" s="256"/>
      <c r="M16" s="256"/>
    </row>
    <row r="17" spans="1:13" x14ac:dyDescent="0.2">
      <c r="A17" s="34" t="s">
        <v>207</v>
      </c>
      <c r="B17" s="71"/>
      <c r="C17" s="71"/>
      <c r="D17" s="71"/>
      <c r="E17" s="71"/>
      <c r="F17" s="71"/>
      <c r="K17" s="34"/>
      <c r="L17" s="34"/>
      <c r="M17" s="34"/>
    </row>
    <row r="18" spans="1:13" x14ac:dyDescent="0.2">
      <c r="A18" s="34" t="s">
        <v>208</v>
      </c>
      <c r="B18" s="71"/>
      <c r="C18" s="71"/>
      <c r="D18" s="71"/>
      <c r="E18" s="71"/>
      <c r="F18" s="71"/>
      <c r="K18" s="34"/>
      <c r="L18" s="34"/>
      <c r="M18" s="34"/>
    </row>
    <row r="19" spans="1:13" x14ac:dyDescent="0.2">
      <c r="A19" s="34" t="s">
        <v>217</v>
      </c>
      <c r="B19" s="71"/>
      <c r="C19" s="71"/>
      <c r="D19" s="71"/>
      <c r="E19" s="71"/>
      <c r="F19" s="71"/>
      <c r="K19" s="34"/>
      <c r="L19" s="34"/>
      <c r="M19" s="34"/>
    </row>
    <row r="20" spans="1:13" x14ac:dyDescent="0.2">
      <c r="A20" s="34" t="s">
        <v>209</v>
      </c>
      <c r="B20" s="71"/>
      <c r="C20" s="71"/>
      <c r="D20" s="71"/>
      <c r="E20" s="71"/>
      <c r="F20" s="71"/>
      <c r="K20" s="34"/>
      <c r="L20" s="34"/>
      <c r="M20" s="34"/>
    </row>
    <row r="21" spans="1:13" x14ac:dyDescent="0.2">
      <c r="A21" s="34" t="s">
        <v>210</v>
      </c>
      <c r="B21" s="71"/>
      <c r="C21" s="71"/>
      <c r="D21" s="71"/>
      <c r="E21" s="71"/>
      <c r="F21" s="71"/>
    </row>
    <row r="22" spans="1:13" x14ac:dyDescent="0.2">
      <c r="A22" s="71"/>
      <c r="B22" s="71"/>
      <c r="C22" s="71"/>
      <c r="D22" s="71"/>
      <c r="E22" s="71"/>
      <c r="F22" s="71"/>
    </row>
    <row r="23" spans="1:13" x14ac:dyDescent="0.2">
      <c r="A23" s="44" t="s">
        <v>45</v>
      </c>
      <c r="B23" s="42"/>
      <c r="C23" s="42"/>
      <c r="D23" s="42"/>
      <c r="E23" s="42"/>
      <c r="F23" s="42"/>
      <c r="G23" s="71"/>
      <c r="H23" s="34"/>
      <c r="I23" s="34"/>
    </row>
    <row r="24" spans="1:13" x14ac:dyDescent="0.2">
      <c r="A24" s="40" t="s">
        <v>31</v>
      </c>
      <c r="G24" s="71"/>
      <c r="H24" s="34"/>
      <c r="I24" s="34"/>
    </row>
    <row r="25" spans="1:13" x14ac:dyDescent="0.2">
      <c r="A25" s="40" t="s">
        <v>677</v>
      </c>
      <c r="B25" s="42"/>
      <c r="C25" s="42"/>
      <c r="D25" s="42"/>
      <c r="E25" s="42"/>
      <c r="F25" s="42"/>
      <c r="G25" s="71"/>
      <c r="H25" s="34"/>
      <c r="I25" s="34"/>
      <c r="J25" s="34"/>
      <c r="K25" s="256"/>
      <c r="L25" s="256"/>
      <c r="M25" s="256"/>
    </row>
    <row r="26" spans="1:13" x14ac:dyDescent="0.2">
      <c r="A26" s="276" t="s">
        <v>206</v>
      </c>
      <c r="B26" s="276"/>
      <c r="C26" s="276"/>
      <c r="D26" s="276"/>
      <c r="E26" s="276"/>
      <c r="F26" s="42"/>
      <c r="G26" s="71"/>
      <c r="H26" s="34"/>
      <c r="I26" s="34"/>
      <c r="J26" s="34"/>
      <c r="K26" s="256"/>
      <c r="L26" s="256"/>
      <c r="M26" s="256"/>
    </row>
    <row r="27" spans="1:13" x14ac:dyDescent="0.2">
      <c r="G27" s="71"/>
      <c r="H27" s="34"/>
      <c r="I27" s="34"/>
      <c r="J27" s="34"/>
      <c r="K27" s="34"/>
      <c r="L27" s="34"/>
      <c r="M27" s="34"/>
    </row>
    <row r="28" spans="1:13" x14ac:dyDescent="0.2">
      <c r="G28" s="71"/>
      <c r="J28" s="34"/>
      <c r="K28" s="34"/>
      <c r="L28" s="34"/>
      <c r="M28" s="34"/>
    </row>
    <row r="29" spans="1:13" x14ac:dyDescent="0.2">
      <c r="J29" s="34"/>
      <c r="K29" s="256"/>
      <c r="L29" s="256"/>
      <c r="M29" s="256"/>
    </row>
  </sheetData>
  <sheetProtection algorithmName="SHA-512" hashValue="MKJ4oJKL+WmBMUmgzmYW5trp7K8z29F9+sx56mR8wTispWlwSQmGkkGAQEOz2wi4B/p1B7vl1kNmltKk1XfMFg==" saltValue="GelQ7/FmpsrSxpw0M+PDxw==" spinCount="100000" sheet="1" objects="1" scenarios="1"/>
  <mergeCells count="2">
    <mergeCell ref="A26:E26"/>
    <mergeCell ref="E1:G1"/>
  </mergeCells>
  <conditionalFormatting sqref="A5:A14">
    <cfRule type="notContainsText" dxfId="70" priority="6" operator="notContains" text="&lt;Enter Non-OMS Message Name&gt;">
      <formula>ISERROR(SEARCH("&lt;Enter Non-OMS Message Name&gt;",A5))</formula>
    </cfRule>
  </conditionalFormatting>
  <conditionalFormatting sqref="B5:B14">
    <cfRule type="notContainsText" dxfId="69" priority="5" operator="notContains" text="&lt;Enter Rationale Here&gt;">
      <formula>ISERROR(SEARCH("&lt;Enter Rationale Here&gt;",B5))</formula>
    </cfRule>
  </conditionalFormatting>
  <conditionalFormatting sqref="C5:C14">
    <cfRule type="notContainsText" dxfId="68" priority="4" operator="notContains" text="&lt;Select&gt;">
      <formula>ISERROR(SEARCH("&lt;Select&gt;",C5))</formula>
    </cfRule>
  </conditionalFormatting>
  <conditionalFormatting sqref="D2">
    <cfRule type="containsText" dxfId="67" priority="1" operator="containsText" text="FALSE">
      <formula>NOT(ISERROR(SEARCH("FALSE",D2)))</formula>
    </cfRule>
    <cfRule type="containsText" dxfId="66" priority="2" operator="containsText" text="TRUE">
      <formula>NOT(ISERROR(SEARCH("TRUE",D2)))</formula>
    </cfRule>
  </conditionalFormatting>
  <conditionalFormatting sqref="D5:D14">
    <cfRule type="notContainsText" dxfId="65" priority="3" operator="notContains" text="&lt;Enter CP Identifier Here&gt;">
      <formula>ISERROR(SEARCH("&lt;Enter CP Identifier Here&gt;",D5))</formula>
    </cfRule>
  </conditionalFormatting>
  <conditionalFormatting sqref="E5:E14">
    <cfRule type="containsText" dxfId="64" priority="7" operator="containsText" text="FALSE">
      <formula>NOT(ISERROR(SEARCH("FALSE",E5)))</formula>
    </cfRule>
    <cfRule type="containsText" dxfId="63" priority="8" operator="containsText" text="TRUE">
      <formula>NOT(ISERROR(SEARCH("TRUE",E5)))</formula>
    </cfRule>
  </conditionalFormatting>
  <dataValidations count="1">
    <dataValidation type="list" allowBlank="1" showInputMessage="1" showErrorMessage="1" sqref="C5:C14" xr:uid="{58C478B2-D21C-41EB-A629-4DCB7479C985}">
      <formula1>"&lt;Select&gt;,No"</formula1>
    </dataValidation>
  </dataValidations>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57266-7858-4837-960E-183DFB93D326}">
  <sheetPr codeName="Sheet19">
    <tabColor theme="4"/>
  </sheetPr>
  <dimension ref="A1:BD44"/>
  <sheetViews>
    <sheetView zoomScale="85" zoomScaleNormal="85" workbookViewId="0"/>
  </sheetViews>
  <sheetFormatPr defaultColWidth="25.28515625" defaultRowHeight="12.75" x14ac:dyDescent="0.25"/>
  <cols>
    <col min="1" max="1" width="25.28515625" style="32" customWidth="1"/>
    <col min="2" max="8" width="20.7109375" style="32" customWidth="1"/>
    <col min="9" max="9" width="25" style="32" customWidth="1"/>
    <col min="10" max="10" width="27" style="32" customWidth="1"/>
    <col min="11" max="14" width="20" style="32" customWidth="1"/>
    <col min="15" max="18" width="25.28515625" style="32" customWidth="1"/>
    <col min="19" max="19" width="32.28515625" style="32" hidden="1" customWidth="1"/>
    <col min="20" max="20" width="25.28515625" style="32" hidden="1" customWidth="1"/>
    <col min="21" max="21" width="20.140625" style="32" hidden="1" customWidth="1"/>
    <col min="22" max="25" width="14.7109375" style="32" hidden="1" customWidth="1"/>
    <col min="26" max="28" width="14.85546875" style="32" hidden="1" customWidth="1"/>
    <col min="29" max="31" width="11.7109375" style="32" hidden="1" customWidth="1"/>
    <col min="32" max="34" width="12.7109375" style="32" hidden="1" customWidth="1"/>
    <col min="35" max="40" width="12.85546875" style="32" hidden="1" customWidth="1"/>
    <col min="41" max="44" width="12.42578125" style="32" hidden="1" customWidth="1"/>
    <col min="45" max="45" width="12.140625" style="32" hidden="1" customWidth="1"/>
    <col min="46" max="46" width="15.85546875" style="32" hidden="1" customWidth="1"/>
    <col min="47" max="47" width="24" style="32" hidden="1" customWidth="1"/>
    <col min="48" max="48" width="25" style="32" hidden="1" customWidth="1"/>
    <col min="49" max="51" width="13.42578125" style="32" hidden="1" customWidth="1"/>
    <col min="52" max="56" width="25.28515625" style="32" hidden="1" customWidth="1"/>
    <col min="57" max="59" width="25.28515625" style="32" customWidth="1"/>
    <col min="60" max="60" width="28.42578125" style="32" customWidth="1"/>
    <col min="61" max="16384" width="25.28515625" style="32"/>
  </cols>
  <sheetData>
    <row r="1" spans="1:56" s="33" customFormat="1" ht="15" thickBot="1" x14ac:dyDescent="0.3">
      <c r="A1" s="98" t="s">
        <v>392</v>
      </c>
      <c r="B1" s="279" t="s">
        <v>393</v>
      </c>
      <c r="C1" s="279"/>
      <c r="D1" s="279"/>
      <c r="E1" s="279"/>
      <c r="F1" s="279"/>
      <c r="G1" s="279"/>
      <c r="H1" s="279"/>
      <c r="I1" s="279"/>
      <c r="J1" s="280"/>
      <c r="K1" s="35" t="s">
        <v>364</v>
      </c>
      <c r="L1" s="35" t="s">
        <v>356</v>
      </c>
      <c r="M1" s="35" t="s">
        <v>357</v>
      </c>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row>
    <row r="2" spans="1:56" s="33" customFormat="1" ht="15" thickBot="1" x14ac:dyDescent="0.3">
      <c r="A2" s="58" t="s">
        <v>394</v>
      </c>
      <c r="K2" s="62" t="b">
        <f>AND(K5:K24)</f>
        <v>1</v>
      </c>
      <c r="L2" s="62" t="b">
        <f>AND(L5:L24)</f>
        <v>1</v>
      </c>
      <c r="M2" s="62" t="b">
        <f>AND(M5:M24)</f>
        <v>1</v>
      </c>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row>
    <row r="3" spans="1:56" s="33" customFormat="1" ht="26.25" thickBot="1" x14ac:dyDescent="0.25">
      <c r="A3" s="54"/>
      <c r="B3" s="281" t="s">
        <v>32</v>
      </c>
      <c r="C3" s="282"/>
      <c r="D3" s="282"/>
      <c r="E3" s="282"/>
      <c r="F3" s="283"/>
      <c r="G3" s="35" t="s">
        <v>33</v>
      </c>
      <c r="H3" s="281" t="s">
        <v>395</v>
      </c>
      <c r="I3" s="282"/>
      <c r="J3" s="283"/>
      <c r="K3" s="281" t="s">
        <v>396</v>
      </c>
      <c r="L3" s="282"/>
      <c r="M3" s="283"/>
      <c r="S3" s="32"/>
      <c r="T3" s="217"/>
      <c r="U3" s="32"/>
      <c r="V3" s="32"/>
      <c r="W3" s="32"/>
      <c r="X3" s="32"/>
      <c r="Y3" s="32"/>
      <c r="Z3" s="32"/>
      <c r="AA3" s="32"/>
      <c r="AB3" s="32"/>
      <c r="AC3" s="32"/>
      <c r="AD3" s="32"/>
      <c r="AE3" s="32"/>
      <c r="AF3" s="32"/>
      <c r="AG3" s="32"/>
      <c r="AH3" s="32"/>
      <c r="AI3" s="32"/>
      <c r="AJ3" s="32"/>
      <c r="AK3" s="32"/>
      <c r="AL3" s="218"/>
      <c r="AM3" s="218"/>
      <c r="AN3" s="218"/>
      <c r="AO3" s="32"/>
      <c r="AP3" s="32"/>
      <c r="AQ3" s="32"/>
      <c r="AR3" s="32"/>
      <c r="AS3" s="32"/>
      <c r="AT3" s="32"/>
      <c r="AU3" s="32"/>
      <c r="AV3" s="32"/>
      <c r="AW3" s="32"/>
      <c r="AX3" s="32"/>
      <c r="AY3" s="32"/>
      <c r="AZ3" s="32"/>
      <c r="BA3" s="32"/>
      <c r="BB3" s="32"/>
      <c r="BC3" s="32"/>
      <c r="BD3" s="32"/>
    </row>
    <row r="4" spans="1:56" s="33" customFormat="1" ht="39" thickBot="1" x14ac:dyDescent="0.3">
      <c r="A4" s="35" t="s">
        <v>397</v>
      </c>
      <c r="B4" s="35" t="s">
        <v>34</v>
      </c>
      <c r="C4" s="35" t="s">
        <v>35</v>
      </c>
      <c r="D4" s="35" t="s">
        <v>271</v>
      </c>
      <c r="E4" s="35" t="s">
        <v>274</v>
      </c>
      <c r="F4" s="35" t="s">
        <v>276</v>
      </c>
      <c r="G4" s="35" t="s">
        <v>36</v>
      </c>
      <c r="H4" s="35" t="s">
        <v>398</v>
      </c>
      <c r="I4" s="35" t="s">
        <v>399</v>
      </c>
      <c r="J4" s="35" t="s">
        <v>400</v>
      </c>
      <c r="K4" s="59" t="s">
        <v>401</v>
      </c>
      <c r="L4" s="60" t="s">
        <v>402</v>
      </c>
      <c r="M4" s="60" t="s">
        <v>403</v>
      </c>
      <c r="N4" s="35" t="s">
        <v>404</v>
      </c>
      <c r="O4" s="32"/>
      <c r="S4" s="74" t="s">
        <v>37</v>
      </c>
      <c r="T4" s="32" t="s">
        <v>38</v>
      </c>
      <c r="U4" s="51" t="s">
        <v>205</v>
      </c>
      <c r="V4" s="51" t="s">
        <v>322</v>
      </c>
      <c r="W4" s="51" t="s">
        <v>483</v>
      </c>
      <c r="X4" s="51" t="s">
        <v>572</v>
      </c>
      <c r="Y4" s="219" t="s">
        <v>573</v>
      </c>
      <c r="Z4" s="202" t="s">
        <v>39</v>
      </c>
      <c r="AA4" s="202" t="s">
        <v>549</v>
      </c>
      <c r="AB4" s="219" t="s">
        <v>575</v>
      </c>
      <c r="AC4" s="203" t="s">
        <v>40</v>
      </c>
      <c r="AD4" s="203" t="s">
        <v>552</v>
      </c>
      <c r="AE4" s="219" t="s">
        <v>568</v>
      </c>
      <c r="AF4" s="204" t="s">
        <v>41</v>
      </c>
      <c r="AG4" s="204" t="s">
        <v>551</v>
      </c>
      <c r="AH4" s="219" t="s">
        <v>569</v>
      </c>
      <c r="AI4" s="205" t="s">
        <v>42</v>
      </c>
      <c r="AJ4" s="205" t="s">
        <v>550</v>
      </c>
      <c r="AK4" s="219" t="s">
        <v>570</v>
      </c>
      <c r="AL4" s="220" t="s">
        <v>566</v>
      </c>
      <c r="AM4" s="220" t="s">
        <v>567</v>
      </c>
      <c r="AN4" s="220" t="s">
        <v>574</v>
      </c>
      <c r="AO4" s="94" t="s">
        <v>43</v>
      </c>
      <c r="AP4" s="94" t="s">
        <v>562</v>
      </c>
      <c r="AQ4" s="211" t="s">
        <v>376</v>
      </c>
      <c r="AR4" s="211" t="s">
        <v>571</v>
      </c>
      <c r="AS4" s="94" t="s">
        <v>405</v>
      </c>
      <c r="AT4" s="140" t="s">
        <v>303</v>
      </c>
      <c r="AU4" s="32" t="s">
        <v>364</v>
      </c>
      <c r="AV4" s="32" t="s">
        <v>356</v>
      </c>
      <c r="AW4" s="32" t="s">
        <v>357</v>
      </c>
      <c r="AX4" s="32" t="s">
        <v>548</v>
      </c>
      <c r="AY4" s="32" t="s">
        <v>457</v>
      </c>
      <c r="AZ4" s="32" t="s">
        <v>406</v>
      </c>
      <c r="BA4" s="32" t="s">
        <v>407</v>
      </c>
      <c r="BB4" s="32" t="s">
        <v>408</v>
      </c>
      <c r="BC4" s="32" t="s">
        <v>409</v>
      </c>
      <c r="BD4" s="32" t="s">
        <v>410</v>
      </c>
    </row>
    <row r="5" spans="1:56" s="33" customFormat="1" ht="13.5" thickBot="1" x14ac:dyDescent="0.25">
      <c r="A5" s="63" t="s">
        <v>673</v>
      </c>
      <c r="B5" s="63" t="s">
        <v>44</v>
      </c>
      <c r="C5" s="63" t="s">
        <v>44</v>
      </c>
      <c r="D5" s="63" t="s">
        <v>44</v>
      </c>
      <c r="E5" s="63" t="s">
        <v>44</v>
      </c>
      <c r="F5" s="63" t="s">
        <v>44</v>
      </c>
      <c r="G5" s="63" t="s">
        <v>44</v>
      </c>
      <c r="H5" s="137" t="b">
        <v>1</v>
      </c>
      <c r="I5" s="137" t="b">
        <v>1</v>
      </c>
      <c r="J5" s="137" t="b">
        <v>1</v>
      </c>
      <c r="K5" s="138" t="b">
        <f t="shared" ref="K5:K24" si="0">IF(AND(W5=TRUE,X5=TRUE,AR5=FALSE),FALSE,IF(AND(W5=FALSE,X5=FALSE,AR5=FALSE),TRUE,IF(AND(AS5,AU5,AQ5,W5,X5,AR5),TRUE,FALSE)))</f>
        <v>1</v>
      </c>
      <c r="L5" s="62" t="b">
        <f>IF(AND(W5=TRUE,X5=TRUE,AR5=FALSE),FALSE,IF(AND(W5=FALSE,X5=FALSE,AR5=FALSE),TRUE,IF(AND(AS5,AV5,AQ5,W5,X5,AR5),TRUE,FALSE)))</f>
        <v>1</v>
      </c>
      <c r="M5" s="62" t="b">
        <f>IF(AND(W5=TRUE,X5=TRUE,AR5=FALSE),FALSE,IF(AND(W5=FALSE,X5=FALSE,AR5=FALSE),TRUE,IF(AND(AS5,AW5,AQ5,W5,X5,AR5),TRUE,FALSE)))</f>
        <v>1</v>
      </c>
      <c r="N5" s="55"/>
      <c r="O5" s="32"/>
      <c r="S5" s="32" t="str">
        <f t="shared" ref="S5:S24" si="1">IF(V5=0,"N/A",AND(AB5,AE5,AH5,AK5, AO5, H5, I5, J5))</f>
        <v>N/A</v>
      </c>
      <c r="T5" s="221">
        <f t="shared" ref="T5:T24" si="2">IF(AND(V5=11,D5="Does Not Use"), 12, IF(AND(V5=6, D5="Does Not Use", E5="Does Not Use"), 8, IF(AND(V5=6, D5="Does Not Use"), 7,V5)))</f>
        <v>0</v>
      </c>
      <c r="U5" s="51" t="b">
        <f t="shared" ref="U5:U24" si="3">IF(OR(S5="N/A",S5=TRUE),TRUE,FALSE)</f>
        <v>1</v>
      </c>
      <c r="V5" s="74">
        <f>_xlfn.IFNA(VLOOKUP(B5,'Data Transfer Tables'!$A$111:$B$131,2),0)</f>
        <v>0</v>
      </c>
      <c r="W5" s="74" t="b">
        <f t="shared" ref="W5:W24" si="4">IF(OR(A5="&lt;Enter OMS Data Transfer&gt;", A5=""),FALSE,TRUE)</f>
        <v>0</v>
      </c>
      <c r="X5" s="74" t="b">
        <f t="shared" ref="X5:X24" si="5">IF(OR(B5="&lt;select&gt;", B5=""),FALSE,TRUE)</f>
        <v>0</v>
      </c>
      <c r="Y5" s="222" t="b">
        <f t="shared" ref="Y5:Y24" si="6">IF(B5="&lt;select&gt;",TRUE,FALSE)</f>
        <v>1</v>
      </c>
      <c r="Z5" s="210" t="b">
        <f>OR(IF($T5=1,_xlfn.IFNA(VLOOKUP($C5,'Data Transfer Tables'!$B$144:$C$153,2,FALSE),FALSE),FALSE),
IF($T5=2,_xlfn.IFNA(VLOOKUP($C5,'Data Transfer Tables'!$B$158:$C$167,2,FALSE),FALSE),FALSE),
IF($T5=3,_xlfn.IFNA(VLOOKUP($C5,'Data Transfer Tables'!$B$172:$C$181,2,FALSE),FALSE),FALSE),
IF($T5=4,_xlfn.IFNA(VLOOKUP($C5,'Data Transfer Tables'!$B$186:$C$195,2,FALSE),FALSE),FALSE),
IF($T5=5,_xlfn.IFNA(VLOOKUP($C5,'Data Transfer Tables'!$B$200:$C$209,2,FALSE),FALSE),FALSE),
IF($T5=6,_xlfn.IFNA(VLOOKUP($C5,'Data Transfer Tables'!$B$214:$C$223,2,FALSE),FALSE),FALSE),
IF($T5=7,_xlfn.IFNA(VLOOKUP($C5,'Data Transfer Tables'!$B$228:$C$237,2,FALSE),FALSE),FALSE),
IF($T5=8,_xlfn.IFNA(VLOOKUP($C5,'Data Transfer Tables'!$B$242:$C$251,2,FALSE),FALSE),FALSE),
IF($T5=9,_xlfn.IFNA(VLOOKUP($C5,'Data Transfer Tables'!$B$256:$C$266,2,FALSE),FALSE),FALSE),
IF($T5=10,_xlfn.IFNA(VLOOKUP($C5,'Data Transfer Tables'!$B$271:$C$281,2,FALSE),FALSE),FALSE),
IF($T5=11,_xlfn.IFNA(VLOOKUP($C5,'Data Transfer Tables'!$B$286:$C$295,2,FALSE),FALSE),FALSE),
IF($T5=12,_xlfn.IFNA(VLOOKUP($C5,'Data Transfer Tables'!$B$300:$C$309,2,FALSE),FALSE),FALSE),
IF($T5=13,_xlfn.IFNA(VLOOKUP($C5,'Data Transfer Tables'!$B$314:$C$323,2,FALSE),FALSE),FALSE),
IF($T5=14,_xlfn.IFNA(VLOOKUP($C5,'Data Transfer Tables'!$B$328:$C$338,2,FALSE),FALSE),FALSE),
IF($T5=15,_xlfn.IFNA(VLOOKUP($C5,'Data Transfer Tables'!$B$343:$C$353,2,FALSE),FALSE),FALSE),
IF($T5=16,_xlfn.IFNA(VLOOKUP($C5,'Data Transfer Tables'!$B$358:$C$369,2,FALSE),FALSE),FALSE),
IF($T5=17,_xlfn.IFNA(VLOOKUP($C5,'Data Transfer Tables'!$B$374:$C$384,2,FALSE),FALSE),FALSE),
IF($T5=18,_xlfn.IFNA(VLOOKUP($C5,'Data Transfer Tables'!$B$389:$C$399,2,FALSE),FALSE),FALSE),
IF($T5=19,_xlfn.IFNA(VLOOKUP($C5,'Data Transfer Tables'!$B$404:$C$414,2,FALSE),FALSE),FALSE),
IF($T5=20,_xlfn.IFNA(VLOOKUP($C5,'Data Transfer Tables'!$B$419:$C$429,2,FALSE),FALSE),FALSE),
IF($T5=21,_xlfn.IFNA(VLOOKUP($C5,'Data Transfer Tables'!$B$434:$C$444,2,FALSE),FALSE),FALSE),
IF($T5=22,_xlfn.IFNA(VLOOKUP($C5,'Data Transfer Tables'!$B$449:$C$459,2,FALSE),FALSE),FALSE))</f>
        <v>0</v>
      </c>
      <c r="AA5" s="210" t="b">
        <f t="shared" ref="AA5:AA24" si="7">IF(C5="&lt;select&gt;",TRUE,FALSE)</f>
        <v>1</v>
      </c>
      <c r="AB5" s="222" t="b">
        <f t="shared" ref="AB5:AB24" si="8">IF(A5="Does Not Use", TRUE, IF(AND(AA5=FALSE,Z5=TRUE), TRUE))</f>
        <v>0</v>
      </c>
      <c r="AC5" s="146" t="b">
        <f>OR(IF($T5=1,_xlfn.IFNA(VLOOKUP($D5,'Data Transfer Tables'!$E$144:$G$153,2,FALSE),FALSE),FALSE),
IF($T5=2,_xlfn.IFNA(VLOOKUP($D5,'Data Transfer Tables'!$E$158:$G$167,2,FALSE),FALSE),FALSE),
IF($T5=3,_xlfn.IFNA(VLOOKUP($D5,'Data Transfer Tables'!$E$172:$G$181,2,FALSE),FALSE),FALSE),
IF($T5=4,_xlfn.IFNA(VLOOKUP($D5,'Data Transfer Tables'!$E$186:$G$195,2,FALSE),FALSE),FALSE),
IF($T5=5,_xlfn.IFNA(VLOOKUP($D5,'Data Transfer Tables'!$E$200:$G$209,2,FALSE),FALSE),FALSE),
IF($T5=6,_xlfn.IFNA(VLOOKUP($D5,'Data Transfer Tables'!$E$214:$G$223,2,FALSE),FALSE),FALSE),
IF($T5=7,_xlfn.IFNA(VLOOKUP($D5,'Data Transfer Tables'!$E$228:$G$237,2,FALSE),FALSE),FALSE),
IF($T5=8,_xlfn.IFNA(VLOOKUP($D5,'Data Transfer Tables'!$E$242:$G$251,2,FALSE),FALSE),FALSE),
IF($T5=9,_xlfn.IFNA(VLOOKUP($D5,'Data Transfer Tables'!$E$256:$G$266,2,FALSE),FALSE),FALSE),
IF($T5=10,_xlfn.IFNA(VLOOKUP($D5,'Data Transfer Tables'!$E$271:$G$281,2,FALSE),FALSE),FALSE),
IF($T5=11,_xlfn.IFNA(VLOOKUP($D5,'Data Transfer Tables'!$E$286:$G$295,2,FALSE),FALSE),FALSE),
IF($T5=12,_xlfn.IFNA(VLOOKUP($D5,'Data Transfer Tables'!$E$300:$G$309,2,FALSE),FALSE),FALSE),
IF($T5=13,_xlfn.IFNA(VLOOKUP($D5,'Data Transfer Tables'!$E$314:$G$323,2,FALSE),FALSE),FALSE),
IF($T5=14,_xlfn.IFNA(VLOOKUP($D5,'Data Transfer Tables'!$E$328:$G$338,2,FALSE),FALSE),FALSE),
IF($T5=15,_xlfn.IFNA(VLOOKUP($D5,'Data Transfer Tables'!$E$343:$G$353,2,FALSE),FALSE),FALSE),
IF($T5=16,_xlfn.IFNA(VLOOKUP($D5,'Data Transfer Tables'!$E$358:$G$369,2,FALSE),FALSE),FALSE),
IF($T5=17,_xlfn.IFNA(VLOOKUP($D5,'Data Transfer Tables'!$E$374:$G$384,2,FALSE),FALSE),FALSE),
IF($T5=18,_xlfn.IFNA(VLOOKUP($D5,'Data Transfer Tables'!$E$389:$G$399,2,FALSE),FALSE),FALSE),
IF($T5=19,_xlfn.IFNA(VLOOKUP($D5,'Data Transfer Tables'!$E$404:$G$414,2,FALSE),FALSE),FALSE),
IF($T5=20,_xlfn.IFNA(VLOOKUP($D5,'Data Transfer Tables'!$E$419:$G$429,2,FALSE),FALSE),FALSE),
IF($T5=21,_xlfn.IFNA(VLOOKUP($D5,'Data Transfer Tables'!$E$434:$G$444,2,FALSE),FALSE),FALSE),
IF($T5=22,_xlfn.IFNA(VLOOKUP($D5,'Data Transfer Tables'!$E$449:$G$459,2,FALSE),FALSE),FALSE))</f>
        <v>0</v>
      </c>
      <c r="AD5" s="146" t="b">
        <f t="shared" ref="AD5:AD24" si="9">IF(D5="&lt;select&gt;",TRUE,FALSE)</f>
        <v>1</v>
      </c>
      <c r="AE5" s="222" t="b">
        <f t="shared" ref="AE5:AE24" si="10">IF(D5="Does Not Use", TRUE, IF(AND(AD5=FALSE,AC5=TRUE), TRUE))</f>
        <v>0</v>
      </c>
      <c r="AF5" s="145" t="b">
        <f>OR(IF($T5=1,_xlfn.IFNA(VLOOKUP($E5,'Data Transfer Tables'!$H$144:$I$153,2,FALSE),FALSE),FALSE),
IF($T5=2,_xlfn.IFNA(VLOOKUP($E5,'Data Transfer Tables'!$H$158:$I$167,2,FALSE),FALSE),FALSE),
IF($T5=3,_xlfn.IFNA(VLOOKUP($E5,'Data Transfer Tables'!$H$172:$I$181,2,FALSE),FALSE),FALSE),
IF($T5=4,_xlfn.IFNA(VLOOKUP($E5,'Data Transfer Tables'!$H$186:$I$195,2,FALSE),FALSE),FALSE),
IF($T5=5,_xlfn.IFNA(VLOOKUP($E5,'Data Transfer Tables'!$H$200:$I$209,2,FALSE),FALSE),FALSE),
IF($T5=6,_xlfn.IFNA(VLOOKUP($E5,'Data Transfer Tables'!$H$214:$I$223,2,FALSE),FALSE),FALSE),
IF($T5=7,_xlfn.IFNA(VLOOKUP($E5,'Data Transfer Tables'!$H$228:$I$237,2,FALSE),FALSE),FALSE),
IF($T5=8,_xlfn.IFNA(VLOOKUP($E5,'Data Transfer Tables'!$H$242:$I$251,2,FALSE),FALSE),FALSE),
IF($T5=9,_xlfn.IFNA(VLOOKUP($E5,'Data Transfer Tables'!$H$256:$I$266,2,FALSE),FALSE),FALSE),
IF($T5=10,_xlfn.IFNA(VLOOKUP($E5,'Data Transfer Tables'!$H$271:$I$281,2,FALSE),FALSE),FALSE),
IF($T5=11,_xlfn.IFNA(VLOOKUP($E5,'Data Transfer Tables'!$H$286:$I$295,2,FALSE),FALSE),FALSE),
IF($T5=12,_xlfn.IFNA(VLOOKUP($E5,'Data Transfer Tables'!$H$300:$I$309,2,FALSE),FALSE),FALSE),
IF($T5=13,_xlfn.IFNA(VLOOKUP($E5,'Data Transfer Tables'!$H$314:$I$323,2,FALSE),FALSE),FALSE),
IF($T5=14,_xlfn.IFNA(VLOOKUP($E5,'Data Transfer Tables'!$H$328:$I$338,2,FALSE),FALSE),FALSE),
IF($T5=15,_xlfn.IFNA(VLOOKUP($E5,'Data Transfer Tables'!$H$343:$I$353,2,FALSE),FALSE),FALSE),
IF($T5=16,_xlfn.IFNA(VLOOKUP($E5,'Data Transfer Tables'!$H$358:$I$369,2,FALSE),FALSE),FALSE),
IF($T5=17,_xlfn.IFNA(VLOOKUP($E5,'Data Transfer Tables'!$H$374:$I$384,2,FALSE),FALSE),FALSE),
IF($T5=18,_xlfn.IFNA(VLOOKUP($E5,'Data Transfer Tables'!$H$389:$I$399,2,FALSE),FALSE),FALSE),
IF($T5=19,_xlfn.IFNA(VLOOKUP($E5,'Data Transfer Tables'!$H$404:$I$414,2,FALSE),FALSE),FALSE),
IF($T5=20,_xlfn.IFNA(VLOOKUP($E5,'Data Transfer Tables'!$H$419:$I$429,2,FALSE),FALSE),FALSE),
IF($T5=21,_xlfn.IFNA(VLOOKUP($E5,'Data Transfer Tables'!$H$434:$I$444,2,FALSE),FALSE),FALSE),
IF($T5=22,_xlfn.IFNA(VLOOKUP($E5,'Data Transfer Tables'!$H$449:$I$459,2,FALSE),FALSE),FALSE))</f>
        <v>0</v>
      </c>
      <c r="AG5" s="145" t="b">
        <f t="shared" ref="AG5:AG24" si="11">IF(E5="&lt;select&gt;",TRUE,FALSE)</f>
        <v>1</v>
      </c>
      <c r="AH5" s="223" t="b">
        <f t="shared" ref="AH5:AH24" si="12">IF(E5="Does Not Use", TRUE, IF(AND(AG5=FALSE,AF5=TRUE), TRUE))</f>
        <v>0</v>
      </c>
      <c r="AI5" s="147" t="b">
        <f>OR(IF($T5=1,_xlfn.IFNA(VLOOKUP($F5,'Data Transfer Tables'!$K$144:$L$153,2,FALSE),FALSE),FALSE),
IF($T5=2,_xlfn.IFNA(VLOOKUP($F5,'Data Transfer Tables'!$K$158:$L$167,2,FALSE),FALSE),FALSE),
IF($T5=3,_xlfn.IFNA(VLOOKUP($F5,'Data Transfer Tables'!$K$172:$L$181,2,FALSE),FALSE),FALSE),
IF($T5=4,_xlfn.IFNA(VLOOKUP($F5,'Data Transfer Tables'!$K$186:$L$195,2,FALSE),FALSE),FALSE),
IF($T5=5,_xlfn.IFNA(VLOOKUP($F5,'Data Transfer Tables'!$K$200:$L$209,2,FALSE),FALSE),FALSE),
IF($T5=6,_xlfn.IFNA(VLOOKUP($F5,'Data Transfer Tables'!$K$214:$L$223,2,FALSE),FALSE),FALSE),
IF($T5=7,_xlfn.IFNA(VLOOKUP($F5,'Data Transfer Tables'!$K$228:$L$237,2,FALSE),FALSE),FALSE),
IF($T5=8,_xlfn.IFNA(VLOOKUP($F5,'Data Transfer Tables'!$K$242:$L$251,2,FALSE),FALSE),FALSE),
IF($T5=9,_xlfn.IFNA(VLOOKUP($F5,'Data Transfer Tables'!$K$256:$L$266,2,FALSE),FALSE),FALSE),
IF($T5=10,_xlfn.IFNA(VLOOKUP($F5,'Data Transfer Tables'!$K$271:$L$281,2,FALSE),FALSE),FALSE),
IF($T5=11,_xlfn.IFNA(VLOOKUP($F5,'Data Transfer Tables'!$K$286:$L$295,2,FALSE),FALSE),FALSE),
IF($T5=12,_xlfn.IFNA(VLOOKUP($F5,'Data Transfer Tables'!$K$300:$L$309,2,FALSE),FALSE),FALSE),
IF($T5=13,_xlfn.IFNA(VLOOKUP($F5,'Data Transfer Tables'!$K$314:$L$323,2,FALSE),FALSE),FALSE),
IF($T5=14,_xlfn.IFNA(VLOOKUP($F5,'Data Transfer Tables'!$K$328:$L$338,2,FALSE),FALSE),FALSE),
IF($T5=15,_xlfn.IFNA(VLOOKUP($F5,'Data Transfer Tables'!$K$343:$L$353,2,FALSE),FALSE),FALSE),
IF($T5=16,_xlfn.IFNA(VLOOKUP($F5,'Data Transfer Tables'!$K$358:$L$369,2,FALSE),FALSE),FALSE),
IF($T5=17,_xlfn.IFNA(VLOOKUP($F5,'Data Transfer Tables'!$K$374:$L$384,2,FALSE),FALSE),FALSE),
IF($T5=18,_xlfn.IFNA(VLOOKUP($F5,'Data Transfer Tables'!$K$389:$L$399,2,FALSE),FALSE),FALSE),
IF($T5=19,_xlfn.IFNA(VLOOKUP($F5,'Data Transfer Tables'!$K$404:$L$414,2,FALSE),FALSE),FALSE),
IF($T5=20,_xlfn.IFNA(VLOOKUP($F5,'Data Transfer Tables'!$K$419:$L$429,2,FALSE),FALSE),FALSE),
IF($T5=21,_xlfn.IFNA(VLOOKUP($F5,'Data Transfer Tables'!$K$434:$L$444,2,FALSE),FALSE),FALSE),
IF($T5=22,_xlfn.IFNA(VLOOKUP($F5,'Data Transfer Tables'!$K$449:$L$459,2,FALSE),FALSE),FALSE))</f>
        <v>0</v>
      </c>
      <c r="AJ5" s="147" t="b">
        <f t="shared" ref="AJ5:AJ24" si="13">IF(F5="&lt;select&gt;",TRUE,FALSE)</f>
        <v>1</v>
      </c>
      <c r="AK5" s="224" t="b">
        <f t="shared" ref="AK5:AK24" si="14">IF(F5="Does Not Use", TRUE, IF(AND(AJ5=FALSE,AI5=TRUE), TRUE))</f>
        <v>0</v>
      </c>
      <c r="AL5" s="225" t="b">
        <f t="shared" ref="AL5:AL24" si="15">IF(OR(AND(OR(D5="Not Allowed", D5= "Does Not Apply", D5="N/A", D5="Does Not Use"), OR(E5="Not Allowed", E5= "Does Not Apply", E5="N/A", E5="Does Not Use"))),TRUE,
IF(OR(AND(OR(D5="Not Allowed", D5= "Does Not Apply", D5="N/A", D5="Does Not Use"), OR(F5="Not Allowed", F5= "Does Not Apply", F5="N/A", F5="Does Not Use"))),TRUE,
IF(OR(AND(OR(E5="Not Allowed", E5= "Does Not Apply", E5="N/A", E5="Does Not Use"), OR(F5="Not Allowed", F5= "Does Not Apply", F5="N/A", F5="Does Not Use"))),TRUE)))</f>
        <v>0</v>
      </c>
      <c r="AM5" s="225" t="b">
        <f t="shared" ref="AM5:AM24" si="16">IF(AND(AL5=TRUE, AND(AE5=TRUE, AH5=TRUE, AK5=TRUE)), TRUE)</f>
        <v>0</v>
      </c>
      <c r="AN5" s="225" t="b">
        <f t="shared" ref="AN5:AN24" si="17">IF(AND(Y5=FALSE, AA5=FALSE, AD5=FALSE, AG5=FALSE, AJ5=FALSE), TRUE, FALSE)</f>
        <v>0</v>
      </c>
      <c r="AO5" s="196" t="b">
        <f>OR(IF($T5=1,_xlfn.IFNA(VLOOKUP($G5,'Data Transfer Tables'!$E$113:$F$125,2,FALSE),FALSE),FALSE),
IF($T5=2,_xlfn.IFNA(VLOOKUP($G5,'Data Transfer Tables'!$E$113:$F$125,2,FALSE),FALSE),FALSE),
IF($T5=3,_xlfn.IFNA(VLOOKUP($G5,'Data Transfer Tables'!$E$113:$F$125,2,FALSE),FALSE),FALSE),
IF($T5=4,_xlfn.IFNA(VLOOKUP($G5,'Data Transfer Tables'!$E$113:$F$125,2,FALSE),FALSE),FALSE),
IF($T5=5,_xlfn.IFNA(VLOOKUP($G5,'Data Transfer Tables'!$E$113:$F$125,2,FALSE),FALSE),FALSE),
IF($T5=6,_xlfn.IFNA(VLOOKUP($G5,'Data Transfer Tables'!$E$113:$F$125,2,FALSE),FALSE),FALSE),
IF($T5=7,_xlfn.IFNA(VLOOKUP($G5,'Data Transfer Tables'!$E$113:$F$125,2,FALSE),FALSE),FALSE),
IF($T5=8,_xlfn.IFNA(VLOOKUP($G5,'Data Transfer Tables'!$E$113:$F$125,2,FALSE),FALSE),FALSE),
IF($T5=9,_xlfn.IFNA(VLOOKUP($G5,'Data Transfer Tables'!$E$113:$F$125,2,FALSE),FALSE),FALSE),
IF($T5=10,_xlfn.IFNA(VLOOKUP($G5,'Data Transfer Tables'!$E$113:$F$125,2,FALSE),FALSE),FALSE),
IF($T5=11,_xlfn.IFNA(VLOOKUP($G5,'Data Transfer Tables'!$E$113:$F$125,2,FALSE),FALSE),FALSE),
IF($T5=12,_xlfn.IFNA(VLOOKUP($G5,'Data Transfer Tables'!$E$113:$F$125,2,FALSE),FALSE),FALSE),
IF($T5=13,_xlfn.IFNA(VLOOKUP($G5,'Data Transfer Tables'!$E$113:$F$125,2,FALSE),FALSE),FALSE),
IF($T5=14,_xlfn.IFNA(VLOOKUP($G5,'Data Transfer Tables'!$E$113:$F$125,2,FALSE),FALSE),FALSE),
IF($T5=15,_xlfn.IFNA(VLOOKUP($G5,'Data Transfer Tables'!$E$113:$F$125,2,FALSE),FALSE),FALSE),
IF($T5=16,_xlfn.IFNA(VLOOKUP($G5,'Data Transfer Tables'!$E$113:$F$125,2,FALSE),FALSE),FALSE),
IF($T5=17,_xlfn.IFNA(VLOOKUP($G5,'Data Transfer Tables'!$E$113:$F$125,2,FALSE),FALSE),FALSE),
IF($T5=18,_xlfn.IFNA(VLOOKUP($G5,'Data Transfer Tables'!$E$113:$F$125,2,FALSE),FALSE),FALSE),
IF($T5=19,_xlfn.IFNA(VLOOKUP($G5,'Data Transfer Tables'!$E$113:$F$125,2,FALSE),FALSE),FALSE),
IF($T5=20,_xlfn.IFNA(VLOOKUP($G5,'Data Transfer Tables'!$E$113:$F$125,2,FALSE),FALSE),FALSE),
IF($T5=21,_xlfn.IFNA(VLOOKUP($G5,'Data Transfer Tables'!$E$113:$F$125,2,FALSE),FALSE),FALSE),
IF($T5=22,_xlfn.IFNA(VLOOKUP($G5,'Data Transfer Tables'!$E$113:$F$125,2,FALSE),FALSE),FALSE))</f>
        <v>0</v>
      </c>
      <c r="AP5" s="196" t="b">
        <f t="shared" ref="AP5:AP24" si="18">IF(G5="&lt;select&gt;",TRUE,FALSE)</f>
        <v>1</v>
      </c>
      <c r="AQ5" s="211" t="b">
        <f>IF(V5=0, TRUE, IF(AND(AB5=TRUE, AM5, AO5=TRUE), TRUE,FALSE))</f>
        <v>1</v>
      </c>
      <c r="AR5" s="211" t="b">
        <f>AND(AB5=TRUE, AE5=TRUE, AH5=TRUE, AK5=TRUE, AO5=TRUE, X5=TRUE)</f>
        <v>0</v>
      </c>
      <c r="AS5" s="94" t="b">
        <f t="shared" ref="AS5:AS24" si="19">AND(H5:J5)</f>
        <v>1</v>
      </c>
      <c r="AT5" s="140" t="str">
        <f t="shared" ref="AT5:AT24" si="20">IF(S5="N/A","",
IF(AND(D5="Does Not Use", E5="Does Not Use", F5="Does Not Use"), FALSE,
 IF(B5="Non-OMS Data Transfer","1_TESTNON",
  IF(S5=TRUE,
   IF(AND(OR(D5="Does Not Apply", D5="Does Not Use"),OR(E5="Does Not Apply", E5="Does Not Use"), B5="Mission Data Files (MDFs)"),"1",
    IF(AND(OR(D5="Does Not Apply", D5="Does Not Use"),OR(B5="Mission Data Files (MDFs)", B5="Complex Sensor Data")),"2","3")),"1"))))</f>
        <v/>
      </c>
      <c r="AU5" s="226" t="str">
        <f t="shared" ref="AU5:AU17" si="21">IF(AT5="","N/A", IF(OR(AT5="1",AT5="2",AT5="3"),TRUE,FALSE))</f>
        <v>N/A</v>
      </c>
      <c r="AV5" s="226" t="str">
        <f t="shared" ref="AV5:AV17" si="22">IF(AT5="","N/A", IF(OR(AT5="2", AT5="3"),TRUE,FALSE))</f>
        <v>N/A</v>
      </c>
      <c r="AW5" s="32" t="str">
        <f t="shared" ref="AW5:AW17" si="23">IF(AT5="","N/A", IF(AT5="3",TRUE,FALSE))</f>
        <v>N/A</v>
      </c>
      <c r="AX5" s="32" t="b">
        <f>IF(AND(W5=TRUE,A5&lt;&gt;"&lt;Enter OMS Data Transfer&gt;",B5&lt;&gt;"&lt;select&gt;",C5&lt;&gt;"&lt;select&gt;",D5&lt;&gt;"&lt;select&gt;",E5&lt;&gt;"&lt;select&gt;",F5&lt;&gt;"&lt;select&gt;",G5&lt;&gt;"&lt;select&gt;"),TRUE,FALSE)</f>
        <v>0</v>
      </c>
      <c r="AY5" s="32" t="str">
        <f>IF(AX5=TRUE, TRUE, "")</f>
        <v/>
      </c>
      <c r="AZ5" s="32" t="str">
        <f t="shared" ref="AZ5:AZ24" si="24">IF(V5=0, "", IF(AND(V5&lt;&gt;0,Z5=FALSE), FALSE,TRUE))</f>
        <v/>
      </c>
      <c r="BA5" s="32" t="str">
        <f t="shared" ref="BA5:BA24" si="25">IF(V5=0, "", IF(AND(V5&lt;&gt;0,AC5=FALSE), FALSE,TRUE))</f>
        <v/>
      </c>
      <c r="BB5" s="32" t="str">
        <f t="shared" ref="BB5:BB24" si="26">IF(V5=0, "", IF(AND(V5&lt;&gt;0,AF5=FALSE), FALSE,TRUE))</f>
        <v/>
      </c>
      <c r="BC5" s="32" t="str">
        <f t="shared" ref="BC5:BC24" si="27">IF(V5=0, "", IF(AND(V5&lt;&gt;0,AI5=FALSE), FALSE,TRUE))</f>
        <v/>
      </c>
      <c r="BD5" s="32" t="str">
        <f t="shared" ref="BD5:BD24" si="28">IF(V5=0, "", IF(AND(V5&lt;&gt;0,AO5=FALSE), FALSE,TRUE))</f>
        <v/>
      </c>
    </row>
    <row r="6" spans="1:56" s="33" customFormat="1" ht="13.5" thickBot="1" x14ac:dyDescent="0.25">
      <c r="A6" s="63" t="s">
        <v>673</v>
      </c>
      <c r="B6" s="63" t="s">
        <v>44</v>
      </c>
      <c r="C6" s="63" t="s">
        <v>44</v>
      </c>
      <c r="D6" s="63" t="s">
        <v>44</v>
      </c>
      <c r="E6" s="63" t="s">
        <v>44</v>
      </c>
      <c r="F6" s="63" t="s">
        <v>44</v>
      </c>
      <c r="G6" s="63" t="s">
        <v>44</v>
      </c>
      <c r="H6" s="137" t="b">
        <v>1</v>
      </c>
      <c r="I6" s="137" t="b">
        <v>1</v>
      </c>
      <c r="J6" s="137" t="b">
        <v>1</v>
      </c>
      <c r="K6" s="138" t="b">
        <f t="shared" si="0"/>
        <v>1</v>
      </c>
      <c r="L6" s="62" t="b">
        <f t="shared" ref="L6:L24" si="29">IF(AND(W6=TRUE,X6=TRUE,AR6=FALSE),FALSE,IF(AND(W6=FALSE,X6=FALSE,AR6=FALSE),TRUE,IF(AND(AS6,AV6,AQ6,W6,X6,AR6),TRUE,FALSE)))</f>
        <v>1</v>
      </c>
      <c r="M6" s="62" t="b">
        <f t="shared" ref="M6:M24" si="30">IF(AND(W6=TRUE,X6=TRUE,AR6=FALSE),FALSE,IF(AND(W6=FALSE,X6=FALSE,AR6=FALSE),TRUE,IF(AND(AS6,AW6,AQ6,W6,X6,AR6),TRUE,FALSE)))</f>
        <v>1</v>
      </c>
      <c r="N6" s="55"/>
      <c r="O6" s="32"/>
      <c r="S6" s="32" t="str">
        <f t="shared" si="1"/>
        <v>N/A</v>
      </c>
      <c r="T6" s="221">
        <f t="shared" si="2"/>
        <v>0</v>
      </c>
      <c r="U6" s="51" t="b">
        <f t="shared" si="3"/>
        <v>1</v>
      </c>
      <c r="V6" s="74">
        <f>_xlfn.IFNA(VLOOKUP(B6,'Data Transfer Tables'!$A$111:$B$131,2),0)</f>
        <v>0</v>
      </c>
      <c r="W6" s="74" t="b">
        <f t="shared" si="4"/>
        <v>0</v>
      </c>
      <c r="X6" s="74" t="b">
        <f t="shared" si="5"/>
        <v>0</v>
      </c>
      <c r="Y6" s="222" t="b">
        <f t="shared" si="6"/>
        <v>1</v>
      </c>
      <c r="Z6" s="210" t="b">
        <f>OR(IF($T6=1,_xlfn.IFNA(VLOOKUP($C6,'Data Transfer Tables'!$B$144:$C$153,2,FALSE),FALSE),FALSE),
IF($T6=2,_xlfn.IFNA(VLOOKUP($C6,'Data Transfer Tables'!$B$158:$C$167,2,FALSE),FALSE),FALSE),
IF($T6=3,_xlfn.IFNA(VLOOKUP($C6,'Data Transfer Tables'!$B$172:$C$181,2,FALSE),FALSE),FALSE),
IF($T6=4,_xlfn.IFNA(VLOOKUP($C6,'Data Transfer Tables'!$B$186:$C$195,2,FALSE),FALSE),FALSE),
IF($T6=5,_xlfn.IFNA(VLOOKUP($C6,'Data Transfer Tables'!$B$200:$C$209,2,FALSE),FALSE),FALSE),
IF($T6=6,_xlfn.IFNA(VLOOKUP($C6,'Data Transfer Tables'!$B$214:$C$223,2,FALSE),FALSE),FALSE),
IF($T6=7,_xlfn.IFNA(VLOOKUP($C6,'Data Transfer Tables'!$B$228:$C$237,2,FALSE),FALSE),FALSE),
IF($T6=8,_xlfn.IFNA(VLOOKUP($C6,'Data Transfer Tables'!$B$242:$C$251,2,FALSE),FALSE),FALSE),
IF($T6=9,_xlfn.IFNA(VLOOKUP($C6,'Data Transfer Tables'!$B$256:$C$266,2,FALSE),FALSE),FALSE),
IF($T6=10,_xlfn.IFNA(VLOOKUP($C6,'Data Transfer Tables'!$B$271:$C$281,2,FALSE),FALSE),FALSE),
IF($T6=11,_xlfn.IFNA(VLOOKUP($C6,'Data Transfer Tables'!$B$286:$C$295,2,FALSE),FALSE),FALSE),
IF($T6=12,_xlfn.IFNA(VLOOKUP($C6,'Data Transfer Tables'!$B$300:$C$309,2,FALSE),FALSE),FALSE),
IF($T6=13,_xlfn.IFNA(VLOOKUP($C6,'Data Transfer Tables'!$B$314:$C$323,2,FALSE),FALSE),FALSE),
IF($T6=14,_xlfn.IFNA(VLOOKUP($C6,'Data Transfer Tables'!$B$328:$C$338,2,FALSE),FALSE),FALSE),
IF($T6=15,_xlfn.IFNA(VLOOKUP($C6,'Data Transfer Tables'!$B$343:$C$353,2,FALSE),FALSE),FALSE),
IF($T6=16,_xlfn.IFNA(VLOOKUP($C6,'Data Transfer Tables'!$B$358:$C$369,2,FALSE),FALSE),FALSE),
IF($T6=17,_xlfn.IFNA(VLOOKUP($C6,'Data Transfer Tables'!$B$374:$C$384,2,FALSE),FALSE),FALSE),
IF($T6=18,_xlfn.IFNA(VLOOKUP($C6,'Data Transfer Tables'!$B$389:$C$399,2,FALSE),FALSE),FALSE),
IF($T6=19,_xlfn.IFNA(VLOOKUP($C6,'Data Transfer Tables'!$B$404:$C$414,2,FALSE),FALSE),FALSE),
IF($T6=20,_xlfn.IFNA(VLOOKUP($C6,'Data Transfer Tables'!$B$419:$C$429,2,FALSE),FALSE),FALSE),
IF($T6=21,_xlfn.IFNA(VLOOKUP($C6,'Data Transfer Tables'!$B$434:$C$444,2,FALSE),FALSE),FALSE),
IF($T6=22,_xlfn.IFNA(VLOOKUP($C6,'Data Transfer Tables'!$B$449:$C$459,2,FALSE),FALSE),FALSE))</f>
        <v>0</v>
      </c>
      <c r="AA6" s="210" t="b">
        <f t="shared" si="7"/>
        <v>1</v>
      </c>
      <c r="AB6" s="222" t="b">
        <f t="shared" si="8"/>
        <v>0</v>
      </c>
      <c r="AC6" s="146" t="b">
        <f>OR(IF($T6=1,_xlfn.IFNA(VLOOKUP($D6,'Data Transfer Tables'!$E$144:$G$153,2,FALSE),FALSE),FALSE),
IF($T6=2,_xlfn.IFNA(VLOOKUP($D6,'Data Transfer Tables'!$E$158:$G$167,2,FALSE),FALSE),FALSE),
IF($T6=3,_xlfn.IFNA(VLOOKUP($D6,'Data Transfer Tables'!$E$172:$G$181,2,FALSE),FALSE),FALSE),
IF($T6=4,_xlfn.IFNA(VLOOKUP($D6,'Data Transfer Tables'!$E$186:$G$195,2,FALSE),FALSE),FALSE),
IF($T6=5,_xlfn.IFNA(VLOOKUP($D6,'Data Transfer Tables'!$E$200:$G$209,2,FALSE),FALSE),FALSE),
IF($T6=6,_xlfn.IFNA(VLOOKUP($D6,'Data Transfer Tables'!$E$214:$G$223,2,FALSE),FALSE),FALSE),
IF($T6=7,_xlfn.IFNA(VLOOKUP($D6,'Data Transfer Tables'!$E$228:$G$237,2,FALSE),FALSE),FALSE),
IF($T6=8,_xlfn.IFNA(VLOOKUP($D6,'Data Transfer Tables'!$E$242:$G$251,2,FALSE),FALSE),FALSE),
IF($T6=9,_xlfn.IFNA(VLOOKUP($D6,'Data Transfer Tables'!$E$256:$G$266,2,FALSE),FALSE),FALSE),
IF($T6=10,_xlfn.IFNA(VLOOKUP($D6,'Data Transfer Tables'!$E$271:$G$281,2,FALSE),FALSE),FALSE),
IF($T6=11,_xlfn.IFNA(VLOOKUP($D6,'Data Transfer Tables'!$E$286:$G$295,2,FALSE),FALSE),FALSE),
IF($T6=12,_xlfn.IFNA(VLOOKUP($D6,'Data Transfer Tables'!$E$300:$G$309,2,FALSE),FALSE),FALSE),
IF($T6=13,_xlfn.IFNA(VLOOKUP($D6,'Data Transfer Tables'!$E$314:$G$323,2,FALSE),FALSE),FALSE),
IF($T6=14,_xlfn.IFNA(VLOOKUP($D6,'Data Transfer Tables'!$E$328:$G$338,2,FALSE),FALSE),FALSE),
IF($T6=15,_xlfn.IFNA(VLOOKUP($D6,'Data Transfer Tables'!$E$343:$G$353,2,FALSE),FALSE),FALSE),
IF($T6=16,_xlfn.IFNA(VLOOKUP($D6,'Data Transfer Tables'!$E$358:$G$369,2,FALSE),FALSE),FALSE),
IF($T6=17,_xlfn.IFNA(VLOOKUP($D6,'Data Transfer Tables'!$E$374:$G$384,2,FALSE),FALSE),FALSE),
IF($T6=18,_xlfn.IFNA(VLOOKUP($D6,'Data Transfer Tables'!$E$389:$G$399,2,FALSE),FALSE),FALSE),
IF($T6=19,_xlfn.IFNA(VLOOKUP($D6,'Data Transfer Tables'!$E$404:$G$414,2,FALSE),FALSE),FALSE),
IF($T6=20,_xlfn.IFNA(VLOOKUP($D6,'Data Transfer Tables'!$E$419:$G$429,2,FALSE),FALSE),FALSE),
IF($T6=21,_xlfn.IFNA(VLOOKUP($D6,'Data Transfer Tables'!$E$434:$G$444,2,FALSE),FALSE),FALSE),
IF($T6=22,_xlfn.IFNA(VLOOKUP($D6,'Data Transfer Tables'!$E$449:$G$459,2,FALSE),FALSE),FALSE))</f>
        <v>0</v>
      </c>
      <c r="AD6" s="146" t="b">
        <f t="shared" si="9"/>
        <v>1</v>
      </c>
      <c r="AE6" s="222" t="b">
        <f t="shared" si="10"/>
        <v>0</v>
      </c>
      <c r="AF6" s="145" t="b">
        <f>OR(IF($T6=1,_xlfn.IFNA(VLOOKUP($E6,'Data Transfer Tables'!$H$144:$I$153,2,FALSE),FALSE),FALSE),
IF($T6=2,_xlfn.IFNA(VLOOKUP($E6,'Data Transfer Tables'!$H$158:$I$167,2,FALSE),FALSE),FALSE),
IF($T6=3,_xlfn.IFNA(VLOOKUP($E6,'Data Transfer Tables'!$H$172:$I$181,2,FALSE),FALSE),FALSE),
IF($T6=4,_xlfn.IFNA(VLOOKUP($E6,'Data Transfer Tables'!$H$186:$I$195,2,FALSE),FALSE),FALSE),
IF($T6=5,_xlfn.IFNA(VLOOKUP($E6,'Data Transfer Tables'!$H$200:$I$209,2,FALSE),FALSE),FALSE),
IF($T6=6,_xlfn.IFNA(VLOOKUP($E6,'Data Transfer Tables'!$H$214:$I$223,2,FALSE),FALSE),FALSE),
IF($T6=7,_xlfn.IFNA(VLOOKUP($E6,'Data Transfer Tables'!$H$228:$I$237,2,FALSE),FALSE),FALSE),
IF($T6=8,_xlfn.IFNA(VLOOKUP($E6,'Data Transfer Tables'!$H$242:$I$251,2,FALSE),FALSE),FALSE),
IF($T6=9,_xlfn.IFNA(VLOOKUP($E6,'Data Transfer Tables'!$H$256:$I$266,2,FALSE),FALSE),FALSE),
IF($T6=10,_xlfn.IFNA(VLOOKUP($E6,'Data Transfer Tables'!$H$271:$I$281,2,FALSE),FALSE),FALSE),
IF($T6=11,_xlfn.IFNA(VLOOKUP($E6,'Data Transfer Tables'!$H$286:$I$295,2,FALSE),FALSE),FALSE),
IF($T6=12,_xlfn.IFNA(VLOOKUP($E6,'Data Transfer Tables'!$H$300:$I$309,2,FALSE),FALSE),FALSE),
IF($T6=13,_xlfn.IFNA(VLOOKUP($E6,'Data Transfer Tables'!$H$314:$I$323,2,FALSE),FALSE),FALSE),
IF($T6=14,_xlfn.IFNA(VLOOKUP($E6,'Data Transfer Tables'!$H$328:$I$338,2,FALSE),FALSE),FALSE),
IF($T6=15,_xlfn.IFNA(VLOOKUP($E6,'Data Transfer Tables'!$H$343:$I$353,2,FALSE),FALSE),FALSE),
IF($T6=16,_xlfn.IFNA(VLOOKUP($E6,'Data Transfer Tables'!$H$358:$I$369,2,FALSE),FALSE),FALSE),
IF($T6=17,_xlfn.IFNA(VLOOKUP($E6,'Data Transfer Tables'!$H$374:$I$384,2,FALSE),FALSE),FALSE),
IF($T6=18,_xlfn.IFNA(VLOOKUP($E6,'Data Transfer Tables'!$H$389:$I$399,2,FALSE),FALSE),FALSE),
IF($T6=19,_xlfn.IFNA(VLOOKUP($E6,'Data Transfer Tables'!$H$404:$I$414,2,FALSE),FALSE),FALSE),
IF($T6=20,_xlfn.IFNA(VLOOKUP($E6,'Data Transfer Tables'!$H$419:$I$429,2,FALSE),FALSE),FALSE),
IF($T6=21,_xlfn.IFNA(VLOOKUP($E6,'Data Transfer Tables'!$H$434:$I$444,2,FALSE),FALSE),FALSE),
IF($T6=22,_xlfn.IFNA(VLOOKUP($E6,'Data Transfer Tables'!$H$449:$I$459,2,FALSE),FALSE),FALSE))</f>
        <v>0</v>
      </c>
      <c r="AG6" s="145" t="b">
        <f t="shared" si="11"/>
        <v>1</v>
      </c>
      <c r="AH6" s="223" t="b">
        <f t="shared" si="12"/>
        <v>0</v>
      </c>
      <c r="AI6" s="147" t="b">
        <f>OR(IF($T6=1,_xlfn.IFNA(VLOOKUP($F6,'Data Transfer Tables'!$K$144:$L$153,2,FALSE),FALSE),FALSE),
IF($T6=2,_xlfn.IFNA(VLOOKUP($F6,'Data Transfer Tables'!$K$158:$L$167,2,FALSE),FALSE),FALSE),
IF($T6=3,_xlfn.IFNA(VLOOKUP($F6,'Data Transfer Tables'!$K$172:$L$181,2,FALSE),FALSE),FALSE),
IF($T6=4,_xlfn.IFNA(VLOOKUP($F6,'Data Transfer Tables'!$K$186:$L$195,2,FALSE),FALSE),FALSE),
IF($T6=5,_xlfn.IFNA(VLOOKUP($F6,'Data Transfer Tables'!$K$200:$L$209,2,FALSE),FALSE),FALSE),
IF($T6=6,_xlfn.IFNA(VLOOKUP($F6,'Data Transfer Tables'!$K$214:$L$223,2,FALSE),FALSE),FALSE),
IF($T6=7,_xlfn.IFNA(VLOOKUP($F6,'Data Transfer Tables'!$K$228:$L$237,2,FALSE),FALSE),FALSE),
IF($T6=8,_xlfn.IFNA(VLOOKUP($F6,'Data Transfer Tables'!$K$242:$L$251,2,FALSE),FALSE),FALSE),
IF($T6=9,_xlfn.IFNA(VLOOKUP($F6,'Data Transfer Tables'!$K$256:$L$266,2,FALSE),FALSE),FALSE),
IF($T6=10,_xlfn.IFNA(VLOOKUP($F6,'Data Transfer Tables'!$K$271:$L$281,2,FALSE),FALSE),FALSE),
IF($T6=11,_xlfn.IFNA(VLOOKUP($F6,'Data Transfer Tables'!$K$286:$L$295,2,FALSE),FALSE),FALSE),
IF($T6=12,_xlfn.IFNA(VLOOKUP($F6,'Data Transfer Tables'!$K$300:$L$309,2,FALSE),FALSE),FALSE),
IF($T6=13,_xlfn.IFNA(VLOOKUP($F6,'Data Transfer Tables'!$K$314:$L$323,2,FALSE),FALSE),FALSE),
IF($T6=14,_xlfn.IFNA(VLOOKUP($F6,'Data Transfer Tables'!$K$328:$L$338,2,FALSE),FALSE),FALSE),
IF($T6=15,_xlfn.IFNA(VLOOKUP($F6,'Data Transfer Tables'!$K$343:$L$353,2,FALSE),FALSE),FALSE),
IF($T6=16,_xlfn.IFNA(VLOOKUP($F6,'Data Transfer Tables'!$K$358:$L$369,2,FALSE),FALSE),FALSE),
IF($T6=17,_xlfn.IFNA(VLOOKUP($F6,'Data Transfer Tables'!$K$374:$L$384,2,FALSE),FALSE),FALSE),
IF($T6=18,_xlfn.IFNA(VLOOKUP($F6,'Data Transfer Tables'!$K$389:$L$399,2,FALSE),FALSE),FALSE),
IF($T6=19,_xlfn.IFNA(VLOOKUP($F6,'Data Transfer Tables'!$K$404:$L$414,2,FALSE),FALSE),FALSE),
IF($T6=20,_xlfn.IFNA(VLOOKUP($F6,'Data Transfer Tables'!$K$419:$L$429,2,FALSE),FALSE),FALSE),
IF($T6=21,_xlfn.IFNA(VLOOKUP($F6,'Data Transfer Tables'!$K$434:$L$444,2,FALSE),FALSE),FALSE),
IF($T6=22,_xlfn.IFNA(VLOOKUP($F6,'Data Transfer Tables'!$K$449:$L$459,2,FALSE),FALSE),FALSE))</f>
        <v>0</v>
      </c>
      <c r="AJ6" s="147" t="b">
        <f t="shared" si="13"/>
        <v>1</v>
      </c>
      <c r="AK6" s="224" t="b">
        <f t="shared" si="14"/>
        <v>0</v>
      </c>
      <c r="AL6" s="225" t="b">
        <f t="shared" si="15"/>
        <v>0</v>
      </c>
      <c r="AM6" s="225" t="b">
        <f t="shared" si="16"/>
        <v>0</v>
      </c>
      <c r="AN6" s="225" t="b">
        <f t="shared" si="17"/>
        <v>0</v>
      </c>
      <c r="AO6" s="196" t="b">
        <f>OR(IF($T6=1,_xlfn.IFNA(VLOOKUP($G6,'Data Transfer Tables'!$E$113:$F$125,2,FALSE),FALSE),FALSE),
IF($T6=2,_xlfn.IFNA(VLOOKUP($G6,'Data Transfer Tables'!$E$113:$F$125,2,FALSE),FALSE),FALSE),
IF($T6=3,_xlfn.IFNA(VLOOKUP($G6,'Data Transfer Tables'!$E$113:$F$125,2,FALSE),FALSE),FALSE),
IF($T6=4,_xlfn.IFNA(VLOOKUP($G6,'Data Transfer Tables'!$E$113:$F$125,2,FALSE),FALSE),FALSE),
IF($T6=5,_xlfn.IFNA(VLOOKUP($G6,'Data Transfer Tables'!$E$113:$F$125,2,FALSE),FALSE),FALSE),
IF($T6=6,_xlfn.IFNA(VLOOKUP($G6,'Data Transfer Tables'!$E$113:$F$125,2,FALSE),FALSE),FALSE),
IF($T6=7,_xlfn.IFNA(VLOOKUP($G6,'Data Transfer Tables'!$E$113:$F$125,2,FALSE),FALSE),FALSE),
IF($T6=8,_xlfn.IFNA(VLOOKUP($G6,'Data Transfer Tables'!$E$113:$F$125,2,FALSE),FALSE),FALSE),
IF($T6=9,_xlfn.IFNA(VLOOKUP($G6,'Data Transfer Tables'!$E$113:$F$125,2,FALSE),FALSE),FALSE),
IF($T6=10,_xlfn.IFNA(VLOOKUP($G6,'Data Transfer Tables'!$E$113:$F$125,2,FALSE),FALSE),FALSE),
IF($T6=11,_xlfn.IFNA(VLOOKUP($G6,'Data Transfer Tables'!$E$113:$F$125,2,FALSE),FALSE),FALSE),
IF($T6=12,_xlfn.IFNA(VLOOKUP($G6,'Data Transfer Tables'!$E$113:$F$125,2,FALSE),FALSE),FALSE),
IF($T6=13,_xlfn.IFNA(VLOOKUP($G6,'Data Transfer Tables'!$E$113:$F$125,2,FALSE),FALSE),FALSE),
IF($T6=14,_xlfn.IFNA(VLOOKUP($G6,'Data Transfer Tables'!$E$113:$F$125,2,FALSE),FALSE),FALSE),
IF($T6=15,_xlfn.IFNA(VLOOKUP($G6,'Data Transfer Tables'!$E$113:$F$125,2,FALSE),FALSE),FALSE),
IF($T6=16,_xlfn.IFNA(VLOOKUP($G6,'Data Transfer Tables'!$E$113:$F$125,2,FALSE),FALSE),FALSE),
IF($T6=17,_xlfn.IFNA(VLOOKUP($G6,'Data Transfer Tables'!$E$113:$F$125,2,FALSE),FALSE),FALSE),
IF($T6=18,_xlfn.IFNA(VLOOKUP($G6,'Data Transfer Tables'!$E$113:$F$125,2,FALSE),FALSE),FALSE),
IF($T6=19,_xlfn.IFNA(VLOOKUP($G6,'Data Transfer Tables'!$E$113:$F$125,2,FALSE),FALSE),FALSE),
IF($T6=20,_xlfn.IFNA(VLOOKUP($G6,'Data Transfer Tables'!$E$113:$F$125,2,FALSE),FALSE),FALSE),
IF($T6=21,_xlfn.IFNA(VLOOKUP($G6,'Data Transfer Tables'!$E$113:$F$125,2,FALSE),FALSE),FALSE),
IF($T6=22,_xlfn.IFNA(VLOOKUP($G6,'Data Transfer Tables'!$E$113:$F$125,2,FALSE),FALSE),FALSE))</f>
        <v>0</v>
      </c>
      <c r="AP6" s="196" t="b">
        <f t="shared" si="18"/>
        <v>1</v>
      </c>
      <c r="AQ6" s="211" t="b">
        <f t="shared" ref="AQ6:AQ8" si="31">IF(V6=0, TRUE, IF(AND(AB6=TRUE, AM6, AO6=TRUE), TRUE,FALSE))</f>
        <v>1</v>
      </c>
      <c r="AR6" s="211" t="b">
        <f t="shared" ref="AR6:AR24" si="32">AND(AB6=TRUE, AE6=TRUE, AH6=TRUE, AK6=TRUE, AO6=TRUE, X6=TRUE)</f>
        <v>0</v>
      </c>
      <c r="AS6" s="94" t="b">
        <f t="shared" si="19"/>
        <v>1</v>
      </c>
      <c r="AT6" s="140" t="str">
        <f t="shared" si="20"/>
        <v/>
      </c>
      <c r="AU6" s="226" t="str">
        <f t="shared" si="21"/>
        <v>N/A</v>
      </c>
      <c r="AV6" s="226" t="str">
        <f t="shared" si="22"/>
        <v>N/A</v>
      </c>
      <c r="AW6" s="32" t="str">
        <f t="shared" si="23"/>
        <v>N/A</v>
      </c>
      <c r="AX6" s="32" t="b">
        <f t="shared" ref="AX6:AX25" si="33">IF(AND(W6=TRUE,A6&lt;&gt;"&lt;Enter OMS Data Transfer&gt;",B6&lt;&gt;"&lt;select&gt;",C6&lt;&gt;"&lt;select&gt;",D6&lt;&gt;"&lt;select&gt;",E6&lt;&gt;"&lt;select&gt;",F6&lt;&gt;"&lt;select&gt;",G6&lt;&gt;"&lt;select&gt;"),TRUE,FALSE)</f>
        <v>0</v>
      </c>
      <c r="AY6" s="32" t="str">
        <f t="shared" ref="AY6:AY24" si="34">IF(AX6=TRUE, TRUE, "")</f>
        <v/>
      </c>
      <c r="AZ6" s="32" t="str">
        <f t="shared" si="24"/>
        <v/>
      </c>
      <c r="BA6" s="32" t="str">
        <f t="shared" si="25"/>
        <v/>
      </c>
      <c r="BB6" s="32" t="str">
        <f t="shared" si="26"/>
        <v/>
      </c>
      <c r="BC6" s="32" t="str">
        <f t="shared" si="27"/>
        <v/>
      </c>
      <c r="BD6" s="32" t="str">
        <f t="shared" si="28"/>
        <v/>
      </c>
    </row>
    <row r="7" spans="1:56" s="33" customFormat="1" ht="13.5" thickBot="1" x14ac:dyDescent="0.25">
      <c r="A7" s="63" t="s">
        <v>673</v>
      </c>
      <c r="B7" s="63" t="s">
        <v>44</v>
      </c>
      <c r="C7" s="63" t="s">
        <v>44</v>
      </c>
      <c r="D7" s="63" t="s">
        <v>44</v>
      </c>
      <c r="E7" s="63" t="s">
        <v>44</v>
      </c>
      <c r="F7" s="63" t="s">
        <v>44</v>
      </c>
      <c r="G7" s="63" t="s">
        <v>44</v>
      </c>
      <c r="H7" s="137" t="b">
        <v>1</v>
      </c>
      <c r="I7" s="137" t="b">
        <v>1</v>
      </c>
      <c r="J7" s="137" t="b">
        <v>1</v>
      </c>
      <c r="K7" s="138" t="b">
        <f t="shared" si="0"/>
        <v>1</v>
      </c>
      <c r="L7" s="62" t="b">
        <f t="shared" si="29"/>
        <v>1</v>
      </c>
      <c r="M7" s="62" t="b">
        <f t="shared" si="30"/>
        <v>1</v>
      </c>
      <c r="N7" s="55"/>
      <c r="O7" s="32"/>
      <c r="S7" s="32" t="str">
        <f t="shared" si="1"/>
        <v>N/A</v>
      </c>
      <c r="T7" s="221">
        <f t="shared" si="2"/>
        <v>0</v>
      </c>
      <c r="U7" s="51" t="b">
        <f t="shared" si="3"/>
        <v>1</v>
      </c>
      <c r="V7" s="74">
        <f>_xlfn.IFNA(VLOOKUP(B7,'Data Transfer Tables'!$A$111:$B$131,2),0)</f>
        <v>0</v>
      </c>
      <c r="W7" s="74" t="b">
        <f t="shared" si="4"/>
        <v>0</v>
      </c>
      <c r="X7" s="74" t="b">
        <f t="shared" si="5"/>
        <v>0</v>
      </c>
      <c r="Y7" s="222" t="b">
        <f t="shared" si="6"/>
        <v>1</v>
      </c>
      <c r="Z7" s="210" t="b">
        <f>OR(IF($T7=1,_xlfn.IFNA(VLOOKUP($C7,'Data Transfer Tables'!$B$144:$C$153,2,FALSE),FALSE),FALSE),
IF($T7=2,_xlfn.IFNA(VLOOKUP($C7,'Data Transfer Tables'!$B$158:$C$167,2,FALSE),FALSE),FALSE),
IF($T7=3,_xlfn.IFNA(VLOOKUP($C7,'Data Transfer Tables'!$B$172:$C$181,2,FALSE),FALSE),FALSE),
IF($T7=4,_xlfn.IFNA(VLOOKUP($C7,'Data Transfer Tables'!$B$186:$C$195,2,FALSE),FALSE),FALSE),
IF($T7=5,_xlfn.IFNA(VLOOKUP($C7,'Data Transfer Tables'!$B$200:$C$209,2,FALSE),FALSE),FALSE),
IF($T7=6,_xlfn.IFNA(VLOOKUP($C7,'Data Transfer Tables'!$B$214:$C$223,2,FALSE),FALSE),FALSE),
IF($T7=7,_xlfn.IFNA(VLOOKUP($C7,'Data Transfer Tables'!$B$228:$C$237,2,FALSE),FALSE),FALSE),
IF($T7=8,_xlfn.IFNA(VLOOKUP($C7,'Data Transfer Tables'!$B$242:$C$251,2,FALSE),FALSE),FALSE),
IF($T7=9,_xlfn.IFNA(VLOOKUP($C7,'Data Transfer Tables'!$B$256:$C$266,2,FALSE),FALSE),FALSE),
IF($T7=10,_xlfn.IFNA(VLOOKUP($C7,'Data Transfer Tables'!$B$271:$C$281,2,FALSE),FALSE),FALSE),
IF($T7=11,_xlfn.IFNA(VLOOKUP($C7,'Data Transfer Tables'!$B$286:$C$295,2,FALSE),FALSE),FALSE),
IF($T7=12,_xlfn.IFNA(VLOOKUP($C7,'Data Transfer Tables'!$B$300:$C$309,2,FALSE),FALSE),FALSE),
IF($T7=13,_xlfn.IFNA(VLOOKUP($C7,'Data Transfer Tables'!$B$314:$C$323,2,FALSE),FALSE),FALSE),
IF($T7=14,_xlfn.IFNA(VLOOKUP($C7,'Data Transfer Tables'!$B$328:$C$338,2,FALSE),FALSE),FALSE),
IF($T7=15,_xlfn.IFNA(VLOOKUP($C7,'Data Transfer Tables'!$B$343:$C$353,2,FALSE),FALSE),FALSE),
IF($T7=16,_xlfn.IFNA(VLOOKUP($C7,'Data Transfer Tables'!$B$358:$C$369,2,FALSE),FALSE),FALSE),
IF($T7=17,_xlfn.IFNA(VLOOKUP($C7,'Data Transfer Tables'!$B$374:$C$384,2,FALSE),FALSE),FALSE),
IF($T7=18,_xlfn.IFNA(VLOOKUP($C7,'Data Transfer Tables'!$B$389:$C$399,2,FALSE),FALSE),FALSE),
IF($T7=19,_xlfn.IFNA(VLOOKUP($C7,'Data Transfer Tables'!$B$404:$C$414,2,FALSE),FALSE),FALSE),
IF($T7=20,_xlfn.IFNA(VLOOKUP($C7,'Data Transfer Tables'!$B$419:$C$429,2,FALSE),FALSE),FALSE),
IF($T7=21,_xlfn.IFNA(VLOOKUP($C7,'Data Transfer Tables'!$B$434:$C$444,2,FALSE),FALSE),FALSE),
IF($T7=22,_xlfn.IFNA(VLOOKUP($C7,'Data Transfer Tables'!$B$449:$C$459,2,FALSE),FALSE),FALSE))</f>
        <v>0</v>
      </c>
      <c r="AA7" s="210" t="b">
        <f t="shared" si="7"/>
        <v>1</v>
      </c>
      <c r="AB7" s="222" t="b">
        <f t="shared" si="8"/>
        <v>0</v>
      </c>
      <c r="AC7" s="146" t="b">
        <f>OR(IF($T7=1,_xlfn.IFNA(VLOOKUP($D7,'Data Transfer Tables'!$E$144:$G$153,2,FALSE),FALSE),FALSE),
IF($T7=2,_xlfn.IFNA(VLOOKUP($D7,'Data Transfer Tables'!$E$158:$G$167,2,FALSE),FALSE),FALSE),
IF($T7=3,_xlfn.IFNA(VLOOKUP($D7,'Data Transfer Tables'!$E$172:$G$181,2,FALSE),FALSE),FALSE),
IF($T7=4,_xlfn.IFNA(VLOOKUP($D7,'Data Transfer Tables'!$E$186:$G$195,2,FALSE),FALSE),FALSE),
IF($T7=5,_xlfn.IFNA(VLOOKUP($D7,'Data Transfer Tables'!$E$200:$G$209,2,FALSE),FALSE),FALSE),
IF($T7=6,_xlfn.IFNA(VLOOKUP($D7,'Data Transfer Tables'!$E$214:$G$223,2,FALSE),FALSE),FALSE),
IF($T7=7,_xlfn.IFNA(VLOOKUP($D7,'Data Transfer Tables'!$E$228:$G$237,2,FALSE),FALSE),FALSE),
IF($T7=8,_xlfn.IFNA(VLOOKUP($D7,'Data Transfer Tables'!$E$242:$G$251,2,FALSE),FALSE),FALSE),
IF($T7=9,_xlfn.IFNA(VLOOKUP($D7,'Data Transfer Tables'!$E$256:$G$266,2,FALSE),FALSE),FALSE),
IF($T7=10,_xlfn.IFNA(VLOOKUP($D7,'Data Transfer Tables'!$E$271:$G$281,2,FALSE),FALSE),FALSE),
IF($T7=11,_xlfn.IFNA(VLOOKUP($D7,'Data Transfer Tables'!$E$286:$G$295,2,FALSE),FALSE),FALSE),
IF($T7=12,_xlfn.IFNA(VLOOKUP($D7,'Data Transfer Tables'!$E$300:$G$309,2,FALSE),FALSE),FALSE),
IF($T7=13,_xlfn.IFNA(VLOOKUP($D7,'Data Transfer Tables'!$E$314:$G$323,2,FALSE),FALSE),FALSE),
IF($T7=14,_xlfn.IFNA(VLOOKUP($D7,'Data Transfer Tables'!$E$328:$G$338,2,FALSE),FALSE),FALSE),
IF($T7=15,_xlfn.IFNA(VLOOKUP($D7,'Data Transfer Tables'!$E$343:$G$353,2,FALSE),FALSE),FALSE),
IF($T7=16,_xlfn.IFNA(VLOOKUP($D7,'Data Transfer Tables'!$E$358:$G$369,2,FALSE),FALSE),FALSE),
IF($T7=17,_xlfn.IFNA(VLOOKUP($D7,'Data Transfer Tables'!$E$374:$G$384,2,FALSE),FALSE),FALSE),
IF($T7=18,_xlfn.IFNA(VLOOKUP($D7,'Data Transfer Tables'!$E$389:$G$399,2,FALSE),FALSE),FALSE),
IF($T7=19,_xlfn.IFNA(VLOOKUP($D7,'Data Transfer Tables'!$E$404:$G$414,2,FALSE),FALSE),FALSE),
IF($T7=20,_xlfn.IFNA(VLOOKUP($D7,'Data Transfer Tables'!$E$419:$G$429,2,FALSE),FALSE),FALSE),
IF($T7=21,_xlfn.IFNA(VLOOKUP($D7,'Data Transfer Tables'!$E$434:$G$444,2,FALSE),FALSE),FALSE),
IF($T7=22,_xlfn.IFNA(VLOOKUP($D7,'Data Transfer Tables'!$E$449:$G$459,2,FALSE),FALSE),FALSE))</f>
        <v>0</v>
      </c>
      <c r="AD7" s="146" t="b">
        <f t="shared" si="9"/>
        <v>1</v>
      </c>
      <c r="AE7" s="222" t="b">
        <f t="shared" si="10"/>
        <v>0</v>
      </c>
      <c r="AF7" s="145" t="b">
        <f>OR(IF($T7=1,_xlfn.IFNA(VLOOKUP($E7,'Data Transfer Tables'!$H$144:$I$153,2,FALSE),FALSE),FALSE),
IF($T7=2,_xlfn.IFNA(VLOOKUP($E7,'Data Transfer Tables'!$H$158:$I$167,2,FALSE),FALSE),FALSE),
IF($T7=3,_xlfn.IFNA(VLOOKUP($E7,'Data Transfer Tables'!$H$172:$I$181,2,FALSE),FALSE),FALSE),
IF($T7=4,_xlfn.IFNA(VLOOKUP($E7,'Data Transfer Tables'!$H$186:$I$195,2,FALSE),FALSE),FALSE),
IF($T7=5,_xlfn.IFNA(VLOOKUP($E7,'Data Transfer Tables'!$H$200:$I$209,2,FALSE),FALSE),FALSE),
IF($T7=6,_xlfn.IFNA(VLOOKUP($E7,'Data Transfer Tables'!$H$214:$I$223,2,FALSE),FALSE),FALSE),
IF($T7=7,_xlfn.IFNA(VLOOKUP($E7,'Data Transfer Tables'!$H$228:$I$237,2,FALSE),FALSE),FALSE),
IF($T7=8,_xlfn.IFNA(VLOOKUP($E7,'Data Transfer Tables'!$H$242:$I$251,2,FALSE),FALSE),FALSE),
IF($T7=9,_xlfn.IFNA(VLOOKUP($E7,'Data Transfer Tables'!$H$256:$I$266,2,FALSE),FALSE),FALSE),
IF($T7=10,_xlfn.IFNA(VLOOKUP($E7,'Data Transfer Tables'!$H$271:$I$281,2,FALSE),FALSE),FALSE),
IF($T7=11,_xlfn.IFNA(VLOOKUP($E7,'Data Transfer Tables'!$H$286:$I$295,2,FALSE),FALSE),FALSE),
IF($T7=12,_xlfn.IFNA(VLOOKUP($E7,'Data Transfer Tables'!$H$300:$I$309,2,FALSE),FALSE),FALSE),
IF($T7=13,_xlfn.IFNA(VLOOKUP($E7,'Data Transfer Tables'!$H$314:$I$323,2,FALSE),FALSE),FALSE),
IF($T7=14,_xlfn.IFNA(VLOOKUP($E7,'Data Transfer Tables'!$H$328:$I$338,2,FALSE),FALSE),FALSE),
IF($T7=15,_xlfn.IFNA(VLOOKUP($E7,'Data Transfer Tables'!$H$343:$I$353,2,FALSE),FALSE),FALSE),
IF($T7=16,_xlfn.IFNA(VLOOKUP($E7,'Data Transfer Tables'!$H$358:$I$369,2,FALSE),FALSE),FALSE),
IF($T7=17,_xlfn.IFNA(VLOOKUP($E7,'Data Transfer Tables'!$H$374:$I$384,2,FALSE),FALSE),FALSE),
IF($T7=18,_xlfn.IFNA(VLOOKUP($E7,'Data Transfer Tables'!$H$389:$I$399,2,FALSE),FALSE),FALSE),
IF($T7=19,_xlfn.IFNA(VLOOKUP($E7,'Data Transfer Tables'!$H$404:$I$414,2,FALSE),FALSE),FALSE),
IF($T7=20,_xlfn.IFNA(VLOOKUP($E7,'Data Transfer Tables'!$H$419:$I$429,2,FALSE),FALSE),FALSE),
IF($T7=21,_xlfn.IFNA(VLOOKUP($E7,'Data Transfer Tables'!$H$434:$I$444,2,FALSE),FALSE),FALSE),
IF($T7=22,_xlfn.IFNA(VLOOKUP($E7,'Data Transfer Tables'!$H$449:$I$459,2,FALSE),FALSE),FALSE))</f>
        <v>0</v>
      </c>
      <c r="AG7" s="145" t="b">
        <f t="shared" si="11"/>
        <v>1</v>
      </c>
      <c r="AH7" s="223" t="b">
        <f t="shared" si="12"/>
        <v>0</v>
      </c>
      <c r="AI7" s="147" t="b">
        <f>OR(IF($T7=1,_xlfn.IFNA(VLOOKUP($F7,'Data Transfer Tables'!$K$144:$L$153,2,FALSE),FALSE),FALSE),
IF($T7=2,_xlfn.IFNA(VLOOKUP($F7,'Data Transfer Tables'!$K$158:$L$167,2,FALSE),FALSE),FALSE),
IF($T7=3,_xlfn.IFNA(VLOOKUP($F7,'Data Transfer Tables'!$K$172:$L$181,2,FALSE),FALSE),FALSE),
IF($T7=4,_xlfn.IFNA(VLOOKUP($F7,'Data Transfer Tables'!$K$186:$L$195,2,FALSE),FALSE),FALSE),
IF($T7=5,_xlfn.IFNA(VLOOKUP($F7,'Data Transfer Tables'!$K$200:$L$209,2,FALSE),FALSE),FALSE),
IF($T7=6,_xlfn.IFNA(VLOOKUP($F7,'Data Transfer Tables'!$K$214:$L$223,2,FALSE),FALSE),FALSE),
IF($T7=7,_xlfn.IFNA(VLOOKUP($F7,'Data Transfer Tables'!$K$228:$L$237,2,FALSE),FALSE),FALSE),
IF($T7=8,_xlfn.IFNA(VLOOKUP($F7,'Data Transfer Tables'!$K$242:$L$251,2,FALSE),FALSE),FALSE),
IF($T7=9,_xlfn.IFNA(VLOOKUP($F7,'Data Transfer Tables'!$K$256:$L$266,2,FALSE),FALSE),FALSE),
IF($T7=10,_xlfn.IFNA(VLOOKUP($F7,'Data Transfer Tables'!$K$271:$L$281,2,FALSE),FALSE),FALSE),
IF($T7=11,_xlfn.IFNA(VLOOKUP($F7,'Data Transfer Tables'!$K$286:$L$295,2,FALSE),FALSE),FALSE),
IF($T7=12,_xlfn.IFNA(VLOOKUP($F7,'Data Transfer Tables'!$K$300:$L$309,2,FALSE),FALSE),FALSE),
IF($T7=13,_xlfn.IFNA(VLOOKUP($F7,'Data Transfer Tables'!$K$314:$L$323,2,FALSE),FALSE),FALSE),
IF($T7=14,_xlfn.IFNA(VLOOKUP($F7,'Data Transfer Tables'!$K$328:$L$338,2,FALSE),FALSE),FALSE),
IF($T7=15,_xlfn.IFNA(VLOOKUP($F7,'Data Transfer Tables'!$K$343:$L$353,2,FALSE),FALSE),FALSE),
IF($T7=16,_xlfn.IFNA(VLOOKUP($F7,'Data Transfer Tables'!$K$358:$L$369,2,FALSE),FALSE),FALSE),
IF($T7=17,_xlfn.IFNA(VLOOKUP($F7,'Data Transfer Tables'!$K$374:$L$384,2,FALSE),FALSE),FALSE),
IF($T7=18,_xlfn.IFNA(VLOOKUP($F7,'Data Transfer Tables'!$K$389:$L$399,2,FALSE),FALSE),FALSE),
IF($T7=19,_xlfn.IFNA(VLOOKUP($F7,'Data Transfer Tables'!$K$404:$L$414,2,FALSE),FALSE),FALSE),
IF($T7=20,_xlfn.IFNA(VLOOKUP($F7,'Data Transfer Tables'!$K$419:$L$429,2,FALSE),FALSE),FALSE),
IF($T7=21,_xlfn.IFNA(VLOOKUP($F7,'Data Transfer Tables'!$K$434:$L$444,2,FALSE),FALSE),FALSE),
IF($T7=22,_xlfn.IFNA(VLOOKUP($F7,'Data Transfer Tables'!$K$449:$L$459,2,FALSE),FALSE),FALSE))</f>
        <v>0</v>
      </c>
      <c r="AJ7" s="147" t="b">
        <f t="shared" si="13"/>
        <v>1</v>
      </c>
      <c r="AK7" s="224" t="b">
        <f t="shared" si="14"/>
        <v>0</v>
      </c>
      <c r="AL7" s="225" t="b">
        <f t="shared" si="15"/>
        <v>0</v>
      </c>
      <c r="AM7" s="225" t="b">
        <f t="shared" si="16"/>
        <v>0</v>
      </c>
      <c r="AN7" s="225" t="b">
        <f t="shared" si="17"/>
        <v>0</v>
      </c>
      <c r="AO7" s="196" t="b">
        <f>OR(IF($T7=1,_xlfn.IFNA(VLOOKUP($G7,'Data Transfer Tables'!$E$113:$F$125,2,FALSE),FALSE),FALSE),
IF($T7=2,_xlfn.IFNA(VLOOKUP($G7,'Data Transfer Tables'!$E$113:$F$125,2,FALSE),FALSE),FALSE),
IF($T7=3,_xlfn.IFNA(VLOOKUP($G7,'Data Transfer Tables'!$E$113:$F$125,2,FALSE),FALSE),FALSE),
IF($T7=4,_xlfn.IFNA(VLOOKUP($G7,'Data Transfer Tables'!$E$113:$F$125,2,FALSE),FALSE),FALSE),
IF($T7=5,_xlfn.IFNA(VLOOKUP($G7,'Data Transfer Tables'!$E$113:$F$125,2,FALSE),FALSE),FALSE),
IF($T7=6,_xlfn.IFNA(VLOOKUP($G7,'Data Transfer Tables'!$E$113:$F$125,2,FALSE),FALSE),FALSE),
IF($T7=7,_xlfn.IFNA(VLOOKUP($G7,'Data Transfer Tables'!$E$113:$F$125,2,FALSE),FALSE),FALSE),
IF($T7=8,_xlfn.IFNA(VLOOKUP($G7,'Data Transfer Tables'!$E$113:$F$125,2,FALSE),FALSE),FALSE),
IF($T7=9,_xlfn.IFNA(VLOOKUP($G7,'Data Transfer Tables'!$E$113:$F$125,2,FALSE),FALSE),FALSE),
IF($T7=10,_xlfn.IFNA(VLOOKUP($G7,'Data Transfer Tables'!$E$113:$F$125,2,FALSE),FALSE),FALSE),
IF($T7=11,_xlfn.IFNA(VLOOKUP($G7,'Data Transfer Tables'!$E$113:$F$125,2,FALSE),FALSE),FALSE),
IF($T7=12,_xlfn.IFNA(VLOOKUP($G7,'Data Transfer Tables'!$E$113:$F$125,2,FALSE),FALSE),FALSE),
IF($T7=13,_xlfn.IFNA(VLOOKUP($G7,'Data Transfer Tables'!$E$113:$F$125,2,FALSE),FALSE),FALSE),
IF($T7=14,_xlfn.IFNA(VLOOKUP($G7,'Data Transfer Tables'!$E$113:$F$125,2,FALSE),FALSE),FALSE),
IF($T7=15,_xlfn.IFNA(VLOOKUP($G7,'Data Transfer Tables'!$E$113:$F$125,2,FALSE),FALSE),FALSE),
IF($T7=16,_xlfn.IFNA(VLOOKUP($G7,'Data Transfer Tables'!$E$113:$F$125,2,FALSE),FALSE),FALSE),
IF($T7=17,_xlfn.IFNA(VLOOKUP($G7,'Data Transfer Tables'!$E$113:$F$125,2,FALSE),FALSE),FALSE),
IF($T7=18,_xlfn.IFNA(VLOOKUP($G7,'Data Transfer Tables'!$E$113:$F$125,2,FALSE),FALSE),FALSE),
IF($T7=19,_xlfn.IFNA(VLOOKUP($G7,'Data Transfer Tables'!$E$113:$F$125,2,FALSE),FALSE),FALSE),
IF($T7=20,_xlfn.IFNA(VLOOKUP($G7,'Data Transfer Tables'!$E$113:$F$125,2,FALSE),FALSE),FALSE),
IF($T7=21,_xlfn.IFNA(VLOOKUP($G7,'Data Transfer Tables'!$E$113:$F$125,2,FALSE),FALSE),FALSE),
IF($T7=22,_xlfn.IFNA(VLOOKUP($G7,'Data Transfer Tables'!$E$113:$F$125,2,FALSE),FALSE),FALSE))</f>
        <v>0</v>
      </c>
      <c r="AP7" s="196" t="b">
        <f t="shared" si="18"/>
        <v>1</v>
      </c>
      <c r="AQ7" s="211" t="b">
        <f t="shared" si="31"/>
        <v>1</v>
      </c>
      <c r="AR7" s="211" t="b">
        <f t="shared" si="32"/>
        <v>0</v>
      </c>
      <c r="AS7" s="94" t="b">
        <f t="shared" si="19"/>
        <v>1</v>
      </c>
      <c r="AT7" s="140" t="str">
        <f t="shared" si="20"/>
        <v/>
      </c>
      <c r="AU7" s="226" t="str">
        <f t="shared" si="21"/>
        <v>N/A</v>
      </c>
      <c r="AV7" s="226" t="str">
        <f t="shared" si="22"/>
        <v>N/A</v>
      </c>
      <c r="AW7" s="32" t="str">
        <f t="shared" si="23"/>
        <v>N/A</v>
      </c>
      <c r="AX7" s="32" t="b">
        <f t="shared" si="33"/>
        <v>0</v>
      </c>
      <c r="AY7" s="32" t="str">
        <f t="shared" si="34"/>
        <v/>
      </c>
      <c r="AZ7" s="32" t="str">
        <f t="shared" si="24"/>
        <v/>
      </c>
      <c r="BA7" s="32" t="str">
        <f t="shared" si="25"/>
        <v/>
      </c>
      <c r="BB7" s="32" t="str">
        <f t="shared" si="26"/>
        <v/>
      </c>
      <c r="BC7" s="32" t="str">
        <f t="shared" si="27"/>
        <v/>
      </c>
      <c r="BD7" s="32" t="str">
        <f t="shared" si="28"/>
        <v/>
      </c>
    </row>
    <row r="8" spans="1:56" s="141" customFormat="1" ht="13.5" thickBot="1" x14ac:dyDescent="0.25">
      <c r="A8" s="63" t="s">
        <v>673</v>
      </c>
      <c r="B8" s="63" t="s">
        <v>44</v>
      </c>
      <c r="C8" s="63" t="s">
        <v>44</v>
      </c>
      <c r="D8" s="63" t="s">
        <v>44</v>
      </c>
      <c r="E8" s="63" t="s">
        <v>44</v>
      </c>
      <c r="F8" s="63" t="s">
        <v>44</v>
      </c>
      <c r="G8" s="63" t="s">
        <v>44</v>
      </c>
      <c r="H8" s="137" t="b">
        <v>1</v>
      </c>
      <c r="I8" s="137" t="b">
        <v>1</v>
      </c>
      <c r="J8" s="137" t="b">
        <v>1</v>
      </c>
      <c r="K8" s="138" t="b">
        <f>IF(AND(W8=TRUE,X8=TRUE,AR8=FALSE),FALSE,IF(AND(W8=FALSE,X8=FALSE,AR8=FALSE),TRUE,IF(AND(AS8,AU8,AQ8,W8,X8,AR8),TRUE,FALSE)))</f>
        <v>1</v>
      </c>
      <c r="L8" s="62" t="b">
        <f t="shared" si="29"/>
        <v>1</v>
      </c>
      <c r="M8" s="62" t="b">
        <f t="shared" si="30"/>
        <v>1</v>
      </c>
      <c r="N8" s="139"/>
      <c r="O8" s="140"/>
      <c r="S8" s="140" t="str">
        <f t="shared" si="1"/>
        <v>N/A</v>
      </c>
      <c r="T8" s="221">
        <f t="shared" si="2"/>
        <v>0</v>
      </c>
      <c r="U8" s="94" t="b">
        <f t="shared" si="3"/>
        <v>1</v>
      </c>
      <c r="V8" s="196">
        <f>_xlfn.IFNA(VLOOKUP(B8,'Data Transfer Tables'!$A$111:$B$131,2),0)</f>
        <v>0</v>
      </c>
      <c r="W8" s="196" t="b">
        <f t="shared" si="4"/>
        <v>0</v>
      </c>
      <c r="X8" s="196" t="b">
        <f t="shared" si="5"/>
        <v>0</v>
      </c>
      <c r="Y8" s="225" t="b">
        <f t="shared" si="6"/>
        <v>1</v>
      </c>
      <c r="Z8" s="212" t="b">
        <f>OR(IF($T8=1,_xlfn.IFNA(VLOOKUP($C8,'Data Transfer Tables'!$B$144:$C$153,2,FALSE),FALSE),FALSE),
IF($T8=2,_xlfn.IFNA(VLOOKUP($C8,'Data Transfer Tables'!$B$158:$C$167,2,FALSE),FALSE),FALSE),
IF($T8=3,_xlfn.IFNA(VLOOKUP($C8,'Data Transfer Tables'!$B$172:$C$181,2,FALSE),FALSE),FALSE),
IF($T8=4,_xlfn.IFNA(VLOOKUP($C8,'Data Transfer Tables'!$B$186:$C$195,2,FALSE),FALSE),FALSE),
IF($T8=5,_xlfn.IFNA(VLOOKUP($C8,'Data Transfer Tables'!$B$200:$C$209,2,FALSE),FALSE),FALSE),
IF($T8=6,_xlfn.IFNA(VLOOKUP($C8,'Data Transfer Tables'!$B$214:$C$223,2,FALSE),FALSE),FALSE),
IF($T8=7,_xlfn.IFNA(VLOOKUP($C8,'Data Transfer Tables'!$B$228:$C$237,2,FALSE),FALSE),FALSE),
IF($T8=8,_xlfn.IFNA(VLOOKUP($C8,'Data Transfer Tables'!$B$242:$C$251,2,FALSE),FALSE),FALSE),
IF($T8=9,_xlfn.IFNA(VLOOKUP($C8,'Data Transfer Tables'!$B$256:$C$266,2,FALSE),FALSE),FALSE),
IF($T8=10,_xlfn.IFNA(VLOOKUP($C8,'Data Transfer Tables'!$B$271:$C$281,2,FALSE),FALSE),FALSE),
IF($T8=11,_xlfn.IFNA(VLOOKUP($C8,'Data Transfer Tables'!$B$286:$C$295,2,FALSE),FALSE),FALSE),
IF($T8=12,_xlfn.IFNA(VLOOKUP($C8,'Data Transfer Tables'!$B$300:$C$309,2,FALSE),FALSE),FALSE),
IF($T8=13,_xlfn.IFNA(VLOOKUP($C8,'Data Transfer Tables'!$B$314:$C$323,2,FALSE),FALSE),FALSE),
IF($T8=14,_xlfn.IFNA(VLOOKUP($C8,'Data Transfer Tables'!$B$328:$C$338,2,FALSE),FALSE),FALSE),
IF($T8=15,_xlfn.IFNA(VLOOKUP($C8,'Data Transfer Tables'!$B$343:$C$353,2,FALSE),FALSE),FALSE),
IF($T8=16,_xlfn.IFNA(VLOOKUP($C8,'Data Transfer Tables'!$B$358:$C$369,2,FALSE),FALSE),FALSE),
IF($T8=17,_xlfn.IFNA(VLOOKUP($C8,'Data Transfer Tables'!$B$374:$C$384,2,FALSE),FALSE),FALSE),
IF($T8=18,_xlfn.IFNA(VLOOKUP($C8,'Data Transfer Tables'!$B$389:$C$399,2,FALSE),FALSE),FALSE),
IF($T8=19,_xlfn.IFNA(VLOOKUP($C8,'Data Transfer Tables'!$B$404:$C$414,2,FALSE),FALSE),FALSE),
IF($T8=20,_xlfn.IFNA(VLOOKUP($C8,'Data Transfer Tables'!$B$419:$C$429,2,FALSE),FALSE),FALSE),
IF($T8=21,_xlfn.IFNA(VLOOKUP($C8,'Data Transfer Tables'!$B$434:$C$444,2,FALSE),FALSE),FALSE),
IF($T8=22,_xlfn.IFNA(VLOOKUP($C8,'Data Transfer Tables'!$B$449:$C$459,2,FALSE),FALSE),FALSE))</f>
        <v>0</v>
      </c>
      <c r="AA8" s="212" t="b">
        <f t="shared" si="7"/>
        <v>1</v>
      </c>
      <c r="AB8" s="225" t="b">
        <f t="shared" si="8"/>
        <v>0</v>
      </c>
      <c r="AC8" s="213" t="b">
        <f>OR(IF($T8=1,_xlfn.IFNA(VLOOKUP($D8,'Data Transfer Tables'!$E$144:$G$153,2,FALSE),FALSE),FALSE),
IF($T8=2,_xlfn.IFNA(VLOOKUP($D8,'Data Transfer Tables'!$E$158:$G$167,2,FALSE),FALSE),FALSE),
IF($T8=3,_xlfn.IFNA(VLOOKUP($D8,'Data Transfer Tables'!$E$172:$G$181,2,FALSE),FALSE),FALSE),
IF($T8=4,_xlfn.IFNA(VLOOKUP($D8,'Data Transfer Tables'!$E$186:$G$195,2,FALSE),FALSE),FALSE),
IF($T8=5,_xlfn.IFNA(VLOOKUP($D8,'Data Transfer Tables'!$E$200:$G$209,2,FALSE),FALSE),FALSE),
IF($T8=6,_xlfn.IFNA(VLOOKUP($D8,'Data Transfer Tables'!$E$214:$G$223,2,FALSE),FALSE),FALSE),
IF($T8=7,_xlfn.IFNA(VLOOKUP($D8,'Data Transfer Tables'!$E$228:$G$237,2,FALSE),FALSE),FALSE),
IF($T8=8,_xlfn.IFNA(VLOOKUP($D8,'Data Transfer Tables'!$E$242:$G$251,2,FALSE),FALSE),FALSE),
IF($T8=9,_xlfn.IFNA(VLOOKUP($D8,'Data Transfer Tables'!$E$256:$G$266,2,FALSE),FALSE),FALSE),
IF($T8=10,_xlfn.IFNA(VLOOKUP($D8,'Data Transfer Tables'!$E$271:$G$281,2,FALSE),FALSE),FALSE),
IF($T8=11,_xlfn.IFNA(VLOOKUP($D8,'Data Transfer Tables'!$E$286:$G$295,2,FALSE),FALSE),FALSE),
IF($T8=12,_xlfn.IFNA(VLOOKUP($D8,'Data Transfer Tables'!$E$300:$G$309,2,FALSE),FALSE),FALSE),
IF($T8=13,_xlfn.IFNA(VLOOKUP($D8,'Data Transfer Tables'!$E$314:$G$323,2,FALSE),FALSE),FALSE),
IF($T8=14,_xlfn.IFNA(VLOOKUP($D8,'Data Transfer Tables'!$E$328:$G$338,2,FALSE),FALSE),FALSE),
IF($T8=15,_xlfn.IFNA(VLOOKUP($D8,'Data Transfer Tables'!$E$343:$G$353,2,FALSE),FALSE),FALSE),
IF($T8=16,_xlfn.IFNA(VLOOKUP($D8,'Data Transfer Tables'!$E$358:$G$369,2,FALSE),FALSE),FALSE),
IF($T8=17,_xlfn.IFNA(VLOOKUP($D8,'Data Transfer Tables'!$E$374:$G$384,2,FALSE),FALSE),FALSE),
IF($T8=18,_xlfn.IFNA(VLOOKUP($D8,'Data Transfer Tables'!$E$389:$G$399,2,FALSE),FALSE),FALSE),
IF($T8=19,_xlfn.IFNA(VLOOKUP($D8,'Data Transfer Tables'!$E$404:$G$414,2,FALSE),FALSE),FALSE),
IF($T8=20,_xlfn.IFNA(VLOOKUP($D8,'Data Transfer Tables'!$E$419:$G$429,2,FALSE),FALSE),FALSE),
IF($T8=21,_xlfn.IFNA(VLOOKUP($D8,'Data Transfer Tables'!$E$434:$G$444,2,FALSE),FALSE),FALSE),
IF($T8=22,_xlfn.IFNA(VLOOKUP($D8,'Data Transfer Tables'!$E$449:$G$459,2,FALSE),FALSE),FALSE))</f>
        <v>0</v>
      </c>
      <c r="AD8" s="213" t="b">
        <f t="shared" si="9"/>
        <v>1</v>
      </c>
      <c r="AE8" s="225" t="b">
        <f t="shared" si="10"/>
        <v>0</v>
      </c>
      <c r="AF8" s="214" t="b">
        <f>OR(IF($T8=1,_xlfn.IFNA(VLOOKUP($E8,'Data Transfer Tables'!$H$144:$I$153,2,FALSE),FALSE),FALSE),
IF($T8=2,_xlfn.IFNA(VLOOKUP($E8,'Data Transfer Tables'!$H$158:$I$167,2,FALSE),FALSE),FALSE),
IF($T8=3,_xlfn.IFNA(VLOOKUP($E8,'Data Transfer Tables'!$H$172:$I$181,2,FALSE),FALSE),FALSE),
IF($T8=4,_xlfn.IFNA(VLOOKUP($E8,'Data Transfer Tables'!$H$186:$I$195,2,FALSE),FALSE),FALSE),
IF($T8=5,_xlfn.IFNA(VLOOKUP($E8,'Data Transfer Tables'!$H$200:$I$209,2,FALSE),FALSE),FALSE),
IF($T8=6,_xlfn.IFNA(VLOOKUP($E8,'Data Transfer Tables'!$H$214:$I$223,2,FALSE),FALSE),FALSE),
IF($T8=7,_xlfn.IFNA(VLOOKUP($E8,'Data Transfer Tables'!$H$228:$I$237,2,FALSE),FALSE),FALSE),
IF($T8=8,_xlfn.IFNA(VLOOKUP($E8,'Data Transfer Tables'!$H$242:$I$251,2,FALSE),FALSE),FALSE),
IF($T8=9,_xlfn.IFNA(VLOOKUP($E8,'Data Transfer Tables'!$H$256:$I$266,2,FALSE),FALSE),FALSE),
IF($T8=10,_xlfn.IFNA(VLOOKUP($E8,'Data Transfer Tables'!$H$271:$I$281,2,FALSE),FALSE),FALSE),
IF($T8=11,_xlfn.IFNA(VLOOKUP($E8,'Data Transfer Tables'!$H$286:$I$295,2,FALSE),FALSE),FALSE),
IF($T8=12,_xlfn.IFNA(VLOOKUP($E8,'Data Transfer Tables'!$H$300:$I$309,2,FALSE),FALSE),FALSE),
IF($T8=13,_xlfn.IFNA(VLOOKUP($E8,'Data Transfer Tables'!$H$314:$I$323,2,FALSE),FALSE),FALSE),
IF($T8=14,_xlfn.IFNA(VLOOKUP($E8,'Data Transfer Tables'!$H$328:$I$338,2,FALSE),FALSE),FALSE),
IF($T8=15,_xlfn.IFNA(VLOOKUP($E8,'Data Transfer Tables'!$H$343:$I$353,2,FALSE),FALSE),FALSE),
IF($T8=16,_xlfn.IFNA(VLOOKUP($E8,'Data Transfer Tables'!$H$358:$I$369,2,FALSE),FALSE),FALSE),
IF($T8=17,_xlfn.IFNA(VLOOKUP($E8,'Data Transfer Tables'!$H$374:$I$384,2,FALSE),FALSE),FALSE),
IF($T8=18,_xlfn.IFNA(VLOOKUP($E8,'Data Transfer Tables'!$H$389:$I$399,2,FALSE),FALSE),FALSE),
IF($T8=19,_xlfn.IFNA(VLOOKUP($E8,'Data Transfer Tables'!$H$404:$I$414,2,FALSE),FALSE),FALSE),
IF($T8=20,_xlfn.IFNA(VLOOKUP($E8,'Data Transfer Tables'!$H$419:$I$429,2,FALSE),FALSE),FALSE),
IF($T8=21,_xlfn.IFNA(VLOOKUP($E8,'Data Transfer Tables'!$H$434:$I$444,2,FALSE),FALSE),FALSE),
IF($T8=22,_xlfn.IFNA(VLOOKUP($E8,'Data Transfer Tables'!$H$449:$I$459,2,FALSE),FALSE),FALSE))</f>
        <v>0</v>
      </c>
      <c r="AG8" s="214" t="b">
        <f t="shared" si="11"/>
        <v>1</v>
      </c>
      <c r="AH8" s="227" t="b">
        <f t="shared" si="12"/>
        <v>0</v>
      </c>
      <c r="AI8" s="228" t="b">
        <f>OR(IF($T8=1,_xlfn.IFNA(VLOOKUP($F8,'Data Transfer Tables'!$K$144:$L$153,2,FALSE),FALSE),FALSE),
IF($T8=2,_xlfn.IFNA(VLOOKUP($F8,'Data Transfer Tables'!$K$158:$L$167,2,FALSE),FALSE),FALSE),
IF($T8=3,_xlfn.IFNA(VLOOKUP($F8,'Data Transfer Tables'!$K$172:$L$181,2,FALSE),FALSE),FALSE),
IF($T8=4,_xlfn.IFNA(VLOOKUP($F8,'Data Transfer Tables'!$K$186:$L$195,2,FALSE),FALSE),FALSE),
IF($T8=5,_xlfn.IFNA(VLOOKUP($F8,'Data Transfer Tables'!$K$200:$L$209,2,FALSE),FALSE),FALSE),
IF($T8=6,_xlfn.IFNA(VLOOKUP($F8,'Data Transfer Tables'!$K$214:$L$223,2,FALSE),FALSE),FALSE),
IF($T8=7,_xlfn.IFNA(VLOOKUP($F8,'Data Transfer Tables'!$K$228:$L$237,2,FALSE),FALSE),FALSE),
IF($T8=8,_xlfn.IFNA(VLOOKUP($F8,'Data Transfer Tables'!$K$242:$L$251,2,FALSE),FALSE),FALSE),
IF($T8=9,_xlfn.IFNA(VLOOKUP($F8,'Data Transfer Tables'!$K$256:$L$266,2,FALSE),FALSE),FALSE),
IF($T8=10,_xlfn.IFNA(VLOOKUP($F8,'Data Transfer Tables'!$K$271:$L$281,2,FALSE),FALSE),FALSE),
IF($T8=11,_xlfn.IFNA(VLOOKUP($F8,'Data Transfer Tables'!$K$286:$L$295,2,FALSE),FALSE),FALSE),
IF($T8=12,_xlfn.IFNA(VLOOKUP($F8,'Data Transfer Tables'!$K$300:$L$309,2,FALSE),FALSE),FALSE),
IF($T8=13,_xlfn.IFNA(VLOOKUP($F8,'Data Transfer Tables'!$K$314:$L$323,2,FALSE),FALSE),FALSE),
IF($T8=14,_xlfn.IFNA(VLOOKUP($F8,'Data Transfer Tables'!$K$328:$L$338,2,FALSE),FALSE),FALSE),
IF($T8=15,_xlfn.IFNA(VLOOKUP($F8,'Data Transfer Tables'!$K$343:$L$353,2,FALSE),FALSE),FALSE),
IF($T8=16,_xlfn.IFNA(VLOOKUP($F8,'Data Transfer Tables'!$K$358:$L$369,2,FALSE),FALSE),FALSE),
IF($T8=17,_xlfn.IFNA(VLOOKUP($F8,'Data Transfer Tables'!$K$374:$L$384,2,FALSE),FALSE),FALSE),
IF($T8=18,_xlfn.IFNA(VLOOKUP($F8,'Data Transfer Tables'!$K$389:$L$399,2,FALSE),FALSE),FALSE),
IF($T8=19,_xlfn.IFNA(VLOOKUP($F8,'Data Transfer Tables'!$K$404:$L$414,2,FALSE),FALSE),FALSE),
IF($T8=20,_xlfn.IFNA(VLOOKUP($F8,'Data Transfer Tables'!$K$419:$L$429,2,FALSE),FALSE),FALSE),
IF($T8=21,_xlfn.IFNA(VLOOKUP($F8,'Data Transfer Tables'!$K$434:$L$444,2,FALSE),FALSE),FALSE),
IF($T8=22,_xlfn.IFNA(VLOOKUP($F8,'Data Transfer Tables'!$K$449:$L$459,2,FALSE),FALSE),FALSE))</f>
        <v>0</v>
      </c>
      <c r="AJ8" s="228" t="b">
        <f t="shared" si="13"/>
        <v>1</v>
      </c>
      <c r="AK8" s="229" t="b">
        <f t="shared" si="14"/>
        <v>0</v>
      </c>
      <c r="AL8" s="225" t="b">
        <f t="shared" si="15"/>
        <v>0</v>
      </c>
      <c r="AM8" s="225" t="b">
        <f t="shared" si="16"/>
        <v>0</v>
      </c>
      <c r="AN8" s="225" t="b">
        <f t="shared" si="17"/>
        <v>0</v>
      </c>
      <c r="AO8" s="196" t="b">
        <f>OR(IF($T8=1,_xlfn.IFNA(VLOOKUP($G8,'Data Transfer Tables'!$E$113:$F$125,2,FALSE),FALSE),FALSE),
IF($T8=2,_xlfn.IFNA(VLOOKUP($G8,'Data Transfer Tables'!$E$113:$F$125,2,FALSE),FALSE),FALSE),
IF($T8=3,_xlfn.IFNA(VLOOKUP($G8,'Data Transfer Tables'!$E$113:$F$125,2,FALSE),FALSE),FALSE),
IF($T8=4,_xlfn.IFNA(VLOOKUP($G8,'Data Transfer Tables'!$E$113:$F$125,2,FALSE),FALSE),FALSE),
IF($T8=5,_xlfn.IFNA(VLOOKUP($G8,'Data Transfer Tables'!$E$113:$F$125,2,FALSE),FALSE),FALSE),
IF($T8=6,_xlfn.IFNA(VLOOKUP($G8,'Data Transfer Tables'!$E$113:$F$125,2,FALSE),FALSE),FALSE),
IF($T8=7,_xlfn.IFNA(VLOOKUP($G8,'Data Transfer Tables'!$E$113:$F$125,2,FALSE),FALSE),FALSE),
IF($T8=8,_xlfn.IFNA(VLOOKUP($G8,'Data Transfer Tables'!$E$113:$F$125,2,FALSE),FALSE),FALSE),
IF($T8=9,_xlfn.IFNA(VLOOKUP($G8,'Data Transfer Tables'!$E$113:$F$125,2,FALSE),FALSE),FALSE),
IF($T8=10,_xlfn.IFNA(VLOOKUP($G8,'Data Transfer Tables'!$E$113:$F$125,2,FALSE),FALSE),FALSE),
IF($T8=11,_xlfn.IFNA(VLOOKUP($G8,'Data Transfer Tables'!$E$113:$F$125,2,FALSE),FALSE),FALSE),
IF($T8=12,_xlfn.IFNA(VLOOKUP($G8,'Data Transfer Tables'!$E$113:$F$125,2,FALSE),FALSE),FALSE),
IF($T8=13,_xlfn.IFNA(VLOOKUP($G8,'Data Transfer Tables'!$E$113:$F$125,2,FALSE),FALSE),FALSE),
IF($T8=14,_xlfn.IFNA(VLOOKUP($G8,'Data Transfer Tables'!$E$113:$F$125,2,FALSE),FALSE),FALSE),
IF($T8=15,_xlfn.IFNA(VLOOKUP($G8,'Data Transfer Tables'!$E$113:$F$125,2,FALSE),FALSE),FALSE),
IF($T8=16,_xlfn.IFNA(VLOOKUP($G8,'Data Transfer Tables'!$E$113:$F$125,2,FALSE),FALSE),FALSE),
IF($T8=17,_xlfn.IFNA(VLOOKUP($G8,'Data Transfer Tables'!$E$113:$F$125,2,FALSE),FALSE),FALSE),
IF($T8=18,_xlfn.IFNA(VLOOKUP($G8,'Data Transfer Tables'!$E$113:$F$125,2,FALSE),FALSE),FALSE),
IF($T8=19,_xlfn.IFNA(VLOOKUP($G8,'Data Transfer Tables'!$E$113:$F$125,2,FALSE),FALSE),FALSE),
IF($T8=20,_xlfn.IFNA(VLOOKUP($G8,'Data Transfer Tables'!$E$113:$F$125,2,FALSE),FALSE),FALSE),
IF($T8=21,_xlfn.IFNA(VLOOKUP($G8,'Data Transfer Tables'!$E$113:$F$125,2,FALSE),FALSE),FALSE),
IF($T8=22,_xlfn.IFNA(VLOOKUP($G8,'Data Transfer Tables'!$E$113:$F$125,2,FALSE),FALSE),FALSE))</f>
        <v>0</v>
      </c>
      <c r="AP8" s="196" t="b">
        <f t="shared" si="18"/>
        <v>1</v>
      </c>
      <c r="AQ8" s="211" t="b">
        <f t="shared" si="31"/>
        <v>1</v>
      </c>
      <c r="AR8" s="211" t="b">
        <f t="shared" si="32"/>
        <v>0</v>
      </c>
      <c r="AS8" s="94" t="b">
        <f t="shared" si="19"/>
        <v>1</v>
      </c>
      <c r="AT8" s="140" t="str">
        <f t="shared" si="20"/>
        <v/>
      </c>
      <c r="AU8" s="230" t="str">
        <f t="shared" si="21"/>
        <v>N/A</v>
      </c>
      <c r="AV8" s="230" t="str">
        <f t="shared" si="22"/>
        <v>N/A</v>
      </c>
      <c r="AW8" s="140" t="str">
        <f t="shared" si="23"/>
        <v>N/A</v>
      </c>
      <c r="AX8" s="32" t="b">
        <f t="shared" si="33"/>
        <v>0</v>
      </c>
      <c r="AY8" s="140" t="str">
        <f t="shared" si="34"/>
        <v/>
      </c>
      <c r="AZ8" s="140" t="str">
        <f t="shared" si="24"/>
        <v/>
      </c>
      <c r="BA8" s="140" t="str">
        <f t="shared" si="25"/>
        <v/>
      </c>
      <c r="BB8" s="140" t="str">
        <f t="shared" si="26"/>
        <v/>
      </c>
      <c r="BC8" s="140" t="str">
        <f t="shared" si="27"/>
        <v/>
      </c>
      <c r="BD8" s="140" t="str">
        <f t="shared" si="28"/>
        <v/>
      </c>
    </row>
    <row r="9" spans="1:56" s="33" customFormat="1" ht="13.5" thickBot="1" x14ac:dyDescent="0.25">
      <c r="A9" s="63" t="s">
        <v>673</v>
      </c>
      <c r="B9" s="63" t="s">
        <v>44</v>
      </c>
      <c r="C9" s="63" t="s">
        <v>44</v>
      </c>
      <c r="D9" s="63" t="s">
        <v>44</v>
      </c>
      <c r="E9" s="63" t="s">
        <v>44</v>
      </c>
      <c r="F9" s="63" t="s">
        <v>44</v>
      </c>
      <c r="G9" s="63" t="s">
        <v>44</v>
      </c>
      <c r="H9" s="99" t="b">
        <v>1</v>
      </c>
      <c r="I9" s="99" t="b">
        <v>1</v>
      </c>
      <c r="J9" s="99" t="b">
        <v>1</v>
      </c>
      <c r="K9" s="138" t="b">
        <f t="shared" si="0"/>
        <v>1</v>
      </c>
      <c r="L9" s="62" t="b">
        <f t="shared" si="29"/>
        <v>1</v>
      </c>
      <c r="M9" s="62" t="b">
        <f t="shared" si="30"/>
        <v>1</v>
      </c>
      <c r="N9" s="55"/>
      <c r="O9" s="32"/>
      <c r="S9" s="32" t="str">
        <f t="shared" si="1"/>
        <v>N/A</v>
      </c>
      <c r="T9" s="221">
        <f t="shared" si="2"/>
        <v>0</v>
      </c>
      <c r="U9" s="51" t="b">
        <f t="shared" si="3"/>
        <v>1</v>
      </c>
      <c r="V9" s="74">
        <f>_xlfn.IFNA(VLOOKUP(B9,'Data Transfer Tables'!$A$111:$B$131,2),0)</f>
        <v>0</v>
      </c>
      <c r="W9" s="74" t="b">
        <f t="shared" si="4"/>
        <v>0</v>
      </c>
      <c r="X9" s="74" t="b">
        <f t="shared" si="5"/>
        <v>0</v>
      </c>
      <c r="Y9" s="222" t="b">
        <f t="shared" si="6"/>
        <v>1</v>
      </c>
      <c r="Z9" s="210" t="b">
        <f>OR(IF($T9=1,_xlfn.IFNA(VLOOKUP($C9,'Data Transfer Tables'!$B$144:$C$153,2,FALSE),FALSE),FALSE),
IF($T9=2,_xlfn.IFNA(VLOOKUP($C9,'Data Transfer Tables'!$B$158:$C$167,2,FALSE),FALSE),FALSE),
IF($T9=3,_xlfn.IFNA(VLOOKUP($C9,'Data Transfer Tables'!$B$172:$C$181,2,FALSE),FALSE),FALSE),
IF($T9=4,_xlfn.IFNA(VLOOKUP($C9,'Data Transfer Tables'!$B$186:$C$195,2,FALSE),FALSE),FALSE),
IF($T9=5,_xlfn.IFNA(VLOOKUP($C9,'Data Transfer Tables'!$B$200:$C$209,2,FALSE),FALSE),FALSE),
IF($T9=6,_xlfn.IFNA(VLOOKUP($C9,'Data Transfer Tables'!$B$214:$C$223,2,FALSE),FALSE),FALSE),
IF($T9=7,_xlfn.IFNA(VLOOKUP($C9,'Data Transfer Tables'!$B$228:$C$237,2,FALSE),FALSE),FALSE),
IF($T9=8,_xlfn.IFNA(VLOOKUP($C9,'Data Transfer Tables'!$B$242:$C$251,2,FALSE),FALSE),FALSE),
IF($T9=9,_xlfn.IFNA(VLOOKUP($C9,'Data Transfer Tables'!$B$256:$C$266,2,FALSE),FALSE),FALSE),
IF($T9=10,_xlfn.IFNA(VLOOKUP($C9,'Data Transfer Tables'!$B$271:$C$281,2,FALSE),FALSE),FALSE),
IF($T9=11,_xlfn.IFNA(VLOOKUP($C9,'Data Transfer Tables'!$B$286:$C$295,2,FALSE),FALSE),FALSE),
IF($T9=12,_xlfn.IFNA(VLOOKUP($C9,'Data Transfer Tables'!$B$300:$C$309,2,FALSE),FALSE),FALSE),
IF($T9=13,_xlfn.IFNA(VLOOKUP($C9,'Data Transfer Tables'!$B$314:$C$323,2,FALSE),FALSE),FALSE),
IF($T9=14,_xlfn.IFNA(VLOOKUP($C9,'Data Transfer Tables'!$B$328:$C$338,2,FALSE),FALSE),FALSE),
IF($T9=15,_xlfn.IFNA(VLOOKUP($C9,'Data Transfer Tables'!$B$343:$C$353,2,FALSE),FALSE),FALSE),
IF($T9=16,_xlfn.IFNA(VLOOKUP($C9,'Data Transfer Tables'!$B$358:$C$369,2,FALSE),FALSE),FALSE),
IF($T9=17,_xlfn.IFNA(VLOOKUP($C9,'Data Transfer Tables'!$B$374:$C$384,2,FALSE),FALSE),FALSE),
IF($T9=18,_xlfn.IFNA(VLOOKUP($C9,'Data Transfer Tables'!$B$389:$C$399,2,FALSE),FALSE),FALSE),
IF($T9=19,_xlfn.IFNA(VLOOKUP($C9,'Data Transfer Tables'!$B$404:$C$414,2,FALSE),FALSE),FALSE),
IF($T9=20,_xlfn.IFNA(VLOOKUP($C9,'Data Transfer Tables'!$B$419:$C$429,2,FALSE),FALSE),FALSE),
IF($T9=21,_xlfn.IFNA(VLOOKUP($C9,'Data Transfer Tables'!$B$434:$C$444,2,FALSE),FALSE),FALSE),
IF($T9=22,_xlfn.IFNA(VLOOKUP($C9,'Data Transfer Tables'!$B$449:$C$459,2,FALSE),FALSE),FALSE))</f>
        <v>0</v>
      </c>
      <c r="AA9" s="210" t="b">
        <f t="shared" si="7"/>
        <v>1</v>
      </c>
      <c r="AB9" s="222" t="b">
        <f t="shared" si="8"/>
        <v>0</v>
      </c>
      <c r="AC9" s="146" t="b">
        <f>OR(IF($T9=1,_xlfn.IFNA(VLOOKUP($D9,'Data Transfer Tables'!$E$144:$G$153,2,FALSE),FALSE),FALSE),
IF($T9=2,_xlfn.IFNA(VLOOKUP($D9,'Data Transfer Tables'!$E$158:$G$167,2,FALSE),FALSE),FALSE),
IF($T9=3,_xlfn.IFNA(VLOOKUP($D9,'Data Transfer Tables'!$E$172:$G$181,2,FALSE),FALSE),FALSE),
IF($T9=4,_xlfn.IFNA(VLOOKUP($D9,'Data Transfer Tables'!$E$186:$G$195,2,FALSE),FALSE),FALSE),
IF($T9=5,_xlfn.IFNA(VLOOKUP($D9,'Data Transfer Tables'!$E$200:$G$209,2,FALSE),FALSE),FALSE),
IF($T9=6,_xlfn.IFNA(VLOOKUP($D9,'Data Transfer Tables'!$E$214:$G$223,2,FALSE),FALSE),FALSE),
IF($T9=7,_xlfn.IFNA(VLOOKUP($D9,'Data Transfer Tables'!$E$228:$G$237,2,FALSE),FALSE),FALSE),
IF($T9=8,_xlfn.IFNA(VLOOKUP($D9,'Data Transfer Tables'!$E$242:$G$251,2,FALSE),FALSE),FALSE),
IF($T9=9,_xlfn.IFNA(VLOOKUP($D9,'Data Transfer Tables'!$E$256:$G$266,2,FALSE),FALSE),FALSE),
IF($T9=10,_xlfn.IFNA(VLOOKUP($D9,'Data Transfer Tables'!$E$271:$G$281,2,FALSE),FALSE),FALSE),
IF($T9=11,_xlfn.IFNA(VLOOKUP($D9,'Data Transfer Tables'!$E$286:$G$295,2,FALSE),FALSE),FALSE),
IF($T9=12,_xlfn.IFNA(VLOOKUP($D9,'Data Transfer Tables'!$E$300:$G$309,2,FALSE),FALSE),FALSE),
IF($T9=13,_xlfn.IFNA(VLOOKUP($D9,'Data Transfer Tables'!$E$314:$G$323,2,FALSE),FALSE),FALSE),
IF($T9=14,_xlfn.IFNA(VLOOKUP($D9,'Data Transfer Tables'!$E$328:$G$338,2,FALSE),FALSE),FALSE),
IF($T9=15,_xlfn.IFNA(VLOOKUP($D9,'Data Transfer Tables'!$E$343:$G$353,2,FALSE),FALSE),FALSE),
IF($T9=16,_xlfn.IFNA(VLOOKUP($D9,'Data Transfer Tables'!$E$358:$G$369,2,FALSE),FALSE),FALSE),
IF($T9=17,_xlfn.IFNA(VLOOKUP($D9,'Data Transfer Tables'!$E$374:$G$384,2,FALSE),FALSE),FALSE),
IF($T9=18,_xlfn.IFNA(VLOOKUP($D9,'Data Transfer Tables'!$E$389:$G$399,2,FALSE),FALSE),FALSE),
IF($T9=19,_xlfn.IFNA(VLOOKUP($D9,'Data Transfer Tables'!$E$404:$G$414,2,FALSE),FALSE),FALSE),
IF($T9=20,_xlfn.IFNA(VLOOKUP($D9,'Data Transfer Tables'!$E$419:$G$429,2,FALSE),FALSE),FALSE),
IF($T9=21,_xlfn.IFNA(VLOOKUP($D9,'Data Transfer Tables'!$E$434:$G$444,2,FALSE),FALSE),FALSE),
IF($T9=22,_xlfn.IFNA(VLOOKUP($D9,'Data Transfer Tables'!$E$449:$G$459,2,FALSE),FALSE),FALSE))</f>
        <v>0</v>
      </c>
      <c r="AD9" s="146" t="b">
        <f t="shared" si="9"/>
        <v>1</v>
      </c>
      <c r="AE9" s="222" t="b">
        <f t="shared" si="10"/>
        <v>0</v>
      </c>
      <c r="AF9" s="145" t="b">
        <f>OR(IF($T9=1,_xlfn.IFNA(VLOOKUP($E9,'Data Transfer Tables'!$H$144:$I$153,2,FALSE),FALSE),FALSE),
IF($T9=2,_xlfn.IFNA(VLOOKUP($E9,'Data Transfer Tables'!$H$158:$I$167,2,FALSE),FALSE),FALSE),
IF($T9=3,_xlfn.IFNA(VLOOKUP($E9,'Data Transfer Tables'!$H$172:$I$181,2,FALSE),FALSE),FALSE),
IF($T9=4,_xlfn.IFNA(VLOOKUP($E9,'Data Transfer Tables'!$H$186:$I$195,2,FALSE),FALSE),FALSE),
IF($T9=5,_xlfn.IFNA(VLOOKUP($E9,'Data Transfer Tables'!$H$200:$I$209,2,FALSE),FALSE),FALSE),
IF($T9=6,_xlfn.IFNA(VLOOKUP($E9,'Data Transfer Tables'!$H$214:$I$223,2,FALSE),FALSE),FALSE),
IF($T9=7,_xlfn.IFNA(VLOOKUP($E9,'Data Transfer Tables'!$H$228:$I$237,2,FALSE),FALSE),FALSE),
IF($T9=8,_xlfn.IFNA(VLOOKUP($E9,'Data Transfer Tables'!$H$242:$I$251,2,FALSE),FALSE),FALSE),
IF($T9=9,_xlfn.IFNA(VLOOKUP($E9,'Data Transfer Tables'!$H$256:$I$266,2,FALSE),FALSE),FALSE),
IF($T9=10,_xlfn.IFNA(VLOOKUP($E9,'Data Transfer Tables'!$H$271:$I$281,2,FALSE),FALSE),FALSE),
IF($T9=11,_xlfn.IFNA(VLOOKUP($E9,'Data Transfer Tables'!$H$286:$I$295,2,FALSE),FALSE),FALSE),
IF($T9=12,_xlfn.IFNA(VLOOKUP($E9,'Data Transfer Tables'!$H$300:$I$309,2,FALSE),FALSE),FALSE),
IF($T9=13,_xlfn.IFNA(VLOOKUP($E9,'Data Transfer Tables'!$H$314:$I$323,2,FALSE),FALSE),FALSE),
IF($T9=14,_xlfn.IFNA(VLOOKUP($E9,'Data Transfer Tables'!$H$328:$I$338,2,FALSE),FALSE),FALSE),
IF($T9=15,_xlfn.IFNA(VLOOKUP($E9,'Data Transfer Tables'!$H$343:$I$353,2,FALSE),FALSE),FALSE),
IF($T9=16,_xlfn.IFNA(VLOOKUP($E9,'Data Transfer Tables'!$H$358:$I$369,2,FALSE),FALSE),FALSE),
IF($T9=17,_xlfn.IFNA(VLOOKUP($E9,'Data Transfer Tables'!$H$374:$I$384,2,FALSE),FALSE),FALSE),
IF($T9=18,_xlfn.IFNA(VLOOKUP($E9,'Data Transfer Tables'!$H$389:$I$399,2,FALSE),FALSE),FALSE),
IF($T9=19,_xlfn.IFNA(VLOOKUP($E9,'Data Transfer Tables'!$H$404:$I$414,2,FALSE),FALSE),FALSE),
IF($T9=20,_xlfn.IFNA(VLOOKUP($E9,'Data Transfer Tables'!$H$419:$I$429,2,FALSE),FALSE),FALSE),
IF($T9=21,_xlfn.IFNA(VLOOKUP($E9,'Data Transfer Tables'!$H$434:$I$444,2,FALSE),FALSE),FALSE),
IF($T9=22,_xlfn.IFNA(VLOOKUP($E9,'Data Transfer Tables'!$H$449:$I$459,2,FALSE),FALSE),FALSE))</f>
        <v>0</v>
      </c>
      <c r="AG9" s="145" t="b">
        <f t="shared" si="11"/>
        <v>1</v>
      </c>
      <c r="AH9" s="223" t="b">
        <f t="shared" si="12"/>
        <v>0</v>
      </c>
      <c r="AI9" s="147" t="b">
        <f>OR(IF($T9=1,_xlfn.IFNA(VLOOKUP($F9,'Data Transfer Tables'!$K$144:$L$153,2,FALSE),FALSE),FALSE),
IF($T9=2,_xlfn.IFNA(VLOOKUP($F9,'Data Transfer Tables'!$K$158:$L$167,2,FALSE),FALSE),FALSE),
IF($T9=3,_xlfn.IFNA(VLOOKUP($F9,'Data Transfer Tables'!$K$172:$L$181,2,FALSE),FALSE),FALSE),
IF($T9=4,_xlfn.IFNA(VLOOKUP($F9,'Data Transfer Tables'!$K$186:$L$195,2,FALSE),FALSE),FALSE),
IF($T9=5,_xlfn.IFNA(VLOOKUP($F9,'Data Transfer Tables'!$K$200:$L$209,2,FALSE),FALSE),FALSE),
IF($T9=6,_xlfn.IFNA(VLOOKUP($F9,'Data Transfer Tables'!$K$214:$L$223,2,FALSE),FALSE),FALSE),
IF($T9=7,_xlfn.IFNA(VLOOKUP($F9,'Data Transfer Tables'!$K$228:$L$237,2,FALSE),FALSE),FALSE),
IF($T9=8,_xlfn.IFNA(VLOOKUP($F9,'Data Transfer Tables'!$K$242:$L$251,2,FALSE),FALSE),FALSE),
IF($T9=9,_xlfn.IFNA(VLOOKUP($F9,'Data Transfer Tables'!$K$256:$L$266,2,FALSE),FALSE),FALSE),
IF($T9=10,_xlfn.IFNA(VLOOKUP($F9,'Data Transfer Tables'!$K$271:$L$281,2,FALSE),FALSE),FALSE),
IF($T9=11,_xlfn.IFNA(VLOOKUP($F9,'Data Transfer Tables'!$K$286:$L$295,2,FALSE),FALSE),FALSE),
IF($T9=12,_xlfn.IFNA(VLOOKUP($F9,'Data Transfer Tables'!$K$300:$L$309,2,FALSE),FALSE),FALSE),
IF($T9=13,_xlfn.IFNA(VLOOKUP($F9,'Data Transfer Tables'!$K$314:$L$323,2,FALSE),FALSE),FALSE),
IF($T9=14,_xlfn.IFNA(VLOOKUP($F9,'Data Transfer Tables'!$K$328:$L$338,2,FALSE),FALSE),FALSE),
IF($T9=15,_xlfn.IFNA(VLOOKUP($F9,'Data Transfer Tables'!$K$343:$L$353,2,FALSE),FALSE),FALSE),
IF($T9=16,_xlfn.IFNA(VLOOKUP($F9,'Data Transfer Tables'!$K$358:$L$369,2,FALSE),FALSE),FALSE),
IF($T9=17,_xlfn.IFNA(VLOOKUP($F9,'Data Transfer Tables'!$K$374:$L$384,2,FALSE),FALSE),FALSE),
IF($T9=18,_xlfn.IFNA(VLOOKUP($F9,'Data Transfer Tables'!$K$389:$L$399,2,FALSE),FALSE),FALSE),
IF($T9=19,_xlfn.IFNA(VLOOKUP($F9,'Data Transfer Tables'!$K$404:$L$414,2,FALSE),FALSE),FALSE),
IF($T9=20,_xlfn.IFNA(VLOOKUP($F9,'Data Transfer Tables'!$K$419:$L$429,2,FALSE),FALSE),FALSE),
IF($T9=21,_xlfn.IFNA(VLOOKUP($F9,'Data Transfer Tables'!$K$434:$L$444,2,FALSE),FALSE),FALSE),
IF($T9=22,_xlfn.IFNA(VLOOKUP($F9,'Data Transfer Tables'!$K$449:$L$459,2,FALSE),FALSE),FALSE))</f>
        <v>0</v>
      </c>
      <c r="AJ9" s="147" t="b">
        <f t="shared" si="13"/>
        <v>1</v>
      </c>
      <c r="AK9" s="224" t="b">
        <f t="shared" si="14"/>
        <v>0</v>
      </c>
      <c r="AL9" s="225" t="b">
        <f t="shared" si="15"/>
        <v>0</v>
      </c>
      <c r="AM9" s="225" t="b">
        <f t="shared" si="16"/>
        <v>0</v>
      </c>
      <c r="AN9" s="225" t="b">
        <f t="shared" si="17"/>
        <v>0</v>
      </c>
      <c r="AO9" s="196" t="b">
        <f>OR(IF($T9=1,_xlfn.IFNA(VLOOKUP($G9,'Data Transfer Tables'!$E$113:$F$125,2,FALSE),FALSE),FALSE),
IF($T9=2,_xlfn.IFNA(VLOOKUP($G9,'Data Transfer Tables'!$E$113:$F$125,2,FALSE),FALSE),FALSE),
IF($T9=3,_xlfn.IFNA(VLOOKUP($G9,'Data Transfer Tables'!$E$113:$F$125,2,FALSE),FALSE),FALSE),
IF($T9=4,_xlfn.IFNA(VLOOKUP($G9,'Data Transfer Tables'!$E$113:$F$125,2,FALSE),FALSE),FALSE),
IF($T9=5,_xlfn.IFNA(VLOOKUP($G9,'Data Transfer Tables'!$E$113:$F$125,2,FALSE),FALSE),FALSE),
IF($T9=6,_xlfn.IFNA(VLOOKUP($G9,'Data Transfer Tables'!$E$113:$F$125,2,FALSE),FALSE),FALSE),
IF($T9=7,_xlfn.IFNA(VLOOKUP($G9,'Data Transfer Tables'!$E$113:$F$125,2,FALSE),FALSE),FALSE),
IF($T9=8,_xlfn.IFNA(VLOOKUP($G9,'Data Transfer Tables'!$E$113:$F$125,2,FALSE),FALSE),FALSE),
IF($T9=9,_xlfn.IFNA(VLOOKUP($G9,'Data Transfer Tables'!$E$113:$F$125,2,FALSE),FALSE),FALSE),
IF($T9=10,_xlfn.IFNA(VLOOKUP($G9,'Data Transfer Tables'!$E$113:$F$125,2,FALSE),FALSE),FALSE),
IF($T9=11,_xlfn.IFNA(VLOOKUP($G9,'Data Transfer Tables'!$E$113:$F$125,2,FALSE),FALSE),FALSE),
IF($T9=12,_xlfn.IFNA(VLOOKUP($G9,'Data Transfer Tables'!$E$113:$F$125,2,FALSE),FALSE),FALSE),
IF($T9=13,_xlfn.IFNA(VLOOKUP($G9,'Data Transfer Tables'!$E$113:$F$125,2,FALSE),FALSE),FALSE),
IF($T9=14,_xlfn.IFNA(VLOOKUP($G9,'Data Transfer Tables'!$E$113:$F$125,2,FALSE),FALSE),FALSE),
IF($T9=15,_xlfn.IFNA(VLOOKUP($G9,'Data Transfer Tables'!$E$113:$F$125,2,FALSE),FALSE),FALSE),
IF($T9=16,_xlfn.IFNA(VLOOKUP($G9,'Data Transfer Tables'!$E$113:$F$125,2,FALSE),FALSE),FALSE),
IF($T9=17,_xlfn.IFNA(VLOOKUP($G9,'Data Transfer Tables'!$E$113:$F$125,2,FALSE),FALSE),FALSE),
IF($T9=18,_xlfn.IFNA(VLOOKUP($G9,'Data Transfer Tables'!$E$113:$F$125,2,FALSE),FALSE),FALSE),
IF($T9=19,_xlfn.IFNA(VLOOKUP($G9,'Data Transfer Tables'!$E$113:$F$125,2,FALSE),FALSE),FALSE),
IF($T9=20,_xlfn.IFNA(VLOOKUP($G9,'Data Transfer Tables'!$E$113:$F$125,2,FALSE),FALSE),FALSE),
IF($T9=21,_xlfn.IFNA(VLOOKUP($G9,'Data Transfer Tables'!$E$113:$F$125,2,FALSE),FALSE),FALSE),
IF($T9=22,_xlfn.IFNA(VLOOKUP($G9,'Data Transfer Tables'!$E$113:$F$125,2,FALSE),FALSE),FALSE))</f>
        <v>0</v>
      </c>
      <c r="AP9" s="196" t="b">
        <f t="shared" si="18"/>
        <v>1</v>
      </c>
      <c r="AQ9" s="211" t="b">
        <f>IF(V9=0, TRUE, IF(AND(AB9=TRUE, AM9, AO9=TRUE), TRUE,FALSE))</f>
        <v>1</v>
      </c>
      <c r="AR9" s="211" t="b">
        <f t="shared" si="32"/>
        <v>0</v>
      </c>
      <c r="AS9" s="94" t="b">
        <f t="shared" si="19"/>
        <v>1</v>
      </c>
      <c r="AT9" s="140" t="str">
        <f t="shared" si="20"/>
        <v/>
      </c>
      <c r="AU9" s="226" t="str">
        <f t="shared" si="21"/>
        <v>N/A</v>
      </c>
      <c r="AV9" s="226" t="str">
        <f t="shared" si="22"/>
        <v>N/A</v>
      </c>
      <c r="AW9" s="32" t="str">
        <f t="shared" si="23"/>
        <v>N/A</v>
      </c>
      <c r="AX9" s="32" t="b">
        <f t="shared" si="33"/>
        <v>0</v>
      </c>
      <c r="AY9" s="32" t="str">
        <f t="shared" si="34"/>
        <v/>
      </c>
      <c r="AZ9" s="32" t="str">
        <f t="shared" si="24"/>
        <v/>
      </c>
      <c r="BA9" s="32" t="str">
        <f t="shared" si="25"/>
        <v/>
      </c>
      <c r="BB9" s="32" t="str">
        <f t="shared" si="26"/>
        <v/>
      </c>
      <c r="BC9" s="32" t="str">
        <f t="shared" si="27"/>
        <v/>
      </c>
      <c r="BD9" s="32" t="str">
        <f t="shared" si="28"/>
        <v/>
      </c>
    </row>
    <row r="10" spans="1:56" s="33" customFormat="1" ht="13.5" thickBot="1" x14ac:dyDescent="0.25">
      <c r="A10" s="63" t="s">
        <v>673</v>
      </c>
      <c r="B10" s="63" t="s">
        <v>44</v>
      </c>
      <c r="C10" s="63" t="s">
        <v>44</v>
      </c>
      <c r="D10" s="63" t="s">
        <v>44</v>
      </c>
      <c r="E10" s="63" t="s">
        <v>44</v>
      </c>
      <c r="F10" s="63" t="s">
        <v>44</v>
      </c>
      <c r="G10" s="63" t="s">
        <v>44</v>
      </c>
      <c r="H10" s="99" t="b">
        <v>1</v>
      </c>
      <c r="I10" s="99" t="b">
        <v>1</v>
      </c>
      <c r="J10" s="99" t="b">
        <v>1</v>
      </c>
      <c r="K10" s="138" t="b">
        <f t="shared" si="0"/>
        <v>1</v>
      </c>
      <c r="L10" s="62" t="b">
        <f t="shared" si="29"/>
        <v>1</v>
      </c>
      <c r="M10" s="62" t="b">
        <f t="shared" si="30"/>
        <v>1</v>
      </c>
      <c r="N10" s="55"/>
      <c r="O10" s="32"/>
      <c r="S10" s="32" t="str">
        <f t="shared" si="1"/>
        <v>N/A</v>
      </c>
      <c r="T10" s="221">
        <f t="shared" si="2"/>
        <v>0</v>
      </c>
      <c r="U10" s="51" t="b">
        <f t="shared" si="3"/>
        <v>1</v>
      </c>
      <c r="V10" s="74">
        <f>_xlfn.IFNA(VLOOKUP(B10,'Data Transfer Tables'!$A$111:$B$131,2),0)</f>
        <v>0</v>
      </c>
      <c r="W10" s="74" t="b">
        <f t="shared" si="4"/>
        <v>0</v>
      </c>
      <c r="X10" s="74" t="b">
        <f t="shared" si="5"/>
        <v>0</v>
      </c>
      <c r="Y10" s="222" t="b">
        <f t="shared" si="6"/>
        <v>1</v>
      </c>
      <c r="Z10" s="210" t="b">
        <f>OR(IF($T10=1,_xlfn.IFNA(VLOOKUP($C10,'Data Transfer Tables'!$B$144:$C$153,2,FALSE),FALSE),FALSE),
IF($T10=2,_xlfn.IFNA(VLOOKUP($C10,'Data Transfer Tables'!$B$158:$C$167,2,FALSE),FALSE),FALSE),
IF($T10=3,_xlfn.IFNA(VLOOKUP($C10,'Data Transfer Tables'!$B$172:$C$181,2,FALSE),FALSE),FALSE),
IF($T10=4,_xlfn.IFNA(VLOOKUP($C10,'Data Transfer Tables'!$B$186:$C$195,2,FALSE),FALSE),FALSE),
IF($T10=5,_xlfn.IFNA(VLOOKUP($C10,'Data Transfer Tables'!$B$200:$C$209,2,FALSE),FALSE),FALSE),
IF($T10=6,_xlfn.IFNA(VLOOKUP($C10,'Data Transfer Tables'!$B$214:$C$223,2,FALSE),FALSE),FALSE),
IF($T10=7,_xlfn.IFNA(VLOOKUP($C10,'Data Transfer Tables'!$B$228:$C$237,2,FALSE),FALSE),FALSE),
IF($T10=8,_xlfn.IFNA(VLOOKUP($C10,'Data Transfer Tables'!$B$242:$C$251,2,FALSE),FALSE),FALSE),
IF($T10=9,_xlfn.IFNA(VLOOKUP($C10,'Data Transfer Tables'!$B$256:$C$266,2,FALSE),FALSE),FALSE),
IF($T10=10,_xlfn.IFNA(VLOOKUP($C10,'Data Transfer Tables'!$B$271:$C$281,2,FALSE),FALSE),FALSE),
IF($T10=11,_xlfn.IFNA(VLOOKUP($C10,'Data Transfer Tables'!$B$286:$C$295,2,FALSE),FALSE),FALSE),
IF($T10=12,_xlfn.IFNA(VLOOKUP($C10,'Data Transfer Tables'!$B$300:$C$309,2,FALSE),FALSE),FALSE),
IF($T10=13,_xlfn.IFNA(VLOOKUP($C10,'Data Transfer Tables'!$B$314:$C$323,2,FALSE),FALSE),FALSE),
IF($T10=14,_xlfn.IFNA(VLOOKUP($C10,'Data Transfer Tables'!$B$328:$C$338,2,FALSE),FALSE),FALSE),
IF($T10=15,_xlfn.IFNA(VLOOKUP($C10,'Data Transfer Tables'!$B$343:$C$353,2,FALSE),FALSE),FALSE),
IF($T10=16,_xlfn.IFNA(VLOOKUP($C10,'Data Transfer Tables'!$B$358:$C$369,2,FALSE),FALSE),FALSE),
IF($T10=17,_xlfn.IFNA(VLOOKUP($C10,'Data Transfer Tables'!$B$374:$C$384,2,FALSE),FALSE),FALSE),
IF($T10=18,_xlfn.IFNA(VLOOKUP($C10,'Data Transfer Tables'!$B$389:$C$399,2,FALSE),FALSE),FALSE),
IF($T10=19,_xlfn.IFNA(VLOOKUP($C10,'Data Transfer Tables'!$B$404:$C$414,2,FALSE),FALSE),FALSE),
IF($T10=20,_xlfn.IFNA(VLOOKUP($C10,'Data Transfer Tables'!$B$419:$C$429,2,FALSE),FALSE),FALSE),
IF($T10=21,_xlfn.IFNA(VLOOKUP($C10,'Data Transfer Tables'!$B$434:$C$444,2,FALSE),FALSE),FALSE),
IF($T10=22,_xlfn.IFNA(VLOOKUP($C10,'Data Transfer Tables'!$B$449:$C$459,2,FALSE),FALSE),FALSE))</f>
        <v>0</v>
      </c>
      <c r="AA10" s="210" t="b">
        <f t="shared" si="7"/>
        <v>1</v>
      </c>
      <c r="AB10" s="222" t="b">
        <f t="shared" si="8"/>
        <v>0</v>
      </c>
      <c r="AC10" s="146" t="b">
        <f>OR(IF($T10=1,_xlfn.IFNA(VLOOKUP($D10,'Data Transfer Tables'!$E$144:$G$153,2,FALSE),FALSE),FALSE),
IF($T10=2,_xlfn.IFNA(VLOOKUP($D10,'Data Transfer Tables'!$E$158:$G$167,2,FALSE),FALSE),FALSE),
IF($T10=3,_xlfn.IFNA(VLOOKUP($D10,'Data Transfer Tables'!$E$172:$G$181,2,FALSE),FALSE),FALSE),
IF($T10=4,_xlfn.IFNA(VLOOKUP($D10,'Data Transfer Tables'!$E$186:$G$195,2,FALSE),FALSE),FALSE),
IF($T10=5,_xlfn.IFNA(VLOOKUP($D10,'Data Transfer Tables'!$E$200:$G$209,2,FALSE),FALSE),FALSE),
IF($T10=6,_xlfn.IFNA(VLOOKUP($D10,'Data Transfer Tables'!$E$214:$G$223,2,FALSE),FALSE),FALSE),
IF($T10=7,_xlfn.IFNA(VLOOKUP($D10,'Data Transfer Tables'!$E$228:$G$237,2,FALSE),FALSE),FALSE),
IF($T10=8,_xlfn.IFNA(VLOOKUP($D10,'Data Transfer Tables'!$E$242:$G$251,2,FALSE),FALSE),FALSE),
IF($T10=9,_xlfn.IFNA(VLOOKUP($D10,'Data Transfer Tables'!$E$256:$G$266,2,FALSE),FALSE),FALSE),
IF($T10=10,_xlfn.IFNA(VLOOKUP($D10,'Data Transfer Tables'!$E$271:$G$281,2,FALSE),FALSE),FALSE),
IF($T10=11,_xlfn.IFNA(VLOOKUP($D10,'Data Transfer Tables'!$E$286:$G$295,2,FALSE),FALSE),FALSE),
IF($T10=12,_xlfn.IFNA(VLOOKUP($D10,'Data Transfer Tables'!$E$300:$G$309,2,FALSE),FALSE),FALSE),
IF($T10=13,_xlfn.IFNA(VLOOKUP($D10,'Data Transfer Tables'!$E$314:$G$323,2,FALSE),FALSE),FALSE),
IF($T10=14,_xlfn.IFNA(VLOOKUP($D10,'Data Transfer Tables'!$E$328:$G$338,2,FALSE),FALSE),FALSE),
IF($T10=15,_xlfn.IFNA(VLOOKUP($D10,'Data Transfer Tables'!$E$343:$G$353,2,FALSE),FALSE),FALSE),
IF($T10=16,_xlfn.IFNA(VLOOKUP($D10,'Data Transfer Tables'!$E$358:$G$369,2,FALSE),FALSE),FALSE),
IF($T10=17,_xlfn.IFNA(VLOOKUP($D10,'Data Transfer Tables'!$E$374:$G$384,2,FALSE),FALSE),FALSE),
IF($T10=18,_xlfn.IFNA(VLOOKUP($D10,'Data Transfer Tables'!$E$389:$G$399,2,FALSE),FALSE),FALSE),
IF($T10=19,_xlfn.IFNA(VLOOKUP($D10,'Data Transfer Tables'!$E$404:$G$414,2,FALSE),FALSE),FALSE),
IF($T10=20,_xlfn.IFNA(VLOOKUP($D10,'Data Transfer Tables'!$E$419:$G$429,2,FALSE),FALSE),FALSE),
IF($T10=21,_xlfn.IFNA(VLOOKUP($D10,'Data Transfer Tables'!$E$434:$G$444,2,FALSE),FALSE),FALSE),
IF($T10=22,_xlfn.IFNA(VLOOKUP($D10,'Data Transfer Tables'!$E$449:$G$459,2,FALSE),FALSE),FALSE))</f>
        <v>0</v>
      </c>
      <c r="AD10" s="146" t="b">
        <f t="shared" si="9"/>
        <v>1</v>
      </c>
      <c r="AE10" s="222" t="b">
        <f t="shared" si="10"/>
        <v>0</v>
      </c>
      <c r="AF10" s="145" t="b">
        <f>OR(IF($T10=1,_xlfn.IFNA(VLOOKUP($E10,'Data Transfer Tables'!$H$144:$I$153,2,FALSE),FALSE),FALSE),
IF($T10=2,_xlfn.IFNA(VLOOKUP($E10,'Data Transfer Tables'!$H$158:$I$167,2,FALSE),FALSE),FALSE),
IF($T10=3,_xlfn.IFNA(VLOOKUP($E10,'Data Transfer Tables'!$H$172:$I$181,2,FALSE),FALSE),FALSE),
IF($T10=4,_xlfn.IFNA(VLOOKUP($E10,'Data Transfer Tables'!$H$186:$I$195,2,FALSE),FALSE),FALSE),
IF($T10=5,_xlfn.IFNA(VLOOKUP($E10,'Data Transfer Tables'!$H$200:$I$209,2,FALSE),FALSE),FALSE),
IF($T10=6,_xlfn.IFNA(VLOOKUP($E10,'Data Transfer Tables'!$H$214:$I$223,2,FALSE),FALSE),FALSE),
IF($T10=7,_xlfn.IFNA(VLOOKUP($E10,'Data Transfer Tables'!$H$228:$I$237,2,FALSE),FALSE),FALSE),
IF($T10=8,_xlfn.IFNA(VLOOKUP($E10,'Data Transfer Tables'!$H$242:$I$251,2,FALSE),FALSE),FALSE),
IF($T10=9,_xlfn.IFNA(VLOOKUP($E10,'Data Transfer Tables'!$H$256:$I$266,2,FALSE),FALSE),FALSE),
IF($T10=10,_xlfn.IFNA(VLOOKUP($E10,'Data Transfer Tables'!$H$271:$I$281,2,FALSE),FALSE),FALSE),
IF($T10=11,_xlfn.IFNA(VLOOKUP($E10,'Data Transfer Tables'!$H$286:$I$295,2,FALSE),FALSE),FALSE),
IF($T10=12,_xlfn.IFNA(VLOOKUP($E10,'Data Transfer Tables'!$H$300:$I$309,2,FALSE),FALSE),FALSE),
IF($T10=13,_xlfn.IFNA(VLOOKUP($E10,'Data Transfer Tables'!$H$314:$I$323,2,FALSE),FALSE),FALSE),
IF($T10=14,_xlfn.IFNA(VLOOKUP($E10,'Data Transfer Tables'!$H$328:$I$338,2,FALSE),FALSE),FALSE),
IF($T10=15,_xlfn.IFNA(VLOOKUP($E10,'Data Transfer Tables'!$H$343:$I$353,2,FALSE),FALSE),FALSE),
IF($T10=16,_xlfn.IFNA(VLOOKUP($E10,'Data Transfer Tables'!$H$358:$I$369,2,FALSE),FALSE),FALSE),
IF($T10=17,_xlfn.IFNA(VLOOKUP($E10,'Data Transfer Tables'!$H$374:$I$384,2,FALSE),FALSE),FALSE),
IF($T10=18,_xlfn.IFNA(VLOOKUP($E10,'Data Transfer Tables'!$H$389:$I$399,2,FALSE),FALSE),FALSE),
IF($T10=19,_xlfn.IFNA(VLOOKUP($E10,'Data Transfer Tables'!$H$404:$I$414,2,FALSE),FALSE),FALSE),
IF($T10=20,_xlfn.IFNA(VLOOKUP($E10,'Data Transfer Tables'!$H$419:$I$429,2,FALSE),FALSE),FALSE),
IF($T10=21,_xlfn.IFNA(VLOOKUP($E10,'Data Transfer Tables'!$H$434:$I$444,2,FALSE),FALSE),FALSE),
IF($T10=22,_xlfn.IFNA(VLOOKUP($E10,'Data Transfer Tables'!$H$449:$I$459,2,FALSE),FALSE),FALSE))</f>
        <v>0</v>
      </c>
      <c r="AG10" s="145" t="b">
        <f t="shared" si="11"/>
        <v>1</v>
      </c>
      <c r="AH10" s="223" t="b">
        <f t="shared" si="12"/>
        <v>0</v>
      </c>
      <c r="AI10" s="147" t="b">
        <f>OR(IF($T10=1,_xlfn.IFNA(VLOOKUP($F10,'Data Transfer Tables'!$K$144:$L$153,2,FALSE),FALSE),FALSE),
IF($T10=2,_xlfn.IFNA(VLOOKUP($F10,'Data Transfer Tables'!$K$158:$L$167,2,FALSE),FALSE),FALSE),
IF($T10=3,_xlfn.IFNA(VLOOKUP($F10,'Data Transfer Tables'!$K$172:$L$181,2,FALSE),FALSE),FALSE),
IF($T10=4,_xlfn.IFNA(VLOOKUP($F10,'Data Transfer Tables'!$K$186:$L$195,2,FALSE),FALSE),FALSE),
IF($T10=5,_xlfn.IFNA(VLOOKUP($F10,'Data Transfer Tables'!$K$200:$L$209,2,FALSE),FALSE),FALSE),
IF($T10=6,_xlfn.IFNA(VLOOKUP($F10,'Data Transfer Tables'!$K$214:$L$223,2,FALSE),FALSE),FALSE),
IF($T10=7,_xlfn.IFNA(VLOOKUP($F10,'Data Transfer Tables'!$K$228:$L$237,2,FALSE),FALSE),FALSE),
IF($T10=8,_xlfn.IFNA(VLOOKUP($F10,'Data Transfer Tables'!$K$242:$L$251,2,FALSE),FALSE),FALSE),
IF($T10=9,_xlfn.IFNA(VLOOKUP($F10,'Data Transfer Tables'!$K$256:$L$266,2,FALSE),FALSE),FALSE),
IF($T10=10,_xlfn.IFNA(VLOOKUP($F10,'Data Transfer Tables'!$K$271:$L$281,2,FALSE),FALSE),FALSE),
IF($T10=11,_xlfn.IFNA(VLOOKUP($F10,'Data Transfer Tables'!$K$286:$L$295,2,FALSE),FALSE),FALSE),
IF($T10=12,_xlfn.IFNA(VLOOKUP($F10,'Data Transfer Tables'!$K$300:$L$309,2,FALSE),FALSE),FALSE),
IF($T10=13,_xlfn.IFNA(VLOOKUP($F10,'Data Transfer Tables'!$K$314:$L$323,2,FALSE),FALSE),FALSE),
IF($T10=14,_xlfn.IFNA(VLOOKUP($F10,'Data Transfer Tables'!$K$328:$L$338,2,FALSE),FALSE),FALSE),
IF($T10=15,_xlfn.IFNA(VLOOKUP($F10,'Data Transfer Tables'!$K$343:$L$353,2,FALSE),FALSE),FALSE),
IF($T10=16,_xlfn.IFNA(VLOOKUP($F10,'Data Transfer Tables'!$K$358:$L$369,2,FALSE),FALSE),FALSE),
IF($T10=17,_xlfn.IFNA(VLOOKUP($F10,'Data Transfer Tables'!$K$374:$L$384,2,FALSE),FALSE),FALSE),
IF($T10=18,_xlfn.IFNA(VLOOKUP($F10,'Data Transfer Tables'!$K$389:$L$399,2,FALSE),FALSE),FALSE),
IF($T10=19,_xlfn.IFNA(VLOOKUP($F10,'Data Transfer Tables'!$K$404:$L$414,2,FALSE),FALSE),FALSE),
IF($T10=20,_xlfn.IFNA(VLOOKUP($F10,'Data Transfer Tables'!$K$419:$L$429,2,FALSE),FALSE),FALSE),
IF($T10=21,_xlfn.IFNA(VLOOKUP($F10,'Data Transfer Tables'!$K$434:$L$444,2,FALSE),FALSE),FALSE),
IF($T10=22,_xlfn.IFNA(VLOOKUP($F10,'Data Transfer Tables'!$K$449:$L$459,2,FALSE),FALSE),FALSE))</f>
        <v>0</v>
      </c>
      <c r="AJ10" s="147" t="b">
        <f t="shared" si="13"/>
        <v>1</v>
      </c>
      <c r="AK10" s="224" t="b">
        <f t="shared" si="14"/>
        <v>0</v>
      </c>
      <c r="AL10" s="225" t="b">
        <f t="shared" si="15"/>
        <v>0</v>
      </c>
      <c r="AM10" s="225" t="b">
        <f t="shared" si="16"/>
        <v>0</v>
      </c>
      <c r="AN10" s="225" t="b">
        <f t="shared" si="17"/>
        <v>0</v>
      </c>
      <c r="AO10" s="196" t="b">
        <f>OR(IF($T10=1,_xlfn.IFNA(VLOOKUP($G10,'Data Transfer Tables'!$E$113:$F$125,2,FALSE),FALSE),FALSE),
IF($T10=2,_xlfn.IFNA(VLOOKUP($G10,'Data Transfer Tables'!$E$113:$F$125,2,FALSE),FALSE),FALSE),
IF($T10=3,_xlfn.IFNA(VLOOKUP($G10,'Data Transfer Tables'!$E$113:$F$125,2,FALSE),FALSE),FALSE),
IF($T10=4,_xlfn.IFNA(VLOOKUP($G10,'Data Transfer Tables'!$E$113:$F$125,2,FALSE),FALSE),FALSE),
IF($T10=5,_xlfn.IFNA(VLOOKUP($G10,'Data Transfer Tables'!$E$113:$F$125,2,FALSE),FALSE),FALSE),
IF($T10=6,_xlfn.IFNA(VLOOKUP($G10,'Data Transfer Tables'!$E$113:$F$125,2,FALSE),FALSE),FALSE),
IF($T10=7,_xlfn.IFNA(VLOOKUP($G10,'Data Transfer Tables'!$E$113:$F$125,2,FALSE),FALSE),FALSE),
IF($T10=8,_xlfn.IFNA(VLOOKUP($G10,'Data Transfer Tables'!$E$113:$F$125,2,FALSE),FALSE),FALSE),
IF($T10=9,_xlfn.IFNA(VLOOKUP($G10,'Data Transfer Tables'!$E$113:$F$125,2,FALSE),FALSE),FALSE),
IF($T10=10,_xlfn.IFNA(VLOOKUP($G10,'Data Transfer Tables'!$E$113:$F$125,2,FALSE),FALSE),FALSE),
IF($T10=11,_xlfn.IFNA(VLOOKUP($G10,'Data Transfer Tables'!$E$113:$F$125,2,FALSE),FALSE),FALSE),
IF($T10=12,_xlfn.IFNA(VLOOKUP($G10,'Data Transfer Tables'!$E$113:$F$125,2,FALSE),FALSE),FALSE),
IF($T10=13,_xlfn.IFNA(VLOOKUP($G10,'Data Transfer Tables'!$E$113:$F$125,2,FALSE),FALSE),FALSE),
IF($T10=14,_xlfn.IFNA(VLOOKUP($G10,'Data Transfer Tables'!$E$113:$F$125,2,FALSE),FALSE),FALSE),
IF($T10=15,_xlfn.IFNA(VLOOKUP($G10,'Data Transfer Tables'!$E$113:$F$125,2,FALSE),FALSE),FALSE),
IF($T10=16,_xlfn.IFNA(VLOOKUP($G10,'Data Transfer Tables'!$E$113:$F$125,2,FALSE),FALSE),FALSE),
IF($T10=17,_xlfn.IFNA(VLOOKUP($G10,'Data Transfer Tables'!$E$113:$F$125,2,FALSE),FALSE),FALSE),
IF($T10=18,_xlfn.IFNA(VLOOKUP($G10,'Data Transfer Tables'!$E$113:$F$125,2,FALSE),FALSE),FALSE),
IF($T10=19,_xlfn.IFNA(VLOOKUP($G10,'Data Transfer Tables'!$E$113:$F$125,2,FALSE),FALSE),FALSE),
IF($T10=20,_xlfn.IFNA(VLOOKUP($G10,'Data Transfer Tables'!$E$113:$F$125,2,FALSE),FALSE),FALSE),
IF($T10=21,_xlfn.IFNA(VLOOKUP($G10,'Data Transfer Tables'!$E$113:$F$125,2,FALSE),FALSE),FALSE),
IF($T10=22,_xlfn.IFNA(VLOOKUP($G10,'Data Transfer Tables'!$E$113:$F$125,2,FALSE),FALSE),FALSE))</f>
        <v>0</v>
      </c>
      <c r="AP10" s="196" t="b">
        <f t="shared" si="18"/>
        <v>1</v>
      </c>
      <c r="AQ10" s="211" t="b">
        <f t="shared" ref="AQ10:AQ24" si="35">IF(V10=0, TRUE, IF(AND(AB10=TRUE, AM10, AO10=TRUE), TRUE,FALSE))</f>
        <v>1</v>
      </c>
      <c r="AR10" s="211" t="b">
        <f t="shared" si="32"/>
        <v>0</v>
      </c>
      <c r="AS10" s="94" t="b">
        <f t="shared" si="19"/>
        <v>1</v>
      </c>
      <c r="AT10" s="140" t="str">
        <f t="shared" si="20"/>
        <v/>
      </c>
      <c r="AU10" s="226" t="str">
        <f t="shared" si="21"/>
        <v>N/A</v>
      </c>
      <c r="AV10" s="226" t="str">
        <f t="shared" si="22"/>
        <v>N/A</v>
      </c>
      <c r="AW10" s="32" t="str">
        <f t="shared" si="23"/>
        <v>N/A</v>
      </c>
      <c r="AX10" s="32" t="b">
        <f t="shared" si="33"/>
        <v>0</v>
      </c>
      <c r="AY10" s="32" t="str">
        <f>IF(AX10=TRUE, TRUE, "")</f>
        <v/>
      </c>
      <c r="AZ10" s="32" t="str">
        <f t="shared" si="24"/>
        <v/>
      </c>
      <c r="BA10" s="32" t="str">
        <f t="shared" si="25"/>
        <v/>
      </c>
      <c r="BB10" s="32" t="str">
        <f t="shared" si="26"/>
        <v/>
      </c>
      <c r="BC10" s="32" t="str">
        <f t="shared" si="27"/>
        <v/>
      </c>
      <c r="BD10" s="32" t="str">
        <f t="shared" si="28"/>
        <v/>
      </c>
    </row>
    <row r="11" spans="1:56" s="33" customFormat="1" ht="13.5" thickBot="1" x14ac:dyDescent="0.25">
      <c r="A11" s="63" t="s">
        <v>673</v>
      </c>
      <c r="B11" s="63" t="s">
        <v>44</v>
      </c>
      <c r="C11" s="63" t="s">
        <v>44</v>
      </c>
      <c r="D11" s="63" t="s">
        <v>44</v>
      </c>
      <c r="E11" s="63" t="s">
        <v>44</v>
      </c>
      <c r="F11" s="63" t="s">
        <v>44</v>
      </c>
      <c r="G11" s="63" t="s">
        <v>44</v>
      </c>
      <c r="H11" s="99" t="b">
        <v>1</v>
      </c>
      <c r="I11" s="99" t="b">
        <v>1</v>
      </c>
      <c r="J11" s="99" t="b">
        <v>1</v>
      </c>
      <c r="K11" s="138" t="b">
        <f t="shared" si="0"/>
        <v>1</v>
      </c>
      <c r="L11" s="62" t="b">
        <f t="shared" si="29"/>
        <v>1</v>
      </c>
      <c r="M11" s="62" t="b">
        <f t="shared" si="30"/>
        <v>1</v>
      </c>
      <c r="N11" s="55"/>
      <c r="O11" s="32"/>
      <c r="S11" s="32" t="str">
        <f t="shared" si="1"/>
        <v>N/A</v>
      </c>
      <c r="T11" s="221">
        <f t="shared" si="2"/>
        <v>0</v>
      </c>
      <c r="U11" s="51" t="b">
        <f t="shared" si="3"/>
        <v>1</v>
      </c>
      <c r="V11" s="74">
        <f>_xlfn.IFNA(VLOOKUP(B11,'Data Transfer Tables'!$A$111:$B$131,2),0)</f>
        <v>0</v>
      </c>
      <c r="W11" s="74" t="b">
        <f t="shared" si="4"/>
        <v>0</v>
      </c>
      <c r="X11" s="74" t="b">
        <f t="shared" si="5"/>
        <v>0</v>
      </c>
      <c r="Y11" s="222" t="b">
        <f t="shared" si="6"/>
        <v>1</v>
      </c>
      <c r="Z11" s="210" t="b">
        <f>OR(IF($T11=1,_xlfn.IFNA(VLOOKUP($C11,'Data Transfer Tables'!$B$144:$C$153,2,FALSE),FALSE),FALSE),
IF($T11=2,_xlfn.IFNA(VLOOKUP($C11,'Data Transfer Tables'!$B$158:$C$167,2,FALSE),FALSE),FALSE),
IF($T11=3,_xlfn.IFNA(VLOOKUP($C11,'Data Transfer Tables'!$B$172:$C$181,2,FALSE),FALSE),FALSE),
IF($T11=4,_xlfn.IFNA(VLOOKUP($C11,'Data Transfer Tables'!$B$186:$C$195,2,FALSE),FALSE),FALSE),
IF($T11=5,_xlfn.IFNA(VLOOKUP($C11,'Data Transfer Tables'!$B$200:$C$209,2,FALSE),FALSE),FALSE),
IF($T11=6,_xlfn.IFNA(VLOOKUP($C11,'Data Transfer Tables'!$B$214:$C$223,2,FALSE),FALSE),FALSE),
IF($T11=7,_xlfn.IFNA(VLOOKUP($C11,'Data Transfer Tables'!$B$228:$C$237,2,FALSE),FALSE),FALSE),
IF($T11=8,_xlfn.IFNA(VLOOKUP($C11,'Data Transfer Tables'!$B$242:$C$251,2,FALSE),FALSE),FALSE),
IF($T11=9,_xlfn.IFNA(VLOOKUP($C11,'Data Transfer Tables'!$B$256:$C$266,2,FALSE),FALSE),FALSE),
IF($T11=10,_xlfn.IFNA(VLOOKUP($C11,'Data Transfer Tables'!$B$271:$C$281,2,FALSE),FALSE),FALSE),
IF($T11=11,_xlfn.IFNA(VLOOKUP($C11,'Data Transfer Tables'!$B$286:$C$295,2,FALSE),FALSE),FALSE),
IF($T11=12,_xlfn.IFNA(VLOOKUP($C11,'Data Transfer Tables'!$B$300:$C$309,2,FALSE),FALSE),FALSE),
IF($T11=13,_xlfn.IFNA(VLOOKUP($C11,'Data Transfer Tables'!$B$314:$C$323,2,FALSE),FALSE),FALSE),
IF($T11=14,_xlfn.IFNA(VLOOKUP($C11,'Data Transfer Tables'!$B$328:$C$338,2,FALSE),FALSE),FALSE),
IF($T11=15,_xlfn.IFNA(VLOOKUP($C11,'Data Transfer Tables'!$B$343:$C$353,2,FALSE),FALSE),FALSE),
IF($T11=16,_xlfn.IFNA(VLOOKUP($C11,'Data Transfer Tables'!$B$358:$C$369,2,FALSE),FALSE),FALSE),
IF($T11=17,_xlfn.IFNA(VLOOKUP($C11,'Data Transfer Tables'!$B$374:$C$384,2,FALSE),FALSE),FALSE),
IF($T11=18,_xlfn.IFNA(VLOOKUP($C11,'Data Transfer Tables'!$B$389:$C$399,2,FALSE),FALSE),FALSE),
IF($T11=19,_xlfn.IFNA(VLOOKUP($C11,'Data Transfer Tables'!$B$404:$C$414,2,FALSE),FALSE),FALSE),
IF($T11=20,_xlfn.IFNA(VLOOKUP($C11,'Data Transfer Tables'!$B$419:$C$429,2,FALSE),FALSE),FALSE),
IF($T11=21,_xlfn.IFNA(VLOOKUP($C11,'Data Transfer Tables'!$B$434:$C$444,2,FALSE),FALSE),FALSE),
IF($T11=22,_xlfn.IFNA(VLOOKUP($C11,'Data Transfer Tables'!$B$449:$C$459,2,FALSE),FALSE),FALSE))</f>
        <v>0</v>
      </c>
      <c r="AA11" s="210" t="b">
        <f t="shared" si="7"/>
        <v>1</v>
      </c>
      <c r="AB11" s="222" t="b">
        <f t="shared" si="8"/>
        <v>0</v>
      </c>
      <c r="AC11" s="146" t="b">
        <f>OR(IF($T11=1,_xlfn.IFNA(VLOOKUP($D11,'Data Transfer Tables'!$E$144:$G$153,2,FALSE),FALSE),FALSE),
IF($T11=2,_xlfn.IFNA(VLOOKUP($D11,'Data Transfer Tables'!$E$158:$G$167,2,FALSE),FALSE),FALSE),
IF($T11=3,_xlfn.IFNA(VLOOKUP($D11,'Data Transfer Tables'!$E$172:$G$181,2,FALSE),FALSE),FALSE),
IF($T11=4,_xlfn.IFNA(VLOOKUP($D11,'Data Transfer Tables'!$E$186:$G$195,2,FALSE),FALSE),FALSE),
IF($T11=5,_xlfn.IFNA(VLOOKUP($D11,'Data Transfer Tables'!$E$200:$G$209,2,FALSE),FALSE),FALSE),
IF($T11=6,_xlfn.IFNA(VLOOKUP($D11,'Data Transfer Tables'!$E$214:$G$223,2,FALSE),FALSE),FALSE),
IF($T11=7,_xlfn.IFNA(VLOOKUP($D11,'Data Transfer Tables'!$E$228:$G$237,2,FALSE),FALSE),FALSE),
IF($T11=8,_xlfn.IFNA(VLOOKUP($D11,'Data Transfer Tables'!$E$242:$G$251,2,FALSE),FALSE),FALSE),
IF($T11=9,_xlfn.IFNA(VLOOKUP($D11,'Data Transfer Tables'!$E$256:$G$266,2,FALSE),FALSE),FALSE),
IF($T11=10,_xlfn.IFNA(VLOOKUP($D11,'Data Transfer Tables'!$E$271:$G$281,2,FALSE),FALSE),FALSE),
IF($T11=11,_xlfn.IFNA(VLOOKUP($D11,'Data Transfer Tables'!$E$286:$G$295,2,FALSE),FALSE),FALSE),
IF($T11=12,_xlfn.IFNA(VLOOKUP($D11,'Data Transfer Tables'!$E$300:$G$309,2,FALSE),FALSE),FALSE),
IF($T11=13,_xlfn.IFNA(VLOOKUP($D11,'Data Transfer Tables'!$E$314:$G$323,2,FALSE),FALSE),FALSE),
IF($T11=14,_xlfn.IFNA(VLOOKUP($D11,'Data Transfer Tables'!$E$328:$G$338,2,FALSE),FALSE),FALSE),
IF($T11=15,_xlfn.IFNA(VLOOKUP($D11,'Data Transfer Tables'!$E$343:$G$353,2,FALSE),FALSE),FALSE),
IF($T11=16,_xlfn.IFNA(VLOOKUP($D11,'Data Transfer Tables'!$E$358:$G$369,2,FALSE),FALSE),FALSE),
IF($T11=17,_xlfn.IFNA(VLOOKUP($D11,'Data Transfer Tables'!$E$374:$G$384,2,FALSE),FALSE),FALSE),
IF($T11=18,_xlfn.IFNA(VLOOKUP($D11,'Data Transfer Tables'!$E$389:$G$399,2,FALSE),FALSE),FALSE),
IF($T11=19,_xlfn.IFNA(VLOOKUP($D11,'Data Transfer Tables'!$E$404:$G$414,2,FALSE),FALSE),FALSE),
IF($T11=20,_xlfn.IFNA(VLOOKUP($D11,'Data Transfer Tables'!$E$419:$G$429,2,FALSE),FALSE),FALSE),
IF($T11=21,_xlfn.IFNA(VLOOKUP($D11,'Data Transfer Tables'!$E$434:$G$444,2,FALSE),FALSE),FALSE),
IF($T11=22,_xlfn.IFNA(VLOOKUP($D11,'Data Transfer Tables'!$E$449:$G$459,2,FALSE),FALSE),FALSE))</f>
        <v>0</v>
      </c>
      <c r="AD11" s="146" t="b">
        <f t="shared" si="9"/>
        <v>1</v>
      </c>
      <c r="AE11" s="222" t="b">
        <f t="shared" si="10"/>
        <v>0</v>
      </c>
      <c r="AF11" s="145" t="b">
        <f>OR(IF($T11=1,_xlfn.IFNA(VLOOKUP($E11,'Data Transfer Tables'!$H$144:$I$153,2,FALSE),FALSE),FALSE),
IF($T11=2,_xlfn.IFNA(VLOOKUP($E11,'Data Transfer Tables'!$H$158:$I$167,2,FALSE),FALSE),FALSE),
IF($T11=3,_xlfn.IFNA(VLOOKUP($E11,'Data Transfer Tables'!$H$172:$I$181,2,FALSE),FALSE),FALSE),
IF($T11=4,_xlfn.IFNA(VLOOKUP($E11,'Data Transfer Tables'!$H$186:$I$195,2,FALSE),FALSE),FALSE),
IF($T11=5,_xlfn.IFNA(VLOOKUP($E11,'Data Transfer Tables'!$H$200:$I$209,2,FALSE),FALSE),FALSE),
IF($T11=6,_xlfn.IFNA(VLOOKUP($E11,'Data Transfer Tables'!$H$214:$I$223,2,FALSE),FALSE),FALSE),
IF($T11=7,_xlfn.IFNA(VLOOKUP($E11,'Data Transfer Tables'!$H$228:$I$237,2,FALSE),FALSE),FALSE),
IF($T11=8,_xlfn.IFNA(VLOOKUP($E11,'Data Transfer Tables'!$H$242:$I$251,2,FALSE),FALSE),FALSE),
IF($T11=9,_xlfn.IFNA(VLOOKUP($E11,'Data Transfer Tables'!$H$256:$I$266,2,FALSE),FALSE),FALSE),
IF($T11=10,_xlfn.IFNA(VLOOKUP($E11,'Data Transfer Tables'!$H$271:$I$281,2,FALSE),FALSE),FALSE),
IF($T11=11,_xlfn.IFNA(VLOOKUP($E11,'Data Transfer Tables'!$H$286:$I$295,2,FALSE),FALSE),FALSE),
IF($T11=12,_xlfn.IFNA(VLOOKUP($E11,'Data Transfer Tables'!$H$300:$I$309,2,FALSE),FALSE),FALSE),
IF($T11=13,_xlfn.IFNA(VLOOKUP($E11,'Data Transfer Tables'!$H$314:$I$323,2,FALSE),FALSE),FALSE),
IF($T11=14,_xlfn.IFNA(VLOOKUP($E11,'Data Transfer Tables'!$H$328:$I$338,2,FALSE),FALSE),FALSE),
IF($T11=15,_xlfn.IFNA(VLOOKUP($E11,'Data Transfer Tables'!$H$343:$I$353,2,FALSE),FALSE),FALSE),
IF($T11=16,_xlfn.IFNA(VLOOKUP($E11,'Data Transfer Tables'!$H$358:$I$369,2,FALSE),FALSE),FALSE),
IF($T11=17,_xlfn.IFNA(VLOOKUP($E11,'Data Transfer Tables'!$H$374:$I$384,2,FALSE),FALSE),FALSE),
IF($T11=18,_xlfn.IFNA(VLOOKUP($E11,'Data Transfer Tables'!$H$389:$I$399,2,FALSE),FALSE),FALSE),
IF($T11=19,_xlfn.IFNA(VLOOKUP($E11,'Data Transfer Tables'!$H$404:$I$414,2,FALSE),FALSE),FALSE),
IF($T11=20,_xlfn.IFNA(VLOOKUP($E11,'Data Transfer Tables'!$H$419:$I$429,2,FALSE),FALSE),FALSE),
IF($T11=21,_xlfn.IFNA(VLOOKUP($E11,'Data Transfer Tables'!$H$434:$I$444,2,FALSE),FALSE),FALSE),
IF($T11=22,_xlfn.IFNA(VLOOKUP($E11,'Data Transfer Tables'!$H$449:$I$459,2,FALSE),FALSE),FALSE))</f>
        <v>0</v>
      </c>
      <c r="AG11" s="145" t="b">
        <f t="shared" si="11"/>
        <v>1</v>
      </c>
      <c r="AH11" s="223" t="b">
        <f t="shared" si="12"/>
        <v>0</v>
      </c>
      <c r="AI11" s="147" t="b">
        <f>OR(IF($T11=1,_xlfn.IFNA(VLOOKUP($F11,'Data Transfer Tables'!$K$144:$L$153,2,FALSE),FALSE),FALSE),
IF($T11=2,_xlfn.IFNA(VLOOKUP($F11,'Data Transfer Tables'!$K$158:$L$167,2,FALSE),FALSE),FALSE),
IF($T11=3,_xlfn.IFNA(VLOOKUP($F11,'Data Transfer Tables'!$K$172:$L$181,2,FALSE),FALSE),FALSE),
IF($T11=4,_xlfn.IFNA(VLOOKUP($F11,'Data Transfer Tables'!$K$186:$L$195,2,FALSE),FALSE),FALSE),
IF($T11=5,_xlfn.IFNA(VLOOKUP($F11,'Data Transfer Tables'!$K$200:$L$209,2,FALSE),FALSE),FALSE),
IF($T11=6,_xlfn.IFNA(VLOOKUP($F11,'Data Transfer Tables'!$K$214:$L$223,2,FALSE),FALSE),FALSE),
IF($T11=7,_xlfn.IFNA(VLOOKUP($F11,'Data Transfer Tables'!$K$228:$L$237,2,FALSE),FALSE),FALSE),
IF($T11=8,_xlfn.IFNA(VLOOKUP($F11,'Data Transfer Tables'!$K$242:$L$251,2,FALSE),FALSE),FALSE),
IF($T11=9,_xlfn.IFNA(VLOOKUP($F11,'Data Transfer Tables'!$K$256:$L$266,2,FALSE),FALSE),FALSE),
IF($T11=10,_xlfn.IFNA(VLOOKUP($F11,'Data Transfer Tables'!$K$271:$L$281,2,FALSE),FALSE),FALSE),
IF($T11=11,_xlfn.IFNA(VLOOKUP($F11,'Data Transfer Tables'!$K$286:$L$295,2,FALSE),FALSE),FALSE),
IF($T11=12,_xlfn.IFNA(VLOOKUP($F11,'Data Transfer Tables'!$K$300:$L$309,2,FALSE),FALSE),FALSE),
IF($T11=13,_xlfn.IFNA(VLOOKUP($F11,'Data Transfer Tables'!$K$314:$L$323,2,FALSE),FALSE),FALSE),
IF($T11=14,_xlfn.IFNA(VLOOKUP($F11,'Data Transfer Tables'!$K$328:$L$338,2,FALSE),FALSE),FALSE),
IF($T11=15,_xlfn.IFNA(VLOOKUP($F11,'Data Transfer Tables'!$K$343:$L$353,2,FALSE),FALSE),FALSE),
IF($T11=16,_xlfn.IFNA(VLOOKUP($F11,'Data Transfer Tables'!$K$358:$L$369,2,FALSE),FALSE),FALSE),
IF($T11=17,_xlfn.IFNA(VLOOKUP($F11,'Data Transfer Tables'!$K$374:$L$384,2,FALSE),FALSE),FALSE),
IF($T11=18,_xlfn.IFNA(VLOOKUP($F11,'Data Transfer Tables'!$K$389:$L$399,2,FALSE),FALSE),FALSE),
IF($T11=19,_xlfn.IFNA(VLOOKUP($F11,'Data Transfer Tables'!$K$404:$L$414,2,FALSE),FALSE),FALSE),
IF($T11=20,_xlfn.IFNA(VLOOKUP($F11,'Data Transfer Tables'!$K$419:$L$429,2,FALSE),FALSE),FALSE),
IF($T11=21,_xlfn.IFNA(VLOOKUP($F11,'Data Transfer Tables'!$K$434:$L$444,2,FALSE),FALSE),FALSE),
IF($T11=22,_xlfn.IFNA(VLOOKUP($F11,'Data Transfer Tables'!$K$449:$L$459,2,FALSE),FALSE),FALSE))</f>
        <v>0</v>
      </c>
      <c r="AJ11" s="147" t="b">
        <f t="shared" si="13"/>
        <v>1</v>
      </c>
      <c r="AK11" s="224" t="b">
        <f t="shared" si="14"/>
        <v>0</v>
      </c>
      <c r="AL11" s="225" t="b">
        <f t="shared" si="15"/>
        <v>0</v>
      </c>
      <c r="AM11" s="225" t="b">
        <f t="shared" si="16"/>
        <v>0</v>
      </c>
      <c r="AN11" s="225" t="b">
        <f t="shared" si="17"/>
        <v>0</v>
      </c>
      <c r="AO11" s="196" t="b">
        <f>OR(IF($T11=1,_xlfn.IFNA(VLOOKUP($G11,'Data Transfer Tables'!$E$113:$F$125,2,FALSE),FALSE),FALSE),
IF($T11=2,_xlfn.IFNA(VLOOKUP($G11,'Data Transfer Tables'!$E$113:$F$125,2,FALSE),FALSE),FALSE),
IF($T11=3,_xlfn.IFNA(VLOOKUP($G11,'Data Transfer Tables'!$E$113:$F$125,2,FALSE),FALSE),FALSE),
IF($T11=4,_xlfn.IFNA(VLOOKUP($G11,'Data Transfer Tables'!$E$113:$F$125,2,FALSE),FALSE),FALSE),
IF($T11=5,_xlfn.IFNA(VLOOKUP($G11,'Data Transfer Tables'!$E$113:$F$125,2,FALSE),FALSE),FALSE),
IF($T11=6,_xlfn.IFNA(VLOOKUP($G11,'Data Transfer Tables'!$E$113:$F$125,2,FALSE),FALSE),FALSE),
IF($T11=7,_xlfn.IFNA(VLOOKUP($G11,'Data Transfer Tables'!$E$113:$F$125,2,FALSE),FALSE),FALSE),
IF($T11=8,_xlfn.IFNA(VLOOKUP($G11,'Data Transfer Tables'!$E$113:$F$125,2,FALSE),FALSE),FALSE),
IF($T11=9,_xlfn.IFNA(VLOOKUP($G11,'Data Transfer Tables'!$E$113:$F$125,2,FALSE),FALSE),FALSE),
IF($T11=10,_xlfn.IFNA(VLOOKUP($G11,'Data Transfer Tables'!$E$113:$F$125,2,FALSE),FALSE),FALSE),
IF($T11=11,_xlfn.IFNA(VLOOKUP($G11,'Data Transfer Tables'!$E$113:$F$125,2,FALSE),FALSE),FALSE),
IF($T11=12,_xlfn.IFNA(VLOOKUP($G11,'Data Transfer Tables'!$E$113:$F$125,2,FALSE),FALSE),FALSE),
IF($T11=13,_xlfn.IFNA(VLOOKUP($G11,'Data Transfer Tables'!$E$113:$F$125,2,FALSE),FALSE),FALSE),
IF($T11=14,_xlfn.IFNA(VLOOKUP($G11,'Data Transfer Tables'!$E$113:$F$125,2,FALSE),FALSE),FALSE),
IF($T11=15,_xlfn.IFNA(VLOOKUP($G11,'Data Transfer Tables'!$E$113:$F$125,2,FALSE),FALSE),FALSE),
IF($T11=16,_xlfn.IFNA(VLOOKUP($G11,'Data Transfer Tables'!$E$113:$F$125,2,FALSE),FALSE),FALSE),
IF($T11=17,_xlfn.IFNA(VLOOKUP($G11,'Data Transfer Tables'!$E$113:$F$125,2,FALSE),FALSE),FALSE),
IF($T11=18,_xlfn.IFNA(VLOOKUP($G11,'Data Transfer Tables'!$E$113:$F$125,2,FALSE),FALSE),FALSE),
IF($T11=19,_xlfn.IFNA(VLOOKUP($G11,'Data Transfer Tables'!$E$113:$F$125,2,FALSE),FALSE),FALSE),
IF($T11=20,_xlfn.IFNA(VLOOKUP($G11,'Data Transfer Tables'!$E$113:$F$125,2,FALSE),FALSE),FALSE),
IF($T11=21,_xlfn.IFNA(VLOOKUP($G11,'Data Transfer Tables'!$E$113:$F$125,2,FALSE),FALSE),FALSE),
IF($T11=22,_xlfn.IFNA(VLOOKUP($G11,'Data Transfer Tables'!$E$113:$F$125,2,FALSE),FALSE),FALSE))</f>
        <v>0</v>
      </c>
      <c r="AP11" s="196" t="b">
        <f t="shared" si="18"/>
        <v>1</v>
      </c>
      <c r="AQ11" s="211" t="b">
        <f t="shared" si="35"/>
        <v>1</v>
      </c>
      <c r="AR11" s="211" t="b">
        <f t="shared" si="32"/>
        <v>0</v>
      </c>
      <c r="AS11" s="94" t="b">
        <f t="shared" si="19"/>
        <v>1</v>
      </c>
      <c r="AT11" s="140" t="str">
        <f t="shared" si="20"/>
        <v/>
      </c>
      <c r="AU11" s="226" t="str">
        <f t="shared" si="21"/>
        <v>N/A</v>
      </c>
      <c r="AV11" s="226" t="str">
        <f t="shared" si="22"/>
        <v>N/A</v>
      </c>
      <c r="AW11" s="32" t="str">
        <f t="shared" si="23"/>
        <v>N/A</v>
      </c>
      <c r="AX11" s="32" t="b">
        <f t="shared" si="33"/>
        <v>0</v>
      </c>
      <c r="AY11" s="32" t="str">
        <f t="shared" ref="AY11:AY14" si="36">IF(AX11=TRUE, TRUE, "")</f>
        <v/>
      </c>
      <c r="AZ11" s="32" t="str">
        <f t="shared" si="24"/>
        <v/>
      </c>
      <c r="BA11" s="32" t="str">
        <f t="shared" si="25"/>
        <v/>
      </c>
      <c r="BB11" s="32" t="str">
        <f t="shared" si="26"/>
        <v/>
      </c>
      <c r="BC11" s="32" t="str">
        <f t="shared" si="27"/>
        <v/>
      </c>
      <c r="BD11" s="32" t="str">
        <f t="shared" si="28"/>
        <v/>
      </c>
    </row>
    <row r="12" spans="1:56" s="33" customFormat="1" ht="13.5" thickBot="1" x14ac:dyDescent="0.25">
      <c r="A12" s="63" t="s">
        <v>673</v>
      </c>
      <c r="B12" s="63" t="s">
        <v>44</v>
      </c>
      <c r="C12" s="63" t="s">
        <v>44</v>
      </c>
      <c r="D12" s="63" t="s">
        <v>44</v>
      </c>
      <c r="E12" s="63" t="s">
        <v>44</v>
      </c>
      <c r="F12" s="63" t="s">
        <v>44</v>
      </c>
      <c r="G12" s="63" t="s">
        <v>44</v>
      </c>
      <c r="H12" s="99" t="b">
        <v>1</v>
      </c>
      <c r="I12" s="99" t="b">
        <v>1</v>
      </c>
      <c r="J12" s="99" t="b">
        <v>1</v>
      </c>
      <c r="K12" s="138" t="b">
        <f t="shared" si="0"/>
        <v>1</v>
      </c>
      <c r="L12" s="62" t="b">
        <f t="shared" si="29"/>
        <v>1</v>
      </c>
      <c r="M12" s="62" t="b">
        <f t="shared" si="30"/>
        <v>1</v>
      </c>
      <c r="N12" s="55"/>
      <c r="O12" s="32"/>
      <c r="S12" s="32" t="str">
        <f t="shared" si="1"/>
        <v>N/A</v>
      </c>
      <c r="T12" s="221">
        <f t="shared" si="2"/>
        <v>0</v>
      </c>
      <c r="U12" s="51" t="b">
        <f t="shared" si="3"/>
        <v>1</v>
      </c>
      <c r="V12" s="74">
        <f>_xlfn.IFNA(VLOOKUP(B12,'Data Transfer Tables'!$A$111:$B$131,2),0)</f>
        <v>0</v>
      </c>
      <c r="W12" s="74" t="b">
        <f t="shared" si="4"/>
        <v>0</v>
      </c>
      <c r="X12" s="74" t="b">
        <f t="shared" si="5"/>
        <v>0</v>
      </c>
      <c r="Y12" s="222" t="b">
        <f t="shared" si="6"/>
        <v>1</v>
      </c>
      <c r="Z12" s="210" t="b">
        <f>OR(IF($T12=1,_xlfn.IFNA(VLOOKUP($C12,'Data Transfer Tables'!$B$144:$C$153,2,FALSE),FALSE),FALSE),
IF($T12=2,_xlfn.IFNA(VLOOKUP($C12,'Data Transfer Tables'!$B$158:$C$167,2,FALSE),FALSE),FALSE),
IF($T12=3,_xlfn.IFNA(VLOOKUP($C12,'Data Transfer Tables'!$B$172:$C$181,2,FALSE),FALSE),FALSE),
IF($T12=4,_xlfn.IFNA(VLOOKUP($C12,'Data Transfer Tables'!$B$186:$C$195,2,FALSE),FALSE),FALSE),
IF($T12=5,_xlfn.IFNA(VLOOKUP($C12,'Data Transfer Tables'!$B$200:$C$209,2,FALSE),FALSE),FALSE),
IF($T12=6,_xlfn.IFNA(VLOOKUP($C12,'Data Transfer Tables'!$B$214:$C$223,2,FALSE),FALSE),FALSE),
IF($T12=7,_xlfn.IFNA(VLOOKUP($C12,'Data Transfer Tables'!$B$228:$C$237,2,FALSE),FALSE),FALSE),
IF($T12=8,_xlfn.IFNA(VLOOKUP($C12,'Data Transfer Tables'!$B$242:$C$251,2,FALSE),FALSE),FALSE),
IF($T12=9,_xlfn.IFNA(VLOOKUP($C12,'Data Transfer Tables'!$B$256:$C$266,2,FALSE),FALSE),FALSE),
IF($T12=10,_xlfn.IFNA(VLOOKUP($C12,'Data Transfer Tables'!$B$271:$C$281,2,FALSE),FALSE),FALSE),
IF($T12=11,_xlfn.IFNA(VLOOKUP($C12,'Data Transfer Tables'!$B$286:$C$295,2,FALSE),FALSE),FALSE),
IF($T12=12,_xlfn.IFNA(VLOOKUP($C12,'Data Transfer Tables'!$B$300:$C$309,2,FALSE),FALSE),FALSE),
IF($T12=13,_xlfn.IFNA(VLOOKUP($C12,'Data Transfer Tables'!$B$314:$C$323,2,FALSE),FALSE),FALSE),
IF($T12=14,_xlfn.IFNA(VLOOKUP($C12,'Data Transfer Tables'!$B$328:$C$338,2,FALSE),FALSE),FALSE),
IF($T12=15,_xlfn.IFNA(VLOOKUP($C12,'Data Transfer Tables'!$B$343:$C$353,2,FALSE),FALSE),FALSE),
IF($T12=16,_xlfn.IFNA(VLOOKUP($C12,'Data Transfer Tables'!$B$358:$C$369,2,FALSE),FALSE),FALSE),
IF($T12=17,_xlfn.IFNA(VLOOKUP($C12,'Data Transfer Tables'!$B$374:$C$384,2,FALSE),FALSE),FALSE),
IF($T12=18,_xlfn.IFNA(VLOOKUP($C12,'Data Transfer Tables'!$B$389:$C$399,2,FALSE),FALSE),FALSE),
IF($T12=19,_xlfn.IFNA(VLOOKUP($C12,'Data Transfer Tables'!$B$404:$C$414,2,FALSE),FALSE),FALSE),
IF($T12=20,_xlfn.IFNA(VLOOKUP($C12,'Data Transfer Tables'!$B$419:$C$429,2,FALSE),FALSE),FALSE),
IF($T12=21,_xlfn.IFNA(VLOOKUP($C12,'Data Transfer Tables'!$B$434:$C$444,2,FALSE),FALSE),FALSE),
IF($T12=22,_xlfn.IFNA(VLOOKUP($C12,'Data Transfer Tables'!$B$449:$C$459,2,FALSE),FALSE),FALSE))</f>
        <v>0</v>
      </c>
      <c r="AA12" s="210" t="b">
        <f t="shared" si="7"/>
        <v>1</v>
      </c>
      <c r="AB12" s="222" t="b">
        <f t="shared" si="8"/>
        <v>0</v>
      </c>
      <c r="AC12" s="146" t="b">
        <f>OR(IF($T12=1,_xlfn.IFNA(VLOOKUP($D12,'Data Transfer Tables'!$E$144:$G$153,2,FALSE),FALSE),FALSE),
IF($T12=2,_xlfn.IFNA(VLOOKUP($D12,'Data Transfer Tables'!$E$158:$G$167,2,FALSE),FALSE),FALSE),
IF($T12=3,_xlfn.IFNA(VLOOKUP($D12,'Data Transfer Tables'!$E$172:$G$181,2,FALSE),FALSE),FALSE),
IF($T12=4,_xlfn.IFNA(VLOOKUP($D12,'Data Transfer Tables'!$E$186:$G$195,2,FALSE),FALSE),FALSE),
IF($T12=5,_xlfn.IFNA(VLOOKUP($D12,'Data Transfer Tables'!$E$200:$G$209,2,FALSE),FALSE),FALSE),
IF($T12=6,_xlfn.IFNA(VLOOKUP($D12,'Data Transfer Tables'!$E$214:$G$223,2,FALSE),FALSE),FALSE),
IF($T12=7,_xlfn.IFNA(VLOOKUP($D12,'Data Transfer Tables'!$E$228:$G$237,2,FALSE),FALSE),FALSE),
IF($T12=8,_xlfn.IFNA(VLOOKUP($D12,'Data Transfer Tables'!$E$242:$G$251,2,FALSE),FALSE),FALSE),
IF($T12=9,_xlfn.IFNA(VLOOKUP($D12,'Data Transfer Tables'!$E$256:$G$266,2,FALSE),FALSE),FALSE),
IF($T12=10,_xlfn.IFNA(VLOOKUP($D12,'Data Transfer Tables'!$E$271:$G$281,2,FALSE),FALSE),FALSE),
IF($T12=11,_xlfn.IFNA(VLOOKUP($D12,'Data Transfer Tables'!$E$286:$G$295,2,FALSE),FALSE),FALSE),
IF($T12=12,_xlfn.IFNA(VLOOKUP($D12,'Data Transfer Tables'!$E$300:$G$309,2,FALSE),FALSE),FALSE),
IF($T12=13,_xlfn.IFNA(VLOOKUP($D12,'Data Transfer Tables'!$E$314:$G$323,2,FALSE),FALSE),FALSE),
IF($T12=14,_xlfn.IFNA(VLOOKUP($D12,'Data Transfer Tables'!$E$328:$G$338,2,FALSE),FALSE),FALSE),
IF($T12=15,_xlfn.IFNA(VLOOKUP($D12,'Data Transfer Tables'!$E$343:$G$353,2,FALSE),FALSE),FALSE),
IF($T12=16,_xlfn.IFNA(VLOOKUP($D12,'Data Transfer Tables'!$E$358:$G$369,2,FALSE),FALSE),FALSE),
IF($T12=17,_xlfn.IFNA(VLOOKUP($D12,'Data Transfer Tables'!$E$374:$G$384,2,FALSE),FALSE),FALSE),
IF($T12=18,_xlfn.IFNA(VLOOKUP($D12,'Data Transfer Tables'!$E$389:$G$399,2,FALSE),FALSE),FALSE),
IF($T12=19,_xlfn.IFNA(VLOOKUP($D12,'Data Transfer Tables'!$E$404:$G$414,2,FALSE),FALSE),FALSE),
IF($T12=20,_xlfn.IFNA(VLOOKUP($D12,'Data Transfer Tables'!$E$419:$G$429,2,FALSE),FALSE),FALSE),
IF($T12=21,_xlfn.IFNA(VLOOKUP($D12,'Data Transfer Tables'!$E$434:$G$444,2,FALSE),FALSE),FALSE),
IF($T12=22,_xlfn.IFNA(VLOOKUP($D12,'Data Transfer Tables'!$E$449:$G$459,2,FALSE),FALSE),FALSE))</f>
        <v>0</v>
      </c>
      <c r="AD12" s="146" t="b">
        <f t="shared" si="9"/>
        <v>1</v>
      </c>
      <c r="AE12" s="222" t="b">
        <f t="shared" si="10"/>
        <v>0</v>
      </c>
      <c r="AF12" s="145" t="b">
        <f>OR(IF($T12=1,_xlfn.IFNA(VLOOKUP($E12,'Data Transfer Tables'!$H$144:$I$153,2,FALSE),FALSE),FALSE),
IF($T12=2,_xlfn.IFNA(VLOOKUP($E12,'Data Transfer Tables'!$H$158:$I$167,2,FALSE),FALSE),FALSE),
IF($T12=3,_xlfn.IFNA(VLOOKUP($E12,'Data Transfer Tables'!$H$172:$I$181,2,FALSE),FALSE),FALSE),
IF($T12=4,_xlfn.IFNA(VLOOKUP($E12,'Data Transfer Tables'!$H$186:$I$195,2,FALSE),FALSE),FALSE),
IF($T12=5,_xlfn.IFNA(VLOOKUP($E12,'Data Transfer Tables'!$H$200:$I$209,2,FALSE),FALSE),FALSE),
IF($T12=6,_xlfn.IFNA(VLOOKUP($E12,'Data Transfer Tables'!$H$214:$I$223,2,FALSE),FALSE),FALSE),
IF($T12=7,_xlfn.IFNA(VLOOKUP($E12,'Data Transfer Tables'!$H$228:$I$237,2,FALSE),FALSE),FALSE),
IF($T12=8,_xlfn.IFNA(VLOOKUP($E12,'Data Transfer Tables'!$H$242:$I$251,2,FALSE),FALSE),FALSE),
IF($T12=9,_xlfn.IFNA(VLOOKUP($E12,'Data Transfer Tables'!$H$256:$I$266,2,FALSE),FALSE),FALSE),
IF($T12=10,_xlfn.IFNA(VLOOKUP($E12,'Data Transfer Tables'!$H$271:$I$281,2,FALSE),FALSE),FALSE),
IF($T12=11,_xlfn.IFNA(VLOOKUP($E12,'Data Transfer Tables'!$H$286:$I$295,2,FALSE),FALSE),FALSE),
IF($T12=12,_xlfn.IFNA(VLOOKUP($E12,'Data Transfer Tables'!$H$300:$I$309,2,FALSE),FALSE),FALSE),
IF($T12=13,_xlfn.IFNA(VLOOKUP($E12,'Data Transfer Tables'!$H$314:$I$323,2,FALSE),FALSE),FALSE),
IF($T12=14,_xlfn.IFNA(VLOOKUP($E12,'Data Transfer Tables'!$H$328:$I$338,2,FALSE),FALSE),FALSE),
IF($T12=15,_xlfn.IFNA(VLOOKUP($E12,'Data Transfer Tables'!$H$343:$I$353,2,FALSE),FALSE),FALSE),
IF($T12=16,_xlfn.IFNA(VLOOKUP($E12,'Data Transfer Tables'!$H$358:$I$369,2,FALSE),FALSE),FALSE),
IF($T12=17,_xlfn.IFNA(VLOOKUP($E12,'Data Transfer Tables'!$H$374:$I$384,2,FALSE),FALSE),FALSE),
IF($T12=18,_xlfn.IFNA(VLOOKUP($E12,'Data Transfer Tables'!$H$389:$I$399,2,FALSE),FALSE),FALSE),
IF($T12=19,_xlfn.IFNA(VLOOKUP($E12,'Data Transfer Tables'!$H$404:$I$414,2,FALSE),FALSE),FALSE),
IF($T12=20,_xlfn.IFNA(VLOOKUP($E12,'Data Transfer Tables'!$H$419:$I$429,2,FALSE),FALSE),FALSE),
IF($T12=21,_xlfn.IFNA(VLOOKUP($E12,'Data Transfer Tables'!$H$434:$I$444,2,FALSE),FALSE),FALSE),
IF($T12=22,_xlfn.IFNA(VLOOKUP($E12,'Data Transfer Tables'!$H$449:$I$459,2,FALSE),FALSE),FALSE))</f>
        <v>0</v>
      </c>
      <c r="AG12" s="145" t="b">
        <f t="shared" si="11"/>
        <v>1</v>
      </c>
      <c r="AH12" s="223" t="b">
        <f t="shared" si="12"/>
        <v>0</v>
      </c>
      <c r="AI12" s="147" t="b">
        <f>OR(IF($T12=1,_xlfn.IFNA(VLOOKUP($F12,'Data Transfer Tables'!$K$144:$L$153,2,FALSE),FALSE),FALSE),
IF($T12=2,_xlfn.IFNA(VLOOKUP($F12,'Data Transfer Tables'!$K$158:$L$167,2,FALSE),FALSE),FALSE),
IF($T12=3,_xlfn.IFNA(VLOOKUP($F12,'Data Transfer Tables'!$K$172:$L$181,2,FALSE),FALSE),FALSE),
IF($T12=4,_xlfn.IFNA(VLOOKUP($F12,'Data Transfer Tables'!$K$186:$L$195,2,FALSE),FALSE),FALSE),
IF($T12=5,_xlfn.IFNA(VLOOKUP($F12,'Data Transfer Tables'!$K$200:$L$209,2,FALSE),FALSE),FALSE),
IF($T12=6,_xlfn.IFNA(VLOOKUP($F12,'Data Transfer Tables'!$K$214:$L$223,2,FALSE),FALSE),FALSE),
IF($T12=7,_xlfn.IFNA(VLOOKUP($F12,'Data Transfer Tables'!$K$228:$L$237,2,FALSE),FALSE),FALSE),
IF($T12=8,_xlfn.IFNA(VLOOKUP($F12,'Data Transfer Tables'!$K$242:$L$251,2,FALSE),FALSE),FALSE),
IF($T12=9,_xlfn.IFNA(VLOOKUP($F12,'Data Transfer Tables'!$K$256:$L$266,2,FALSE),FALSE),FALSE),
IF($T12=10,_xlfn.IFNA(VLOOKUP($F12,'Data Transfer Tables'!$K$271:$L$281,2,FALSE),FALSE),FALSE),
IF($T12=11,_xlfn.IFNA(VLOOKUP($F12,'Data Transfer Tables'!$K$286:$L$295,2,FALSE),FALSE),FALSE),
IF($T12=12,_xlfn.IFNA(VLOOKUP($F12,'Data Transfer Tables'!$K$300:$L$309,2,FALSE),FALSE),FALSE),
IF($T12=13,_xlfn.IFNA(VLOOKUP($F12,'Data Transfer Tables'!$K$314:$L$323,2,FALSE),FALSE),FALSE),
IF($T12=14,_xlfn.IFNA(VLOOKUP($F12,'Data Transfer Tables'!$K$328:$L$338,2,FALSE),FALSE),FALSE),
IF($T12=15,_xlfn.IFNA(VLOOKUP($F12,'Data Transfer Tables'!$K$343:$L$353,2,FALSE),FALSE),FALSE),
IF($T12=16,_xlfn.IFNA(VLOOKUP($F12,'Data Transfer Tables'!$K$358:$L$369,2,FALSE),FALSE),FALSE),
IF($T12=17,_xlfn.IFNA(VLOOKUP($F12,'Data Transfer Tables'!$K$374:$L$384,2,FALSE),FALSE),FALSE),
IF($T12=18,_xlfn.IFNA(VLOOKUP($F12,'Data Transfer Tables'!$K$389:$L$399,2,FALSE),FALSE),FALSE),
IF($T12=19,_xlfn.IFNA(VLOOKUP($F12,'Data Transfer Tables'!$K$404:$L$414,2,FALSE),FALSE),FALSE),
IF($T12=20,_xlfn.IFNA(VLOOKUP($F12,'Data Transfer Tables'!$K$419:$L$429,2,FALSE),FALSE),FALSE),
IF($T12=21,_xlfn.IFNA(VLOOKUP($F12,'Data Transfer Tables'!$K$434:$L$444,2,FALSE),FALSE),FALSE),
IF($T12=22,_xlfn.IFNA(VLOOKUP($F12,'Data Transfer Tables'!$K$449:$L$459,2,FALSE),FALSE),FALSE))</f>
        <v>0</v>
      </c>
      <c r="AJ12" s="147" t="b">
        <f t="shared" si="13"/>
        <v>1</v>
      </c>
      <c r="AK12" s="224" t="b">
        <f t="shared" si="14"/>
        <v>0</v>
      </c>
      <c r="AL12" s="225" t="b">
        <f t="shared" si="15"/>
        <v>0</v>
      </c>
      <c r="AM12" s="225" t="b">
        <f t="shared" si="16"/>
        <v>0</v>
      </c>
      <c r="AN12" s="225" t="b">
        <f t="shared" si="17"/>
        <v>0</v>
      </c>
      <c r="AO12" s="196" t="b">
        <f>OR(IF($T12=1,_xlfn.IFNA(VLOOKUP($G12,'Data Transfer Tables'!$E$113:$F$125,2,FALSE),FALSE),FALSE),
IF($T12=2,_xlfn.IFNA(VLOOKUP($G12,'Data Transfer Tables'!$E$113:$F$125,2,FALSE),FALSE),FALSE),
IF($T12=3,_xlfn.IFNA(VLOOKUP($G12,'Data Transfer Tables'!$E$113:$F$125,2,FALSE),FALSE),FALSE),
IF($T12=4,_xlfn.IFNA(VLOOKUP($G12,'Data Transfer Tables'!$E$113:$F$125,2,FALSE),FALSE),FALSE),
IF($T12=5,_xlfn.IFNA(VLOOKUP($G12,'Data Transfer Tables'!$E$113:$F$125,2,FALSE),FALSE),FALSE),
IF($T12=6,_xlfn.IFNA(VLOOKUP($G12,'Data Transfer Tables'!$E$113:$F$125,2,FALSE),FALSE),FALSE),
IF($T12=7,_xlfn.IFNA(VLOOKUP($G12,'Data Transfer Tables'!$E$113:$F$125,2,FALSE),FALSE),FALSE),
IF($T12=8,_xlfn.IFNA(VLOOKUP($G12,'Data Transfer Tables'!$E$113:$F$125,2,FALSE),FALSE),FALSE),
IF($T12=9,_xlfn.IFNA(VLOOKUP($G12,'Data Transfer Tables'!$E$113:$F$125,2,FALSE),FALSE),FALSE),
IF($T12=10,_xlfn.IFNA(VLOOKUP($G12,'Data Transfer Tables'!$E$113:$F$125,2,FALSE),FALSE),FALSE),
IF($T12=11,_xlfn.IFNA(VLOOKUP($G12,'Data Transfer Tables'!$E$113:$F$125,2,FALSE),FALSE),FALSE),
IF($T12=12,_xlfn.IFNA(VLOOKUP($G12,'Data Transfer Tables'!$E$113:$F$125,2,FALSE),FALSE),FALSE),
IF($T12=13,_xlfn.IFNA(VLOOKUP($G12,'Data Transfer Tables'!$E$113:$F$125,2,FALSE),FALSE),FALSE),
IF($T12=14,_xlfn.IFNA(VLOOKUP($G12,'Data Transfer Tables'!$E$113:$F$125,2,FALSE),FALSE),FALSE),
IF($T12=15,_xlfn.IFNA(VLOOKUP($G12,'Data Transfer Tables'!$E$113:$F$125,2,FALSE),FALSE),FALSE),
IF($T12=16,_xlfn.IFNA(VLOOKUP($G12,'Data Transfer Tables'!$E$113:$F$125,2,FALSE),FALSE),FALSE),
IF($T12=17,_xlfn.IFNA(VLOOKUP($G12,'Data Transfer Tables'!$E$113:$F$125,2,FALSE),FALSE),FALSE),
IF($T12=18,_xlfn.IFNA(VLOOKUP($G12,'Data Transfer Tables'!$E$113:$F$125,2,FALSE),FALSE),FALSE),
IF($T12=19,_xlfn.IFNA(VLOOKUP($G12,'Data Transfer Tables'!$E$113:$F$125,2,FALSE),FALSE),FALSE),
IF($T12=20,_xlfn.IFNA(VLOOKUP($G12,'Data Transfer Tables'!$E$113:$F$125,2,FALSE),FALSE),FALSE),
IF($T12=21,_xlfn.IFNA(VLOOKUP($G12,'Data Transfer Tables'!$E$113:$F$125,2,FALSE),FALSE),FALSE),
IF($T12=22,_xlfn.IFNA(VLOOKUP($G12,'Data Transfer Tables'!$E$113:$F$125,2,FALSE),FALSE),FALSE))</f>
        <v>0</v>
      </c>
      <c r="AP12" s="196" t="b">
        <f t="shared" si="18"/>
        <v>1</v>
      </c>
      <c r="AQ12" s="211" t="b">
        <f t="shared" si="35"/>
        <v>1</v>
      </c>
      <c r="AR12" s="211" t="b">
        <f t="shared" si="32"/>
        <v>0</v>
      </c>
      <c r="AS12" s="94" t="b">
        <f t="shared" si="19"/>
        <v>1</v>
      </c>
      <c r="AT12" s="140" t="str">
        <f t="shared" si="20"/>
        <v/>
      </c>
      <c r="AU12" s="226" t="str">
        <f t="shared" si="21"/>
        <v>N/A</v>
      </c>
      <c r="AV12" s="226" t="str">
        <f t="shared" si="22"/>
        <v>N/A</v>
      </c>
      <c r="AW12" s="32" t="str">
        <f t="shared" si="23"/>
        <v>N/A</v>
      </c>
      <c r="AX12" s="32" t="b">
        <f t="shared" si="33"/>
        <v>0</v>
      </c>
      <c r="AY12" s="32" t="str">
        <f t="shared" si="36"/>
        <v/>
      </c>
      <c r="AZ12" s="32" t="str">
        <f t="shared" si="24"/>
        <v/>
      </c>
      <c r="BA12" s="32" t="str">
        <f t="shared" si="25"/>
        <v/>
      </c>
      <c r="BB12" s="32" t="str">
        <f t="shared" si="26"/>
        <v/>
      </c>
      <c r="BC12" s="32" t="str">
        <f t="shared" si="27"/>
        <v/>
      </c>
      <c r="BD12" s="32" t="str">
        <f t="shared" si="28"/>
        <v/>
      </c>
    </row>
    <row r="13" spans="1:56" s="33" customFormat="1" ht="13.5" thickBot="1" x14ac:dyDescent="0.25">
      <c r="A13" s="63" t="s">
        <v>673</v>
      </c>
      <c r="B13" s="63" t="s">
        <v>44</v>
      </c>
      <c r="C13" s="63" t="s">
        <v>44</v>
      </c>
      <c r="D13" s="63" t="s">
        <v>44</v>
      </c>
      <c r="E13" s="63" t="s">
        <v>44</v>
      </c>
      <c r="F13" s="63" t="s">
        <v>44</v>
      </c>
      <c r="G13" s="63" t="s">
        <v>44</v>
      </c>
      <c r="H13" s="99" t="b">
        <v>1</v>
      </c>
      <c r="I13" s="99" t="b">
        <v>1</v>
      </c>
      <c r="J13" s="99" t="b">
        <v>1</v>
      </c>
      <c r="K13" s="138" t="b">
        <f t="shared" si="0"/>
        <v>1</v>
      </c>
      <c r="L13" s="62" t="b">
        <f t="shared" si="29"/>
        <v>1</v>
      </c>
      <c r="M13" s="62" t="b">
        <f t="shared" si="30"/>
        <v>1</v>
      </c>
      <c r="N13" s="55"/>
      <c r="O13" s="32"/>
      <c r="S13" s="32" t="str">
        <f t="shared" si="1"/>
        <v>N/A</v>
      </c>
      <c r="T13" s="221">
        <f t="shared" si="2"/>
        <v>0</v>
      </c>
      <c r="U13" s="51" t="b">
        <f t="shared" si="3"/>
        <v>1</v>
      </c>
      <c r="V13" s="74">
        <f>_xlfn.IFNA(VLOOKUP(B13,'Data Transfer Tables'!$A$111:$B$131,2),0)</f>
        <v>0</v>
      </c>
      <c r="W13" s="74" t="b">
        <f t="shared" si="4"/>
        <v>0</v>
      </c>
      <c r="X13" s="74" t="b">
        <f t="shared" si="5"/>
        <v>0</v>
      </c>
      <c r="Y13" s="222" t="b">
        <f t="shared" si="6"/>
        <v>1</v>
      </c>
      <c r="Z13" s="210" t="b">
        <f>OR(IF($T13=1,_xlfn.IFNA(VLOOKUP($C13,'Data Transfer Tables'!$B$144:$C$153,2,FALSE),FALSE),FALSE),
IF($T13=2,_xlfn.IFNA(VLOOKUP($C13,'Data Transfer Tables'!$B$158:$C$167,2,FALSE),FALSE),FALSE),
IF($T13=3,_xlfn.IFNA(VLOOKUP($C13,'Data Transfer Tables'!$B$172:$C$181,2,FALSE),FALSE),FALSE),
IF($T13=4,_xlfn.IFNA(VLOOKUP($C13,'Data Transfer Tables'!$B$186:$C$195,2,FALSE),FALSE),FALSE),
IF($T13=5,_xlfn.IFNA(VLOOKUP($C13,'Data Transfer Tables'!$B$200:$C$209,2,FALSE),FALSE),FALSE),
IF($T13=6,_xlfn.IFNA(VLOOKUP($C13,'Data Transfer Tables'!$B$214:$C$223,2,FALSE),FALSE),FALSE),
IF($T13=7,_xlfn.IFNA(VLOOKUP($C13,'Data Transfer Tables'!$B$228:$C$237,2,FALSE),FALSE),FALSE),
IF($T13=8,_xlfn.IFNA(VLOOKUP($C13,'Data Transfer Tables'!$B$242:$C$251,2,FALSE),FALSE),FALSE),
IF($T13=9,_xlfn.IFNA(VLOOKUP($C13,'Data Transfer Tables'!$B$256:$C$266,2,FALSE),FALSE),FALSE),
IF($T13=10,_xlfn.IFNA(VLOOKUP($C13,'Data Transfer Tables'!$B$271:$C$281,2,FALSE),FALSE),FALSE),
IF($T13=11,_xlfn.IFNA(VLOOKUP($C13,'Data Transfer Tables'!$B$286:$C$295,2,FALSE),FALSE),FALSE),
IF($T13=12,_xlfn.IFNA(VLOOKUP($C13,'Data Transfer Tables'!$B$300:$C$309,2,FALSE),FALSE),FALSE),
IF($T13=13,_xlfn.IFNA(VLOOKUP($C13,'Data Transfer Tables'!$B$314:$C$323,2,FALSE),FALSE),FALSE),
IF($T13=14,_xlfn.IFNA(VLOOKUP($C13,'Data Transfer Tables'!$B$328:$C$338,2,FALSE),FALSE),FALSE),
IF($T13=15,_xlfn.IFNA(VLOOKUP($C13,'Data Transfer Tables'!$B$343:$C$353,2,FALSE),FALSE),FALSE),
IF($T13=16,_xlfn.IFNA(VLOOKUP($C13,'Data Transfer Tables'!$B$358:$C$369,2,FALSE),FALSE),FALSE),
IF($T13=17,_xlfn.IFNA(VLOOKUP($C13,'Data Transfer Tables'!$B$374:$C$384,2,FALSE),FALSE),FALSE),
IF($T13=18,_xlfn.IFNA(VLOOKUP($C13,'Data Transfer Tables'!$B$389:$C$399,2,FALSE),FALSE),FALSE),
IF($T13=19,_xlfn.IFNA(VLOOKUP($C13,'Data Transfer Tables'!$B$404:$C$414,2,FALSE),FALSE),FALSE),
IF($T13=20,_xlfn.IFNA(VLOOKUP($C13,'Data Transfer Tables'!$B$419:$C$429,2,FALSE),FALSE),FALSE),
IF($T13=21,_xlfn.IFNA(VLOOKUP($C13,'Data Transfer Tables'!$B$434:$C$444,2,FALSE),FALSE),FALSE),
IF($T13=22,_xlfn.IFNA(VLOOKUP($C13,'Data Transfer Tables'!$B$449:$C$459,2,FALSE),FALSE),FALSE))</f>
        <v>0</v>
      </c>
      <c r="AA13" s="210" t="b">
        <f t="shared" si="7"/>
        <v>1</v>
      </c>
      <c r="AB13" s="222" t="b">
        <f t="shared" si="8"/>
        <v>0</v>
      </c>
      <c r="AC13" s="146" t="b">
        <f>OR(IF($T13=1,_xlfn.IFNA(VLOOKUP($D13,'Data Transfer Tables'!$E$144:$G$153,2,FALSE),FALSE),FALSE),
IF($T13=2,_xlfn.IFNA(VLOOKUP($D13,'Data Transfer Tables'!$E$158:$G$167,2,FALSE),FALSE),FALSE),
IF($T13=3,_xlfn.IFNA(VLOOKUP($D13,'Data Transfer Tables'!$E$172:$G$181,2,FALSE),FALSE),FALSE),
IF($T13=4,_xlfn.IFNA(VLOOKUP($D13,'Data Transfer Tables'!$E$186:$G$195,2,FALSE),FALSE),FALSE),
IF($T13=5,_xlfn.IFNA(VLOOKUP($D13,'Data Transfer Tables'!$E$200:$G$209,2,FALSE),FALSE),FALSE),
IF($T13=6,_xlfn.IFNA(VLOOKUP($D13,'Data Transfer Tables'!$E$214:$G$223,2,FALSE),FALSE),FALSE),
IF($T13=7,_xlfn.IFNA(VLOOKUP($D13,'Data Transfer Tables'!$E$228:$G$237,2,FALSE),FALSE),FALSE),
IF($T13=8,_xlfn.IFNA(VLOOKUP($D13,'Data Transfer Tables'!$E$242:$G$251,2,FALSE),FALSE),FALSE),
IF($T13=9,_xlfn.IFNA(VLOOKUP($D13,'Data Transfer Tables'!$E$256:$G$266,2,FALSE),FALSE),FALSE),
IF($T13=10,_xlfn.IFNA(VLOOKUP($D13,'Data Transfer Tables'!$E$271:$G$281,2,FALSE),FALSE),FALSE),
IF($T13=11,_xlfn.IFNA(VLOOKUP($D13,'Data Transfer Tables'!$E$286:$G$295,2,FALSE),FALSE),FALSE),
IF($T13=12,_xlfn.IFNA(VLOOKUP($D13,'Data Transfer Tables'!$E$300:$G$309,2,FALSE),FALSE),FALSE),
IF($T13=13,_xlfn.IFNA(VLOOKUP($D13,'Data Transfer Tables'!$E$314:$G$323,2,FALSE),FALSE),FALSE),
IF($T13=14,_xlfn.IFNA(VLOOKUP($D13,'Data Transfer Tables'!$E$328:$G$338,2,FALSE),FALSE),FALSE),
IF($T13=15,_xlfn.IFNA(VLOOKUP($D13,'Data Transfer Tables'!$E$343:$G$353,2,FALSE),FALSE),FALSE),
IF($T13=16,_xlfn.IFNA(VLOOKUP($D13,'Data Transfer Tables'!$E$358:$G$369,2,FALSE),FALSE),FALSE),
IF($T13=17,_xlfn.IFNA(VLOOKUP($D13,'Data Transfer Tables'!$E$374:$G$384,2,FALSE),FALSE),FALSE),
IF($T13=18,_xlfn.IFNA(VLOOKUP($D13,'Data Transfer Tables'!$E$389:$G$399,2,FALSE),FALSE),FALSE),
IF($T13=19,_xlfn.IFNA(VLOOKUP($D13,'Data Transfer Tables'!$E$404:$G$414,2,FALSE),FALSE),FALSE),
IF($T13=20,_xlfn.IFNA(VLOOKUP($D13,'Data Transfer Tables'!$E$419:$G$429,2,FALSE),FALSE),FALSE),
IF($T13=21,_xlfn.IFNA(VLOOKUP($D13,'Data Transfer Tables'!$E$434:$G$444,2,FALSE),FALSE),FALSE),
IF($T13=22,_xlfn.IFNA(VLOOKUP($D13,'Data Transfer Tables'!$E$449:$G$459,2,FALSE),FALSE),FALSE))</f>
        <v>0</v>
      </c>
      <c r="AD13" s="146" t="b">
        <f t="shared" si="9"/>
        <v>1</v>
      </c>
      <c r="AE13" s="222" t="b">
        <f t="shared" si="10"/>
        <v>0</v>
      </c>
      <c r="AF13" s="145" t="b">
        <f>OR(IF($T13=1,_xlfn.IFNA(VLOOKUP($E13,'Data Transfer Tables'!$H$144:$I$153,2,FALSE),FALSE),FALSE),
IF($T13=2,_xlfn.IFNA(VLOOKUP($E13,'Data Transfer Tables'!$H$158:$I$167,2,FALSE),FALSE),FALSE),
IF($T13=3,_xlfn.IFNA(VLOOKUP($E13,'Data Transfer Tables'!$H$172:$I$181,2,FALSE),FALSE),FALSE),
IF($T13=4,_xlfn.IFNA(VLOOKUP($E13,'Data Transfer Tables'!$H$186:$I$195,2,FALSE),FALSE),FALSE),
IF($T13=5,_xlfn.IFNA(VLOOKUP($E13,'Data Transfer Tables'!$H$200:$I$209,2,FALSE),FALSE),FALSE),
IF($T13=6,_xlfn.IFNA(VLOOKUP($E13,'Data Transfer Tables'!$H$214:$I$223,2,FALSE),FALSE),FALSE),
IF($T13=7,_xlfn.IFNA(VLOOKUP($E13,'Data Transfer Tables'!$H$228:$I$237,2,FALSE),FALSE),FALSE),
IF($T13=8,_xlfn.IFNA(VLOOKUP($E13,'Data Transfer Tables'!$H$242:$I$251,2,FALSE),FALSE),FALSE),
IF($T13=9,_xlfn.IFNA(VLOOKUP($E13,'Data Transfer Tables'!$H$256:$I$266,2,FALSE),FALSE),FALSE),
IF($T13=10,_xlfn.IFNA(VLOOKUP($E13,'Data Transfer Tables'!$H$271:$I$281,2,FALSE),FALSE),FALSE),
IF($T13=11,_xlfn.IFNA(VLOOKUP($E13,'Data Transfer Tables'!$H$286:$I$295,2,FALSE),FALSE),FALSE),
IF($T13=12,_xlfn.IFNA(VLOOKUP($E13,'Data Transfer Tables'!$H$300:$I$309,2,FALSE),FALSE),FALSE),
IF($T13=13,_xlfn.IFNA(VLOOKUP($E13,'Data Transfer Tables'!$H$314:$I$323,2,FALSE),FALSE),FALSE),
IF($T13=14,_xlfn.IFNA(VLOOKUP($E13,'Data Transfer Tables'!$H$328:$I$338,2,FALSE),FALSE),FALSE),
IF($T13=15,_xlfn.IFNA(VLOOKUP($E13,'Data Transfer Tables'!$H$343:$I$353,2,FALSE),FALSE),FALSE),
IF($T13=16,_xlfn.IFNA(VLOOKUP($E13,'Data Transfer Tables'!$H$358:$I$369,2,FALSE),FALSE),FALSE),
IF($T13=17,_xlfn.IFNA(VLOOKUP($E13,'Data Transfer Tables'!$H$374:$I$384,2,FALSE),FALSE),FALSE),
IF($T13=18,_xlfn.IFNA(VLOOKUP($E13,'Data Transfer Tables'!$H$389:$I$399,2,FALSE),FALSE),FALSE),
IF($T13=19,_xlfn.IFNA(VLOOKUP($E13,'Data Transfer Tables'!$H$404:$I$414,2,FALSE),FALSE),FALSE),
IF($T13=20,_xlfn.IFNA(VLOOKUP($E13,'Data Transfer Tables'!$H$419:$I$429,2,FALSE),FALSE),FALSE),
IF($T13=21,_xlfn.IFNA(VLOOKUP($E13,'Data Transfer Tables'!$H$434:$I$444,2,FALSE),FALSE),FALSE),
IF($T13=22,_xlfn.IFNA(VLOOKUP($E13,'Data Transfer Tables'!$H$449:$I$459,2,FALSE),FALSE),FALSE))</f>
        <v>0</v>
      </c>
      <c r="AG13" s="145" t="b">
        <f t="shared" si="11"/>
        <v>1</v>
      </c>
      <c r="AH13" s="223" t="b">
        <f t="shared" si="12"/>
        <v>0</v>
      </c>
      <c r="AI13" s="147" t="b">
        <f>OR(IF($T13=1,_xlfn.IFNA(VLOOKUP($F13,'Data Transfer Tables'!$K$144:$L$153,2,FALSE),FALSE),FALSE),
IF($T13=2,_xlfn.IFNA(VLOOKUP($F13,'Data Transfer Tables'!$K$158:$L$167,2,FALSE),FALSE),FALSE),
IF($T13=3,_xlfn.IFNA(VLOOKUP($F13,'Data Transfer Tables'!$K$172:$L$181,2,FALSE),FALSE),FALSE),
IF($T13=4,_xlfn.IFNA(VLOOKUP($F13,'Data Transfer Tables'!$K$186:$L$195,2,FALSE),FALSE),FALSE),
IF($T13=5,_xlfn.IFNA(VLOOKUP($F13,'Data Transfer Tables'!$K$200:$L$209,2,FALSE),FALSE),FALSE),
IF($T13=6,_xlfn.IFNA(VLOOKUP($F13,'Data Transfer Tables'!$K$214:$L$223,2,FALSE),FALSE),FALSE),
IF($T13=7,_xlfn.IFNA(VLOOKUP($F13,'Data Transfer Tables'!$K$228:$L$237,2,FALSE),FALSE),FALSE),
IF($T13=8,_xlfn.IFNA(VLOOKUP($F13,'Data Transfer Tables'!$K$242:$L$251,2,FALSE),FALSE),FALSE),
IF($T13=9,_xlfn.IFNA(VLOOKUP($F13,'Data Transfer Tables'!$K$256:$L$266,2,FALSE),FALSE),FALSE),
IF($T13=10,_xlfn.IFNA(VLOOKUP($F13,'Data Transfer Tables'!$K$271:$L$281,2,FALSE),FALSE),FALSE),
IF($T13=11,_xlfn.IFNA(VLOOKUP($F13,'Data Transfer Tables'!$K$286:$L$295,2,FALSE),FALSE),FALSE),
IF($T13=12,_xlfn.IFNA(VLOOKUP($F13,'Data Transfer Tables'!$K$300:$L$309,2,FALSE),FALSE),FALSE),
IF($T13=13,_xlfn.IFNA(VLOOKUP($F13,'Data Transfer Tables'!$K$314:$L$323,2,FALSE),FALSE),FALSE),
IF($T13=14,_xlfn.IFNA(VLOOKUP($F13,'Data Transfer Tables'!$K$328:$L$338,2,FALSE),FALSE),FALSE),
IF($T13=15,_xlfn.IFNA(VLOOKUP($F13,'Data Transfer Tables'!$K$343:$L$353,2,FALSE),FALSE),FALSE),
IF($T13=16,_xlfn.IFNA(VLOOKUP($F13,'Data Transfer Tables'!$K$358:$L$369,2,FALSE),FALSE),FALSE),
IF($T13=17,_xlfn.IFNA(VLOOKUP($F13,'Data Transfer Tables'!$K$374:$L$384,2,FALSE),FALSE),FALSE),
IF($T13=18,_xlfn.IFNA(VLOOKUP($F13,'Data Transfer Tables'!$K$389:$L$399,2,FALSE),FALSE),FALSE),
IF($T13=19,_xlfn.IFNA(VLOOKUP($F13,'Data Transfer Tables'!$K$404:$L$414,2,FALSE),FALSE),FALSE),
IF($T13=20,_xlfn.IFNA(VLOOKUP($F13,'Data Transfer Tables'!$K$419:$L$429,2,FALSE),FALSE),FALSE),
IF($T13=21,_xlfn.IFNA(VLOOKUP($F13,'Data Transfer Tables'!$K$434:$L$444,2,FALSE),FALSE),FALSE),
IF($T13=22,_xlfn.IFNA(VLOOKUP($F13,'Data Transfer Tables'!$K$449:$L$459,2,FALSE),FALSE),FALSE))</f>
        <v>0</v>
      </c>
      <c r="AJ13" s="147" t="b">
        <f t="shared" si="13"/>
        <v>1</v>
      </c>
      <c r="AK13" s="224" t="b">
        <f t="shared" si="14"/>
        <v>0</v>
      </c>
      <c r="AL13" s="225" t="b">
        <f t="shared" si="15"/>
        <v>0</v>
      </c>
      <c r="AM13" s="225" t="b">
        <f t="shared" si="16"/>
        <v>0</v>
      </c>
      <c r="AN13" s="225" t="b">
        <f t="shared" si="17"/>
        <v>0</v>
      </c>
      <c r="AO13" s="196" t="b">
        <f>OR(IF($T13=1,_xlfn.IFNA(VLOOKUP($G13,'Data Transfer Tables'!$E$113:$F$125,2,FALSE),FALSE),FALSE),
IF($T13=2,_xlfn.IFNA(VLOOKUP($G13,'Data Transfer Tables'!$E$113:$F$125,2,FALSE),FALSE),FALSE),
IF($T13=3,_xlfn.IFNA(VLOOKUP($G13,'Data Transfer Tables'!$E$113:$F$125,2,FALSE),FALSE),FALSE),
IF($T13=4,_xlfn.IFNA(VLOOKUP($G13,'Data Transfer Tables'!$E$113:$F$125,2,FALSE),FALSE),FALSE),
IF($T13=5,_xlfn.IFNA(VLOOKUP($G13,'Data Transfer Tables'!$E$113:$F$125,2,FALSE),FALSE),FALSE),
IF($T13=6,_xlfn.IFNA(VLOOKUP($G13,'Data Transfer Tables'!$E$113:$F$125,2,FALSE),FALSE),FALSE),
IF($T13=7,_xlfn.IFNA(VLOOKUP($G13,'Data Transfer Tables'!$E$113:$F$125,2,FALSE),FALSE),FALSE),
IF($T13=8,_xlfn.IFNA(VLOOKUP($G13,'Data Transfer Tables'!$E$113:$F$125,2,FALSE),FALSE),FALSE),
IF($T13=9,_xlfn.IFNA(VLOOKUP($G13,'Data Transfer Tables'!$E$113:$F$125,2,FALSE),FALSE),FALSE),
IF($T13=10,_xlfn.IFNA(VLOOKUP($G13,'Data Transfer Tables'!$E$113:$F$125,2,FALSE),FALSE),FALSE),
IF($T13=11,_xlfn.IFNA(VLOOKUP($G13,'Data Transfer Tables'!$E$113:$F$125,2,FALSE),FALSE),FALSE),
IF($T13=12,_xlfn.IFNA(VLOOKUP($G13,'Data Transfer Tables'!$E$113:$F$125,2,FALSE),FALSE),FALSE),
IF($T13=13,_xlfn.IFNA(VLOOKUP($G13,'Data Transfer Tables'!$E$113:$F$125,2,FALSE),FALSE),FALSE),
IF($T13=14,_xlfn.IFNA(VLOOKUP($G13,'Data Transfer Tables'!$E$113:$F$125,2,FALSE),FALSE),FALSE),
IF($T13=15,_xlfn.IFNA(VLOOKUP($G13,'Data Transfer Tables'!$E$113:$F$125,2,FALSE),FALSE),FALSE),
IF($T13=16,_xlfn.IFNA(VLOOKUP($G13,'Data Transfer Tables'!$E$113:$F$125,2,FALSE),FALSE),FALSE),
IF($T13=17,_xlfn.IFNA(VLOOKUP($G13,'Data Transfer Tables'!$E$113:$F$125,2,FALSE),FALSE),FALSE),
IF($T13=18,_xlfn.IFNA(VLOOKUP($G13,'Data Transfer Tables'!$E$113:$F$125,2,FALSE),FALSE),FALSE),
IF($T13=19,_xlfn.IFNA(VLOOKUP($G13,'Data Transfer Tables'!$E$113:$F$125,2,FALSE),FALSE),FALSE),
IF($T13=20,_xlfn.IFNA(VLOOKUP($G13,'Data Transfer Tables'!$E$113:$F$125,2,FALSE),FALSE),FALSE),
IF($T13=21,_xlfn.IFNA(VLOOKUP($G13,'Data Transfer Tables'!$E$113:$F$125,2,FALSE),FALSE),FALSE),
IF($T13=22,_xlfn.IFNA(VLOOKUP($G13,'Data Transfer Tables'!$E$113:$F$125,2,FALSE),FALSE),FALSE))</f>
        <v>0</v>
      </c>
      <c r="AP13" s="196" t="b">
        <f t="shared" si="18"/>
        <v>1</v>
      </c>
      <c r="AQ13" s="211" t="b">
        <f t="shared" si="35"/>
        <v>1</v>
      </c>
      <c r="AR13" s="211" t="b">
        <f t="shared" si="32"/>
        <v>0</v>
      </c>
      <c r="AS13" s="94" t="b">
        <f t="shared" si="19"/>
        <v>1</v>
      </c>
      <c r="AT13" s="140" t="str">
        <f t="shared" si="20"/>
        <v/>
      </c>
      <c r="AU13" s="226" t="str">
        <f t="shared" si="21"/>
        <v>N/A</v>
      </c>
      <c r="AV13" s="226" t="str">
        <f t="shared" si="22"/>
        <v>N/A</v>
      </c>
      <c r="AW13" s="32" t="str">
        <f t="shared" si="23"/>
        <v>N/A</v>
      </c>
      <c r="AX13" s="32" t="b">
        <f t="shared" si="33"/>
        <v>0</v>
      </c>
      <c r="AY13" s="32" t="str">
        <f t="shared" si="36"/>
        <v/>
      </c>
      <c r="AZ13" s="32" t="str">
        <f t="shared" si="24"/>
        <v/>
      </c>
      <c r="BA13" s="32" t="str">
        <f t="shared" si="25"/>
        <v/>
      </c>
      <c r="BB13" s="32" t="str">
        <f t="shared" si="26"/>
        <v/>
      </c>
      <c r="BC13" s="32" t="str">
        <f t="shared" si="27"/>
        <v/>
      </c>
      <c r="BD13" s="32" t="str">
        <f t="shared" si="28"/>
        <v/>
      </c>
    </row>
    <row r="14" spans="1:56" s="33" customFormat="1" ht="13.5" thickBot="1" x14ac:dyDescent="0.25">
      <c r="A14" s="63" t="s">
        <v>673</v>
      </c>
      <c r="B14" s="63" t="s">
        <v>44</v>
      </c>
      <c r="C14" s="63" t="s">
        <v>44</v>
      </c>
      <c r="D14" s="63" t="s">
        <v>44</v>
      </c>
      <c r="E14" s="63" t="s">
        <v>44</v>
      </c>
      <c r="F14" s="63" t="s">
        <v>44</v>
      </c>
      <c r="G14" s="63" t="s">
        <v>44</v>
      </c>
      <c r="H14" s="99" t="b">
        <v>1</v>
      </c>
      <c r="I14" s="99" t="b">
        <v>1</v>
      </c>
      <c r="J14" s="99" t="b">
        <v>1</v>
      </c>
      <c r="K14" s="138" t="b">
        <f t="shared" si="0"/>
        <v>1</v>
      </c>
      <c r="L14" s="62" t="b">
        <f t="shared" si="29"/>
        <v>1</v>
      </c>
      <c r="M14" s="62" t="b">
        <f t="shared" si="30"/>
        <v>1</v>
      </c>
      <c r="N14" s="55"/>
      <c r="O14" s="32"/>
      <c r="S14" s="32" t="str">
        <f t="shared" si="1"/>
        <v>N/A</v>
      </c>
      <c r="T14" s="221">
        <f t="shared" si="2"/>
        <v>0</v>
      </c>
      <c r="U14" s="51" t="b">
        <f t="shared" si="3"/>
        <v>1</v>
      </c>
      <c r="V14" s="74">
        <f>_xlfn.IFNA(VLOOKUP(B14,'Data Transfer Tables'!$A$111:$B$131,2),0)</f>
        <v>0</v>
      </c>
      <c r="W14" s="74" t="b">
        <f t="shared" si="4"/>
        <v>0</v>
      </c>
      <c r="X14" s="74" t="b">
        <f t="shared" si="5"/>
        <v>0</v>
      </c>
      <c r="Y14" s="222" t="b">
        <f t="shared" si="6"/>
        <v>1</v>
      </c>
      <c r="Z14" s="210" t="b">
        <f>OR(IF($T14=1,_xlfn.IFNA(VLOOKUP($C14,'Data Transfer Tables'!$B$144:$C$153,2,FALSE),FALSE),FALSE),
IF($T14=2,_xlfn.IFNA(VLOOKUP($C14,'Data Transfer Tables'!$B$158:$C$167,2,FALSE),FALSE),FALSE),
IF($T14=3,_xlfn.IFNA(VLOOKUP($C14,'Data Transfer Tables'!$B$172:$C$181,2,FALSE),FALSE),FALSE),
IF($T14=4,_xlfn.IFNA(VLOOKUP($C14,'Data Transfer Tables'!$B$186:$C$195,2,FALSE),FALSE),FALSE),
IF($T14=5,_xlfn.IFNA(VLOOKUP($C14,'Data Transfer Tables'!$B$200:$C$209,2,FALSE),FALSE),FALSE),
IF($T14=6,_xlfn.IFNA(VLOOKUP($C14,'Data Transfer Tables'!$B$214:$C$223,2,FALSE),FALSE),FALSE),
IF($T14=7,_xlfn.IFNA(VLOOKUP($C14,'Data Transfer Tables'!$B$228:$C$237,2,FALSE),FALSE),FALSE),
IF($T14=8,_xlfn.IFNA(VLOOKUP($C14,'Data Transfer Tables'!$B$242:$C$251,2,FALSE),FALSE),FALSE),
IF($T14=9,_xlfn.IFNA(VLOOKUP($C14,'Data Transfer Tables'!$B$256:$C$266,2,FALSE),FALSE),FALSE),
IF($T14=10,_xlfn.IFNA(VLOOKUP($C14,'Data Transfer Tables'!$B$271:$C$281,2,FALSE),FALSE),FALSE),
IF($T14=11,_xlfn.IFNA(VLOOKUP($C14,'Data Transfer Tables'!$B$286:$C$295,2,FALSE),FALSE),FALSE),
IF($T14=12,_xlfn.IFNA(VLOOKUP($C14,'Data Transfer Tables'!$B$300:$C$309,2,FALSE),FALSE),FALSE),
IF($T14=13,_xlfn.IFNA(VLOOKUP($C14,'Data Transfer Tables'!$B$314:$C$323,2,FALSE),FALSE),FALSE),
IF($T14=14,_xlfn.IFNA(VLOOKUP($C14,'Data Transfer Tables'!$B$328:$C$338,2,FALSE),FALSE),FALSE),
IF($T14=15,_xlfn.IFNA(VLOOKUP($C14,'Data Transfer Tables'!$B$343:$C$353,2,FALSE),FALSE),FALSE),
IF($T14=16,_xlfn.IFNA(VLOOKUP($C14,'Data Transfer Tables'!$B$358:$C$369,2,FALSE),FALSE),FALSE),
IF($T14=17,_xlfn.IFNA(VLOOKUP($C14,'Data Transfer Tables'!$B$374:$C$384,2,FALSE),FALSE),FALSE),
IF($T14=18,_xlfn.IFNA(VLOOKUP($C14,'Data Transfer Tables'!$B$389:$C$399,2,FALSE),FALSE),FALSE),
IF($T14=19,_xlfn.IFNA(VLOOKUP($C14,'Data Transfer Tables'!$B$404:$C$414,2,FALSE),FALSE),FALSE),
IF($T14=20,_xlfn.IFNA(VLOOKUP($C14,'Data Transfer Tables'!$B$419:$C$429,2,FALSE),FALSE),FALSE),
IF($T14=21,_xlfn.IFNA(VLOOKUP($C14,'Data Transfer Tables'!$B$434:$C$444,2,FALSE),FALSE),FALSE),
IF($T14=22,_xlfn.IFNA(VLOOKUP($C14,'Data Transfer Tables'!$B$449:$C$459,2,FALSE),FALSE),FALSE))</f>
        <v>0</v>
      </c>
      <c r="AA14" s="210" t="b">
        <f t="shared" si="7"/>
        <v>1</v>
      </c>
      <c r="AB14" s="222" t="b">
        <f t="shared" si="8"/>
        <v>0</v>
      </c>
      <c r="AC14" s="146" t="b">
        <f>OR(IF($T14=1,_xlfn.IFNA(VLOOKUP($D14,'Data Transfer Tables'!$E$144:$G$153,2,FALSE),FALSE),FALSE),
IF($T14=2,_xlfn.IFNA(VLOOKUP($D14,'Data Transfer Tables'!$E$158:$G$167,2,FALSE),FALSE),FALSE),
IF($T14=3,_xlfn.IFNA(VLOOKUP($D14,'Data Transfer Tables'!$E$172:$G$181,2,FALSE),FALSE),FALSE),
IF($T14=4,_xlfn.IFNA(VLOOKUP($D14,'Data Transfer Tables'!$E$186:$G$195,2,FALSE),FALSE),FALSE),
IF($T14=5,_xlfn.IFNA(VLOOKUP($D14,'Data Transfer Tables'!$E$200:$G$209,2,FALSE),FALSE),FALSE),
IF($T14=6,_xlfn.IFNA(VLOOKUP($D14,'Data Transfer Tables'!$E$214:$G$223,2,FALSE),FALSE),FALSE),
IF($T14=7,_xlfn.IFNA(VLOOKUP($D14,'Data Transfer Tables'!$E$228:$G$237,2,FALSE),FALSE),FALSE),
IF($T14=8,_xlfn.IFNA(VLOOKUP($D14,'Data Transfer Tables'!$E$242:$G$251,2,FALSE),FALSE),FALSE),
IF($T14=9,_xlfn.IFNA(VLOOKUP($D14,'Data Transfer Tables'!$E$256:$G$266,2,FALSE),FALSE),FALSE),
IF($T14=10,_xlfn.IFNA(VLOOKUP($D14,'Data Transfer Tables'!$E$271:$G$281,2,FALSE),FALSE),FALSE),
IF($T14=11,_xlfn.IFNA(VLOOKUP($D14,'Data Transfer Tables'!$E$286:$G$295,2,FALSE),FALSE),FALSE),
IF($T14=12,_xlfn.IFNA(VLOOKUP($D14,'Data Transfer Tables'!$E$300:$G$309,2,FALSE),FALSE),FALSE),
IF($T14=13,_xlfn.IFNA(VLOOKUP($D14,'Data Transfer Tables'!$E$314:$G$323,2,FALSE),FALSE),FALSE),
IF($T14=14,_xlfn.IFNA(VLOOKUP($D14,'Data Transfer Tables'!$E$328:$G$338,2,FALSE),FALSE),FALSE),
IF($T14=15,_xlfn.IFNA(VLOOKUP($D14,'Data Transfer Tables'!$E$343:$G$353,2,FALSE),FALSE),FALSE),
IF($T14=16,_xlfn.IFNA(VLOOKUP($D14,'Data Transfer Tables'!$E$358:$G$369,2,FALSE),FALSE),FALSE),
IF($T14=17,_xlfn.IFNA(VLOOKUP($D14,'Data Transfer Tables'!$E$374:$G$384,2,FALSE),FALSE),FALSE),
IF($T14=18,_xlfn.IFNA(VLOOKUP($D14,'Data Transfer Tables'!$E$389:$G$399,2,FALSE),FALSE),FALSE),
IF($T14=19,_xlfn.IFNA(VLOOKUP($D14,'Data Transfer Tables'!$E$404:$G$414,2,FALSE),FALSE),FALSE),
IF($T14=20,_xlfn.IFNA(VLOOKUP($D14,'Data Transfer Tables'!$E$419:$G$429,2,FALSE),FALSE),FALSE),
IF($T14=21,_xlfn.IFNA(VLOOKUP($D14,'Data Transfer Tables'!$E$434:$G$444,2,FALSE),FALSE),FALSE),
IF($T14=22,_xlfn.IFNA(VLOOKUP($D14,'Data Transfer Tables'!$E$449:$G$459,2,FALSE),FALSE),FALSE))</f>
        <v>0</v>
      </c>
      <c r="AD14" s="146" t="b">
        <f t="shared" si="9"/>
        <v>1</v>
      </c>
      <c r="AE14" s="222" t="b">
        <f t="shared" si="10"/>
        <v>0</v>
      </c>
      <c r="AF14" s="145" t="b">
        <f>OR(IF($T14=1,_xlfn.IFNA(VLOOKUP($E14,'Data Transfer Tables'!$H$144:$I$153,2,FALSE),FALSE),FALSE),
IF($T14=2,_xlfn.IFNA(VLOOKUP($E14,'Data Transfer Tables'!$H$158:$I$167,2,FALSE),FALSE),FALSE),
IF($T14=3,_xlfn.IFNA(VLOOKUP($E14,'Data Transfer Tables'!$H$172:$I$181,2,FALSE),FALSE),FALSE),
IF($T14=4,_xlfn.IFNA(VLOOKUP($E14,'Data Transfer Tables'!$H$186:$I$195,2,FALSE),FALSE),FALSE),
IF($T14=5,_xlfn.IFNA(VLOOKUP($E14,'Data Transfer Tables'!$H$200:$I$209,2,FALSE),FALSE),FALSE),
IF($T14=6,_xlfn.IFNA(VLOOKUP($E14,'Data Transfer Tables'!$H$214:$I$223,2,FALSE),FALSE),FALSE),
IF($T14=7,_xlfn.IFNA(VLOOKUP($E14,'Data Transfer Tables'!$H$228:$I$237,2,FALSE),FALSE),FALSE),
IF($T14=8,_xlfn.IFNA(VLOOKUP($E14,'Data Transfer Tables'!$H$242:$I$251,2,FALSE),FALSE),FALSE),
IF($T14=9,_xlfn.IFNA(VLOOKUP($E14,'Data Transfer Tables'!$H$256:$I$266,2,FALSE),FALSE),FALSE),
IF($T14=10,_xlfn.IFNA(VLOOKUP($E14,'Data Transfer Tables'!$H$271:$I$281,2,FALSE),FALSE),FALSE),
IF($T14=11,_xlfn.IFNA(VLOOKUP($E14,'Data Transfer Tables'!$H$286:$I$295,2,FALSE),FALSE),FALSE),
IF($T14=12,_xlfn.IFNA(VLOOKUP($E14,'Data Transfer Tables'!$H$300:$I$309,2,FALSE),FALSE),FALSE),
IF($T14=13,_xlfn.IFNA(VLOOKUP($E14,'Data Transfer Tables'!$H$314:$I$323,2,FALSE),FALSE),FALSE),
IF($T14=14,_xlfn.IFNA(VLOOKUP($E14,'Data Transfer Tables'!$H$328:$I$338,2,FALSE),FALSE),FALSE),
IF($T14=15,_xlfn.IFNA(VLOOKUP($E14,'Data Transfer Tables'!$H$343:$I$353,2,FALSE),FALSE),FALSE),
IF($T14=16,_xlfn.IFNA(VLOOKUP($E14,'Data Transfer Tables'!$H$358:$I$369,2,FALSE),FALSE),FALSE),
IF($T14=17,_xlfn.IFNA(VLOOKUP($E14,'Data Transfer Tables'!$H$374:$I$384,2,FALSE),FALSE),FALSE),
IF($T14=18,_xlfn.IFNA(VLOOKUP($E14,'Data Transfer Tables'!$H$389:$I$399,2,FALSE),FALSE),FALSE),
IF($T14=19,_xlfn.IFNA(VLOOKUP($E14,'Data Transfer Tables'!$H$404:$I$414,2,FALSE),FALSE),FALSE),
IF($T14=20,_xlfn.IFNA(VLOOKUP($E14,'Data Transfer Tables'!$H$419:$I$429,2,FALSE),FALSE),FALSE),
IF($T14=21,_xlfn.IFNA(VLOOKUP($E14,'Data Transfer Tables'!$H$434:$I$444,2,FALSE),FALSE),FALSE),
IF($T14=22,_xlfn.IFNA(VLOOKUP($E14,'Data Transfer Tables'!$H$449:$I$459,2,FALSE),FALSE),FALSE))</f>
        <v>0</v>
      </c>
      <c r="AG14" s="145" t="b">
        <f t="shared" si="11"/>
        <v>1</v>
      </c>
      <c r="AH14" s="223" t="b">
        <f t="shared" si="12"/>
        <v>0</v>
      </c>
      <c r="AI14" s="147" t="b">
        <f>OR(IF($T14=1,_xlfn.IFNA(VLOOKUP($F14,'Data Transfer Tables'!$K$144:$L$153,2,FALSE),FALSE),FALSE),
IF($T14=2,_xlfn.IFNA(VLOOKUP($F14,'Data Transfer Tables'!$K$158:$L$167,2,FALSE),FALSE),FALSE),
IF($T14=3,_xlfn.IFNA(VLOOKUP($F14,'Data Transfer Tables'!$K$172:$L$181,2,FALSE),FALSE),FALSE),
IF($T14=4,_xlfn.IFNA(VLOOKUP($F14,'Data Transfer Tables'!$K$186:$L$195,2,FALSE),FALSE),FALSE),
IF($T14=5,_xlfn.IFNA(VLOOKUP($F14,'Data Transfer Tables'!$K$200:$L$209,2,FALSE),FALSE),FALSE),
IF($T14=6,_xlfn.IFNA(VLOOKUP($F14,'Data Transfer Tables'!$K$214:$L$223,2,FALSE),FALSE),FALSE),
IF($T14=7,_xlfn.IFNA(VLOOKUP($F14,'Data Transfer Tables'!$K$228:$L$237,2,FALSE),FALSE),FALSE),
IF($T14=8,_xlfn.IFNA(VLOOKUP($F14,'Data Transfer Tables'!$K$242:$L$251,2,FALSE),FALSE),FALSE),
IF($T14=9,_xlfn.IFNA(VLOOKUP($F14,'Data Transfer Tables'!$K$256:$L$266,2,FALSE),FALSE),FALSE),
IF($T14=10,_xlfn.IFNA(VLOOKUP($F14,'Data Transfer Tables'!$K$271:$L$281,2,FALSE),FALSE),FALSE),
IF($T14=11,_xlfn.IFNA(VLOOKUP($F14,'Data Transfer Tables'!$K$286:$L$295,2,FALSE),FALSE),FALSE),
IF($T14=12,_xlfn.IFNA(VLOOKUP($F14,'Data Transfer Tables'!$K$300:$L$309,2,FALSE),FALSE),FALSE),
IF($T14=13,_xlfn.IFNA(VLOOKUP($F14,'Data Transfer Tables'!$K$314:$L$323,2,FALSE),FALSE),FALSE),
IF($T14=14,_xlfn.IFNA(VLOOKUP($F14,'Data Transfer Tables'!$K$328:$L$338,2,FALSE),FALSE),FALSE),
IF($T14=15,_xlfn.IFNA(VLOOKUP($F14,'Data Transfer Tables'!$K$343:$L$353,2,FALSE),FALSE),FALSE),
IF($T14=16,_xlfn.IFNA(VLOOKUP($F14,'Data Transfer Tables'!$K$358:$L$369,2,FALSE),FALSE),FALSE),
IF($T14=17,_xlfn.IFNA(VLOOKUP($F14,'Data Transfer Tables'!$K$374:$L$384,2,FALSE),FALSE),FALSE),
IF($T14=18,_xlfn.IFNA(VLOOKUP($F14,'Data Transfer Tables'!$K$389:$L$399,2,FALSE),FALSE),FALSE),
IF($T14=19,_xlfn.IFNA(VLOOKUP($F14,'Data Transfer Tables'!$K$404:$L$414,2,FALSE),FALSE),FALSE),
IF($T14=20,_xlfn.IFNA(VLOOKUP($F14,'Data Transfer Tables'!$K$419:$L$429,2,FALSE),FALSE),FALSE),
IF($T14=21,_xlfn.IFNA(VLOOKUP($F14,'Data Transfer Tables'!$K$434:$L$444,2,FALSE),FALSE),FALSE),
IF($T14=22,_xlfn.IFNA(VLOOKUP($F14,'Data Transfer Tables'!$K$449:$L$459,2,FALSE),FALSE),FALSE))</f>
        <v>0</v>
      </c>
      <c r="AJ14" s="147" t="b">
        <f t="shared" si="13"/>
        <v>1</v>
      </c>
      <c r="AK14" s="224" t="b">
        <f t="shared" si="14"/>
        <v>0</v>
      </c>
      <c r="AL14" s="225" t="b">
        <f t="shared" si="15"/>
        <v>0</v>
      </c>
      <c r="AM14" s="225" t="b">
        <f t="shared" si="16"/>
        <v>0</v>
      </c>
      <c r="AN14" s="225" t="b">
        <f t="shared" si="17"/>
        <v>0</v>
      </c>
      <c r="AO14" s="196" t="b">
        <f>OR(IF($T14=1,_xlfn.IFNA(VLOOKUP($G14,'Data Transfer Tables'!$E$113:$F$125,2,FALSE),FALSE),FALSE),
IF($T14=2,_xlfn.IFNA(VLOOKUP($G14,'Data Transfer Tables'!$E$113:$F$125,2,FALSE),FALSE),FALSE),
IF($T14=3,_xlfn.IFNA(VLOOKUP($G14,'Data Transfer Tables'!$E$113:$F$125,2,FALSE),FALSE),FALSE),
IF($T14=4,_xlfn.IFNA(VLOOKUP($G14,'Data Transfer Tables'!$E$113:$F$125,2,FALSE),FALSE),FALSE),
IF($T14=5,_xlfn.IFNA(VLOOKUP($G14,'Data Transfer Tables'!$E$113:$F$125,2,FALSE),FALSE),FALSE),
IF($T14=6,_xlfn.IFNA(VLOOKUP($G14,'Data Transfer Tables'!$E$113:$F$125,2,FALSE),FALSE),FALSE),
IF($T14=7,_xlfn.IFNA(VLOOKUP($G14,'Data Transfer Tables'!$E$113:$F$125,2,FALSE),FALSE),FALSE),
IF($T14=8,_xlfn.IFNA(VLOOKUP($G14,'Data Transfer Tables'!$E$113:$F$125,2,FALSE),FALSE),FALSE),
IF($T14=9,_xlfn.IFNA(VLOOKUP($G14,'Data Transfer Tables'!$E$113:$F$125,2,FALSE),FALSE),FALSE),
IF($T14=10,_xlfn.IFNA(VLOOKUP($G14,'Data Transfer Tables'!$E$113:$F$125,2,FALSE),FALSE),FALSE),
IF($T14=11,_xlfn.IFNA(VLOOKUP($G14,'Data Transfer Tables'!$E$113:$F$125,2,FALSE),FALSE),FALSE),
IF($T14=12,_xlfn.IFNA(VLOOKUP($G14,'Data Transfer Tables'!$E$113:$F$125,2,FALSE),FALSE),FALSE),
IF($T14=13,_xlfn.IFNA(VLOOKUP($G14,'Data Transfer Tables'!$E$113:$F$125,2,FALSE),FALSE),FALSE),
IF($T14=14,_xlfn.IFNA(VLOOKUP($G14,'Data Transfer Tables'!$E$113:$F$125,2,FALSE),FALSE),FALSE),
IF($T14=15,_xlfn.IFNA(VLOOKUP($G14,'Data Transfer Tables'!$E$113:$F$125,2,FALSE),FALSE),FALSE),
IF($T14=16,_xlfn.IFNA(VLOOKUP($G14,'Data Transfer Tables'!$E$113:$F$125,2,FALSE),FALSE),FALSE),
IF($T14=17,_xlfn.IFNA(VLOOKUP($G14,'Data Transfer Tables'!$E$113:$F$125,2,FALSE),FALSE),FALSE),
IF($T14=18,_xlfn.IFNA(VLOOKUP($G14,'Data Transfer Tables'!$E$113:$F$125,2,FALSE),FALSE),FALSE),
IF($T14=19,_xlfn.IFNA(VLOOKUP($G14,'Data Transfer Tables'!$E$113:$F$125,2,FALSE),FALSE),FALSE),
IF($T14=20,_xlfn.IFNA(VLOOKUP($G14,'Data Transfer Tables'!$E$113:$F$125,2,FALSE),FALSE),FALSE),
IF($T14=21,_xlfn.IFNA(VLOOKUP($G14,'Data Transfer Tables'!$E$113:$F$125,2,FALSE),FALSE),FALSE),
IF($T14=22,_xlfn.IFNA(VLOOKUP($G14,'Data Transfer Tables'!$E$113:$F$125,2,FALSE),FALSE),FALSE))</f>
        <v>0</v>
      </c>
      <c r="AP14" s="196" t="b">
        <f t="shared" si="18"/>
        <v>1</v>
      </c>
      <c r="AQ14" s="211" t="b">
        <f t="shared" si="35"/>
        <v>1</v>
      </c>
      <c r="AR14" s="211" t="b">
        <f t="shared" si="32"/>
        <v>0</v>
      </c>
      <c r="AS14" s="94" t="b">
        <f t="shared" si="19"/>
        <v>1</v>
      </c>
      <c r="AT14" s="140" t="str">
        <f t="shared" si="20"/>
        <v/>
      </c>
      <c r="AU14" s="226" t="str">
        <f t="shared" si="21"/>
        <v>N/A</v>
      </c>
      <c r="AV14" s="226" t="str">
        <f t="shared" si="22"/>
        <v>N/A</v>
      </c>
      <c r="AW14" s="32" t="str">
        <f t="shared" si="23"/>
        <v>N/A</v>
      </c>
      <c r="AX14" s="32" t="b">
        <f t="shared" si="33"/>
        <v>0</v>
      </c>
      <c r="AY14" s="32" t="str">
        <f t="shared" si="36"/>
        <v/>
      </c>
      <c r="AZ14" s="32" t="str">
        <f t="shared" si="24"/>
        <v/>
      </c>
      <c r="BA14" s="32" t="str">
        <f t="shared" si="25"/>
        <v/>
      </c>
      <c r="BB14" s="32" t="str">
        <f t="shared" si="26"/>
        <v/>
      </c>
      <c r="BC14" s="32" t="str">
        <f t="shared" si="27"/>
        <v/>
      </c>
      <c r="BD14" s="32" t="str">
        <f t="shared" si="28"/>
        <v/>
      </c>
    </row>
    <row r="15" spans="1:56" s="33" customFormat="1" ht="13.5" thickBot="1" x14ac:dyDescent="0.25">
      <c r="A15" s="63" t="s">
        <v>673</v>
      </c>
      <c r="B15" s="63" t="s">
        <v>44</v>
      </c>
      <c r="C15" s="63" t="s">
        <v>44</v>
      </c>
      <c r="D15" s="63" t="s">
        <v>44</v>
      </c>
      <c r="E15" s="63" t="s">
        <v>44</v>
      </c>
      <c r="F15" s="63" t="s">
        <v>44</v>
      </c>
      <c r="G15" s="63" t="s">
        <v>44</v>
      </c>
      <c r="H15" s="99" t="b">
        <v>1</v>
      </c>
      <c r="I15" s="99" t="b">
        <v>1</v>
      </c>
      <c r="J15" s="99" t="b">
        <v>1</v>
      </c>
      <c r="K15" s="138" t="b">
        <f t="shared" si="0"/>
        <v>1</v>
      </c>
      <c r="L15" s="62" t="b">
        <f t="shared" si="29"/>
        <v>1</v>
      </c>
      <c r="M15" s="62" t="b">
        <f t="shared" si="30"/>
        <v>1</v>
      </c>
      <c r="N15" s="55"/>
      <c r="O15" s="32"/>
      <c r="S15" s="32" t="str">
        <f t="shared" si="1"/>
        <v>N/A</v>
      </c>
      <c r="T15" s="221">
        <f t="shared" si="2"/>
        <v>0</v>
      </c>
      <c r="U15" s="51" t="b">
        <f t="shared" si="3"/>
        <v>1</v>
      </c>
      <c r="V15" s="74">
        <f>_xlfn.IFNA(VLOOKUP(B15,'Data Transfer Tables'!$A$111:$B$131,2),0)</f>
        <v>0</v>
      </c>
      <c r="W15" s="74" t="b">
        <f t="shared" si="4"/>
        <v>0</v>
      </c>
      <c r="X15" s="74" t="b">
        <f t="shared" si="5"/>
        <v>0</v>
      </c>
      <c r="Y15" s="222" t="b">
        <f t="shared" si="6"/>
        <v>1</v>
      </c>
      <c r="Z15" s="210" t="b">
        <f>OR(IF($T15=1,_xlfn.IFNA(VLOOKUP($C15,'Data Transfer Tables'!$B$144:$C$153,2,FALSE),FALSE),FALSE),
IF($T15=2,_xlfn.IFNA(VLOOKUP($C15,'Data Transfer Tables'!$B$158:$C$167,2,FALSE),FALSE),FALSE),
IF($T15=3,_xlfn.IFNA(VLOOKUP($C15,'Data Transfer Tables'!$B$172:$C$181,2,FALSE),FALSE),FALSE),
IF($T15=4,_xlfn.IFNA(VLOOKUP($C15,'Data Transfer Tables'!$B$186:$C$195,2,FALSE),FALSE),FALSE),
IF($T15=5,_xlfn.IFNA(VLOOKUP($C15,'Data Transfer Tables'!$B$200:$C$209,2,FALSE),FALSE),FALSE),
IF($T15=6,_xlfn.IFNA(VLOOKUP($C15,'Data Transfer Tables'!$B$214:$C$223,2,FALSE),FALSE),FALSE),
IF($T15=7,_xlfn.IFNA(VLOOKUP($C15,'Data Transfer Tables'!$B$228:$C$237,2,FALSE),FALSE),FALSE),
IF($T15=8,_xlfn.IFNA(VLOOKUP($C15,'Data Transfer Tables'!$B$242:$C$251,2,FALSE),FALSE),FALSE),
IF($T15=9,_xlfn.IFNA(VLOOKUP($C15,'Data Transfer Tables'!$B$256:$C$266,2,FALSE),FALSE),FALSE),
IF($T15=10,_xlfn.IFNA(VLOOKUP($C15,'Data Transfer Tables'!$B$271:$C$281,2,FALSE),FALSE),FALSE),
IF($T15=11,_xlfn.IFNA(VLOOKUP($C15,'Data Transfer Tables'!$B$286:$C$295,2,FALSE),FALSE),FALSE),
IF($T15=12,_xlfn.IFNA(VLOOKUP($C15,'Data Transfer Tables'!$B$300:$C$309,2,FALSE),FALSE),FALSE),
IF($T15=13,_xlfn.IFNA(VLOOKUP($C15,'Data Transfer Tables'!$B$314:$C$323,2,FALSE),FALSE),FALSE),
IF($T15=14,_xlfn.IFNA(VLOOKUP($C15,'Data Transfer Tables'!$B$328:$C$338,2,FALSE),FALSE),FALSE),
IF($T15=15,_xlfn.IFNA(VLOOKUP($C15,'Data Transfer Tables'!$B$343:$C$353,2,FALSE),FALSE),FALSE),
IF($T15=16,_xlfn.IFNA(VLOOKUP($C15,'Data Transfer Tables'!$B$358:$C$369,2,FALSE),FALSE),FALSE),
IF($T15=17,_xlfn.IFNA(VLOOKUP($C15,'Data Transfer Tables'!$B$374:$C$384,2,FALSE),FALSE),FALSE),
IF($T15=18,_xlfn.IFNA(VLOOKUP($C15,'Data Transfer Tables'!$B$389:$C$399,2,FALSE),FALSE),FALSE),
IF($T15=19,_xlfn.IFNA(VLOOKUP($C15,'Data Transfer Tables'!$B$404:$C$414,2,FALSE),FALSE),FALSE),
IF($T15=20,_xlfn.IFNA(VLOOKUP($C15,'Data Transfer Tables'!$B$419:$C$429,2,FALSE),FALSE),FALSE),
IF($T15=21,_xlfn.IFNA(VLOOKUP($C15,'Data Transfer Tables'!$B$434:$C$444,2,FALSE),FALSE),FALSE),
IF($T15=22,_xlfn.IFNA(VLOOKUP($C15,'Data Transfer Tables'!$B$449:$C$459,2,FALSE),FALSE),FALSE))</f>
        <v>0</v>
      </c>
      <c r="AA15" s="210" t="b">
        <f t="shared" si="7"/>
        <v>1</v>
      </c>
      <c r="AB15" s="222" t="b">
        <f t="shared" si="8"/>
        <v>0</v>
      </c>
      <c r="AC15" s="146" t="b">
        <f>OR(IF($T15=1,_xlfn.IFNA(VLOOKUP($D15,'Data Transfer Tables'!$E$144:$G$153,2,FALSE),FALSE),FALSE),
IF($T15=2,_xlfn.IFNA(VLOOKUP($D15,'Data Transfer Tables'!$E$158:$G$167,2,FALSE),FALSE),FALSE),
IF($T15=3,_xlfn.IFNA(VLOOKUP($D15,'Data Transfer Tables'!$E$172:$G$181,2,FALSE),FALSE),FALSE),
IF($T15=4,_xlfn.IFNA(VLOOKUP($D15,'Data Transfer Tables'!$E$186:$G$195,2,FALSE),FALSE),FALSE),
IF($T15=5,_xlfn.IFNA(VLOOKUP($D15,'Data Transfer Tables'!$E$200:$G$209,2,FALSE),FALSE),FALSE),
IF($T15=6,_xlfn.IFNA(VLOOKUP($D15,'Data Transfer Tables'!$E$214:$G$223,2,FALSE),FALSE),FALSE),
IF($T15=7,_xlfn.IFNA(VLOOKUP($D15,'Data Transfer Tables'!$E$228:$G$237,2,FALSE),FALSE),FALSE),
IF($T15=8,_xlfn.IFNA(VLOOKUP($D15,'Data Transfer Tables'!$E$242:$G$251,2,FALSE),FALSE),FALSE),
IF($T15=9,_xlfn.IFNA(VLOOKUP($D15,'Data Transfer Tables'!$E$256:$G$266,2,FALSE),FALSE),FALSE),
IF($T15=10,_xlfn.IFNA(VLOOKUP($D15,'Data Transfer Tables'!$E$271:$G$281,2,FALSE),FALSE),FALSE),
IF($T15=11,_xlfn.IFNA(VLOOKUP($D15,'Data Transfer Tables'!$E$286:$G$295,2,FALSE),FALSE),FALSE),
IF($T15=12,_xlfn.IFNA(VLOOKUP($D15,'Data Transfer Tables'!$E$300:$G$309,2,FALSE),FALSE),FALSE),
IF($T15=13,_xlfn.IFNA(VLOOKUP($D15,'Data Transfer Tables'!$E$314:$G$323,2,FALSE),FALSE),FALSE),
IF($T15=14,_xlfn.IFNA(VLOOKUP($D15,'Data Transfer Tables'!$E$328:$G$338,2,FALSE),FALSE),FALSE),
IF($T15=15,_xlfn.IFNA(VLOOKUP($D15,'Data Transfer Tables'!$E$343:$G$353,2,FALSE),FALSE),FALSE),
IF($T15=16,_xlfn.IFNA(VLOOKUP($D15,'Data Transfer Tables'!$E$358:$G$369,2,FALSE),FALSE),FALSE),
IF($T15=17,_xlfn.IFNA(VLOOKUP($D15,'Data Transfer Tables'!$E$374:$G$384,2,FALSE),FALSE),FALSE),
IF($T15=18,_xlfn.IFNA(VLOOKUP($D15,'Data Transfer Tables'!$E$389:$G$399,2,FALSE),FALSE),FALSE),
IF($T15=19,_xlfn.IFNA(VLOOKUP($D15,'Data Transfer Tables'!$E$404:$G$414,2,FALSE),FALSE),FALSE),
IF($T15=20,_xlfn.IFNA(VLOOKUP($D15,'Data Transfer Tables'!$E$419:$G$429,2,FALSE),FALSE),FALSE),
IF($T15=21,_xlfn.IFNA(VLOOKUP($D15,'Data Transfer Tables'!$E$434:$G$444,2,FALSE),FALSE),FALSE),
IF($T15=22,_xlfn.IFNA(VLOOKUP($D15,'Data Transfer Tables'!$E$449:$G$459,2,FALSE),FALSE),FALSE))</f>
        <v>0</v>
      </c>
      <c r="AD15" s="146" t="b">
        <f t="shared" si="9"/>
        <v>1</v>
      </c>
      <c r="AE15" s="222" t="b">
        <f t="shared" si="10"/>
        <v>0</v>
      </c>
      <c r="AF15" s="145" t="b">
        <f>OR(IF($T15=1,_xlfn.IFNA(VLOOKUP($E15,'Data Transfer Tables'!$H$144:$I$153,2,FALSE),FALSE),FALSE),
IF($T15=2,_xlfn.IFNA(VLOOKUP($E15,'Data Transfer Tables'!$H$158:$I$167,2,FALSE),FALSE),FALSE),
IF($T15=3,_xlfn.IFNA(VLOOKUP($E15,'Data Transfer Tables'!$H$172:$I$181,2,FALSE),FALSE),FALSE),
IF($T15=4,_xlfn.IFNA(VLOOKUP($E15,'Data Transfer Tables'!$H$186:$I$195,2,FALSE),FALSE),FALSE),
IF($T15=5,_xlfn.IFNA(VLOOKUP($E15,'Data Transfer Tables'!$H$200:$I$209,2,FALSE),FALSE),FALSE),
IF($T15=6,_xlfn.IFNA(VLOOKUP($E15,'Data Transfer Tables'!$H$214:$I$223,2,FALSE),FALSE),FALSE),
IF($T15=7,_xlfn.IFNA(VLOOKUP($E15,'Data Transfer Tables'!$H$228:$I$237,2,FALSE),FALSE),FALSE),
IF($T15=8,_xlfn.IFNA(VLOOKUP($E15,'Data Transfer Tables'!$H$242:$I$251,2,FALSE),FALSE),FALSE),
IF($T15=9,_xlfn.IFNA(VLOOKUP($E15,'Data Transfer Tables'!$H$256:$I$266,2,FALSE),FALSE),FALSE),
IF($T15=10,_xlfn.IFNA(VLOOKUP($E15,'Data Transfer Tables'!$H$271:$I$281,2,FALSE),FALSE),FALSE),
IF($T15=11,_xlfn.IFNA(VLOOKUP($E15,'Data Transfer Tables'!$H$286:$I$295,2,FALSE),FALSE),FALSE),
IF($T15=12,_xlfn.IFNA(VLOOKUP($E15,'Data Transfer Tables'!$H$300:$I$309,2,FALSE),FALSE),FALSE),
IF($T15=13,_xlfn.IFNA(VLOOKUP($E15,'Data Transfer Tables'!$H$314:$I$323,2,FALSE),FALSE),FALSE),
IF($T15=14,_xlfn.IFNA(VLOOKUP($E15,'Data Transfer Tables'!$H$328:$I$338,2,FALSE),FALSE),FALSE),
IF($T15=15,_xlfn.IFNA(VLOOKUP($E15,'Data Transfer Tables'!$H$343:$I$353,2,FALSE),FALSE),FALSE),
IF($T15=16,_xlfn.IFNA(VLOOKUP($E15,'Data Transfer Tables'!$H$358:$I$369,2,FALSE),FALSE),FALSE),
IF($T15=17,_xlfn.IFNA(VLOOKUP($E15,'Data Transfer Tables'!$H$374:$I$384,2,FALSE),FALSE),FALSE),
IF($T15=18,_xlfn.IFNA(VLOOKUP($E15,'Data Transfer Tables'!$H$389:$I$399,2,FALSE),FALSE),FALSE),
IF($T15=19,_xlfn.IFNA(VLOOKUP($E15,'Data Transfer Tables'!$H$404:$I$414,2,FALSE),FALSE),FALSE),
IF($T15=20,_xlfn.IFNA(VLOOKUP($E15,'Data Transfer Tables'!$H$419:$I$429,2,FALSE),FALSE),FALSE),
IF($T15=21,_xlfn.IFNA(VLOOKUP($E15,'Data Transfer Tables'!$H$434:$I$444,2,FALSE),FALSE),FALSE),
IF($T15=22,_xlfn.IFNA(VLOOKUP($E15,'Data Transfer Tables'!$H$449:$I$459,2,FALSE),FALSE),FALSE))</f>
        <v>0</v>
      </c>
      <c r="AG15" s="145" t="b">
        <f t="shared" si="11"/>
        <v>1</v>
      </c>
      <c r="AH15" s="223" t="b">
        <f t="shared" si="12"/>
        <v>0</v>
      </c>
      <c r="AI15" s="147" t="b">
        <f>OR(IF($T15=1,_xlfn.IFNA(VLOOKUP($F15,'Data Transfer Tables'!$K$144:$L$153,2,FALSE),FALSE),FALSE),
IF($T15=2,_xlfn.IFNA(VLOOKUP($F15,'Data Transfer Tables'!$K$158:$L$167,2,FALSE),FALSE),FALSE),
IF($T15=3,_xlfn.IFNA(VLOOKUP($F15,'Data Transfer Tables'!$K$172:$L$181,2,FALSE),FALSE),FALSE),
IF($T15=4,_xlfn.IFNA(VLOOKUP($F15,'Data Transfer Tables'!$K$186:$L$195,2,FALSE),FALSE),FALSE),
IF($T15=5,_xlfn.IFNA(VLOOKUP($F15,'Data Transfer Tables'!$K$200:$L$209,2,FALSE),FALSE),FALSE),
IF($T15=6,_xlfn.IFNA(VLOOKUP($F15,'Data Transfer Tables'!$K$214:$L$223,2,FALSE),FALSE),FALSE),
IF($T15=7,_xlfn.IFNA(VLOOKUP($F15,'Data Transfer Tables'!$K$228:$L$237,2,FALSE),FALSE),FALSE),
IF($T15=8,_xlfn.IFNA(VLOOKUP($F15,'Data Transfer Tables'!$K$242:$L$251,2,FALSE),FALSE),FALSE),
IF($T15=9,_xlfn.IFNA(VLOOKUP($F15,'Data Transfer Tables'!$K$256:$L$266,2,FALSE),FALSE),FALSE),
IF($T15=10,_xlfn.IFNA(VLOOKUP($F15,'Data Transfer Tables'!$K$271:$L$281,2,FALSE),FALSE),FALSE),
IF($T15=11,_xlfn.IFNA(VLOOKUP($F15,'Data Transfer Tables'!$K$286:$L$295,2,FALSE),FALSE),FALSE),
IF($T15=12,_xlfn.IFNA(VLOOKUP($F15,'Data Transfer Tables'!$K$300:$L$309,2,FALSE),FALSE),FALSE),
IF($T15=13,_xlfn.IFNA(VLOOKUP($F15,'Data Transfer Tables'!$K$314:$L$323,2,FALSE),FALSE),FALSE),
IF($T15=14,_xlfn.IFNA(VLOOKUP($F15,'Data Transfer Tables'!$K$328:$L$338,2,FALSE),FALSE),FALSE),
IF($T15=15,_xlfn.IFNA(VLOOKUP($F15,'Data Transfer Tables'!$K$343:$L$353,2,FALSE),FALSE),FALSE),
IF($T15=16,_xlfn.IFNA(VLOOKUP($F15,'Data Transfer Tables'!$K$358:$L$369,2,FALSE),FALSE),FALSE),
IF($T15=17,_xlfn.IFNA(VLOOKUP($F15,'Data Transfer Tables'!$K$374:$L$384,2,FALSE),FALSE),FALSE),
IF($T15=18,_xlfn.IFNA(VLOOKUP($F15,'Data Transfer Tables'!$K$389:$L$399,2,FALSE),FALSE),FALSE),
IF($T15=19,_xlfn.IFNA(VLOOKUP($F15,'Data Transfer Tables'!$K$404:$L$414,2,FALSE),FALSE),FALSE),
IF($T15=20,_xlfn.IFNA(VLOOKUP($F15,'Data Transfer Tables'!$K$419:$L$429,2,FALSE),FALSE),FALSE),
IF($T15=21,_xlfn.IFNA(VLOOKUP($F15,'Data Transfer Tables'!$K$434:$L$444,2,FALSE),FALSE),FALSE),
IF($T15=22,_xlfn.IFNA(VLOOKUP($F15,'Data Transfer Tables'!$K$449:$L$459,2,FALSE),FALSE),FALSE))</f>
        <v>0</v>
      </c>
      <c r="AJ15" s="147" t="b">
        <f t="shared" si="13"/>
        <v>1</v>
      </c>
      <c r="AK15" s="224" t="b">
        <f t="shared" si="14"/>
        <v>0</v>
      </c>
      <c r="AL15" s="225" t="b">
        <f t="shared" si="15"/>
        <v>0</v>
      </c>
      <c r="AM15" s="225" t="b">
        <f t="shared" si="16"/>
        <v>0</v>
      </c>
      <c r="AN15" s="225" t="b">
        <f t="shared" si="17"/>
        <v>0</v>
      </c>
      <c r="AO15" s="196" t="b">
        <f>OR(IF($T15=1,_xlfn.IFNA(VLOOKUP($G15,'Data Transfer Tables'!$E$113:$F$125,2,FALSE),FALSE),FALSE),
IF($T15=2,_xlfn.IFNA(VLOOKUP($G15,'Data Transfer Tables'!$E$113:$F$125,2,FALSE),FALSE),FALSE),
IF($T15=3,_xlfn.IFNA(VLOOKUP($G15,'Data Transfer Tables'!$E$113:$F$125,2,FALSE),FALSE),FALSE),
IF($T15=4,_xlfn.IFNA(VLOOKUP($G15,'Data Transfer Tables'!$E$113:$F$125,2,FALSE),FALSE),FALSE),
IF($T15=5,_xlfn.IFNA(VLOOKUP($G15,'Data Transfer Tables'!$E$113:$F$125,2,FALSE),FALSE),FALSE),
IF($T15=6,_xlfn.IFNA(VLOOKUP($G15,'Data Transfer Tables'!$E$113:$F$125,2,FALSE),FALSE),FALSE),
IF($T15=7,_xlfn.IFNA(VLOOKUP($G15,'Data Transfer Tables'!$E$113:$F$125,2,FALSE),FALSE),FALSE),
IF($T15=8,_xlfn.IFNA(VLOOKUP($G15,'Data Transfer Tables'!$E$113:$F$125,2,FALSE),FALSE),FALSE),
IF($T15=9,_xlfn.IFNA(VLOOKUP($G15,'Data Transfer Tables'!$E$113:$F$125,2,FALSE),FALSE),FALSE),
IF($T15=10,_xlfn.IFNA(VLOOKUP($G15,'Data Transfer Tables'!$E$113:$F$125,2,FALSE),FALSE),FALSE),
IF($T15=11,_xlfn.IFNA(VLOOKUP($G15,'Data Transfer Tables'!$E$113:$F$125,2,FALSE),FALSE),FALSE),
IF($T15=12,_xlfn.IFNA(VLOOKUP($G15,'Data Transfer Tables'!$E$113:$F$125,2,FALSE),FALSE),FALSE),
IF($T15=13,_xlfn.IFNA(VLOOKUP($G15,'Data Transfer Tables'!$E$113:$F$125,2,FALSE),FALSE),FALSE),
IF($T15=14,_xlfn.IFNA(VLOOKUP($G15,'Data Transfer Tables'!$E$113:$F$125,2,FALSE),FALSE),FALSE),
IF($T15=15,_xlfn.IFNA(VLOOKUP($G15,'Data Transfer Tables'!$E$113:$F$125,2,FALSE),FALSE),FALSE),
IF($T15=16,_xlfn.IFNA(VLOOKUP($G15,'Data Transfer Tables'!$E$113:$F$125,2,FALSE),FALSE),FALSE),
IF($T15=17,_xlfn.IFNA(VLOOKUP($G15,'Data Transfer Tables'!$E$113:$F$125,2,FALSE),FALSE),FALSE),
IF($T15=18,_xlfn.IFNA(VLOOKUP($G15,'Data Transfer Tables'!$E$113:$F$125,2,FALSE),FALSE),FALSE),
IF($T15=19,_xlfn.IFNA(VLOOKUP($G15,'Data Transfer Tables'!$E$113:$F$125,2,FALSE),FALSE),FALSE),
IF($T15=20,_xlfn.IFNA(VLOOKUP($G15,'Data Transfer Tables'!$E$113:$F$125,2,FALSE),FALSE),FALSE),
IF($T15=21,_xlfn.IFNA(VLOOKUP($G15,'Data Transfer Tables'!$E$113:$F$125,2,FALSE),FALSE),FALSE),
IF($T15=22,_xlfn.IFNA(VLOOKUP($G15,'Data Transfer Tables'!$E$113:$F$125,2,FALSE),FALSE),FALSE))</f>
        <v>0</v>
      </c>
      <c r="AP15" s="196" t="b">
        <f t="shared" si="18"/>
        <v>1</v>
      </c>
      <c r="AQ15" s="211" t="b">
        <f t="shared" si="35"/>
        <v>1</v>
      </c>
      <c r="AR15" s="211" t="b">
        <f t="shared" si="32"/>
        <v>0</v>
      </c>
      <c r="AS15" s="94" t="b">
        <f t="shared" si="19"/>
        <v>1</v>
      </c>
      <c r="AT15" s="140" t="str">
        <f t="shared" si="20"/>
        <v/>
      </c>
      <c r="AU15" s="226" t="str">
        <f t="shared" si="21"/>
        <v>N/A</v>
      </c>
      <c r="AV15" s="226" t="str">
        <f t="shared" si="22"/>
        <v>N/A</v>
      </c>
      <c r="AW15" s="32" t="str">
        <f t="shared" si="23"/>
        <v>N/A</v>
      </c>
      <c r="AX15" s="32" t="b">
        <f t="shared" si="33"/>
        <v>0</v>
      </c>
      <c r="AY15" s="32" t="str">
        <f>IF(AX15=TRUE, TRUE, "")</f>
        <v/>
      </c>
      <c r="AZ15" s="32" t="str">
        <f t="shared" si="24"/>
        <v/>
      </c>
      <c r="BA15" s="32" t="str">
        <f t="shared" si="25"/>
        <v/>
      </c>
      <c r="BB15" s="32" t="str">
        <f t="shared" si="26"/>
        <v/>
      </c>
      <c r="BC15" s="32" t="str">
        <f t="shared" si="27"/>
        <v/>
      </c>
      <c r="BD15" s="32" t="str">
        <f t="shared" si="28"/>
        <v/>
      </c>
    </row>
    <row r="16" spans="1:56" s="33" customFormat="1" ht="13.5" thickBot="1" x14ac:dyDescent="0.25">
      <c r="A16" s="63" t="s">
        <v>673</v>
      </c>
      <c r="B16" s="63" t="s">
        <v>44</v>
      </c>
      <c r="C16" s="63" t="s">
        <v>44</v>
      </c>
      <c r="D16" s="63" t="s">
        <v>44</v>
      </c>
      <c r="E16" s="63" t="s">
        <v>44</v>
      </c>
      <c r="F16" s="63" t="s">
        <v>44</v>
      </c>
      <c r="G16" s="63" t="s">
        <v>44</v>
      </c>
      <c r="H16" s="99" t="b">
        <v>1</v>
      </c>
      <c r="I16" s="99" t="b">
        <v>1</v>
      </c>
      <c r="J16" s="99" t="b">
        <v>1</v>
      </c>
      <c r="K16" s="138" t="b">
        <f t="shared" si="0"/>
        <v>1</v>
      </c>
      <c r="L16" s="62" t="b">
        <f t="shared" si="29"/>
        <v>1</v>
      </c>
      <c r="M16" s="62" t="b">
        <f t="shared" si="30"/>
        <v>1</v>
      </c>
      <c r="N16" s="55"/>
      <c r="O16" s="32"/>
      <c r="S16" s="32" t="str">
        <f t="shared" si="1"/>
        <v>N/A</v>
      </c>
      <c r="T16" s="221">
        <f t="shared" si="2"/>
        <v>0</v>
      </c>
      <c r="U16" s="51" t="b">
        <f t="shared" si="3"/>
        <v>1</v>
      </c>
      <c r="V16" s="74">
        <f>_xlfn.IFNA(VLOOKUP(B16,'Data Transfer Tables'!$A$111:$B$131,2),0)</f>
        <v>0</v>
      </c>
      <c r="W16" s="74" t="b">
        <f t="shared" si="4"/>
        <v>0</v>
      </c>
      <c r="X16" s="74" t="b">
        <f t="shared" si="5"/>
        <v>0</v>
      </c>
      <c r="Y16" s="222" t="b">
        <f t="shared" si="6"/>
        <v>1</v>
      </c>
      <c r="Z16" s="210" t="b">
        <f>OR(IF($T16=1,_xlfn.IFNA(VLOOKUP($C16,'Data Transfer Tables'!$B$144:$C$153,2,FALSE),FALSE),FALSE),
IF($T16=2,_xlfn.IFNA(VLOOKUP($C16,'Data Transfer Tables'!$B$158:$C$167,2,FALSE),FALSE),FALSE),
IF($T16=3,_xlfn.IFNA(VLOOKUP($C16,'Data Transfer Tables'!$B$172:$C$181,2,FALSE),FALSE),FALSE),
IF($T16=4,_xlfn.IFNA(VLOOKUP($C16,'Data Transfer Tables'!$B$186:$C$195,2,FALSE),FALSE),FALSE),
IF($T16=5,_xlfn.IFNA(VLOOKUP($C16,'Data Transfer Tables'!$B$200:$C$209,2,FALSE),FALSE),FALSE),
IF($T16=6,_xlfn.IFNA(VLOOKUP($C16,'Data Transfer Tables'!$B$214:$C$223,2,FALSE),FALSE),FALSE),
IF($T16=7,_xlfn.IFNA(VLOOKUP($C16,'Data Transfer Tables'!$B$228:$C$237,2,FALSE),FALSE),FALSE),
IF($T16=8,_xlfn.IFNA(VLOOKUP($C16,'Data Transfer Tables'!$B$242:$C$251,2,FALSE),FALSE),FALSE),
IF($T16=9,_xlfn.IFNA(VLOOKUP($C16,'Data Transfer Tables'!$B$256:$C$266,2,FALSE),FALSE),FALSE),
IF($T16=10,_xlfn.IFNA(VLOOKUP($C16,'Data Transfer Tables'!$B$271:$C$281,2,FALSE),FALSE),FALSE),
IF($T16=11,_xlfn.IFNA(VLOOKUP($C16,'Data Transfer Tables'!$B$286:$C$295,2,FALSE),FALSE),FALSE),
IF($T16=12,_xlfn.IFNA(VLOOKUP($C16,'Data Transfer Tables'!$B$300:$C$309,2,FALSE),FALSE),FALSE),
IF($T16=13,_xlfn.IFNA(VLOOKUP($C16,'Data Transfer Tables'!$B$314:$C$323,2,FALSE),FALSE),FALSE),
IF($T16=14,_xlfn.IFNA(VLOOKUP($C16,'Data Transfer Tables'!$B$328:$C$338,2,FALSE),FALSE),FALSE),
IF($T16=15,_xlfn.IFNA(VLOOKUP($C16,'Data Transfer Tables'!$B$343:$C$353,2,FALSE),FALSE),FALSE),
IF($T16=16,_xlfn.IFNA(VLOOKUP($C16,'Data Transfer Tables'!$B$358:$C$369,2,FALSE),FALSE),FALSE),
IF($T16=17,_xlfn.IFNA(VLOOKUP($C16,'Data Transfer Tables'!$B$374:$C$384,2,FALSE),FALSE),FALSE),
IF($T16=18,_xlfn.IFNA(VLOOKUP($C16,'Data Transfer Tables'!$B$389:$C$399,2,FALSE),FALSE),FALSE),
IF($T16=19,_xlfn.IFNA(VLOOKUP($C16,'Data Transfer Tables'!$B$404:$C$414,2,FALSE),FALSE),FALSE),
IF($T16=20,_xlfn.IFNA(VLOOKUP($C16,'Data Transfer Tables'!$B$419:$C$429,2,FALSE),FALSE),FALSE),
IF($T16=21,_xlfn.IFNA(VLOOKUP($C16,'Data Transfer Tables'!$B$434:$C$444,2,FALSE),FALSE),FALSE),
IF($T16=22,_xlfn.IFNA(VLOOKUP($C16,'Data Transfer Tables'!$B$449:$C$459,2,FALSE),FALSE),FALSE))</f>
        <v>0</v>
      </c>
      <c r="AA16" s="210" t="b">
        <f t="shared" si="7"/>
        <v>1</v>
      </c>
      <c r="AB16" s="222" t="b">
        <f t="shared" si="8"/>
        <v>0</v>
      </c>
      <c r="AC16" s="146" t="b">
        <f>OR(IF($T16=1,_xlfn.IFNA(VLOOKUP($D16,'Data Transfer Tables'!$E$144:$G$153,2,FALSE),FALSE),FALSE),
IF($T16=2,_xlfn.IFNA(VLOOKUP($D16,'Data Transfer Tables'!$E$158:$G$167,2,FALSE),FALSE),FALSE),
IF($T16=3,_xlfn.IFNA(VLOOKUP($D16,'Data Transfer Tables'!$E$172:$G$181,2,FALSE),FALSE),FALSE),
IF($T16=4,_xlfn.IFNA(VLOOKUP($D16,'Data Transfer Tables'!$E$186:$G$195,2,FALSE),FALSE),FALSE),
IF($T16=5,_xlfn.IFNA(VLOOKUP($D16,'Data Transfer Tables'!$E$200:$G$209,2,FALSE),FALSE),FALSE),
IF($T16=6,_xlfn.IFNA(VLOOKUP($D16,'Data Transfer Tables'!$E$214:$G$223,2,FALSE),FALSE),FALSE),
IF($T16=7,_xlfn.IFNA(VLOOKUP($D16,'Data Transfer Tables'!$E$228:$G$237,2,FALSE),FALSE),FALSE),
IF($T16=8,_xlfn.IFNA(VLOOKUP($D16,'Data Transfer Tables'!$E$242:$G$251,2,FALSE),FALSE),FALSE),
IF($T16=9,_xlfn.IFNA(VLOOKUP($D16,'Data Transfer Tables'!$E$256:$G$266,2,FALSE),FALSE),FALSE),
IF($T16=10,_xlfn.IFNA(VLOOKUP($D16,'Data Transfer Tables'!$E$271:$G$281,2,FALSE),FALSE),FALSE),
IF($T16=11,_xlfn.IFNA(VLOOKUP($D16,'Data Transfer Tables'!$E$286:$G$295,2,FALSE),FALSE),FALSE),
IF($T16=12,_xlfn.IFNA(VLOOKUP($D16,'Data Transfer Tables'!$E$300:$G$309,2,FALSE),FALSE),FALSE),
IF($T16=13,_xlfn.IFNA(VLOOKUP($D16,'Data Transfer Tables'!$E$314:$G$323,2,FALSE),FALSE),FALSE),
IF($T16=14,_xlfn.IFNA(VLOOKUP($D16,'Data Transfer Tables'!$E$328:$G$338,2,FALSE),FALSE),FALSE),
IF($T16=15,_xlfn.IFNA(VLOOKUP($D16,'Data Transfer Tables'!$E$343:$G$353,2,FALSE),FALSE),FALSE),
IF($T16=16,_xlfn.IFNA(VLOOKUP($D16,'Data Transfer Tables'!$E$358:$G$369,2,FALSE),FALSE),FALSE),
IF($T16=17,_xlfn.IFNA(VLOOKUP($D16,'Data Transfer Tables'!$E$374:$G$384,2,FALSE),FALSE),FALSE),
IF($T16=18,_xlfn.IFNA(VLOOKUP($D16,'Data Transfer Tables'!$E$389:$G$399,2,FALSE),FALSE),FALSE),
IF($T16=19,_xlfn.IFNA(VLOOKUP($D16,'Data Transfer Tables'!$E$404:$G$414,2,FALSE),FALSE),FALSE),
IF($T16=20,_xlfn.IFNA(VLOOKUP($D16,'Data Transfer Tables'!$E$419:$G$429,2,FALSE),FALSE),FALSE),
IF($T16=21,_xlfn.IFNA(VLOOKUP($D16,'Data Transfer Tables'!$E$434:$G$444,2,FALSE),FALSE),FALSE),
IF($T16=22,_xlfn.IFNA(VLOOKUP($D16,'Data Transfer Tables'!$E$449:$G$459,2,FALSE),FALSE),FALSE))</f>
        <v>0</v>
      </c>
      <c r="AD16" s="146" t="b">
        <f t="shared" si="9"/>
        <v>1</v>
      </c>
      <c r="AE16" s="222" t="b">
        <f t="shared" si="10"/>
        <v>0</v>
      </c>
      <c r="AF16" s="145" t="b">
        <f>OR(IF($T16=1,_xlfn.IFNA(VLOOKUP($E16,'Data Transfer Tables'!$H$144:$I$153,2,FALSE),FALSE),FALSE),
IF($T16=2,_xlfn.IFNA(VLOOKUP($E16,'Data Transfer Tables'!$H$158:$I$167,2,FALSE),FALSE),FALSE),
IF($T16=3,_xlfn.IFNA(VLOOKUP($E16,'Data Transfer Tables'!$H$172:$I$181,2,FALSE),FALSE),FALSE),
IF($T16=4,_xlfn.IFNA(VLOOKUP($E16,'Data Transfer Tables'!$H$186:$I$195,2,FALSE),FALSE),FALSE),
IF($T16=5,_xlfn.IFNA(VLOOKUP($E16,'Data Transfer Tables'!$H$200:$I$209,2,FALSE),FALSE),FALSE),
IF($T16=6,_xlfn.IFNA(VLOOKUP($E16,'Data Transfer Tables'!$H$214:$I$223,2,FALSE),FALSE),FALSE),
IF($T16=7,_xlfn.IFNA(VLOOKUP($E16,'Data Transfer Tables'!$H$228:$I$237,2,FALSE),FALSE),FALSE),
IF($T16=8,_xlfn.IFNA(VLOOKUP($E16,'Data Transfer Tables'!$H$242:$I$251,2,FALSE),FALSE),FALSE),
IF($T16=9,_xlfn.IFNA(VLOOKUP($E16,'Data Transfer Tables'!$H$256:$I$266,2,FALSE),FALSE),FALSE),
IF($T16=10,_xlfn.IFNA(VLOOKUP($E16,'Data Transfer Tables'!$H$271:$I$281,2,FALSE),FALSE),FALSE),
IF($T16=11,_xlfn.IFNA(VLOOKUP($E16,'Data Transfer Tables'!$H$286:$I$295,2,FALSE),FALSE),FALSE),
IF($T16=12,_xlfn.IFNA(VLOOKUP($E16,'Data Transfer Tables'!$H$300:$I$309,2,FALSE),FALSE),FALSE),
IF($T16=13,_xlfn.IFNA(VLOOKUP($E16,'Data Transfer Tables'!$H$314:$I$323,2,FALSE),FALSE),FALSE),
IF($T16=14,_xlfn.IFNA(VLOOKUP($E16,'Data Transfer Tables'!$H$328:$I$338,2,FALSE),FALSE),FALSE),
IF($T16=15,_xlfn.IFNA(VLOOKUP($E16,'Data Transfer Tables'!$H$343:$I$353,2,FALSE),FALSE),FALSE),
IF($T16=16,_xlfn.IFNA(VLOOKUP($E16,'Data Transfer Tables'!$H$358:$I$369,2,FALSE),FALSE),FALSE),
IF($T16=17,_xlfn.IFNA(VLOOKUP($E16,'Data Transfer Tables'!$H$374:$I$384,2,FALSE),FALSE),FALSE),
IF($T16=18,_xlfn.IFNA(VLOOKUP($E16,'Data Transfer Tables'!$H$389:$I$399,2,FALSE),FALSE),FALSE),
IF($T16=19,_xlfn.IFNA(VLOOKUP($E16,'Data Transfer Tables'!$H$404:$I$414,2,FALSE),FALSE),FALSE),
IF($T16=20,_xlfn.IFNA(VLOOKUP($E16,'Data Transfer Tables'!$H$419:$I$429,2,FALSE),FALSE),FALSE),
IF($T16=21,_xlfn.IFNA(VLOOKUP($E16,'Data Transfer Tables'!$H$434:$I$444,2,FALSE),FALSE),FALSE),
IF($T16=22,_xlfn.IFNA(VLOOKUP($E16,'Data Transfer Tables'!$H$449:$I$459,2,FALSE),FALSE),FALSE))</f>
        <v>0</v>
      </c>
      <c r="AG16" s="145" t="b">
        <f t="shared" si="11"/>
        <v>1</v>
      </c>
      <c r="AH16" s="223" t="b">
        <f t="shared" si="12"/>
        <v>0</v>
      </c>
      <c r="AI16" s="147" t="b">
        <f>OR(IF($T16=1,_xlfn.IFNA(VLOOKUP($F16,'Data Transfer Tables'!$K$144:$L$153,2,FALSE),FALSE),FALSE),
IF($T16=2,_xlfn.IFNA(VLOOKUP($F16,'Data Transfer Tables'!$K$158:$L$167,2,FALSE),FALSE),FALSE),
IF($T16=3,_xlfn.IFNA(VLOOKUP($F16,'Data Transfer Tables'!$K$172:$L$181,2,FALSE),FALSE),FALSE),
IF($T16=4,_xlfn.IFNA(VLOOKUP($F16,'Data Transfer Tables'!$K$186:$L$195,2,FALSE),FALSE),FALSE),
IF($T16=5,_xlfn.IFNA(VLOOKUP($F16,'Data Transfer Tables'!$K$200:$L$209,2,FALSE),FALSE),FALSE),
IF($T16=6,_xlfn.IFNA(VLOOKUP($F16,'Data Transfer Tables'!$K$214:$L$223,2,FALSE),FALSE),FALSE),
IF($T16=7,_xlfn.IFNA(VLOOKUP($F16,'Data Transfer Tables'!$K$228:$L$237,2,FALSE),FALSE),FALSE),
IF($T16=8,_xlfn.IFNA(VLOOKUP($F16,'Data Transfer Tables'!$K$242:$L$251,2,FALSE),FALSE),FALSE),
IF($T16=9,_xlfn.IFNA(VLOOKUP($F16,'Data Transfer Tables'!$K$256:$L$266,2,FALSE),FALSE),FALSE),
IF($T16=10,_xlfn.IFNA(VLOOKUP($F16,'Data Transfer Tables'!$K$271:$L$281,2,FALSE),FALSE),FALSE),
IF($T16=11,_xlfn.IFNA(VLOOKUP($F16,'Data Transfer Tables'!$K$286:$L$295,2,FALSE),FALSE),FALSE),
IF($T16=12,_xlfn.IFNA(VLOOKUP($F16,'Data Transfer Tables'!$K$300:$L$309,2,FALSE),FALSE),FALSE),
IF($T16=13,_xlfn.IFNA(VLOOKUP($F16,'Data Transfer Tables'!$K$314:$L$323,2,FALSE),FALSE),FALSE),
IF($T16=14,_xlfn.IFNA(VLOOKUP($F16,'Data Transfer Tables'!$K$328:$L$338,2,FALSE),FALSE),FALSE),
IF($T16=15,_xlfn.IFNA(VLOOKUP($F16,'Data Transfer Tables'!$K$343:$L$353,2,FALSE),FALSE),FALSE),
IF($T16=16,_xlfn.IFNA(VLOOKUP($F16,'Data Transfer Tables'!$K$358:$L$369,2,FALSE),FALSE),FALSE),
IF($T16=17,_xlfn.IFNA(VLOOKUP($F16,'Data Transfer Tables'!$K$374:$L$384,2,FALSE),FALSE),FALSE),
IF($T16=18,_xlfn.IFNA(VLOOKUP($F16,'Data Transfer Tables'!$K$389:$L$399,2,FALSE),FALSE),FALSE),
IF($T16=19,_xlfn.IFNA(VLOOKUP($F16,'Data Transfer Tables'!$K$404:$L$414,2,FALSE),FALSE),FALSE),
IF($T16=20,_xlfn.IFNA(VLOOKUP($F16,'Data Transfer Tables'!$K$419:$L$429,2,FALSE),FALSE),FALSE),
IF($T16=21,_xlfn.IFNA(VLOOKUP($F16,'Data Transfer Tables'!$K$434:$L$444,2,FALSE),FALSE),FALSE),
IF($T16=22,_xlfn.IFNA(VLOOKUP($F16,'Data Transfer Tables'!$K$449:$L$459,2,FALSE),FALSE),FALSE))</f>
        <v>0</v>
      </c>
      <c r="AJ16" s="147" t="b">
        <f t="shared" si="13"/>
        <v>1</v>
      </c>
      <c r="AK16" s="224" t="b">
        <f t="shared" si="14"/>
        <v>0</v>
      </c>
      <c r="AL16" s="225" t="b">
        <f t="shared" si="15"/>
        <v>0</v>
      </c>
      <c r="AM16" s="225" t="b">
        <f t="shared" si="16"/>
        <v>0</v>
      </c>
      <c r="AN16" s="225" t="b">
        <f t="shared" si="17"/>
        <v>0</v>
      </c>
      <c r="AO16" s="196" t="b">
        <f>OR(IF($T16=1,_xlfn.IFNA(VLOOKUP($G16,'Data Transfer Tables'!$E$113:$F$125,2,FALSE),FALSE),FALSE),
IF($T16=2,_xlfn.IFNA(VLOOKUP($G16,'Data Transfer Tables'!$E$113:$F$125,2,FALSE),FALSE),FALSE),
IF($T16=3,_xlfn.IFNA(VLOOKUP($G16,'Data Transfer Tables'!$E$113:$F$125,2,FALSE),FALSE),FALSE),
IF($T16=4,_xlfn.IFNA(VLOOKUP($G16,'Data Transfer Tables'!$E$113:$F$125,2,FALSE),FALSE),FALSE),
IF($T16=5,_xlfn.IFNA(VLOOKUP($G16,'Data Transfer Tables'!$E$113:$F$125,2,FALSE),FALSE),FALSE),
IF($T16=6,_xlfn.IFNA(VLOOKUP($G16,'Data Transfer Tables'!$E$113:$F$125,2,FALSE),FALSE),FALSE),
IF($T16=7,_xlfn.IFNA(VLOOKUP($G16,'Data Transfer Tables'!$E$113:$F$125,2,FALSE),FALSE),FALSE),
IF($T16=8,_xlfn.IFNA(VLOOKUP($G16,'Data Transfer Tables'!$E$113:$F$125,2,FALSE),FALSE),FALSE),
IF($T16=9,_xlfn.IFNA(VLOOKUP($G16,'Data Transfer Tables'!$E$113:$F$125,2,FALSE),FALSE),FALSE),
IF($T16=10,_xlfn.IFNA(VLOOKUP($G16,'Data Transfer Tables'!$E$113:$F$125,2,FALSE),FALSE),FALSE),
IF($T16=11,_xlfn.IFNA(VLOOKUP($G16,'Data Transfer Tables'!$E$113:$F$125,2,FALSE),FALSE),FALSE),
IF($T16=12,_xlfn.IFNA(VLOOKUP($G16,'Data Transfer Tables'!$E$113:$F$125,2,FALSE),FALSE),FALSE),
IF($T16=13,_xlfn.IFNA(VLOOKUP($G16,'Data Transfer Tables'!$E$113:$F$125,2,FALSE),FALSE),FALSE),
IF($T16=14,_xlfn.IFNA(VLOOKUP($G16,'Data Transfer Tables'!$E$113:$F$125,2,FALSE),FALSE),FALSE),
IF($T16=15,_xlfn.IFNA(VLOOKUP($G16,'Data Transfer Tables'!$E$113:$F$125,2,FALSE),FALSE),FALSE),
IF($T16=16,_xlfn.IFNA(VLOOKUP($G16,'Data Transfer Tables'!$E$113:$F$125,2,FALSE),FALSE),FALSE),
IF($T16=17,_xlfn.IFNA(VLOOKUP($G16,'Data Transfer Tables'!$E$113:$F$125,2,FALSE),FALSE),FALSE),
IF($T16=18,_xlfn.IFNA(VLOOKUP($G16,'Data Transfer Tables'!$E$113:$F$125,2,FALSE),FALSE),FALSE),
IF($T16=19,_xlfn.IFNA(VLOOKUP($G16,'Data Transfer Tables'!$E$113:$F$125,2,FALSE),FALSE),FALSE),
IF($T16=20,_xlfn.IFNA(VLOOKUP($G16,'Data Transfer Tables'!$E$113:$F$125,2,FALSE),FALSE),FALSE),
IF($T16=21,_xlfn.IFNA(VLOOKUP($G16,'Data Transfer Tables'!$E$113:$F$125,2,FALSE),FALSE),FALSE),
IF($T16=22,_xlfn.IFNA(VLOOKUP($G16,'Data Transfer Tables'!$E$113:$F$125,2,FALSE),FALSE),FALSE))</f>
        <v>0</v>
      </c>
      <c r="AP16" s="196" t="b">
        <f t="shared" si="18"/>
        <v>1</v>
      </c>
      <c r="AQ16" s="211" t="b">
        <f t="shared" si="35"/>
        <v>1</v>
      </c>
      <c r="AR16" s="211" t="b">
        <f t="shared" si="32"/>
        <v>0</v>
      </c>
      <c r="AS16" s="94" t="b">
        <f t="shared" si="19"/>
        <v>1</v>
      </c>
      <c r="AT16" s="140" t="str">
        <f t="shared" si="20"/>
        <v/>
      </c>
      <c r="AU16" s="226" t="str">
        <f t="shared" si="21"/>
        <v>N/A</v>
      </c>
      <c r="AV16" s="226" t="str">
        <f t="shared" si="22"/>
        <v>N/A</v>
      </c>
      <c r="AW16" s="32" t="str">
        <f t="shared" si="23"/>
        <v>N/A</v>
      </c>
      <c r="AX16" s="32" t="b">
        <f t="shared" si="33"/>
        <v>0</v>
      </c>
      <c r="AY16" s="32" t="str">
        <f t="shared" ref="AY16:AY23" si="37">IF(AX16=TRUE, TRUE, "")</f>
        <v/>
      </c>
      <c r="AZ16" s="32" t="str">
        <f t="shared" si="24"/>
        <v/>
      </c>
      <c r="BA16" s="32" t="str">
        <f t="shared" si="25"/>
        <v/>
      </c>
      <c r="BB16" s="32" t="str">
        <f t="shared" si="26"/>
        <v/>
      </c>
      <c r="BC16" s="32" t="str">
        <f t="shared" si="27"/>
        <v/>
      </c>
      <c r="BD16" s="32" t="str">
        <f t="shared" si="28"/>
        <v/>
      </c>
    </row>
    <row r="17" spans="1:56" s="33" customFormat="1" ht="13.5" thickBot="1" x14ac:dyDescent="0.25">
      <c r="A17" s="63" t="s">
        <v>673</v>
      </c>
      <c r="B17" s="63" t="s">
        <v>44</v>
      </c>
      <c r="C17" s="63" t="s">
        <v>44</v>
      </c>
      <c r="D17" s="63" t="s">
        <v>44</v>
      </c>
      <c r="E17" s="63" t="s">
        <v>44</v>
      </c>
      <c r="F17" s="63" t="s">
        <v>44</v>
      </c>
      <c r="G17" s="63" t="s">
        <v>44</v>
      </c>
      <c r="H17" s="99" t="b">
        <v>1</v>
      </c>
      <c r="I17" s="99" t="b">
        <v>1</v>
      </c>
      <c r="J17" s="99" t="b">
        <v>1</v>
      </c>
      <c r="K17" s="138" t="b">
        <f t="shared" si="0"/>
        <v>1</v>
      </c>
      <c r="L17" s="62" t="b">
        <f t="shared" si="29"/>
        <v>1</v>
      </c>
      <c r="M17" s="62" t="b">
        <f t="shared" si="30"/>
        <v>1</v>
      </c>
      <c r="N17" s="55"/>
      <c r="O17" s="32"/>
      <c r="S17" s="32" t="str">
        <f t="shared" si="1"/>
        <v>N/A</v>
      </c>
      <c r="T17" s="221">
        <f t="shared" si="2"/>
        <v>0</v>
      </c>
      <c r="U17" s="51" t="b">
        <f t="shared" si="3"/>
        <v>1</v>
      </c>
      <c r="V17" s="74">
        <f>_xlfn.IFNA(VLOOKUP(B17,'Data Transfer Tables'!$A$111:$B$131,2),0)</f>
        <v>0</v>
      </c>
      <c r="W17" s="74" t="b">
        <f t="shared" si="4"/>
        <v>0</v>
      </c>
      <c r="X17" s="74" t="b">
        <f t="shared" si="5"/>
        <v>0</v>
      </c>
      <c r="Y17" s="222" t="b">
        <f t="shared" si="6"/>
        <v>1</v>
      </c>
      <c r="Z17" s="210" t="b">
        <f>OR(IF($T17=1,_xlfn.IFNA(VLOOKUP($C17,'Data Transfer Tables'!$B$144:$C$153,2,FALSE),FALSE),FALSE),
IF($T17=2,_xlfn.IFNA(VLOOKUP($C17,'Data Transfer Tables'!$B$158:$C$167,2,FALSE),FALSE),FALSE),
IF($T17=3,_xlfn.IFNA(VLOOKUP($C17,'Data Transfer Tables'!$B$172:$C$181,2,FALSE),FALSE),FALSE),
IF($T17=4,_xlfn.IFNA(VLOOKUP($C17,'Data Transfer Tables'!$B$186:$C$195,2,FALSE),FALSE),FALSE),
IF($T17=5,_xlfn.IFNA(VLOOKUP($C17,'Data Transfer Tables'!$B$200:$C$209,2,FALSE),FALSE),FALSE),
IF($T17=6,_xlfn.IFNA(VLOOKUP($C17,'Data Transfer Tables'!$B$214:$C$223,2,FALSE),FALSE),FALSE),
IF($T17=7,_xlfn.IFNA(VLOOKUP($C17,'Data Transfer Tables'!$B$228:$C$237,2,FALSE),FALSE),FALSE),
IF($T17=8,_xlfn.IFNA(VLOOKUP($C17,'Data Transfer Tables'!$B$242:$C$251,2,FALSE),FALSE),FALSE),
IF($T17=9,_xlfn.IFNA(VLOOKUP($C17,'Data Transfer Tables'!$B$256:$C$266,2,FALSE),FALSE),FALSE),
IF($T17=10,_xlfn.IFNA(VLOOKUP($C17,'Data Transfer Tables'!$B$271:$C$281,2,FALSE),FALSE),FALSE),
IF($T17=11,_xlfn.IFNA(VLOOKUP($C17,'Data Transfer Tables'!$B$286:$C$295,2,FALSE),FALSE),FALSE),
IF($T17=12,_xlfn.IFNA(VLOOKUP($C17,'Data Transfer Tables'!$B$300:$C$309,2,FALSE),FALSE),FALSE),
IF($T17=13,_xlfn.IFNA(VLOOKUP($C17,'Data Transfer Tables'!$B$314:$C$323,2,FALSE),FALSE),FALSE),
IF($T17=14,_xlfn.IFNA(VLOOKUP($C17,'Data Transfer Tables'!$B$328:$C$338,2,FALSE),FALSE),FALSE),
IF($T17=15,_xlfn.IFNA(VLOOKUP($C17,'Data Transfer Tables'!$B$343:$C$353,2,FALSE),FALSE),FALSE),
IF($T17=16,_xlfn.IFNA(VLOOKUP($C17,'Data Transfer Tables'!$B$358:$C$369,2,FALSE),FALSE),FALSE),
IF($T17=17,_xlfn.IFNA(VLOOKUP($C17,'Data Transfer Tables'!$B$374:$C$384,2,FALSE),FALSE),FALSE),
IF($T17=18,_xlfn.IFNA(VLOOKUP($C17,'Data Transfer Tables'!$B$389:$C$399,2,FALSE),FALSE),FALSE),
IF($T17=19,_xlfn.IFNA(VLOOKUP($C17,'Data Transfer Tables'!$B$404:$C$414,2,FALSE),FALSE),FALSE),
IF($T17=20,_xlfn.IFNA(VLOOKUP($C17,'Data Transfer Tables'!$B$419:$C$429,2,FALSE),FALSE),FALSE),
IF($T17=21,_xlfn.IFNA(VLOOKUP($C17,'Data Transfer Tables'!$B$434:$C$444,2,FALSE),FALSE),FALSE),
IF($T17=22,_xlfn.IFNA(VLOOKUP($C17,'Data Transfer Tables'!$B$449:$C$459,2,FALSE),FALSE),FALSE))</f>
        <v>0</v>
      </c>
      <c r="AA17" s="210" t="b">
        <f t="shared" si="7"/>
        <v>1</v>
      </c>
      <c r="AB17" s="222" t="b">
        <f t="shared" si="8"/>
        <v>0</v>
      </c>
      <c r="AC17" s="146" t="b">
        <f>OR(IF($T17=1,_xlfn.IFNA(VLOOKUP($D17,'Data Transfer Tables'!$E$144:$G$153,2,FALSE),FALSE),FALSE),
IF($T17=2,_xlfn.IFNA(VLOOKUP($D17,'Data Transfer Tables'!$E$158:$G$167,2,FALSE),FALSE),FALSE),
IF($T17=3,_xlfn.IFNA(VLOOKUP($D17,'Data Transfer Tables'!$E$172:$G$181,2,FALSE),FALSE),FALSE),
IF($T17=4,_xlfn.IFNA(VLOOKUP($D17,'Data Transfer Tables'!$E$186:$G$195,2,FALSE),FALSE),FALSE),
IF($T17=5,_xlfn.IFNA(VLOOKUP($D17,'Data Transfer Tables'!$E$200:$G$209,2,FALSE),FALSE),FALSE),
IF($T17=6,_xlfn.IFNA(VLOOKUP($D17,'Data Transfer Tables'!$E$214:$G$223,2,FALSE),FALSE),FALSE),
IF($T17=7,_xlfn.IFNA(VLOOKUP($D17,'Data Transfer Tables'!$E$228:$G$237,2,FALSE),FALSE),FALSE),
IF($T17=8,_xlfn.IFNA(VLOOKUP($D17,'Data Transfer Tables'!$E$242:$G$251,2,FALSE),FALSE),FALSE),
IF($T17=9,_xlfn.IFNA(VLOOKUP($D17,'Data Transfer Tables'!$E$256:$G$266,2,FALSE),FALSE),FALSE),
IF($T17=10,_xlfn.IFNA(VLOOKUP($D17,'Data Transfer Tables'!$E$271:$G$281,2,FALSE),FALSE),FALSE),
IF($T17=11,_xlfn.IFNA(VLOOKUP($D17,'Data Transfer Tables'!$E$286:$G$295,2,FALSE),FALSE),FALSE),
IF($T17=12,_xlfn.IFNA(VLOOKUP($D17,'Data Transfer Tables'!$E$300:$G$309,2,FALSE),FALSE),FALSE),
IF($T17=13,_xlfn.IFNA(VLOOKUP($D17,'Data Transfer Tables'!$E$314:$G$323,2,FALSE),FALSE),FALSE),
IF($T17=14,_xlfn.IFNA(VLOOKUP($D17,'Data Transfer Tables'!$E$328:$G$338,2,FALSE),FALSE),FALSE),
IF($T17=15,_xlfn.IFNA(VLOOKUP($D17,'Data Transfer Tables'!$E$343:$G$353,2,FALSE),FALSE),FALSE),
IF($T17=16,_xlfn.IFNA(VLOOKUP($D17,'Data Transfer Tables'!$E$358:$G$369,2,FALSE),FALSE),FALSE),
IF($T17=17,_xlfn.IFNA(VLOOKUP($D17,'Data Transfer Tables'!$E$374:$G$384,2,FALSE),FALSE),FALSE),
IF($T17=18,_xlfn.IFNA(VLOOKUP($D17,'Data Transfer Tables'!$E$389:$G$399,2,FALSE),FALSE),FALSE),
IF($T17=19,_xlfn.IFNA(VLOOKUP($D17,'Data Transfer Tables'!$E$404:$G$414,2,FALSE),FALSE),FALSE),
IF($T17=20,_xlfn.IFNA(VLOOKUP($D17,'Data Transfer Tables'!$E$419:$G$429,2,FALSE),FALSE),FALSE),
IF($T17=21,_xlfn.IFNA(VLOOKUP($D17,'Data Transfer Tables'!$E$434:$G$444,2,FALSE),FALSE),FALSE),
IF($T17=22,_xlfn.IFNA(VLOOKUP($D17,'Data Transfer Tables'!$E$449:$G$459,2,FALSE),FALSE),FALSE))</f>
        <v>0</v>
      </c>
      <c r="AD17" s="146" t="b">
        <f t="shared" si="9"/>
        <v>1</v>
      </c>
      <c r="AE17" s="222" t="b">
        <f t="shared" si="10"/>
        <v>0</v>
      </c>
      <c r="AF17" s="145" t="b">
        <f>OR(IF($T17=1,_xlfn.IFNA(VLOOKUP($E17,'Data Transfer Tables'!$H$144:$I$153,2,FALSE),FALSE),FALSE),
IF($T17=2,_xlfn.IFNA(VLOOKUP($E17,'Data Transfer Tables'!$H$158:$I$167,2,FALSE),FALSE),FALSE),
IF($T17=3,_xlfn.IFNA(VLOOKUP($E17,'Data Transfer Tables'!$H$172:$I$181,2,FALSE),FALSE),FALSE),
IF($T17=4,_xlfn.IFNA(VLOOKUP($E17,'Data Transfer Tables'!$H$186:$I$195,2,FALSE),FALSE),FALSE),
IF($T17=5,_xlfn.IFNA(VLOOKUP($E17,'Data Transfer Tables'!$H$200:$I$209,2,FALSE),FALSE),FALSE),
IF($T17=6,_xlfn.IFNA(VLOOKUP($E17,'Data Transfer Tables'!$H$214:$I$223,2,FALSE),FALSE),FALSE),
IF($T17=7,_xlfn.IFNA(VLOOKUP($E17,'Data Transfer Tables'!$H$228:$I$237,2,FALSE),FALSE),FALSE),
IF($T17=8,_xlfn.IFNA(VLOOKUP($E17,'Data Transfer Tables'!$H$242:$I$251,2,FALSE),FALSE),FALSE),
IF($T17=9,_xlfn.IFNA(VLOOKUP($E17,'Data Transfer Tables'!$H$256:$I$266,2,FALSE),FALSE),FALSE),
IF($T17=10,_xlfn.IFNA(VLOOKUP($E17,'Data Transfer Tables'!$H$271:$I$281,2,FALSE),FALSE),FALSE),
IF($T17=11,_xlfn.IFNA(VLOOKUP($E17,'Data Transfer Tables'!$H$286:$I$295,2,FALSE),FALSE),FALSE),
IF($T17=12,_xlfn.IFNA(VLOOKUP($E17,'Data Transfer Tables'!$H$300:$I$309,2,FALSE),FALSE),FALSE),
IF($T17=13,_xlfn.IFNA(VLOOKUP($E17,'Data Transfer Tables'!$H$314:$I$323,2,FALSE),FALSE),FALSE),
IF($T17=14,_xlfn.IFNA(VLOOKUP($E17,'Data Transfer Tables'!$H$328:$I$338,2,FALSE),FALSE),FALSE),
IF($T17=15,_xlfn.IFNA(VLOOKUP($E17,'Data Transfer Tables'!$H$343:$I$353,2,FALSE),FALSE),FALSE),
IF($T17=16,_xlfn.IFNA(VLOOKUP($E17,'Data Transfer Tables'!$H$358:$I$369,2,FALSE),FALSE),FALSE),
IF($T17=17,_xlfn.IFNA(VLOOKUP($E17,'Data Transfer Tables'!$H$374:$I$384,2,FALSE),FALSE),FALSE),
IF($T17=18,_xlfn.IFNA(VLOOKUP($E17,'Data Transfer Tables'!$H$389:$I$399,2,FALSE),FALSE),FALSE),
IF($T17=19,_xlfn.IFNA(VLOOKUP($E17,'Data Transfer Tables'!$H$404:$I$414,2,FALSE),FALSE),FALSE),
IF($T17=20,_xlfn.IFNA(VLOOKUP($E17,'Data Transfer Tables'!$H$419:$I$429,2,FALSE),FALSE),FALSE),
IF($T17=21,_xlfn.IFNA(VLOOKUP($E17,'Data Transfer Tables'!$H$434:$I$444,2,FALSE),FALSE),FALSE),
IF($T17=22,_xlfn.IFNA(VLOOKUP($E17,'Data Transfer Tables'!$H$449:$I$459,2,FALSE),FALSE),FALSE))</f>
        <v>0</v>
      </c>
      <c r="AG17" s="145" t="b">
        <f t="shared" si="11"/>
        <v>1</v>
      </c>
      <c r="AH17" s="223" t="b">
        <f t="shared" si="12"/>
        <v>0</v>
      </c>
      <c r="AI17" s="147" t="b">
        <f>OR(IF($T17=1,_xlfn.IFNA(VLOOKUP($F17,'Data Transfer Tables'!$K$144:$L$153,2,FALSE),FALSE),FALSE),
IF($T17=2,_xlfn.IFNA(VLOOKUP($F17,'Data Transfer Tables'!$K$158:$L$167,2,FALSE),FALSE),FALSE),
IF($T17=3,_xlfn.IFNA(VLOOKUP($F17,'Data Transfer Tables'!$K$172:$L$181,2,FALSE),FALSE),FALSE),
IF($T17=4,_xlfn.IFNA(VLOOKUP($F17,'Data Transfer Tables'!$K$186:$L$195,2,FALSE),FALSE),FALSE),
IF($T17=5,_xlfn.IFNA(VLOOKUP($F17,'Data Transfer Tables'!$K$200:$L$209,2,FALSE),FALSE),FALSE),
IF($T17=6,_xlfn.IFNA(VLOOKUP($F17,'Data Transfer Tables'!$K$214:$L$223,2,FALSE),FALSE),FALSE),
IF($T17=7,_xlfn.IFNA(VLOOKUP($F17,'Data Transfer Tables'!$K$228:$L$237,2,FALSE),FALSE),FALSE),
IF($T17=8,_xlfn.IFNA(VLOOKUP($F17,'Data Transfer Tables'!$K$242:$L$251,2,FALSE),FALSE),FALSE),
IF($T17=9,_xlfn.IFNA(VLOOKUP($F17,'Data Transfer Tables'!$K$256:$L$266,2,FALSE),FALSE),FALSE),
IF($T17=10,_xlfn.IFNA(VLOOKUP($F17,'Data Transfer Tables'!$K$271:$L$281,2,FALSE),FALSE),FALSE),
IF($T17=11,_xlfn.IFNA(VLOOKUP($F17,'Data Transfer Tables'!$K$286:$L$295,2,FALSE),FALSE),FALSE),
IF($T17=12,_xlfn.IFNA(VLOOKUP($F17,'Data Transfer Tables'!$K$300:$L$309,2,FALSE),FALSE),FALSE),
IF($T17=13,_xlfn.IFNA(VLOOKUP($F17,'Data Transfer Tables'!$K$314:$L$323,2,FALSE),FALSE),FALSE),
IF($T17=14,_xlfn.IFNA(VLOOKUP($F17,'Data Transfer Tables'!$K$328:$L$338,2,FALSE),FALSE),FALSE),
IF($T17=15,_xlfn.IFNA(VLOOKUP($F17,'Data Transfer Tables'!$K$343:$L$353,2,FALSE),FALSE),FALSE),
IF($T17=16,_xlfn.IFNA(VLOOKUP($F17,'Data Transfer Tables'!$K$358:$L$369,2,FALSE),FALSE),FALSE),
IF($T17=17,_xlfn.IFNA(VLOOKUP($F17,'Data Transfer Tables'!$K$374:$L$384,2,FALSE),FALSE),FALSE),
IF($T17=18,_xlfn.IFNA(VLOOKUP($F17,'Data Transfer Tables'!$K$389:$L$399,2,FALSE),FALSE),FALSE),
IF($T17=19,_xlfn.IFNA(VLOOKUP($F17,'Data Transfer Tables'!$K$404:$L$414,2,FALSE),FALSE),FALSE),
IF($T17=20,_xlfn.IFNA(VLOOKUP($F17,'Data Transfer Tables'!$K$419:$L$429,2,FALSE),FALSE),FALSE),
IF($T17=21,_xlfn.IFNA(VLOOKUP($F17,'Data Transfer Tables'!$K$434:$L$444,2,FALSE),FALSE),FALSE),
IF($T17=22,_xlfn.IFNA(VLOOKUP($F17,'Data Transfer Tables'!$K$449:$L$459,2,FALSE),FALSE),FALSE))</f>
        <v>0</v>
      </c>
      <c r="AJ17" s="147" t="b">
        <f t="shared" si="13"/>
        <v>1</v>
      </c>
      <c r="AK17" s="224" t="b">
        <f t="shared" si="14"/>
        <v>0</v>
      </c>
      <c r="AL17" s="225" t="b">
        <f t="shared" si="15"/>
        <v>0</v>
      </c>
      <c r="AM17" s="225" t="b">
        <f t="shared" si="16"/>
        <v>0</v>
      </c>
      <c r="AN17" s="225" t="b">
        <f t="shared" si="17"/>
        <v>0</v>
      </c>
      <c r="AO17" s="196" t="b">
        <f>OR(IF($T17=1,_xlfn.IFNA(VLOOKUP($G17,'Data Transfer Tables'!$E$113:$F$125,2,FALSE),FALSE),FALSE),
IF($T17=2,_xlfn.IFNA(VLOOKUP($G17,'Data Transfer Tables'!$E$113:$F$125,2,FALSE),FALSE),FALSE),
IF($T17=3,_xlfn.IFNA(VLOOKUP($G17,'Data Transfer Tables'!$E$113:$F$125,2,FALSE),FALSE),FALSE),
IF($T17=4,_xlfn.IFNA(VLOOKUP($G17,'Data Transfer Tables'!$E$113:$F$125,2,FALSE),FALSE),FALSE),
IF($T17=5,_xlfn.IFNA(VLOOKUP($G17,'Data Transfer Tables'!$E$113:$F$125,2,FALSE),FALSE),FALSE),
IF($T17=6,_xlfn.IFNA(VLOOKUP($G17,'Data Transfer Tables'!$E$113:$F$125,2,FALSE),FALSE),FALSE),
IF($T17=7,_xlfn.IFNA(VLOOKUP($G17,'Data Transfer Tables'!$E$113:$F$125,2,FALSE),FALSE),FALSE),
IF($T17=8,_xlfn.IFNA(VLOOKUP($G17,'Data Transfer Tables'!$E$113:$F$125,2,FALSE),FALSE),FALSE),
IF($T17=9,_xlfn.IFNA(VLOOKUP($G17,'Data Transfer Tables'!$E$113:$F$125,2,FALSE),FALSE),FALSE),
IF($T17=10,_xlfn.IFNA(VLOOKUP($G17,'Data Transfer Tables'!$E$113:$F$125,2,FALSE),FALSE),FALSE),
IF($T17=11,_xlfn.IFNA(VLOOKUP($G17,'Data Transfer Tables'!$E$113:$F$125,2,FALSE),FALSE),FALSE),
IF($T17=12,_xlfn.IFNA(VLOOKUP($G17,'Data Transfer Tables'!$E$113:$F$125,2,FALSE),FALSE),FALSE),
IF($T17=13,_xlfn.IFNA(VLOOKUP($G17,'Data Transfer Tables'!$E$113:$F$125,2,FALSE),FALSE),FALSE),
IF($T17=14,_xlfn.IFNA(VLOOKUP($G17,'Data Transfer Tables'!$E$113:$F$125,2,FALSE),FALSE),FALSE),
IF($T17=15,_xlfn.IFNA(VLOOKUP($G17,'Data Transfer Tables'!$E$113:$F$125,2,FALSE),FALSE),FALSE),
IF($T17=16,_xlfn.IFNA(VLOOKUP($G17,'Data Transfer Tables'!$E$113:$F$125,2,FALSE),FALSE),FALSE),
IF($T17=17,_xlfn.IFNA(VLOOKUP($G17,'Data Transfer Tables'!$E$113:$F$125,2,FALSE),FALSE),FALSE),
IF($T17=18,_xlfn.IFNA(VLOOKUP($G17,'Data Transfer Tables'!$E$113:$F$125,2,FALSE),FALSE),FALSE),
IF($T17=19,_xlfn.IFNA(VLOOKUP($G17,'Data Transfer Tables'!$E$113:$F$125,2,FALSE),FALSE),FALSE),
IF($T17=20,_xlfn.IFNA(VLOOKUP($G17,'Data Transfer Tables'!$E$113:$F$125,2,FALSE),FALSE),FALSE),
IF($T17=21,_xlfn.IFNA(VLOOKUP($G17,'Data Transfer Tables'!$E$113:$F$125,2,FALSE),FALSE),FALSE),
IF($T17=22,_xlfn.IFNA(VLOOKUP($G17,'Data Transfer Tables'!$E$113:$F$125,2,FALSE),FALSE),FALSE))</f>
        <v>0</v>
      </c>
      <c r="AP17" s="196" t="b">
        <f t="shared" si="18"/>
        <v>1</v>
      </c>
      <c r="AQ17" s="211" t="b">
        <f t="shared" si="35"/>
        <v>1</v>
      </c>
      <c r="AR17" s="211" t="b">
        <f t="shared" si="32"/>
        <v>0</v>
      </c>
      <c r="AS17" s="94" t="b">
        <f t="shared" si="19"/>
        <v>1</v>
      </c>
      <c r="AT17" s="140" t="str">
        <f t="shared" si="20"/>
        <v/>
      </c>
      <c r="AU17" s="226" t="str">
        <f t="shared" si="21"/>
        <v>N/A</v>
      </c>
      <c r="AV17" s="226" t="str">
        <f t="shared" si="22"/>
        <v>N/A</v>
      </c>
      <c r="AW17" s="32" t="str">
        <f t="shared" si="23"/>
        <v>N/A</v>
      </c>
      <c r="AX17" s="32" t="b">
        <f t="shared" si="33"/>
        <v>0</v>
      </c>
      <c r="AY17" s="32" t="str">
        <f t="shared" si="37"/>
        <v/>
      </c>
      <c r="AZ17" s="32" t="str">
        <f t="shared" si="24"/>
        <v/>
      </c>
      <c r="BA17" s="32" t="str">
        <f t="shared" si="25"/>
        <v/>
      </c>
      <c r="BB17" s="32" t="str">
        <f t="shared" si="26"/>
        <v/>
      </c>
      <c r="BC17" s="32" t="str">
        <f t="shared" si="27"/>
        <v/>
      </c>
      <c r="BD17" s="32" t="str">
        <f t="shared" si="28"/>
        <v/>
      </c>
    </row>
    <row r="18" spans="1:56" s="33" customFormat="1" ht="13.5" thickBot="1" x14ac:dyDescent="0.25">
      <c r="A18" s="63" t="s">
        <v>673</v>
      </c>
      <c r="B18" s="63" t="s">
        <v>44</v>
      </c>
      <c r="C18" s="63" t="s">
        <v>44</v>
      </c>
      <c r="D18" s="63" t="s">
        <v>44</v>
      </c>
      <c r="E18" s="63" t="s">
        <v>44</v>
      </c>
      <c r="F18" s="63" t="s">
        <v>44</v>
      </c>
      <c r="G18" s="63" t="s">
        <v>44</v>
      </c>
      <c r="H18" s="99" t="b">
        <v>1</v>
      </c>
      <c r="I18" s="99" t="b">
        <v>1</v>
      </c>
      <c r="J18" s="99" t="b">
        <v>1</v>
      </c>
      <c r="K18" s="138" t="b">
        <f t="shared" ref="K18:K23" si="38">IF(AND(W18=TRUE,X18=TRUE,AR18=FALSE),FALSE,IF(AND(W18=FALSE,X18=FALSE,AR18=FALSE),TRUE,IF(AND(AS18,AU18,AQ18,W18,X18,AR18),TRUE,FALSE)))</f>
        <v>1</v>
      </c>
      <c r="L18" s="62" t="b">
        <f t="shared" ref="L18:L23" si="39">IF(AND(W18=TRUE,X18=TRUE,AR18=FALSE),FALSE,IF(AND(W18=FALSE,X18=FALSE,AR18=FALSE),TRUE,IF(AND(AS18,AV18,AQ18,W18,X18,AR18),TRUE,FALSE)))</f>
        <v>1</v>
      </c>
      <c r="M18" s="62" t="b">
        <f t="shared" ref="M18:M23" si="40">IF(AND(W18=TRUE,X18=TRUE,AR18=FALSE),FALSE,IF(AND(W18=FALSE,X18=FALSE,AR18=FALSE),TRUE,IF(AND(AS18,AW18,AQ18,W18,X18,AR18),TRUE,FALSE)))</f>
        <v>1</v>
      </c>
      <c r="N18" s="55"/>
      <c r="O18" s="32"/>
      <c r="P18" s="46"/>
      <c r="Q18" s="46"/>
      <c r="S18" s="32" t="str">
        <f t="shared" ref="S18:S23" si="41">IF(V18=0,"N/A",AND(AB18,AE18,AH18,AK18, AO18, H18, I18, J18))</f>
        <v>N/A</v>
      </c>
      <c r="T18" s="221">
        <f t="shared" ref="T18:T23" si="42">IF(AND(V18=11,D18="Does Not Use"), 12, IF(AND(V18=6, D18="Does Not Use", E18="Does Not Use"), 8, IF(AND(V18=6, D18="Does Not Use"), 7,V18)))</f>
        <v>0</v>
      </c>
      <c r="U18" s="51" t="b">
        <f t="shared" ref="U18:U23" si="43">IF(OR(S18="N/A",S18=TRUE),TRUE,FALSE)</f>
        <v>1</v>
      </c>
      <c r="V18" s="74">
        <f>_xlfn.IFNA(VLOOKUP(B18,'Data Transfer Tables'!$A$111:$B$131,2),0)</f>
        <v>0</v>
      </c>
      <c r="W18" s="74" t="b">
        <f t="shared" ref="W18:W23" si="44">IF(OR(A18="&lt;Enter OMS Data Transfer&gt;", A18=""),FALSE,TRUE)</f>
        <v>0</v>
      </c>
      <c r="X18" s="74" t="b">
        <f t="shared" ref="X18:X23" si="45">IF(OR(B18="&lt;select&gt;", B18=""),FALSE,TRUE)</f>
        <v>0</v>
      </c>
      <c r="Y18" s="222" t="b">
        <f t="shared" ref="Y18:Y23" si="46">IF(B18="&lt;select&gt;",TRUE,FALSE)</f>
        <v>1</v>
      </c>
      <c r="Z18" s="210" t="b">
        <f>OR(IF($T18=1,_xlfn.IFNA(VLOOKUP($C18,'Data Transfer Tables'!$B$144:$C$153,2,FALSE),FALSE),FALSE),
IF($T18=2,_xlfn.IFNA(VLOOKUP($C18,'Data Transfer Tables'!$B$158:$C$167,2,FALSE),FALSE),FALSE),
IF($T18=3,_xlfn.IFNA(VLOOKUP($C18,'Data Transfer Tables'!$B$172:$C$181,2,FALSE),FALSE),FALSE),
IF($T18=4,_xlfn.IFNA(VLOOKUP($C18,'Data Transfer Tables'!$B$186:$C$195,2,FALSE),FALSE),FALSE),
IF($T18=5,_xlfn.IFNA(VLOOKUP($C18,'Data Transfer Tables'!$B$200:$C$209,2,FALSE),FALSE),FALSE),
IF($T18=6,_xlfn.IFNA(VLOOKUP($C18,'Data Transfer Tables'!$B$214:$C$223,2,FALSE),FALSE),FALSE),
IF($T18=7,_xlfn.IFNA(VLOOKUP($C18,'Data Transfer Tables'!$B$228:$C$237,2,FALSE),FALSE),FALSE),
IF($T18=8,_xlfn.IFNA(VLOOKUP($C18,'Data Transfer Tables'!$B$242:$C$251,2,FALSE),FALSE),FALSE),
IF($T18=9,_xlfn.IFNA(VLOOKUP($C18,'Data Transfer Tables'!$B$256:$C$266,2,FALSE),FALSE),FALSE),
IF($T18=10,_xlfn.IFNA(VLOOKUP($C18,'Data Transfer Tables'!$B$271:$C$281,2,FALSE),FALSE),FALSE),
IF($T18=11,_xlfn.IFNA(VLOOKUP($C18,'Data Transfer Tables'!$B$286:$C$295,2,FALSE),FALSE),FALSE),
IF($T18=12,_xlfn.IFNA(VLOOKUP($C18,'Data Transfer Tables'!$B$300:$C$309,2,FALSE),FALSE),FALSE),
IF($T18=13,_xlfn.IFNA(VLOOKUP($C18,'Data Transfer Tables'!$B$314:$C$323,2,FALSE),FALSE),FALSE),
IF($T18=14,_xlfn.IFNA(VLOOKUP($C18,'Data Transfer Tables'!$B$328:$C$338,2,FALSE),FALSE),FALSE),
IF($T18=15,_xlfn.IFNA(VLOOKUP($C18,'Data Transfer Tables'!$B$343:$C$353,2,FALSE),FALSE),FALSE),
IF($T18=16,_xlfn.IFNA(VLOOKUP($C18,'Data Transfer Tables'!$B$358:$C$369,2,FALSE),FALSE),FALSE),
IF($T18=17,_xlfn.IFNA(VLOOKUP($C18,'Data Transfer Tables'!$B$374:$C$384,2,FALSE),FALSE),FALSE),
IF($T18=18,_xlfn.IFNA(VLOOKUP($C18,'Data Transfer Tables'!$B$389:$C$399,2,FALSE),FALSE),FALSE),
IF($T18=19,_xlfn.IFNA(VLOOKUP($C18,'Data Transfer Tables'!$B$404:$C$414,2,FALSE),FALSE),FALSE),
IF($T18=20,_xlfn.IFNA(VLOOKUP($C18,'Data Transfer Tables'!$B$419:$C$429,2,FALSE),FALSE),FALSE),
IF($T18=21,_xlfn.IFNA(VLOOKUP($C18,'Data Transfer Tables'!$B$434:$C$444,2,FALSE),FALSE),FALSE),
IF($T18=22,_xlfn.IFNA(VLOOKUP($C18,'Data Transfer Tables'!$B$449:$C$459,2,FALSE),FALSE),FALSE))</f>
        <v>0</v>
      </c>
      <c r="AA18" s="210" t="b">
        <f t="shared" ref="AA18:AA23" si="47">IF(C18="&lt;select&gt;",TRUE,FALSE)</f>
        <v>1</v>
      </c>
      <c r="AB18" s="222" t="b">
        <f t="shared" ref="AB18:AB23" si="48">IF(A18="Does Not Use", TRUE, IF(AND(AA18=FALSE,Z18=TRUE), TRUE))</f>
        <v>0</v>
      </c>
      <c r="AC18" s="146" t="b">
        <f>OR(IF($T18=1,_xlfn.IFNA(VLOOKUP($D18,'Data Transfer Tables'!$E$144:$G$153,2,FALSE),FALSE),FALSE),
IF($T18=2,_xlfn.IFNA(VLOOKUP($D18,'Data Transfer Tables'!$E$158:$G$167,2,FALSE),FALSE),FALSE),
IF($T18=3,_xlfn.IFNA(VLOOKUP($D18,'Data Transfer Tables'!$E$172:$G$181,2,FALSE),FALSE),FALSE),
IF($T18=4,_xlfn.IFNA(VLOOKUP($D18,'Data Transfer Tables'!$E$186:$G$195,2,FALSE),FALSE),FALSE),
IF($T18=5,_xlfn.IFNA(VLOOKUP($D18,'Data Transfer Tables'!$E$200:$G$209,2,FALSE),FALSE),FALSE),
IF($T18=6,_xlfn.IFNA(VLOOKUP($D18,'Data Transfer Tables'!$E$214:$G$223,2,FALSE),FALSE),FALSE),
IF($T18=7,_xlfn.IFNA(VLOOKUP($D18,'Data Transfer Tables'!$E$228:$G$237,2,FALSE),FALSE),FALSE),
IF($T18=8,_xlfn.IFNA(VLOOKUP($D18,'Data Transfer Tables'!$E$242:$G$251,2,FALSE),FALSE),FALSE),
IF($T18=9,_xlfn.IFNA(VLOOKUP($D18,'Data Transfer Tables'!$E$256:$G$266,2,FALSE),FALSE),FALSE),
IF($T18=10,_xlfn.IFNA(VLOOKUP($D18,'Data Transfer Tables'!$E$271:$G$281,2,FALSE),FALSE),FALSE),
IF($T18=11,_xlfn.IFNA(VLOOKUP($D18,'Data Transfer Tables'!$E$286:$G$295,2,FALSE),FALSE),FALSE),
IF($T18=12,_xlfn.IFNA(VLOOKUP($D18,'Data Transfer Tables'!$E$300:$G$309,2,FALSE),FALSE),FALSE),
IF($T18=13,_xlfn.IFNA(VLOOKUP($D18,'Data Transfer Tables'!$E$314:$G$323,2,FALSE),FALSE),FALSE),
IF($T18=14,_xlfn.IFNA(VLOOKUP($D18,'Data Transfer Tables'!$E$328:$G$338,2,FALSE),FALSE),FALSE),
IF($T18=15,_xlfn.IFNA(VLOOKUP($D18,'Data Transfer Tables'!$E$343:$G$353,2,FALSE),FALSE),FALSE),
IF($T18=16,_xlfn.IFNA(VLOOKUP($D18,'Data Transfer Tables'!$E$358:$G$369,2,FALSE),FALSE),FALSE),
IF($T18=17,_xlfn.IFNA(VLOOKUP($D18,'Data Transfer Tables'!$E$374:$G$384,2,FALSE),FALSE),FALSE),
IF($T18=18,_xlfn.IFNA(VLOOKUP($D18,'Data Transfer Tables'!$E$389:$G$399,2,FALSE),FALSE),FALSE),
IF($T18=19,_xlfn.IFNA(VLOOKUP($D18,'Data Transfer Tables'!$E$404:$G$414,2,FALSE),FALSE),FALSE),
IF($T18=20,_xlfn.IFNA(VLOOKUP($D18,'Data Transfer Tables'!$E$419:$G$429,2,FALSE),FALSE),FALSE),
IF($T18=21,_xlfn.IFNA(VLOOKUP($D18,'Data Transfer Tables'!$E$434:$G$444,2,FALSE),FALSE),FALSE),
IF($T18=22,_xlfn.IFNA(VLOOKUP($D18,'Data Transfer Tables'!$E$449:$G$459,2,FALSE),FALSE),FALSE))</f>
        <v>0</v>
      </c>
      <c r="AD18" s="146" t="b">
        <f t="shared" ref="AD18:AD23" si="49">IF(D18="&lt;select&gt;",TRUE,FALSE)</f>
        <v>1</v>
      </c>
      <c r="AE18" s="222" t="b">
        <f t="shared" ref="AE18:AE23" si="50">IF(D18="Does Not Use", TRUE, IF(AND(AD18=FALSE,AC18=TRUE), TRUE))</f>
        <v>0</v>
      </c>
      <c r="AF18" s="145" t="b">
        <f>OR(IF($T18=1,_xlfn.IFNA(VLOOKUP($E18,'Data Transfer Tables'!$H$144:$I$153,2,FALSE),FALSE),FALSE),
IF($T18=2,_xlfn.IFNA(VLOOKUP($E18,'Data Transfer Tables'!$H$158:$I$167,2,FALSE),FALSE),FALSE),
IF($T18=3,_xlfn.IFNA(VLOOKUP($E18,'Data Transfer Tables'!$H$172:$I$181,2,FALSE),FALSE),FALSE),
IF($T18=4,_xlfn.IFNA(VLOOKUP($E18,'Data Transfer Tables'!$H$186:$I$195,2,FALSE),FALSE),FALSE),
IF($T18=5,_xlfn.IFNA(VLOOKUP($E18,'Data Transfer Tables'!$H$200:$I$209,2,FALSE),FALSE),FALSE),
IF($T18=6,_xlfn.IFNA(VLOOKUP($E18,'Data Transfer Tables'!$H$214:$I$223,2,FALSE),FALSE),FALSE),
IF($T18=7,_xlfn.IFNA(VLOOKUP($E18,'Data Transfer Tables'!$H$228:$I$237,2,FALSE),FALSE),FALSE),
IF($T18=8,_xlfn.IFNA(VLOOKUP($E18,'Data Transfer Tables'!$H$242:$I$251,2,FALSE),FALSE),FALSE),
IF($T18=9,_xlfn.IFNA(VLOOKUP($E18,'Data Transfer Tables'!$H$256:$I$266,2,FALSE),FALSE),FALSE),
IF($T18=10,_xlfn.IFNA(VLOOKUP($E18,'Data Transfer Tables'!$H$271:$I$281,2,FALSE),FALSE),FALSE),
IF($T18=11,_xlfn.IFNA(VLOOKUP($E18,'Data Transfer Tables'!$H$286:$I$295,2,FALSE),FALSE),FALSE),
IF($T18=12,_xlfn.IFNA(VLOOKUP($E18,'Data Transfer Tables'!$H$300:$I$309,2,FALSE),FALSE),FALSE),
IF($T18=13,_xlfn.IFNA(VLOOKUP($E18,'Data Transfer Tables'!$H$314:$I$323,2,FALSE),FALSE),FALSE),
IF($T18=14,_xlfn.IFNA(VLOOKUP($E18,'Data Transfer Tables'!$H$328:$I$338,2,FALSE),FALSE),FALSE),
IF($T18=15,_xlfn.IFNA(VLOOKUP($E18,'Data Transfer Tables'!$H$343:$I$353,2,FALSE),FALSE),FALSE),
IF($T18=16,_xlfn.IFNA(VLOOKUP($E18,'Data Transfer Tables'!$H$358:$I$369,2,FALSE),FALSE),FALSE),
IF($T18=17,_xlfn.IFNA(VLOOKUP($E18,'Data Transfer Tables'!$H$374:$I$384,2,FALSE),FALSE),FALSE),
IF($T18=18,_xlfn.IFNA(VLOOKUP($E18,'Data Transfer Tables'!$H$389:$I$399,2,FALSE),FALSE),FALSE),
IF($T18=19,_xlfn.IFNA(VLOOKUP($E18,'Data Transfer Tables'!$H$404:$I$414,2,FALSE),FALSE),FALSE),
IF($T18=20,_xlfn.IFNA(VLOOKUP($E18,'Data Transfer Tables'!$H$419:$I$429,2,FALSE),FALSE),FALSE),
IF($T18=21,_xlfn.IFNA(VLOOKUP($E18,'Data Transfer Tables'!$H$434:$I$444,2,FALSE),FALSE),FALSE),
IF($T18=22,_xlfn.IFNA(VLOOKUP($E18,'Data Transfer Tables'!$H$449:$I$459,2,FALSE),FALSE),FALSE))</f>
        <v>0</v>
      </c>
      <c r="AG18" s="145" t="b">
        <f t="shared" ref="AG18:AG23" si="51">IF(E18="&lt;select&gt;",TRUE,FALSE)</f>
        <v>1</v>
      </c>
      <c r="AH18" s="223" t="b">
        <f t="shared" ref="AH18:AH23" si="52">IF(E18="Does Not Use", TRUE, IF(AND(AG18=FALSE,AF18=TRUE), TRUE))</f>
        <v>0</v>
      </c>
      <c r="AI18" s="147" t="b">
        <f>OR(IF($T18=1,_xlfn.IFNA(VLOOKUP($F18,'Data Transfer Tables'!$K$144:$L$153,2,FALSE),FALSE),FALSE),
IF($T18=2,_xlfn.IFNA(VLOOKUP($F18,'Data Transfer Tables'!$K$158:$L$167,2,FALSE),FALSE),FALSE),
IF($T18=3,_xlfn.IFNA(VLOOKUP($F18,'Data Transfer Tables'!$K$172:$L$181,2,FALSE),FALSE),FALSE),
IF($T18=4,_xlfn.IFNA(VLOOKUP($F18,'Data Transfer Tables'!$K$186:$L$195,2,FALSE),FALSE),FALSE),
IF($T18=5,_xlfn.IFNA(VLOOKUP($F18,'Data Transfer Tables'!$K$200:$L$209,2,FALSE),FALSE),FALSE),
IF($T18=6,_xlfn.IFNA(VLOOKUP($F18,'Data Transfer Tables'!$K$214:$L$223,2,FALSE),FALSE),FALSE),
IF($T18=7,_xlfn.IFNA(VLOOKUP($F18,'Data Transfer Tables'!$K$228:$L$237,2,FALSE),FALSE),FALSE),
IF($T18=8,_xlfn.IFNA(VLOOKUP($F18,'Data Transfer Tables'!$K$242:$L$251,2,FALSE),FALSE),FALSE),
IF($T18=9,_xlfn.IFNA(VLOOKUP($F18,'Data Transfer Tables'!$K$256:$L$266,2,FALSE),FALSE),FALSE),
IF($T18=10,_xlfn.IFNA(VLOOKUP($F18,'Data Transfer Tables'!$K$271:$L$281,2,FALSE),FALSE),FALSE),
IF($T18=11,_xlfn.IFNA(VLOOKUP($F18,'Data Transfer Tables'!$K$286:$L$295,2,FALSE),FALSE),FALSE),
IF($T18=12,_xlfn.IFNA(VLOOKUP($F18,'Data Transfer Tables'!$K$300:$L$309,2,FALSE),FALSE),FALSE),
IF($T18=13,_xlfn.IFNA(VLOOKUP($F18,'Data Transfer Tables'!$K$314:$L$323,2,FALSE),FALSE),FALSE),
IF($T18=14,_xlfn.IFNA(VLOOKUP($F18,'Data Transfer Tables'!$K$328:$L$338,2,FALSE),FALSE),FALSE),
IF($T18=15,_xlfn.IFNA(VLOOKUP($F18,'Data Transfer Tables'!$K$343:$L$353,2,FALSE),FALSE),FALSE),
IF($T18=16,_xlfn.IFNA(VLOOKUP($F18,'Data Transfer Tables'!$K$358:$L$369,2,FALSE),FALSE),FALSE),
IF($T18=17,_xlfn.IFNA(VLOOKUP($F18,'Data Transfer Tables'!$K$374:$L$384,2,FALSE),FALSE),FALSE),
IF($T18=18,_xlfn.IFNA(VLOOKUP($F18,'Data Transfer Tables'!$K$389:$L$399,2,FALSE),FALSE),FALSE),
IF($T18=19,_xlfn.IFNA(VLOOKUP($F18,'Data Transfer Tables'!$K$404:$L$414,2,FALSE),FALSE),FALSE),
IF($T18=20,_xlfn.IFNA(VLOOKUP($F18,'Data Transfer Tables'!$K$419:$L$429,2,FALSE),FALSE),FALSE),
IF($T18=21,_xlfn.IFNA(VLOOKUP($F18,'Data Transfer Tables'!$K$434:$L$444,2,FALSE),FALSE),FALSE),
IF($T18=22,_xlfn.IFNA(VLOOKUP($F18,'Data Transfer Tables'!$K$449:$L$459,2,FALSE),FALSE),FALSE))</f>
        <v>0</v>
      </c>
      <c r="AJ18" s="147" t="b">
        <f t="shared" ref="AJ18:AJ23" si="53">IF(F18="&lt;select&gt;",TRUE,FALSE)</f>
        <v>1</v>
      </c>
      <c r="AK18" s="224" t="b">
        <f t="shared" ref="AK18:AK23" si="54">IF(F18="Does Not Use", TRUE, IF(AND(AJ18=FALSE,AI18=TRUE), TRUE))</f>
        <v>0</v>
      </c>
      <c r="AL18" s="225" t="b">
        <f t="shared" ref="AL18:AL23" si="55">IF(OR(AND(OR(D18="Not Allowed", D18= "Does Not Apply", D18="N/A", D18="Does Not Use"), OR(E18="Not Allowed", E18= "Does Not Apply", E18="N/A", E18="Does Not Use"))),TRUE,
IF(OR(AND(OR(D18="Not Allowed", D18= "Does Not Apply", D18="N/A", D18="Does Not Use"), OR(F18="Not Allowed", F18= "Does Not Apply", F18="N/A", F18="Does Not Use"))),TRUE,
IF(OR(AND(OR(E18="Not Allowed", E18= "Does Not Apply", E18="N/A", E18="Does Not Use"), OR(F18="Not Allowed", F18= "Does Not Apply", F18="N/A", F18="Does Not Use"))),TRUE)))</f>
        <v>0</v>
      </c>
      <c r="AM18" s="225" t="b">
        <f t="shared" ref="AM18:AM23" si="56">IF(AND(AL18=TRUE, AND(AE18=TRUE, AH18=TRUE, AK18=TRUE)), TRUE)</f>
        <v>0</v>
      </c>
      <c r="AN18" s="225" t="b">
        <f t="shared" ref="AN18:AN23" si="57">IF(AND(Y18=FALSE, AA18=FALSE, AD18=FALSE, AG18=FALSE, AJ18=FALSE), TRUE, FALSE)</f>
        <v>0</v>
      </c>
      <c r="AO18" s="196" t="b">
        <f>OR(IF($T18=1,_xlfn.IFNA(VLOOKUP($G18,'Data Transfer Tables'!$E$113:$F$125,2,FALSE),FALSE),FALSE),
IF($T18=2,_xlfn.IFNA(VLOOKUP($G18,'Data Transfer Tables'!$E$113:$F$125,2,FALSE),FALSE),FALSE),
IF($T18=3,_xlfn.IFNA(VLOOKUP($G18,'Data Transfer Tables'!$E$113:$F$125,2,FALSE),FALSE),FALSE),
IF($T18=4,_xlfn.IFNA(VLOOKUP($G18,'Data Transfer Tables'!$E$113:$F$125,2,FALSE),FALSE),FALSE),
IF($T18=5,_xlfn.IFNA(VLOOKUP($G18,'Data Transfer Tables'!$E$113:$F$125,2,FALSE),FALSE),FALSE),
IF($T18=6,_xlfn.IFNA(VLOOKUP($G18,'Data Transfer Tables'!$E$113:$F$125,2,FALSE),FALSE),FALSE),
IF($T18=7,_xlfn.IFNA(VLOOKUP($G18,'Data Transfer Tables'!$E$113:$F$125,2,FALSE),FALSE),FALSE),
IF($T18=8,_xlfn.IFNA(VLOOKUP($G18,'Data Transfer Tables'!$E$113:$F$125,2,FALSE),FALSE),FALSE),
IF($T18=9,_xlfn.IFNA(VLOOKUP($G18,'Data Transfer Tables'!$E$113:$F$125,2,FALSE),FALSE),FALSE),
IF($T18=10,_xlfn.IFNA(VLOOKUP($G18,'Data Transfer Tables'!$E$113:$F$125,2,FALSE),FALSE),FALSE),
IF($T18=11,_xlfn.IFNA(VLOOKUP($G18,'Data Transfer Tables'!$E$113:$F$125,2,FALSE),FALSE),FALSE),
IF($T18=12,_xlfn.IFNA(VLOOKUP($G18,'Data Transfer Tables'!$E$113:$F$125,2,FALSE),FALSE),FALSE),
IF($T18=13,_xlfn.IFNA(VLOOKUP($G18,'Data Transfer Tables'!$E$113:$F$125,2,FALSE),FALSE),FALSE),
IF($T18=14,_xlfn.IFNA(VLOOKUP($G18,'Data Transfer Tables'!$E$113:$F$125,2,FALSE),FALSE),FALSE),
IF($T18=15,_xlfn.IFNA(VLOOKUP($G18,'Data Transfer Tables'!$E$113:$F$125,2,FALSE),FALSE),FALSE),
IF($T18=16,_xlfn.IFNA(VLOOKUP($G18,'Data Transfer Tables'!$E$113:$F$125,2,FALSE),FALSE),FALSE),
IF($T18=17,_xlfn.IFNA(VLOOKUP($G18,'Data Transfer Tables'!$E$113:$F$125,2,FALSE),FALSE),FALSE),
IF($T18=18,_xlfn.IFNA(VLOOKUP($G18,'Data Transfer Tables'!$E$113:$F$125,2,FALSE),FALSE),FALSE),
IF($T18=19,_xlfn.IFNA(VLOOKUP($G18,'Data Transfer Tables'!$E$113:$F$125,2,FALSE),FALSE),FALSE),
IF($T18=20,_xlfn.IFNA(VLOOKUP($G18,'Data Transfer Tables'!$E$113:$F$125,2,FALSE),FALSE),FALSE),
IF($T18=21,_xlfn.IFNA(VLOOKUP($G18,'Data Transfer Tables'!$E$113:$F$125,2,FALSE),FALSE),FALSE),
IF($T18=22,_xlfn.IFNA(VLOOKUP($G18,'Data Transfer Tables'!$E$113:$F$125,2,FALSE),FALSE),FALSE))</f>
        <v>0</v>
      </c>
      <c r="AP18" s="196" t="b">
        <f t="shared" ref="AP18:AP23" si="58">IF(G18="&lt;select&gt;",TRUE,FALSE)</f>
        <v>1</v>
      </c>
      <c r="AQ18" s="211" t="b">
        <f t="shared" ref="AQ18:AQ23" si="59">IF(V18=0, TRUE, IF(AND(AB18=TRUE, AM18, AO18=TRUE), TRUE,FALSE))</f>
        <v>1</v>
      </c>
      <c r="AR18" s="211" t="b">
        <f t="shared" ref="AR18:AR23" si="60">AND(AB18=TRUE, AE18=TRUE, AH18=TRUE, AK18=TRUE, AO18=TRUE, X18=TRUE)</f>
        <v>0</v>
      </c>
      <c r="AS18" s="94" t="b">
        <f t="shared" ref="AS18:AS23" si="61">AND(H18:J18)</f>
        <v>1</v>
      </c>
      <c r="AT18" s="140" t="str">
        <f t="shared" ref="AT18:AT23" si="62">IF(S18="N/A","",
IF(AND(D18="Does Not Use", E18="Does Not Use", F18="Does Not Use"), FALSE,
 IF(B18="Non-OMS Data Transfer","1_TESTNON",
  IF(S18=TRUE,
   IF(AND(OR(D18="Does Not Apply", D18="Does Not Use"),OR(E18="Does Not Apply", E18="Does Not Use"), B18="Mission Data Files (MDFs)"),"1",
    IF(AND(OR(D18="Does Not Apply", D18="Does Not Use"),OR(B18="Mission Data Files (MDFs)", B18="Complex Sensor Data")),"2","3")),"1"))))</f>
        <v/>
      </c>
      <c r="AU18" s="226" t="str">
        <f t="shared" ref="AU18:AU25" si="63">IF(AT18="","N/A", IF(OR(AT18="1",AT18="2",AT18="3"),TRUE,FALSE))</f>
        <v>N/A</v>
      </c>
      <c r="AV18" s="226" t="str">
        <f t="shared" ref="AV18:AV25" si="64">IF(AT18="","N/A", IF(OR(AT18="2", AT18="3"),TRUE,FALSE))</f>
        <v>N/A</v>
      </c>
      <c r="AW18" s="32" t="str">
        <f t="shared" ref="AW18:AW25" si="65">IF(AT18="","N/A", IF(AT18="3",TRUE,FALSE))</f>
        <v>N/A</v>
      </c>
      <c r="AX18" s="32" t="b">
        <f t="shared" si="33"/>
        <v>0</v>
      </c>
      <c r="AY18" s="32" t="str">
        <f t="shared" si="37"/>
        <v/>
      </c>
      <c r="AZ18" s="32" t="str">
        <f t="shared" si="24"/>
        <v/>
      </c>
      <c r="BA18" s="32" t="str">
        <f t="shared" si="25"/>
        <v/>
      </c>
      <c r="BB18" s="32" t="str">
        <f t="shared" si="26"/>
        <v/>
      </c>
      <c r="BC18" s="32" t="str">
        <f t="shared" si="27"/>
        <v/>
      </c>
      <c r="BD18" s="32" t="str">
        <f t="shared" si="28"/>
        <v/>
      </c>
    </row>
    <row r="19" spans="1:56" s="33" customFormat="1" ht="13.5" thickBot="1" x14ac:dyDescent="0.25">
      <c r="A19" s="63" t="s">
        <v>673</v>
      </c>
      <c r="B19" s="63" t="s">
        <v>44</v>
      </c>
      <c r="C19" s="63" t="s">
        <v>44</v>
      </c>
      <c r="D19" s="63" t="s">
        <v>44</v>
      </c>
      <c r="E19" s="63" t="s">
        <v>44</v>
      </c>
      <c r="F19" s="63" t="s">
        <v>44</v>
      </c>
      <c r="G19" s="63" t="s">
        <v>44</v>
      </c>
      <c r="H19" s="99" t="b">
        <v>1</v>
      </c>
      <c r="I19" s="99" t="b">
        <v>1</v>
      </c>
      <c r="J19" s="99" t="b">
        <v>1</v>
      </c>
      <c r="K19" s="138" t="b">
        <f t="shared" si="38"/>
        <v>1</v>
      </c>
      <c r="L19" s="62" t="b">
        <f t="shared" si="39"/>
        <v>1</v>
      </c>
      <c r="M19" s="62" t="b">
        <f t="shared" si="40"/>
        <v>1</v>
      </c>
      <c r="N19" s="55"/>
      <c r="O19" s="32"/>
      <c r="P19" s="46"/>
      <c r="Q19" s="46"/>
      <c r="S19" s="32" t="str">
        <f t="shared" si="41"/>
        <v>N/A</v>
      </c>
      <c r="T19" s="221">
        <f t="shared" si="42"/>
        <v>0</v>
      </c>
      <c r="U19" s="51" t="b">
        <f t="shared" si="43"/>
        <v>1</v>
      </c>
      <c r="V19" s="74">
        <f>_xlfn.IFNA(VLOOKUP(B19,'Data Transfer Tables'!$A$111:$B$131,2),0)</f>
        <v>0</v>
      </c>
      <c r="W19" s="74" t="b">
        <f t="shared" si="44"/>
        <v>0</v>
      </c>
      <c r="X19" s="74" t="b">
        <f t="shared" si="45"/>
        <v>0</v>
      </c>
      <c r="Y19" s="222" t="b">
        <f t="shared" si="46"/>
        <v>1</v>
      </c>
      <c r="Z19" s="210" t="b">
        <f>OR(IF($T19=1,_xlfn.IFNA(VLOOKUP($C19,'Data Transfer Tables'!$B$144:$C$153,2,FALSE),FALSE),FALSE),
IF($T19=2,_xlfn.IFNA(VLOOKUP($C19,'Data Transfer Tables'!$B$158:$C$167,2,FALSE),FALSE),FALSE),
IF($T19=3,_xlfn.IFNA(VLOOKUP($C19,'Data Transfer Tables'!$B$172:$C$181,2,FALSE),FALSE),FALSE),
IF($T19=4,_xlfn.IFNA(VLOOKUP($C19,'Data Transfer Tables'!$B$186:$C$195,2,FALSE),FALSE),FALSE),
IF($T19=5,_xlfn.IFNA(VLOOKUP($C19,'Data Transfer Tables'!$B$200:$C$209,2,FALSE),FALSE),FALSE),
IF($T19=6,_xlfn.IFNA(VLOOKUP($C19,'Data Transfer Tables'!$B$214:$C$223,2,FALSE),FALSE),FALSE),
IF($T19=7,_xlfn.IFNA(VLOOKUP($C19,'Data Transfer Tables'!$B$228:$C$237,2,FALSE),FALSE),FALSE),
IF($T19=8,_xlfn.IFNA(VLOOKUP($C19,'Data Transfer Tables'!$B$242:$C$251,2,FALSE),FALSE),FALSE),
IF($T19=9,_xlfn.IFNA(VLOOKUP($C19,'Data Transfer Tables'!$B$256:$C$266,2,FALSE),FALSE),FALSE),
IF($T19=10,_xlfn.IFNA(VLOOKUP($C19,'Data Transfer Tables'!$B$271:$C$281,2,FALSE),FALSE),FALSE),
IF($T19=11,_xlfn.IFNA(VLOOKUP($C19,'Data Transfer Tables'!$B$286:$C$295,2,FALSE),FALSE),FALSE),
IF($T19=12,_xlfn.IFNA(VLOOKUP($C19,'Data Transfer Tables'!$B$300:$C$309,2,FALSE),FALSE),FALSE),
IF($T19=13,_xlfn.IFNA(VLOOKUP($C19,'Data Transfer Tables'!$B$314:$C$323,2,FALSE),FALSE),FALSE),
IF($T19=14,_xlfn.IFNA(VLOOKUP($C19,'Data Transfer Tables'!$B$328:$C$338,2,FALSE),FALSE),FALSE),
IF($T19=15,_xlfn.IFNA(VLOOKUP($C19,'Data Transfer Tables'!$B$343:$C$353,2,FALSE),FALSE),FALSE),
IF($T19=16,_xlfn.IFNA(VLOOKUP($C19,'Data Transfer Tables'!$B$358:$C$369,2,FALSE),FALSE),FALSE),
IF($T19=17,_xlfn.IFNA(VLOOKUP($C19,'Data Transfer Tables'!$B$374:$C$384,2,FALSE),FALSE),FALSE),
IF($T19=18,_xlfn.IFNA(VLOOKUP($C19,'Data Transfer Tables'!$B$389:$C$399,2,FALSE),FALSE),FALSE),
IF($T19=19,_xlfn.IFNA(VLOOKUP($C19,'Data Transfer Tables'!$B$404:$C$414,2,FALSE),FALSE),FALSE),
IF($T19=20,_xlfn.IFNA(VLOOKUP($C19,'Data Transfer Tables'!$B$419:$C$429,2,FALSE),FALSE),FALSE),
IF($T19=21,_xlfn.IFNA(VLOOKUP($C19,'Data Transfer Tables'!$B$434:$C$444,2,FALSE),FALSE),FALSE),
IF($T19=22,_xlfn.IFNA(VLOOKUP($C19,'Data Transfer Tables'!$B$449:$C$459,2,FALSE),FALSE),FALSE))</f>
        <v>0</v>
      </c>
      <c r="AA19" s="210" t="b">
        <f t="shared" si="47"/>
        <v>1</v>
      </c>
      <c r="AB19" s="222" t="b">
        <f t="shared" si="48"/>
        <v>0</v>
      </c>
      <c r="AC19" s="146" t="b">
        <f>OR(IF($T19=1,_xlfn.IFNA(VLOOKUP($D19,'Data Transfer Tables'!$E$144:$G$153,2,FALSE),FALSE),FALSE),
IF($T19=2,_xlfn.IFNA(VLOOKUP($D19,'Data Transfer Tables'!$E$158:$G$167,2,FALSE),FALSE),FALSE),
IF($T19=3,_xlfn.IFNA(VLOOKUP($D19,'Data Transfer Tables'!$E$172:$G$181,2,FALSE),FALSE),FALSE),
IF($T19=4,_xlfn.IFNA(VLOOKUP($D19,'Data Transfer Tables'!$E$186:$G$195,2,FALSE),FALSE),FALSE),
IF($T19=5,_xlfn.IFNA(VLOOKUP($D19,'Data Transfer Tables'!$E$200:$G$209,2,FALSE),FALSE),FALSE),
IF($T19=6,_xlfn.IFNA(VLOOKUP($D19,'Data Transfer Tables'!$E$214:$G$223,2,FALSE),FALSE),FALSE),
IF($T19=7,_xlfn.IFNA(VLOOKUP($D19,'Data Transfer Tables'!$E$228:$G$237,2,FALSE),FALSE),FALSE),
IF($T19=8,_xlfn.IFNA(VLOOKUP($D19,'Data Transfer Tables'!$E$242:$G$251,2,FALSE),FALSE),FALSE),
IF($T19=9,_xlfn.IFNA(VLOOKUP($D19,'Data Transfer Tables'!$E$256:$G$266,2,FALSE),FALSE),FALSE),
IF($T19=10,_xlfn.IFNA(VLOOKUP($D19,'Data Transfer Tables'!$E$271:$G$281,2,FALSE),FALSE),FALSE),
IF($T19=11,_xlfn.IFNA(VLOOKUP($D19,'Data Transfer Tables'!$E$286:$G$295,2,FALSE),FALSE),FALSE),
IF($T19=12,_xlfn.IFNA(VLOOKUP($D19,'Data Transfer Tables'!$E$300:$G$309,2,FALSE),FALSE),FALSE),
IF($T19=13,_xlfn.IFNA(VLOOKUP($D19,'Data Transfer Tables'!$E$314:$G$323,2,FALSE),FALSE),FALSE),
IF($T19=14,_xlfn.IFNA(VLOOKUP($D19,'Data Transfer Tables'!$E$328:$G$338,2,FALSE),FALSE),FALSE),
IF($T19=15,_xlfn.IFNA(VLOOKUP($D19,'Data Transfer Tables'!$E$343:$G$353,2,FALSE),FALSE),FALSE),
IF($T19=16,_xlfn.IFNA(VLOOKUP($D19,'Data Transfer Tables'!$E$358:$G$369,2,FALSE),FALSE),FALSE),
IF($T19=17,_xlfn.IFNA(VLOOKUP($D19,'Data Transfer Tables'!$E$374:$G$384,2,FALSE),FALSE),FALSE),
IF($T19=18,_xlfn.IFNA(VLOOKUP($D19,'Data Transfer Tables'!$E$389:$G$399,2,FALSE),FALSE),FALSE),
IF($T19=19,_xlfn.IFNA(VLOOKUP($D19,'Data Transfer Tables'!$E$404:$G$414,2,FALSE),FALSE),FALSE),
IF($T19=20,_xlfn.IFNA(VLOOKUP($D19,'Data Transfer Tables'!$E$419:$G$429,2,FALSE),FALSE),FALSE),
IF($T19=21,_xlfn.IFNA(VLOOKUP($D19,'Data Transfer Tables'!$E$434:$G$444,2,FALSE),FALSE),FALSE),
IF($T19=22,_xlfn.IFNA(VLOOKUP($D19,'Data Transfer Tables'!$E$449:$G$459,2,FALSE),FALSE),FALSE))</f>
        <v>0</v>
      </c>
      <c r="AD19" s="146" t="b">
        <f t="shared" si="49"/>
        <v>1</v>
      </c>
      <c r="AE19" s="222" t="b">
        <f t="shared" si="50"/>
        <v>0</v>
      </c>
      <c r="AF19" s="145" t="b">
        <f>OR(IF($T19=1,_xlfn.IFNA(VLOOKUP($E19,'Data Transfer Tables'!$H$144:$I$153,2,FALSE),FALSE),FALSE),
IF($T19=2,_xlfn.IFNA(VLOOKUP($E19,'Data Transfer Tables'!$H$158:$I$167,2,FALSE),FALSE),FALSE),
IF($T19=3,_xlfn.IFNA(VLOOKUP($E19,'Data Transfer Tables'!$H$172:$I$181,2,FALSE),FALSE),FALSE),
IF($T19=4,_xlfn.IFNA(VLOOKUP($E19,'Data Transfer Tables'!$H$186:$I$195,2,FALSE),FALSE),FALSE),
IF($T19=5,_xlfn.IFNA(VLOOKUP($E19,'Data Transfer Tables'!$H$200:$I$209,2,FALSE),FALSE),FALSE),
IF($T19=6,_xlfn.IFNA(VLOOKUP($E19,'Data Transfer Tables'!$H$214:$I$223,2,FALSE),FALSE),FALSE),
IF($T19=7,_xlfn.IFNA(VLOOKUP($E19,'Data Transfer Tables'!$H$228:$I$237,2,FALSE),FALSE),FALSE),
IF($T19=8,_xlfn.IFNA(VLOOKUP($E19,'Data Transfer Tables'!$H$242:$I$251,2,FALSE),FALSE),FALSE),
IF($T19=9,_xlfn.IFNA(VLOOKUP($E19,'Data Transfer Tables'!$H$256:$I$266,2,FALSE),FALSE),FALSE),
IF($T19=10,_xlfn.IFNA(VLOOKUP($E19,'Data Transfer Tables'!$H$271:$I$281,2,FALSE),FALSE),FALSE),
IF($T19=11,_xlfn.IFNA(VLOOKUP($E19,'Data Transfer Tables'!$H$286:$I$295,2,FALSE),FALSE),FALSE),
IF($T19=12,_xlfn.IFNA(VLOOKUP($E19,'Data Transfer Tables'!$H$300:$I$309,2,FALSE),FALSE),FALSE),
IF($T19=13,_xlfn.IFNA(VLOOKUP($E19,'Data Transfer Tables'!$H$314:$I$323,2,FALSE),FALSE),FALSE),
IF($T19=14,_xlfn.IFNA(VLOOKUP($E19,'Data Transfer Tables'!$H$328:$I$338,2,FALSE),FALSE),FALSE),
IF($T19=15,_xlfn.IFNA(VLOOKUP($E19,'Data Transfer Tables'!$H$343:$I$353,2,FALSE),FALSE),FALSE),
IF($T19=16,_xlfn.IFNA(VLOOKUP($E19,'Data Transfer Tables'!$H$358:$I$369,2,FALSE),FALSE),FALSE),
IF($T19=17,_xlfn.IFNA(VLOOKUP($E19,'Data Transfer Tables'!$H$374:$I$384,2,FALSE),FALSE),FALSE),
IF($T19=18,_xlfn.IFNA(VLOOKUP($E19,'Data Transfer Tables'!$H$389:$I$399,2,FALSE),FALSE),FALSE),
IF($T19=19,_xlfn.IFNA(VLOOKUP($E19,'Data Transfer Tables'!$H$404:$I$414,2,FALSE),FALSE),FALSE),
IF($T19=20,_xlfn.IFNA(VLOOKUP($E19,'Data Transfer Tables'!$H$419:$I$429,2,FALSE),FALSE),FALSE),
IF($T19=21,_xlfn.IFNA(VLOOKUP($E19,'Data Transfer Tables'!$H$434:$I$444,2,FALSE),FALSE),FALSE),
IF($T19=22,_xlfn.IFNA(VLOOKUP($E19,'Data Transfer Tables'!$H$449:$I$459,2,FALSE),FALSE),FALSE))</f>
        <v>0</v>
      </c>
      <c r="AG19" s="145" t="b">
        <f t="shared" si="51"/>
        <v>1</v>
      </c>
      <c r="AH19" s="223" t="b">
        <f t="shared" si="52"/>
        <v>0</v>
      </c>
      <c r="AI19" s="147" t="b">
        <f>OR(IF($T19=1,_xlfn.IFNA(VLOOKUP($F19,'Data Transfer Tables'!$K$144:$L$153,2,FALSE),FALSE),FALSE),
IF($T19=2,_xlfn.IFNA(VLOOKUP($F19,'Data Transfer Tables'!$K$158:$L$167,2,FALSE),FALSE),FALSE),
IF($T19=3,_xlfn.IFNA(VLOOKUP($F19,'Data Transfer Tables'!$K$172:$L$181,2,FALSE),FALSE),FALSE),
IF($T19=4,_xlfn.IFNA(VLOOKUP($F19,'Data Transfer Tables'!$K$186:$L$195,2,FALSE),FALSE),FALSE),
IF($T19=5,_xlfn.IFNA(VLOOKUP($F19,'Data Transfer Tables'!$K$200:$L$209,2,FALSE),FALSE),FALSE),
IF($T19=6,_xlfn.IFNA(VLOOKUP($F19,'Data Transfer Tables'!$K$214:$L$223,2,FALSE),FALSE),FALSE),
IF($T19=7,_xlfn.IFNA(VLOOKUP($F19,'Data Transfer Tables'!$K$228:$L$237,2,FALSE),FALSE),FALSE),
IF($T19=8,_xlfn.IFNA(VLOOKUP($F19,'Data Transfer Tables'!$K$242:$L$251,2,FALSE),FALSE),FALSE),
IF($T19=9,_xlfn.IFNA(VLOOKUP($F19,'Data Transfer Tables'!$K$256:$L$266,2,FALSE),FALSE),FALSE),
IF($T19=10,_xlfn.IFNA(VLOOKUP($F19,'Data Transfer Tables'!$K$271:$L$281,2,FALSE),FALSE),FALSE),
IF($T19=11,_xlfn.IFNA(VLOOKUP($F19,'Data Transfer Tables'!$K$286:$L$295,2,FALSE),FALSE),FALSE),
IF($T19=12,_xlfn.IFNA(VLOOKUP($F19,'Data Transfer Tables'!$K$300:$L$309,2,FALSE),FALSE),FALSE),
IF($T19=13,_xlfn.IFNA(VLOOKUP($F19,'Data Transfer Tables'!$K$314:$L$323,2,FALSE),FALSE),FALSE),
IF($T19=14,_xlfn.IFNA(VLOOKUP($F19,'Data Transfer Tables'!$K$328:$L$338,2,FALSE),FALSE),FALSE),
IF($T19=15,_xlfn.IFNA(VLOOKUP($F19,'Data Transfer Tables'!$K$343:$L$353,2,FALSE),FALSE),FALSE),
IF($T19=16,_xlfn.IFNA(VLOOKUP($F19,'Data Transfer Tables'!$K$358:$L$369,2,FALSE),FALSE),FALSE),
IF($T19=17,_xlfn.IFNA(VLOOKUP($F19,'Data Transfer Tables'!$K$374:$L$384,2,FALSE),FALSE),FALSE),
IF($T19=18,_xlfn.IFNA(VLOOKUP($F19,'Data Transfer Tables'!$K$389:$L$399,2,FALSE),FALSE),FALSE),
IF($T19=19,_xlfn.IFNA(VLOOKUP($F19,'Data Transfer Tables'!$K$404:$L$414,2,FALSE),FALSE),FALSE),
IF($T19=20,_xlfn.IFNA(VLOOKUP($F19,'Data Transfer Tables'!$K$419:$L$429,2,FALSE),FALSE),FALSE),
IF($T19=21,_xlfn.IFNA(VLOOKUP($F19,'Data Transfer Tables'!$K$434:$L$444,2,FALSE),FALSE),FALSE),
IF($T19=22,_xlfn.IFNA(VLOOKUP($F19,'Data Transfer Tables'!$K$449:$L$459,2,FALSE),FALSE),FALSE))</f>
        <v>0</v>
      </c>
      <c r="AJ19" s="147" t="b">
        <f t="shared" si="53"/>
        <v>1</v>
      </c>
      <c r="AK19" s="224" t="b">
        <f t="shared" si="54"/>
        <v>0</v>
      </c>
      <c r="AL19" s="225" t="b">
        <f t="shared" si="55"/>
        <v>0</v>
      </c>
      <c r="AM19" s="225" t="b">
        <f t="shared" si="56"/>
        <v>0</v>
      </c>
      <c r="AN19" s="225" t="b">
        <f t="shared" si="57"/>
        <v>0</v>
      </c>
      <c r="AO19" s="196" t="b">
        <f>OR(IF($T19=1,_xlfn.IFNA(VLOOKUP($G19,'Data Transfer Tables'!$E$113:$F$125,2,FALSE),FALSE),FALSE),
IF($T19=2,_xlfn.IFNA(VLOOKUP($G19,'Data Transfer Tables'!$E$113:$F$125,2,FALSE),FALSE),FALSE),
IF($T19=3,_xlfn.IFNA(VLOOKUP($G19,'Data Transfer Tables'!$E$113:$F$125,2,FALSE),FALSE),FALSE),
IF($T19=4,_xlfn.IFNA(VLOOKUP($G19,'Data Transfer Tables'!$E$113:$F$125,2,FALSE),FALSE),FALSE),
IF($T19=5,_xlfn.IFNA(VLOOKUP($G19,'Data Transfer Tables'!$E$113:$F$125,2,FALSE),FALSE),FALSE),
IF($T19=6,_xlfn.IFNA(VLOOKUP($G19,'Data Transfer Tables'!$E$113:$F$125,2,FALSE),FALSE),FALSE),
IF($T19=7,_xlfn.IFNA(VLOOKUP($G19,'Data Transfer Tables'!$E$113:$F$125,2,FALSE),FALSE),FALSE),
IF($T19=8,_xlfn.IFNA(VLOOKUP($G19,'Data Transfer Tables'!$E$113:$F$125,2,FALSE),FALSE),FALSE),
IF($T19=9,_xlfn.IFNA(VLOOKUP($G19,'Data Transfer Tables'!$E$113:$F$125,2,FALSE),FALSE),FALSE),
IF($T19=10,_xlfn.IFNA(VLOOKUP($G19,'Data Transfer Tables'!$E$113:$F$125,2,FALSE),FALSE),FALSE),
IF($T19=11,_xlfn.IFNA(VLOOKUP($G19,'Data Transfer Tables'!$E$113:$F$125,2,FALSE),FALSE),FALSE),
IF($T19=12,_xlfn.IFNA(VLOOKUP($G19,'Data Transfer Tables'!$E$113:$F$125,2,FALSE),FALSE),FALSE),
IF($T19=13,_xlfn.IFNA(VLOOKUP($G19,'Data Transfer Tables'!$E$113:$F$125,2,FALSE),FALSE),FALSE),
IF($T19=14,_xlfn.IFNA(VLOOKUP($G19,'Data Transfer Tables'!$E$113:$F$125,2,FALSE),FALSE),FALSE),
IF($T19=15,_xlfn.IFNA(VLOOKUP($G19,'Data Transfer Tables'!$E$113:$F$125,2,FALSE),FALSE),FALSE),
IF($T19=16,_xlfn.IFNA(VLOOKUP($G19,'Data Transfer Tables'!$E$113:$F$125,2,FALSE),FALSE),FALSE),
IF($T19=17,_xlfn.IFNA(VLOOKUP($G19,'Data Transfer Tables'!$E$113:$F$125,2,FALSE),FALSE),FALSE),
IF($T19=18,_xlfn.IFNA(VLOOKUP($G19,'Data Transfer Tables'!$E$113:$F$125,2,FALSE),FALSE),FALSE),
IF($T19=19,_xlfn.IFNA(VLOOKUP($G19,'Data Transfer Tables'!$E$113:$F$125,2,FALSE),FALSE),FALSE),
IF($T19=20,_xlfn.IFNA(VLOOKUP($G19,'Data Transfer Tables'!$E$113:$F$125,2,FALSE),FALSE),FALSE),
IF($T19=21,_xlfn.IFNA(VLOOKUP($G19,'Data Transfer Tables'!$E$113:$F$125,2,FALSE),FALSE),FALSE),
IF($T19=22,_xlfn.IFNA(VLOOKUP($G19,'Data Transfer Tables'!$E$113:$F$125,2,FALSE),FALSE),FALSE))</f>
        <v>0</v>
      </c>
      <c r="AP19" s="196" t="b">
        <f t="shared" si="58"/>
        <v>1</v>
      </c>
      <c r="AQ19" s="211" t="b">
        <f t="shared" si="59"/>
        <v>1</v>
      </c>
      <c r="AR19" s="211" t="b">
        <f t="shared" si="60"/>
        <v>0</v>
      </c>
      <c r="AS19" s="94" t="b">
        <f t="shared" si="61"/>
        <v>1</v>
      </c>
      <c r="AT19" s="140" t="str">
        <f t="shared" si="62"/>
        <v/>
      </c>
      <c r="AU19" s="226" t="str">
        <f t="shared" si="63"/>
        <v>N/A</v>
      </c>
      <c r="AV19" s="226" t="str">
        <f t="shared" si="64"/>
        <v>N/A</v>
      </c>
      <c r="AW19" s="32" t="str">
        <f t="shared" si="65"/>
        <v>N/A</v>
      </c>
      <c r="AX19" s="32" t="b">
        <f t="shared" si="33"/>
        <v>0</v>
      </c>
      <c r="AY19" s="32" t="str">
        <f t="shared" si="37"/>
        <v/>
      </c>
      <c r="AZ19" s="32" t="str">
        <f t="shared" si="24"/>
        <v/>
      </c>
      <c r="BA19" s="32" t="str">
        <f t="shared" si="25"/>
        <v/>
      </c>
      <c r="BB19" s="32" t="str">
        <f t="shared" si="26"/>
        <v/>
      </c>
      <c r="BC19" s="32" t="str">
        <f t="shared" si="27"/>
        <v/>
      </c>
      <c r="BD19" s="32" t="str">
        <f t="shared" si="28"/>
        <v/>
      </c>
    </row>
    <row r="20" spans="1:56" s="33" customFormat="1" ht="13.5" thickBot="1" x14ac:dyDescent="0.25">
      <c r="A20" s="63" t="s">
        <v>673</v>
      </c>
      <c r="B20" s="63" t="s">
        <v>44</v>
      </c>
      <c r="C20" s="63" t="s">
        <v>44</v>
      </c>
      <c r="D20" s="63" t="s">
        <v>44</v>
      </c>
      <c r="E20" s="63" t="s">
        <v>44</v>
      </c>
      <c r="F20" s="63" t="s">
        <v>44</v>
      </c>
      <c r="G20" s="63" t="s">
        <v>44</v>
      </c>
      <c r="H20" s="99" t="b">
        <v>1</v>
      </c>
      <c r="I20" s="99" t="b">
        <v>1</v>
      </c>
      <c r="J20" s="99" t="b">
        <v>1</v>
      </c>
      <c r="K20" s="138" t="b">
        <f t="shared" si="38"/>
        <v>1</v>
      </c>
      <c r="L20" s="62" t="b">
        <f t="shared" si="39"/>
        <v>1</v>
      </c>
      <c r="M20" s="62" t="b">
        <f t="shared" si="40"/>
        <v>1</v>
      </c>
      <c r="N20" s="55"/>
      <c r="O20" s="32"/>
      <c r="P20" s="46"/>
      <c r="Q20" s="46"/>
      <c r="S20" s="32" t="str">
        <f t="shared" si="41"/>
        <v>N/A</v>
      </c>
      <c r="T20" s="221">
        <f t="shared" si="42"/>
        <v>0</v>
      </c>
      <c r="U20" s="51" t="b">
        <f t="shared" si="43"/>
        <v>1</v>
      </c>
      <c r="V20" s="74">
        <f>_xlfn.IFNA(VLOOKUP(B20,'Data Transfer Tables'!$A$111:$B$131,2),0)</f>
        <v>0</v>
      </c>
      <c r="W20" s="74" t="b">
        <f t="shared" si="44"/>
        <v>0</v>
      </c>
      <c r="X20" s="74" t="b">
        <f t="shared" si="45"/>
        <v>0</v>
      </c>
      <c r="Y20" s="222" t="b">
        <f t="shared" si="46"/>
        <v>1</v>
      </c>
      <c r="Z20" s="210" t="b">
        <f>OR(IF($T20=1,_xlfn.IFNA(VLOOKUP($C20,'Data Transfer Tables'!$B$144:$C$153,2,FALSE),FALSE),FALSE),
IF($T20=2,_xlfn.IFNA(VLOOKUP($C20,'Data Transfer Tables'!$B$158:$C$167,2,FALSE),FALSE),FALSE),
IF($T20=3,_xlfn.IFNA(VLOOKUP($C20,'Data Transfer Tables'!$B$172:$C$181,2,FALSE),FALSE),FALSE),
IF($T20=4,_xlfn.IFNA(VLOOKUP($C20,'Data Transfer Tables'!$B$186:$C$195,2,FALSE),FALSE),FALSE),
IF($T20=5,_xlfn.IFNA(VLOOKUP($C20,'Data Transfer Tables'!$B$200:$C$209,2,FALSE),FALSE),FALSE),
IF($T20=6,_xlfn.IFNA(VLOOKUP($C20,'Data Transfer Tables'!$B$214:$C$223,2,FALSE),FALSE),FALSE),
IF($T20=7,_xlfn.IFNA(VLOOKUP($C20,'Data Transfer Tables'!$B$228:$C$237,2,FALSE),FALSE),FALSE),
IF($T20=8,_xlfn.IFNA(VLOOKUP($C20,'Data Transfer Tables'!$B$242:$C$251,2,FALSE),FALSE),FALSE),
IF($T20=9,_xlfn.IFNA(VLOOKUP($C20,'Data Transfer Tables'!$B$256:$C$266,2,FALSE),FALSE),FALSE),
IF($T20=10,_xlfn.IFNA(VLOOKUP($C20,'Data Transfer Tables'!$B$271:$C$281,2,FALSE),FALSE),FALSE),
IF($T20=11,_xlfn.IFNA(VLOOKUP($C20,'Data Transfer Tables'!$B$286:$C$295,2,FALSE),FALSE),FALSE),
IF($T20=12,_xlfn.IFNA(VLOOKUP($C20,'Data Transfer Tables'!$B$300:$C$309,2,FALSE),FALSE),FALSE),
IF($T20=13,_xlfn.IFNA(VLOOKUP($C20,'Data Transfer Tables'!$B$314:$C$323,2,FALSE),FALSE),FALSE),
IF($T20=14,_xlfn.IFNA(VLOOKUP($C20,'Data Transfer Tables'!$B$328:$C$338,2,FALSE),FALSE),FALSE),
IF($T20=15,_xlfn.IFNA(VLOOKUP($C20,'Data Transfer Tables'!$B$343:$C$353,2,FALSE),FALSE),FALSE),
IF($T20=16,_xlfn.IFNA(VLOOKUP($C20,'Data Transfer Tables'!$B$358:$C$369,2,FALSE),FALSE),FALSE),
IF($T20=17,_xlfn.IFNA(VLOOKUP($C20,'Data Transfer Tables'!$B$374:$C$384,2,FALSE),FALSE),FALSE),
IF($T20=18,_xlfn.IFNA(VLOOKUP($C20,'Data Transfer Tables'!$B$389:$C$399,2,FALSE),FALSE),FALSE),
IF($T20=19,_xlfn.IFNA(VLOOKUP($C20,'Data Transfer Tables'!$B$404:$C$414,2,FALSE),FALSE),FALSE),
IF($T20=20,_xlfn.IFNA(VLOOKUP($C20,'Data Transfer Tables'!$B$419:$C$429,2,FALSE),FALSE),FALSE),
IF($T20=21,_xlfn.IFNA(VLOOKUP($C20,'Data Transfer Tables'!$B$434:$C$444,2,FALSE),FALSE),FALSE),
IF($T20=22,_xlfn.IFNA(VLOOKUP($C20,'Data Transfer Tables'!$B$449:$C$459,2,FALSE),FALSE),FALSE))</f>
        <v>0</v>
      </c>
      <c r="AA20" s="210" t="b">
        <f t="shared" si="47"/>
        <v>1</v>
      </c>
      <c r="AB20" s="222" t="b">
        <f t="shared" si="48"/>
        <v>0</v>
      </c>
      <c r="AC20" s="146" t="b">
        <f>OR(IF($T20=1,_xlfn.IFNA(VLOOKUP($D20,'Data Transfer Tables'!$E$144:$G$153,2,FALSE),FALSE),FALSE),
IF($T20=2,_xlfn.IFNA(VLOOKUP($D20,'Data Transfer Tables'!$E$158:$G$167,2,FALSE),FALSE),FALSE),
IF($T20=3,_xlfn.IFNA(VLOOKUP($D20,'Data Transfer Tables'!$E$172:$G$181,2,FALSE),FALSE),FALSE),
IF($T20=4,_xlfn.IFNA(VLOOKUP($D20,'Data Transfer Tables'!$E$186:$G$195,2,FALSE),FALSE),FALSE),
IF($T20=5,_xlfn.IFNA(VLOOKUP($D20,'Data Transfer Tables'!$E$200:$G$209,2,FALSE),FALSE),FALSE),
IF($T20=6,_xlfn.IFNA(VLOOKUP($D20,'Data Transfer Tables'!$E$214:$G$223,2,FALSE),FALSE),FALSE),
IF($T20=7,_xlfn.IFNA(VLOOKUP($D20,'Data Transfer Tables'!$E$228:$G$237,2,FALSE),FALSE),FALSE),
IF($T20=8,_xlfn.IFNA(VLOOKUP($D20,'Data Transfer Tables'!$E$242:$G$251,2,FALSE),FALSE),FALSE),
IF($T20=9,_xlfn.IFNA(VLOOKUP($D20,'Data Transfer Tables'!$E$256:$G$266,2,FALSE),FALSE),FALSE),
IF($T20=10,_xlfn.IFNA(VLOOKUP($D20,'Data Transfer Tables'!$E$271:$G$281,2,FALSE),FALSE),FALSE),
IF($T20=11,_xlfn.IFNA(VLOOKUP($D20,'Data Transfer Tables'!$E$286:$G$295,2,FALSE),FALSE),FALSE),
IF($T20=12,_xlfn.IFNA(VLOOKUP($D20,'Data Transfer Tables'!$E$300:$G$309,2,FALSE),FALSE),FALSE),
IF($T20=13,_xlfn.IFNA(VLOOKUP($D20,'Data Transfer Tables'!$E$314:$G$323,2,FALSE),FALSE),FALSE),
IF($T20=14,_xlfn.IFNA(VLOOKUP($D20,'Data Transfer Tables'!$E$328:$G$338,2,FALSE),FALSE),FALSE),
IF($T20=15,_xlfn.IFNA(VLOOKUP($D20,'Data Transfer Tables'!$E$343:$G$353,2,FALSE),FALSE),FALSE),
IF($T20=16,_xlfn.IFNA(VLOOKUP($D20,'Data Transfer Tables'!$E$358:$G$369,2,FALSE),FALSE),FALSE),
IF($T20=17,_xlfn.IFNA(VLOOKUP($D20,'Data Transfer Tables'!$E$374:$G$384,2,FALSE),FALSE),FALSE),
IF($T20=18,_xlfn.IFNA(VLOOKUP($D20,'Data Transfer Tables'!$E$389:$G$399,2,FALSE),FALSE),FALSE),
IF($T20=19,_xlfn.IFNA(VLOOKUP($D20,'Data Transfer Tables'!$E$404:$G$414,2,FALSE),FALSE),FALSE),
IF($T20=20,_xlfn.IFNA(VLOOKUP($D20,'Data Transfer Tables'!$E$419:$G$429,2,FALSE),FALSE),FALSE),
IF($T20=21,_xlfn.IFNA(VLOOKUP($D20,'Data Transfer Tables'!$E$434:$G$444,2,FALSE),FALSE),FALSE),
IF($T20=22,_xlfn.IFNA(VLOOKUP($D20,'Data Transfer Tables'!$E$449:$G$459,2,FALSE),FALSE),FALSE))</f>
        <v>0</v>
      </c>
      <c r="AD20" s="146" t="b">
        <f t="shared" si="49"/>
        <v>1</v>
      </c>
      <c r="AE20" s="222" t="b">
        <f t="shared" si="50"/>
        <v>0</v>
      </c>
      <c r="AF20" s="145" t="b">
        <f>OR(IF($T20=1,_xlfn.IFNA(VLOOKUP($E20,'Data Transfer Tables'!$H$144:$I$153,2,FALSE),FALSE),FALSE),
IF($T20=2,_xlfn.IFNA(VLOOKUP($E20,'Data Transfer Tables'!$H$158:$I$167,2,FALSE),FALSE),FALSE),
IF($T20=3,_xlfn.IFNA(VLOOKUP($E20,'Data Transfer Tables'!$H$172:$I$181,2,FALSE),FALSE),FALSE),
IF($T20=4,_xlfn.IFNA(VLOOKUP($E20,'Data Transfer Tables'!$H$186:$I$195,2,FALSE),FALSE),FALSE),
IF($T20=5,_xlfn.IFNA(VLOOKUP($E20,'Data Transfer Tables'!$H$200:$I$209,2,FALSE),FALSE),FALSE),
IF($T20=6,_xlfn.IFNA(VLOOKUP($E20,'Data Transfer Tables'!$H$214:$I$223,2,FALSE),FALSE),FALSE),
IF($T20=7,_xlfn.IFNA(VLOOKUP($E20,'Data Transfer Tables'!$H$228:$I$237,2,FALSE),FALSE),FALSE),
IF($T20=8,_xlfn.IFNA(VLOOKUP($E20,'Data Transfer Tables'!$H$242:$I$251,2,FALSE),FALSE),FALSE),
IF($T20=9,_xlfn.IFNA(VLOOKUP($E20,'Data Transfer Tables'!$H$256:$I$266,2,FALSE),FALSE),FALSE),
IF($T20=10,_xlfn.IFNA(VLOOKUP($E20,'Data Transfer Tables'!$H$271:$I$281,2,FALSE),FALSE),FALSE),
IF($T20=11,_xlfn.IFNA(VLOOKUP($E20,'Data Transfer Tables'!$H$286:$I$295,2,FALSE),FALSE),FALSE),
IF($T20=12,_xlfn.IFNA(VLOOKUP($E20,'Data Transfer Tables'!$H$300:$I$309,2,FALSE),FALSE),FALSE),
IF($T20=13,_xlfn.IFNA(VLOOKUP($E20,'Data Transfer Tables'!$H$314:$I$323,2,FALSE),FALSE),FALSE),
IF($T20=14,_xlfn.IFNA(VLOOKUP($E20,'Data Transfer Tables'!$H$328:$I$338,2,FALSE),FALSE),FALSE),
IF($T20=15,_xlfn.IFNA(VLOOKUP($E20,'Data Transfer Tables'!$H$343:$I$353,2,FALSE),FALSE),FALSE),
IF($T20=16,_xlfn.IFNA(VLOOKUP($E20,'Data Transfer Tables'!$H$358:$I$369,2,FALSE),FALSE),FALSE),
IF($T20=17,_xlfn.IFNA(VLOOKUP($E20,'Data Transfer Tables'!$H$374:$I$384,2,FALSE),FALSE),FALSE),
IF($T20=18,_xlfn.IFNA(VLOOKUP($E20,'Data Transfer Tables'!$H$389:$I$399,2,FALSE),FALSE),FALSE),
IF($T20=19,_xlfn.IFNA(VLOOKUP($E20,'Data Transfer Tables'!$H$404:$I$414,2,FALSE),FALSE),FALSE),
IF($T20=20,_xlfn.IFNA(VLOOKUP($E20,'Data Transfer Tables'!$H$419:$I$429,2,FALSE),FALSE),FALSE),
IF($T20=21,_xlfn.IFNA(VLOOKUP($E20,'Data Transfer Tables'!$H$434:$I$444,2,FALSE),FALSE),FALSE),
IF($T20=22,_xlfn.IFNA(VLOOKUP($E20,'Data Transfer Tables'!$H$449:$I$459,2,FALSE),FALSE),FALSE))</f>
        <v>0</v>
      </c>
      <c r="AG20" s="145" t="b">
        <f t="shared" si="51"/>
        <v>1</v>
      </c>
      <c r="AH20" s="223" t="b">
        <f t="shared" si="52"/>
        <v>0</v>
      </c>
      <c r="AI20" s="147" t="b">
        <f>OR(IF($T20=1,_xlfn.IFNA(VLOOKUP($F20,'Data Transfer Tables'!$K$144:$L$153,2,FALSE),FALSE),FALSE),
IF($T20=2,_xlfn.IFNA(VLOOKUP($F20,'Data Transfer Tables'!$K$158:$L$167,2,FALSE),FALSE),FALSE),
IF($T20=3,_xlfn.IFNA(VLOOKUP($F20,'Data Transfer Tables'!$K$172:$L$181,2,FALSE),FALSE),FALSE),
IF($T20=4,_xlfn.IFNA(VLOOKUP($F20,'Data Transfer Tables'!$K$186:$L$195,2,FALSE),FALSE),FALSE),
IF($T20=5,_xlfn.IFNA(VLOOKUP($F20,'Data Transfer Tables'!$K$200:$L$209,2,FALSE),FALSE),FALSE),
IF($T20=6,_xlfn.IFNA(VLOOKUP($F20,'Data Transfer Tables'!$K$214:$L$223,2,FALSE),FALSE),FALSE),
IF($T20=7,_xlfn.IFNA(VLOOKUP($F20,'Data Transfer Tables'!$K$228:$L$237,2,FALSE),FALSE),FALSE),
IF($T20=8,_xlfn.IFNA(VLOOKUP($F20,'Data Transfer Tables'!$K$242:$L$251,2,FALSE),FALSE),FALSE),
IF($T20=9,_xlfn.IFNA(VLOOKUP($F20,'Data Transfer Tables'!$K$256:$L$266,2,FALSE),FALSE),FALSE),
IF($T20=10,_xlfn.IFNA(VLOOKUP($F20,'Data Transfer Tables'!$K$271:$L$281,2,FALSE),FALSE),FALSE),
IF($T20=11,_xlfn.IFNA(VLOOKUP($F20,'Data Transfer Tables'!$K$286:$L$295,2,FALSE),FALSE),FALSE),
IF($T20=12,_xlfn.IFNA(VLOOKUP($F20,'Data Transfer Tables'!$K$300:$L$309,2,FALSE),FALSE),FALSE),
IF($T20=13,_xlfn.IFNA(VLOOKUP($F20,'Data Transfer Tables'!$K$314:$L$323,2,FALSE),FALSE),FALSE),
IF($T20=14,_xlfn.IFNA(VLOOKUP($F20,'Data Transfer Tables'!$K$328:$L$338,2,FALSE),FALSE),FALSE),
IF($T20=15,_xlfn.IFNA(VLOOKUP($F20,'Data Transfer Tables'!$K$343:$L$353,2,FALSE),FALSE),FALSE),
IF($T20=16,_xlfn.IFNA(VLOOKUP($F20,'Data Transfer Tables'!$K$358:$L$369,2,FALSE),FALSE),FALSE),
IF($T20=17,_xlfn.IFNA(VLOOKUP($F20,'Data Transfer Tables'!$K$374:$L$384,2,FALSE),FALSE),FALSE),
IF($T20=18,_xlfn.IFNA(VLOOKUP($F20,'Data Transfer Tables'!$K$389:$L$399,2,FALSE),FALSE),FALSE),
IF($T20=19,_xlfn.IFNA(VLOOKUP($F20,'Data Transfer Tables'!$K$404:$L$414,2,FALSE),FALSE),FALSE),
IF($T20=20,_xlfn.IFNA(VLOOKUP($F20,'Data Transfer Tables'!$K$419:$L$429,2,FALSE),FALSE),FALSE),
IF($T20=21,_xlfn.IFNA(VLOOKUP($F20,'Data Transfer Tables'!$K$434:$L$444,2,FALSE),FALSE),FALSE),
IF($T20=22,_xlfn.IFNA(VLOOKUP($F20,'Data Transfer Tables'!$K$449:$L$459,2,FALSE),FALSE),FALSE))</f>
        <v>0</v>
      </c>
      <c r="AJ20" s="147" t="b">
        <f t="shared" si="53"/>
        <v>1</v>
      </c>
      <c r="AK20" s="224" t="b">
        <f t="shared" si="54"/>
        <v>0</v>
      </c>
      <c r="AL20" s="225" t="b">
        <f t="shared" si="55"/>
        <v>0</v>
      </c>
      <c r="AM20" s="225" t="b">
        <f t="shared" si="56"/>
        <v>0</v>
      </c>
      <c r="AN20" s="225" t="b">
        <f t="shared" si="57"/>
        <v>0</v>
      </c>
      <c r="AO20" s="196" t="b">
        <f>OR(IF($T20=1,_xlfn.IFNA(VLOOKUP($G20,'Data Transfer Tables'!$E$113:$F$125,2,FALSE),FALSE),FALSE),
IF($T20=2,_xlfn.IFNA(VLOOKUP($G20,'Data Transfer Tables'!$E$113:$F$125,2,FALSE),FALSE),FALSE),
IF($T20=3,_xlfn.IFNA(VLOOKUP($G20,'Data Transfer Tables'!$E$113:$F$125,2,FALSE),FALSE),FALSE),
IF($T20=4,_xlfn.IFNA(VLOOKUP($G20,'Data Transfer Tables'!$E$113:$F$125,2,FALSE),FALSE),FALSE),
IF($T20=5,_xlfn.IFNA(VLOOKUP($G20,'Data Transfer Tables'!$E$113:$F$125,2,FALSE),FALSE),FALSE),
IF($T20=6,_xlfn.IFNA(VLOOKUP($G20,'Data Transfer Tables'!$E$113:$F$125,2,FALSE),FALSE),FALSE),
IF($T20=7,_xlfn.IFNA(VLOOKUP($G20,'Data Transfer Tables'!$E$113:$F$125,2,FALSE),FALSE),FALSE),
IF($T20=8,_xlfn.IFNA(VLOOKUP($G20,'Data Transfer Tables'!$E$113:$F$125,2,FALSE),FALSE),FALSE),
IF($T20=9,_xlfn.IFNA(VLOOKUP($G20,'Data Transfer Tables'!$E$113:$F$125,2,FALSE),FALSE),FALSE),
IF($T20=10,_xlfn.IFNA(VLOOKUP($G20,'Data Transfer Tables'!$E$113:$F$125,2,FALSE),FALSE),FALSE),
IF($T20=11,_xlfn.IFNA(VLOOKUP($G20,'Data Transfer Tables'!$E$113:$F$125,2,FALSE),FALSE),FALSE),
IF($T20=12,_xlfn.IFNA(VLOOKUP($G20,'Data Transfer Tables'!$E$113:$F$125,2,FALSE),FALSE),FALSE),
IF($T20=13,_xlfn.IFNA(VLOOKUP($G20,'Data Transfer Tables'!$E$113:$F$125,2,FALSE),FALSE),FALSE),
IF($T20=14,_xlfn.IFNA(VLOOKUP($G20,'Data Transfer Tables'!$E$113:$F$125,2,FALSE),FALSE),FALSE),
IF($T20=15,_xlfn.IFNA(VLOOKUP($G20,'Data Transfer Tables'!$E$113:$F$125,2,FALSE),FALSE),FALSE),
IF($T20=16,_xlfn.IFNA(VLOOKUP($G20,'Data Transfer Tables'!$E$113:$F$125,2,FALSE),FALSE),FALSE),
IF($T20=17,_xlfn.IFNA(VLOOKUP($G20,'Data Transfer Tables'!$E$113:$F$125,2,FALSE),FALSE),FALSE),
IF($T20=18,_xlfn.IFNA(VLOOKUP($G20,'Data Transfer Tables'!$E$113:$F$125,2,FALSE),FALSE),FALSE),
IF($T20=19,_xlfn.IFNA(VLOOKUP($G20,'Data Transfer Tables'!$E$113:$F$125,2,FALSE),FALSE),FALSE),
IF($T20=20,_xlfn.IFNA(VLOOKUP($G20,'Data Transfer Tables'!$E$113:$F$125,2,FALSE),FALSE),FALSE),
IF($T20=21,_xlfn.IFNA(VLOOKUP($G20,'Data Transfer Tables'!$E$113:$F$125,2,FALSE),FALSE),FALSE),
IF($T20=22,_xlfn.IFNA(VLOOKUP($G20,'Data Transfer Tables'!$E$113:$F$125,2,FALSE),FALSE),FALSE))</f>
        <v>0</v>
      </c>
      <c r="AP20" s="196" t="b">
        <f t="shared" si="58"/>
        <v>1</v>
      </c>
      <c r="AQ20" s="211" t="b">
        <f t="shared" si="59"/>
        <v>1</v>
      </c>
      <c r="AR20" s="211" t="b">
        <f t="shared" si="60"/>
        <v>0</v>
      </c>
      <c r="AS20" s="94" t="b">
        <f t="shared" si="61"/>
        <v>1</v>
      </c>
      <c r="AT20" s="140" t="str">
        <f t="shared" si="62"/>
        <v/>
      </c>
      <c r="AU20" s="226" t="str">
        <f t="shared" si="63"/>
        <v>N/A</v>
      </c>
      <c r="AV20" s="226" t="str">
        <f t="shared" si="64"/>
        <v>N/A</v>
      </c>
      <c r="AW20" s="32" t="str">
        <f t="shared" si="65"/>
        <v>N/A</v>
      </c>
      <c r="AX20" s="32" t="b">
        <f t="shared" si="33"/>
        <v>0</v>
      </c>
      <c r="AY20" s="32" t="str">
        <f t="shared" si="37"/>
        <v/>
      </c>
      <c r="AZ20" s="32" t="str">
        <f t="shared" si="24"/>
        <v/>
      </c>
      <c r="BA20" s="32" t="str">
        <f t="shared" si="25"/>
        <v/>
      </c>
      <c r="BB20" s="32" t="str">
        <f t="shared" si="26"/>
        <v/>
      </c>
      <c r="BC20" s="32" t="str">
        <f t="shared" si="27"/>
        <v/>
      </c>
      <c r="BD20" s="32" t="str">
        <f t="shared" si="28"/>
        <v/>
      </c>
    </row>
    <row r="21" spans="1:56" s="33" customFormat="1" ht="13.5" thickBot="1" x14ac:dyDescent="0.25">
      <c r="A21" s="63" t="s">
        <v>673</v>
      </c>
      <c r="B21" s="63" t="s">
        <v>44</v>
      </c>
      <c r="C21" s="63" t="s">
        <v>44</v>
      </c>
      <c r="D21" s="63" t="s">
        <v>44</v>
      </c>
      <c r="E21" s="63" t="s">
        <v>44</v>
      </c>
      <c r="F21" s="63" t="s">
        <v>44</v>
      </c>
      <c r="G21" s="63" t="s">
        <v>44</v>
      </c>
      <c r="H21" s="99" t="b">
        <v>1</v>
      </c>
      <c r="I21" s="99" t="b">
        <v>1</v>
      </c>
      <c r="J21" s="99" t="b">
        <v>1</v>
      </c>
      <c r="K21" s="138" t="b">
        <f t="shared" si="38"/>
        <v>1</v>
      </c>
      <c r="L21" s="62" t="b">
        <f t="shared" si="39"/>
        <v>1</v>
      </c>
      <c r="M21" s="62" t="b">
        <f t="shared" si="40"/>
        <v>1</v>
      </c>
      <c r="N21" s="55"/>
      <c r="O21" s="32"/>
      <c r="P21" s="46"/>
      <c r="Q21" s="46"/>
      <c r="S21" s="32" t="str">
        <f t="shared" si="41"/>
        <v>N/A</v>
      </c>
      <c r="T21" s="221">
        <f t="shared" si="42"/>
        <v>0</v>
      </c>
      <c r="U21" s="51" t="b">
        <f t="shared" si="43"/>
        <v>1</v>
      </c>
      <c r="V21" s="74">
        <f>_xlfn.IFNA(VLOOKUP(B21,'Data Transfer Tables'!$A$111:$B$131,2),0)</f>
        <v>0</v>
      </c>
      <c r="W21" s="74" t="b">
        <f t="shared" si="44"/>
        <v>0</v>
      </c>
      <c r="X21" s="74" t="b">
        <f t="shared" si="45"/>
        <v>0</v>
      </c>
      <c r="Y21" s="222" t="b">
        <f t="shared" si="46"/>
        <v>1</v>
      </c>
      <c r="Z21" s="210" t="b">
        <f>OR(IF($T21=1,_xlfn.IFNA(VLOOKUP($C21,'Data Transfer Tables'!$B$144:$C$153,2,FALSE),FALSE),FALSE),
IF($T21=2,_xlfn.IFNA(VLOOKUP($C21,'Data Transfer Tables'!$B$158:$C$167,2,FALSE),FALSE),FALSE),
IF($T21=3,_xlfn.IFNA(VLOOKUP($C21,'Data Transfer Tables'!$B$172:$C$181,2,FALSE),FALSE),FALSE),
IF($T21=4,_xlfn.IFNA(VLOOKUP($C21,'Data Transfer Tables'!$B$186:$C$195,2,FALSE),FALSE),FALSE),
IF($T21=5,_xlfn.IFNA(VLOOKUP($C21,'Data Transfer Tables'!$B$200:$C$209,2,FALSE),FALSE),FALSE),
IF($T21=6,_xlfn.IFNA(VLOOKUP($C21,'Data Transfer Tables'!$B$214:$C$223,2,FALSE),FALSE),FALSE),
IF($T21=7,_xlfn.IFNA(VLOOKUP($C21,'Data Transfer Tables'!$B$228:$C$237,2,FALSE),FALSE),FALSE),
IF($T21=8,_xlfn.IFNA(VLOOKUP($C21,'Data Transfer Tables'!$B$242:$C$251,2,FALSE),FALSE),FALSE),
IF($T21=9,_xlfn.IFNA(VLOOKUP($C21,'Data Transfer Tables'!$B$256:$C$266,2,FALSE),FALSE),FALSE),
IF($T21=10,_xlfn.IFNA(VLOOKUP($C21,'Data Transfer Tables'!$B$271:$C$281,2,FALSE),FALSE),FALSE),
IF($T21=11,_xlfn.IFNA(VLOOKUP($C21,'Data Transfer Tables'!$B$286:$C$295,2,FALSE),FALSE),FALSE),
IF($T21=12,_xlfn.IFNA(VLOOKUP($C21,'Data Transfer Tables'!$B$300:$C$309,2,FALSE),FALSE),FALSE),
IF($T21=13,_xlfn.IFNA(VLOOKUP($C21,'Data Transfer Tables'!$B$314:$C$323,2,FALSE),FALSE),FALSE),
IF($T21=14,_xlfn.IFNA(VLOOKUP($C21,'Data Transfer Tables'!$B$328:$C$338,2,FALSE),FALSE),FALSE),
IF($T21=15,_xlfn.IFNA(VLOOKUP($C21,'Data Transfer Tables'!$B$343:$C$353,2,FALSE),FALSE),FALSE),
IF($T21=16,_xlfn.IFNA(VLOOKUP($C21,'Data Transfer Tables'!$B$358:$C$369,2,FALSE),FALSE),FALSE),
IF($T21=17,_xlfn.IFNA(VLOOKUP($C21,'Data Transfer Tables'!$B$374:$C$384,2,FALSE),FALSE),FALSE),
IF($T21=18,_xlfn.IFNA(VLOOKUP($C21,'Data Transfer Tables'!$B$389:$C$399,2,FALSE),FALSE),FALSE),
IF($T21=19,_xlfn.IFNA(VLOOKUP($C21,'Data Transfer Tables'!$B$404:$C$414,2,FALSE),FALSE),FALSE),
IF($T21=20,_xlfn.IFNA(VLOOKUP($C21,'Data Transfer Tables'!$B$419:$C$429,2,FALSE),FALSE),FALSE),
IF($T21=21,_xlfn.IFNA(VLOOKUP($C21,'Data Transfer Tables'!$B$434:$C$444,2,FALSE),FALSE),FALSE),
IF($T21=22,_xlfn.IFNA(VLOOKUP($C21,'Data Transfer Tables'!$B$449:$C$459,2,FALSE),FALSE),FALSE))</f>
        <v>0</v>
      </c>
      <c r="AA21" s="210" t="b">
        <f t="shared" si="47"/>
        <v>1</v>
      </c>
      <c r="AB21" s="222" t="b">
        <f t="shared" si="48"/>
        <v>0</v>
      </c>
      <c r="AC21" s="146" t="b">
        <f>OR(IF($T21=1,_xlfn.IFNA(VLOOKUP($D21,'Data Transfer Tables'!$E$144:$G$153,2,FALSE),FALSE),FALSE),
IF($T21=2,_xlfn.IFNA(VLOOKUP($D21,'Data Transfer Tables'!$E$158:$G$167,2,FALSE),FALSE),FALSE),
IF($T21=3,_xlfn.IFNA(VLOOKUP($D21,'Data Transfer Tables'!$E$172:$G$181,2,FALSE),FALSE),FALSE),
IF($T21=4,_xlfn.IFNA(VLOOKUP($D21,'Data Transfer Tables'!$E$186:$G$195,2,FALSE),FALSE),FALSE),
IF($T21=5,_xlfn.IFNA(VLOOKUP($D21,'Data Transfer Tables'!$E$200:$G$209,2,FALSE),FALSE),FALSE),
IF($T21=6,_xlfn.IFNA(VLOOKUP($D21,'Data Transfer Tables'!$E$214:$G$223,2,FALSE),FALSE),FALSE),
IF($T21=7,_xlfn.IFNA(VLOOKUP($D21,'Data Transfer Tables'!$E$228:$G$237,2,FALSE),FALSE),FALSE),
IF($T21=8,_xlfn.IFNA(VLOOKUP($D21,'Data Transfer Tables'!$E$242:$G$251,2,FALSE),FALSE),FALSE),
IF($T21=9,_xlfn.IFNA(VLOOKUP($D21,'Data Transfer Tables'!$E$256:$G$266,2,FALSE),FALSE),FALSE),
IF($T21=10,_xlfn.IFNA(VLOOKUP($D21,'Data Transfer Tables'!$E$271:$G$281,2,FALSE),FALSE),FALSE),
IF($T21=11,_xlfn.IFNA(VLOOKUP($D21,'Data Transfer Tables'!$E$286:$G$295,2,FALSE),FALSE),FALSE),
IF($T21=12,_xlfn.IFNA(VLOOKUP($D21,'Data Transfer Tables'!$E$300:$G$309,2,FALSE),FALSE),FALSE),
IF($T21=13,_xlfn.IFNA(VLOOKUP($D21,'Data Transfer Tables'!$E$314:$G$323,2,FALSE),FALSE),FALSE),
IF($T21=14,_xlfn.IFNA(VLOOKUP($D21,'Data Transfer Tables'!$E$328:$G$338,2,FALSE),FALSE),FALSE),
IF($T21=15,_xlfn.IFNA(VLOOKUP($D21,'Data Transfer Tables'!$E$343:$G$353,2,FALSE),FALSE),FALSE),
IF($T21=16,_xlfn.IFNA(VLOOKUP($D21,'Data Transfer Tables'!$E$358:$G$369,2,FALSE),FALSE),FALSE),
IF($T21=17,_xlfn.IFNA(VLOOKUP($D21,'Data Transfer Tables'!$E$374:$G$384,2,FALSE),FALSE),FALSE),
IF($T21=18,_xlfn.IFNA(VLOOKUP($D21,'Data Transfer Tables'!$E$389:$G$399,2,FALSE),FALSE),FALSE),
IF($T21=19,_xlfn.IFNA(VLOOKUP($D21,'Data Transfer Tables'!$E$404:$G$414,2,FALSE),FALSE),FALSE),
IF($T21=20,_xlfn.IFNA(VLOOKUP($D21,'Data Transfer Tables'!$E$419:$G$429,2,FALSE),FALSE),FALSE),
IF($T21=21,_xlfn.IFNA(VLOOKUP($D21,'Data Transfer Tables'!$E$434:$G$444,2,FALSE),FALSE),FALSE),
IF($T21=22,_xlfn.IFNA(VLOOKUP($D21,'Data Transfer Tables'!$E$449:$G$459,2,FALSE),FALSE),FALSE))</f>
        <v>0</v>
      </c>
      <c r="AD21" s="146" t="b">
        <f t="shared" si="49"/>
        <v>1</v>
      </c>
      <c r="AE21" s="222" t="b">
        <f t="shared" si="50"/>
        <v>0</v>
      </c>
      <c r="AF21" s="145" t="b">
        <f>OR(IF($T21=1,_xlfn.IFNA(VLOOKUP($E21,'Data Transfer Tables'!$H$144:$I$153,2,FALSE),FALSE),FALSE),
IF($T21=2,_xlfn.IFNA(VLOOKUP($E21,'Data Transfer Tables'!$H$158:$I$167,2,FALSE),FALSE),FALSE),
IF($T21=3,_xlfn.IFNA(VLOOKUP($E21,'Data Transfer Tables'!$H$172:$I$181,2,FALSE),FALSE),FALSE),
IF($T21=4,_xlfn.IFNA(VLOOKUP($E21,'Data Transfer Tables'!$H$186:$I$195,2,FALSE),FALSE),FALSE),
IF($T21=5,_xlfn.IFNA(VLOOKUP($E21,'Data Transfer Tables'!$H$200:$I$209,2,FALSE),FALSE),FALSE),
IF($T21=6,_xlfn.IFNA(VLOOKUP($E21,'Data Transfer Tables'!$H$214:$I$223,2,FALSE),FALSE),FALSE),
IF($T21=7,_xlfn.IFNA(VLOOKUP($E21,'Data Transfer Tables'!$H$228:$I$237,2,FALSE),FALSE),FALSE),
IF($T21=8,_xlfn.IFNA(VLOOKUP($E21,'Data Transfer Tables'!$H$242:$I$251,2,FALSE),FALSE),FALSE),
IF($T21=9,_xlfn.IFNA(VLOOKUP($E21,'Data Transfer Tables'!$H$256:$I$266,2,FALSE),FALSE),FALSE),
IF($T21=10,_xlfn.IFNA(VLOOKUP($E21,'Data Transfer Tables'!$H$271:$I$281,2,FALSE),FALSE),FALSE),
IF($T21=11,_xlfn.IFNA(VLOOKUP($E21,'Data Transfer Tables'!$H$286:$I$295,2,FALSE),FALSE),FALSE),
IF($T21=12,_xlfn.IFNA(VLOOKUP($E21,'Data Transfer Tables'!$H$300:$I$309,2,FALSE),FALSE),FALSE),
IF($T21=13,_xlfn.IFNA(VLOOKUP($E21,'Data Transfer Tables'!$H$314:$I$323,2,FALSE),FALSE),FALSE),
IF($T21=14,_xlfn.IFNA(VLOOKUP($E21,'Data Transfer Tables'!$H$328:$I$338,2,FALSE),FALSE),FALSE),
IF($T21=15,_xlfn.IFNA(VLOOKUP($E21,'Data Transfer Tables'!$H$343:$I$353,2,FALSE),FALSE),FALSE),
IF($T21=16,_xlfn.IFNA(VLOOKUP($E21,'Data Transfer Tables'!$H$358:$I$369,2,FALSE),FALSE),FALSE),
IF($T21=17,_xlfn.IFNA(VLOOKUP($E21,'Data Transfer Tables'!$H$374:$I$384,2,FALSE),FALSE),FALSE),
IF($T21=18,_xlfn.IFNA(VLOOKUP($E21,'Data Transfer Tables'!$H$389:$I$399,2,FALSE),FALSE),FALSE),
IF($T21=19,_xlfn.IFNA(VLOOKUP($E21,'Data Transfer Tables'!$H$404:$I$414,2,FALSE),FALSE),FALSE),
IF($T21=20,_xlfn.IFNA(VLOOKUP($E21,'Data Transfer Tables'!$H$419:$I$429,2,FALSE),FALSE),FALSE),
IF($T21=21,_xlfn.IFNA(VLOOKUP($E21,'Data Transfer Tables'!$H$434:$I$444,2,FALSE),FALSE),FALSE),
IF($T21=22,_xlfn.IFNA(VLOOKUP($E21,'Data Transfer Tables'!$H$449:$I$459,2,FALSE),FALSE),FALSE))</f>
        <v>0</v>
      </c>
      <c r="AG21" s="145" t="b">
        <f t="shared" si="51"/>
        <v>1</v>
      </c>
      <c r="AH21" s="223" t="b">
        <f t="shared" si="52"/>
        <v>0</v>
      </c>
      <c r="AI21" s="147" t="b">
        <f>OR(IF($T21=1,_xlfn.IFNA(VLOOKUP($F21,'Data Transfer Tables'!$K$144:$L$153,2,FALSE),FALSE),FALSE),
IF($T21=2,_xlfn.IFNA(VLOOKUP($F21,'Data Transfer Tables'!$K$158:$L$167,2,FALSE),FALSE),FALSE),
IF($T21=3,_xlfn.IFNA(VLOOKUP($F21,'Data Transfer Tables'!$K$172:$L$181,2,FALSE),FALSE),FALSE),
IF($T21=4,_xlfn.IFNA(VLOOKUP($F21,'Data Transfer Tables'!$K$186:$L$195,2,FALSE),FALSE),FALSE),
IF($T21=5,_xlfn.IFNA(VLOOKUP($F21,'Data Transfer Tables'!$K$200:$L$209,2,FALSE),FALSE),FALSE),
IF($T21=6,_xlfn.IFNA(VLOOKUP($F21,'Data Transfer Tables'!$K$214:$L$223,2,FALSE),FALSE),FALSE),
IF($T21=7,_xlfn.IFNA(VLOOKUP($F21,'Data Transfer Tables'!$K$228:$L$237,2,FALSE),FALSE),FALSE),
IF($T21=8,_xlfn.IFNA(VLOOKUP($F21,'Data Transfer Tables'!$K$242:$L$251,2,FALSE),FALSE),FALSE),
IF($T21=9,_xlfn.IFNA(VLOOKUP($F21,'Data Transfer Tables'!$K$256:$L$266,2,FALSE),FALSE),FALSE),
IF($T21=10,_xlfn.IFNA(VLOOKUP($F21,'Data Transfer Tables'!$K$271:$L$281,2,FALSE),FALSE),FALSE),
IF($T21=11,_xlfn.IFNA(VLOOKUP($F21,'Data Transfer Tables'!$K$286:$L$295,2,FALSE),FALSE),FALSE),
IF($T21=12,_xlfn.IFNA(VLOOKUP($F21,'Data Transfer Tables'!$K$300:$L$309,2,FALSE),FALSE),FALSE),
IF($T21=13,_xlfn.IFNA(VLOOKUP($F21,'Data Transfer Tables'!$K$314:$L$323,2,FALSE),FALSE),FALSE),
IF($T21=14,_xlfn.IFNA(VLOOKUP($F21,'Data Transfer Tables'!$K$328:$L$338,2,FALSE),FALSE),FALSE),
IF($T21=15,_xlfn.IFNA(VLOOKUP($F21,'Data Transfer Tables'!$K$343:$L$353,2,FALSE),FALSE),FALSE),
IF($T21=16,_xlfn.IFNA(VLOOKUP($F21,'Data Transfer Tables'!$K$358:$L$369,2,FALSE),FALSE),FALSE),
IF($T21=17,_xlfn.IFNA(VLOOKUP($F21,'Data Transfer Tables'!$K$374:$L$384,2,FALSE),FALSE),FALSE),
IF($T21=18,_xlfn.IFNA(VLOOKUP($F21,'Data Transfer Tables'!$K$389:$L$399,2,FALSE),FALSE),FALSE),
IF($T21=19,_xlfn.IFNA(VLOOKUP($F21,'Data Transfer Tables'!$K$404:$L$414,2,FALSE),FALSE),FALSE),
IF($T21=20,_xlfn.IFNA(VLOOKUP($F21,'Data Transfer Tables'!$K$419:$L$429,2,FALSE),FALSE),FALSE),
IF($T21=21,_xlfn.IFNA(VLOOKUP($F21,'Data Transfer Tables'!$K$434:$L$444,2,FALSE),FALSE),FALSE),
IF($T21=22,_xlfn.IFNA(VLOOKUP($F21,'Data Transfer Tables'!$K$449:$L$459,2,FALSE),FALSE),FALSE))</f>
        <v>0</v>
      </c>
      <c r="AJ21" s="147" t="b">
        <f t="shared" si="53"/>
        <v>1</v>
      </c>
      <c r="AK21" s="224" t="b">
        <f t="shared" si="54"/>
        <v>0</v>
      </c>
      <c r="AL21" s="225" t="b">
        <f t="shared" si="55"/>
        <v>0</v>
      </c>
      <c r="AM21" s="225" t="b">
        <f t="shared" si="56"/>
        <v>0</v>
      </c>
      <c r="AN21" s="225" t="b">
        <f t="shared" si="57"/>
        <v>0</v>
      </c>
      <c r="AO21" s="196" t="b">
        <f>OR(IF($T21=1,_xlfn.IFNA(VLOOKUP($G21,'Data Transfer Tables'!$E$113:$F$125,2,FALSE),FALSE),FALSE),
IF($T21=2,_xlfn.IFNA(VLOOKUP($G21,'Data Transfer Tables'!$E$113:$F$125,2,FALSE),FALSE),FALSE),
IF($T21=3,_xlfn.IFNA(VLOOKUP($G21,'Data Transfer Tables'!$E$113:$F$125,2,FALSE),FALSE),FALSE),
IF($T21=4,_xlfn.IFNA(VLOOKUP($G21,'Data Transfer Tables'!$E$113:$F$125,2,FALSE),FALSE),FALSE),
IF($T21=5,_xlfn.IFNA(VLOOKUP($G21,'Data Transfer Tables'!$E$113:$F$125,2,FALSE),FALSE),FALSE),
IF($T21=6,_xlfn.IFNA(VLOOKUP($G21,'Data Transfer Tables'!$E$113:$F$125,2,FALSE),FALSE),FALSE),
IF($T21=7,_xlfn.IFNA(VLOOKUP($G21,'Data Transfer Tables'!$E$113:$F$125,2,FALSE),FALSE),FALSE),
IF($T21=8,_xlfn.IFNA(VLOOKUP($G21,'Data Transfer Tables'!$E$113:$F$125,2,FALSE),FALSE),FALSE),
IF($T21=9,_xlfn.IFNA(VLOOKUP($G21,'Data Transfer Tables'!$E$113:$F$125,2,FALSE),FALSE),FALSE),
IF($T21=10,_xlfn.IFNA(VLOOKUP($G21,'Data Transfer Tables'!$E$113:$F$125,2,FALSE),FALSE),FALSE),
IF($T21=11,_xlfn.IFNA(VLOOKUP($G21,'Data Transfer Tables'!$E$113:$F$125,2,FALSE),FALSE),FALSE),
IF($T21=12,_xlfn.IFNA(VLOOKUP($G21,'Data Transfer Tables'!$E$113:$F$125,2,FALSE),FALSE),FALSE),
IF($T21=13,_xlfn.IFNA(VLOOKUP($G21,'Data Transfer Tables'!$E$113:$F$125,2,FALSE),FALSE),FALSE),
IF($T21=14,_xlfn.IFNA(VLOOKUP($G21,'Data Transfer Tables'!$E$113:$F$125,2,FALSE),FALSE),FALSE),
IF($T21=15,_xlfn.IFNA(VLOOKUP($G21,'Data Transfer Tables'!$E$113:$F$125,2,FALSE),FALSE),FALSE),
IF($T21=16,_xlfn.IFNA(VLOOKUP($G21,'Data Transfer Tables'!$E$113:$F$125,2,FALSE),FALSE),FALSE),
IF($T21=17,_xlfn.IFNA(VLOOKUP($G21,'Data Transfer Tables'!$E$113:$F$125,2,FALSE),FALSE),FALSE),
IF($T21=18,_xlfn.IFNA(VLOOKUP($G21,'Data Transfer Tables'!$E$113:$F$125,2,FALSE),FALSE),FALSE),
IF($T21=19,_xlfn.IFNA(VLOOKUP($G21,'Data Transfer Tables'!$E$113:$F$125,2,FALSE),FALSE),FALSE),
IF($T21=20,_xlfn.IFNA(VLOOKUP($G21,'Data Transfer Tables'!$E$113:$F$125,2,FALSE),FALSE),FALSE),
IF($T21=21,_xlfn.IFNA(VLOOKUP($G21,'Data Transfer Tables'!$E$113:$F$125,2,FALSE),FALSE),FALSE),
IF($T21=22,_xlfn.IFNA(VLOOKUP($G21,'Data Transfer Tables'!$E$113:$F$125,2,FALSE),FALSE),FALSE))</f>
        <v>0</v>
      </c>
      <c r="AP21" s="196" t="b">
        <f t="shared" si="58"/>
        <v>1</v>
      </c>
      <c r="AQ21" s="211" t="b">
        <f t="shared" si="59"/>
        <v>1</v>
      </c>
      <c r="AR21" s="211" t="b">
        <f t="shared" si="60"/>
        <v>0</v>
      </c>
      <c r="AS21" s="94" t="b">
        <f t="shared" si="61"/>
        <v>1</v>
      </c>
      <c r="AT21" s="140" t="str">
        <f t="shared" si="62"/>
        <v/>
      </c>
      <c r="AU21" s="226" t="str">
        <f t="shared" si="63"/>
        <v>N/A</v>
      </c>
      <c r="AV21" s="226" t="str">
        <f t="shared" si="64"/>
        <v>N/A</v>
      </c>
      <c r="AW21" s="32" t="str">
        <f t="shared" si="65"/>
        <v>N/A</v>
      </c>
      <c r="AX21" s="32" t="b">
        <f t="shared" si="33"/>
        <v>0</v>
      </c>
      <c r="AY21" s="32" t="str">
        <f t="shared" si="37"/>
        <v/>
      </c>
      <c r="AZ21" s="32" t="str">
        <f t="shared" si="24"/>
        <v/>
      </c>
      <c r="BA21" s="32" t="str">
        <f t="shared" si="25"/>
        <v/>
      </c>
      <c r="BB21" s="32" t="str">
        <f t="shared" si="26"/>
        <v/>
      </c>
      <c r="BC21" s="32" t="str">
        <f t="shared" si="27"/>
        <v/>
      </c>
      <c r="BD21" s="32" t="str">
        <f t="shared" si="28"/>
        <v/>
      </c>
    </row>
    <row r="22" spans="1:56" s="33" customFormat="1" ht="13.5" thickBot="1" x14ac:dyDescent="0.25">
      <c r="A22" s="63" t="s">
        <v>673</v>
      </c>
      <c r="B22" s="63" t="s">
        <v>44</v>
      </c>
      <c r="C22" s="63" t="s">
        <v>44</v>
      </c>
      <c r="D22" s="63" t="s">
        <v>44</v>
      </c>
      <c r="E22" s="63" t="s">
        <v>44</v>
      </c>
      <c r="F22" s="63" t="s">
        <v>44</v>
      </c>
      <c r="G22" s="63" t="s">
        <v>44</v>
      </c>
      <c r="H22" s="99" t="b">
        <v>1</v>
      </c>
      <c r="I22" s="99" t="b">
        <v>1</v>
      </c>
      <c r="J22" s="99" t="b">
        <v>1</v>
      </c>
      <c r="K22" s="138" t="b">
        <f t="shared" si="38"/>
        <v>1</v>
      </c>
      <c r="L22" s="62" t="b">
        <f t="shared" si="39"/>
        <v>1</v>
      </c>
      <c r="M22" s="62" t="b">
        <f t="shared" si="40"/>
        <v>1</v>
      </c>
      <c r="N22" s="55"/>
      <c r="O22" s="32"/>
      <c r="P22" s="46"/>
      <c r="Q22" s="46"/>
      <c r="S22" s="32" t="str">
        <f t="shared" si="41"/>
        <v>N/A</v>
      </c>
      <c r="T22" s="221">
        <f t="shared" si="42"/>
        <v>0</v>
      </c>
      <c r="U22" s="51" t="b">
        <f t="shared" si="43"/>
        <v>1</v>
      </c>
      <c r="V22" s="74">
        <f>_xlfn.IFNA(VLOOKUP(B22,'Data Transfer Tables'!$A$111:$B$131,2),0)</f>
        <v>0</v>
      </c>
      <c r="W22" s="74" t="b">
        <f t="shared" si="44"/>
        <v>0</v>
      </c>
      <c r="X22" s="74" t="b">
        <f t="shared" si="45"/>
        <v>0</v>
      </c>
      <c r="Y22" s="222" t="b">
        <f t="shared" si="46"/>
        <v>1</v>
      </c>
      <c r="Z22" s="210" t="b">
        <f>OR(IF($T22=1,_xlfn.IFNA(VLOOKUP($C22,'Data Transfer Tables'!$B$144:$C$153,2,FALSE),FALSE),FALSE),
IF($T22=2,_xlfn.IFNA(VLOOKUP($C22,'Data Transfer Tables'!$B$158:$C$167,2,FALSE),FALSE),FALSE),
IF($T22=3,_xlfn.IFNA(VLOOKUP($C22,'Data Transfer Tables'!$B$172:$C$181,2,FALSE),FALSE),FALSE),
IF($T22=4,_xlfn.IFNA(VLOOKUP($C22,'Data Transfer Tables'!$B$186:$C$195,2,FALSE),FALSE),FALSE),
IF($T22=5,_xlfn.IFNA(VLOOKUP($C22,'Data Transfer Tables'!$B$200:$C$209,2,FALSE),FALSE),FALSE),
IF($T22=6,_xlfn.IFNA(VLOOKUP($C22,'Data Transfer Tables'!$B$214:$C$223,2,FALSE),FALSE),FALSE),
IF($T22=7,_xlfn.IFNA(VLOOKUP($C22,'Data Transfer Tables'!$B$228:$C$237,2,FALSE),FALSE),FALSE),
IF($T22=8,_xlfn.IFNA(VLOOKUP($C22,'Data Transfer Tables'!$B$242:$C$251,2,FALSE),FALSE),FALSE),
IF($T22=9,_xlfn.IFNA(VLOOKUP($C22,'Data Transfer Tables'!$B$256:$C$266,2,FALSE),FALSE),FALSE),
IF($T22=10,_xlfn.IFNA(VLOOKUP($C22,'Data Transfer Tables'!$B$271:$C$281,2,FALSE),FALSE),FALSE),
IF($T22=11,_xlfn.IFNA(VLOOKUP($C22,'Data Transfer Tables'!$B$286:$C$295,2,FALSE),FALSE),FALSE),
IF($T22=12,_xlfn.IFNA(VLOOKUP($C22,'Data Transfer Tables'!$B$300:$C$309,2,FALSE),FALSE),FALSE),
IF($T22=13,_xlfn.IFNA(VLOOKUP($C22,'Data Transfer Tables'!$B$314:$C$323,2,FALSE),FALSE),FALSE),
IF($T22=14,_xlfn.IFNA(VLOOKUP($C22,'Data Transfer Tables'!$B$328:$C$338,2,FALSE),FALSE),FALSE),
IF($T22=15,_xlfn.IFNA(VLOOKUP($C22,'Data Transfer Tables'!$B$343:$C$353,2,FALSE),FALSE),FALSE),
IF($T22=16,_xlfn.IFNA(VLOOKUP($C22,'Data Transfer Tables'!$B$358:$C$369,2,FALSE),FALSE),FALSE),
IF($T22=17,_xlfn.IFNA(VLOOKUP($C22,'Data Transfer Tables'!$B$374:$C$384,2,FALSE),FALSE),FALSE),
IF($T22=18,_xlfn.IFNA(VLOOKUP($C22,'Data Transfer Tables'!$B$389:$C$399,2,FALSE),FALSE),FALSE),
IF($T22=19,_xlfn.IFNA(VLOOKUP($C22,'Data Transfer Tables'!$B$404:$C$414,2,FALSE),FALSE),FALSE),
IF($T22=20,_xlfn.IFNA(VLOOKUP($C22,'Data Transfer Tables'!$B$419:$C$429,2,FALSE),FALSE),FALSE),
IF($T22=21,_xlfn.IFNA(VLOOKUP($C22,'Data Transfer Tables'!$B$434:$C$444,2,FALSE),FALSE),FALSE),
IF($T22=22,_xlfn.IFNA(VLOOKUP($C22,'Data Transfer Tables'!$B$449:$C$459,2,FALSE),FALSE),FALSE))</f>
        <v>0</v>
      </c>
      <c r="AA22" s="210" t="b">
        <f t="shared" si="47"/>
        <v>1</v>
      </c>
      <c r="AB22" s="222" t="b">
        <f t="shared" si="48"/>
        <v>0</v>
      </c>
      <c r="AC22" s="146" t="b">
        <f>OR(IF($T22=1,_xlfn.IFNA(VLOOKUP($D22,'Data Transfer Tables'!$E$144:$G$153,2,FALSE),FALSE),FALSE),
IF($T22=2,_xlfn.IFNA(VLOOKUP($D22,'Data Transfer Tables'!$E$158:$G$167,2,FALSE),FALSE),FALSE),
IF($T22=3,_xlfn.IFNA(VLOOKUP($D22,'Data Transfer Tables'!$E$172:$G$181,2,FALSE),FALSE),FALSE),
IF($T22=4,_xlfn.IFNA(VLOOKUP($D22,'Data Transfer Tables'!$E$186:$G$195,2,FALSE),FALSE),FALSE),
IF($T22=5,_xlfn.IFNA(VLOOKUP($D22,'Data Transfer Tables'!$E$200:$G$209,2,FALSE),FALSE),FALSE),
IF($T22=6,_xlfn.IFNA(VLOOKUP($D22,'Data Transfer Tables'!$E$214:$G$223,2,FALSE),FALSE),FALSE),
IF($T22=7,_xlfn.IFNA(VLOOKUP($D22,'Data Transfer Tables'!$E$228:$G$237,2,FALSE),FALSE),FALSE),
IF($T22=8,_xlfn.IFNA(VLOOKUP($D22,'Data Transfer Tables'!$E$242:$G$251,2,FALSE),FALSE),FALSE),
IF($T22=9,_xlfn.IFNA(VLOOKUP($D22,'Data Transfer Tables'!$E$256:$G$266,2,FALSE),FALSE),FALSE),
IF($T22=10,_xlfn.IFNA(VLOOKUP($D22,'Data Transfer Tables'!$E$271:$G$281,2,FALSE),FALSE),FALSE),
IF($T22=11,_xlfn.IFNA(VLOOKUP($D22,'Data Transfer Tables'!$E$286:$G$295,2,FALSE),FALSE),FALSE),
IF($T22=12,_xlfn.IFNA(VLOOKUP($D22,'Data Transfer Tables'!$E$300:$G$309,2,FALSE),FALSE),FALSE),
IF($T22=13,_xlfn.IFNA(VLOOKUP($D22,'Data Transfer Tables'!$E$314:$G$323,2,FALSE),FALSE),FALSE),
IF($T22=14,_xlfn.IFNA(VLOOKUP($D22,'Data Transfer Tables'!$E$328:$G$338,2,FALSE),FALSE),FALSE),
IF($T22=15,_xlfn.IFNA(VLOOKUP($D22,'Data Transfer Tables'!$E$343:$G$353,2,FALSE),FALSE),FALSE),
IF($T22=16,_xlfn.IFNA(VLOOKUP($D22,'Data Transfer Tables'!$E$358:$G$369,2,FALSE),FALSE),FALSE),
IF($T22=17,_xlfn.IFNA(VLOOKUP($D22,'Data Transfer Tables'!$E$374:$G$384,2,FALSE),FALSE),FALSE),
IF($T22=18,_xlfn.IFNA(VLOOKUP($D22,'Data Transfer Tables'!$E$389:$G$399,2,FALSE),FALSE),FALSE),
IF($T22=19,_xlfn.IFNA(VLOOKUP($D22,'Data Transfer Tables'!$E$404:$G$414,2,FALSE),FALSE),FALSE),
IF($T22=20,_xlfn.IFNA(VLOOKUP($D22,'Data Transfer Tables'!$E$419:$G$429,2,FALSE),FALSE),FALSE),
IF($T22=21,_xlfn.IFNA(VLOOKUP($D22,'Data Transfer Tables'!$E$434:$G$444,2,FALSE),FALSE),FALSE),
IF($T22=22,_xlfn.IFNA(VLOOKUP($D22,'Data Transfer Tables'!$E$449:$G$459,2,FALSE),FALSE),FALSE))</f>
        <v>0</v>
      </c>
      <c r="AD22" s="146" t="b">
        <f t="shared" si="49"/>
        <v>1</v>
      </c>
      <c r="AE22" s="222" t="b">
        <f t="shared" si="50"/>
        <v>0</v>
      </c>
      <c r="AF22" s="145" t="b">
        <f>OR(IF($T22=1,_xlfn.IFNA(VLOOKUP($E22,'Data Transfer Tables'!$H$144:$I$153,2,FALSE),FALSE),FALSE),
IF($T22=2,_xlfn.IFNA(VLOOKUP($E22,'Data Transfer Tables'!$H$158:$I$167,2,FALSE),FALSE),FALSE),
IF($T22=3,_xlfn.IFNA(VLOOKUP($E22,'Data Transfer Tables'!$H$172:$I$181,2,FALSE),FALSE),FALSE),
IF($T22=4,_xlfn.IFNA(VLOOKUP($E22,'Data Transfer Tables'!$H$186:$I$195,2,FALSE),FALSE),FALSE),
IF($T22=5,_xlfn.IFNA(VLOOKUP($E22,'Data Transfer Tables'!$H$200:$I$209,2,FALSE),FALSE),FALSE),
IF($T22=6,_xlfn.IFNA(VLOOKUP($E22,'Data Transfer Tables'!$H$214:$I$223,2,FALSE),FALSE),FALSE),
IF($T22=7,_xlfn.IFNA(VLOOKUP($E22,'Data Transfer Tables'!$H$228:$I$237,2,FALSE),FALSE),FALSE),
IF($T22=8,_xlfn.IFNA(VLOOKUP($E22,'Data Transfer Tables'!$H$242:$I$251,2,FALSE),FALSE),FALSE),
IF($T22=9,_xlfn.IFNA(VLOOKUP($E22,'Data Transfer Tables'!$H$256:$I$266,2,FALSE),FALSE),FALSE),
IF($T22=10,_xlfn.IFNA(VLOOKUP($E22,'Data Transfer Tables'!$H$271:$I$281,2,FALSE),FALSE),FALSE),
IF($T22=11,_xlfn.IFNA(VLOOKUP($E22,'Data Transfer Tables'!$H$286:$I$295,2,FALSE),FALSE),FALSE),
IF($T22=12,_xlfn.IFNA(VLOOKUP($E22,'Data Transfer Tables'!$H$300:$I$309,2,FALSE),FALSE),FALSE),
IF($T22=13,_xlfn.IFNA(VLOOKUP($E22,'Data Transfer Tables'!$H$314:$I$323,2,FALSE),FALSE),FALSE),
IF($T22=14,_xlfn.IFNA(VLOOKUP($E22,'Data Transfer Tables'!$H$328:$I$338,2,FALSE),FALSE),FALSE),
IF($T22=15,_xlfn.IFNA(VLOOKUP($E22,'Data Transfer Tables'!$H$343:$I$353,2,FALSE),FALSE),FALSE),
IF($T22=16,_xlfn.IFNA(VLOOKUP($E22,'Data Transfer Tables'!$H$358:$I$369,2,FALSE),FALSE),FALSE),
IF($T22=17,_xlfn.IFNA(VLOOKUP($E22,'Data Transfer Tables'!$H$374:$I$384,2,FALSE),FALSE),FALSE),
IF($T22=18,_xlfn.IFNA(VLOOKUP($E22,'Data Transfer Tables'!$H$389:$I$399,2,FALSE),FALSE),FALSE),
IF($T22=19,_xlfn.IFNA(VLOOKUP($E22,'Data Transfer Tables'!$H$404:$I$414,2,FALSE),FALSE),FALSE),
IF($T22=20,_xlfn.IFNA(VLOOKUP($E22,'Data Transfer Tables'!$H$419:$I$429,2,FALSE),FALSE),FALSE),
IF($T22=21,_xlfn.IFNA(VLOOKUP($E22,'Data Transfer Tables'!$H$434:$I$444,2,FALSE),FALSE),FALSE),
IF($T22=22,_xlfn.IFNA(VLOOKUP($E22,'Data Transfer Tables'!$H$449:$I$459,2,FALSE),FALSE),FALSE))</f>
        <v>0</v>
      </c>
      <c r="AG22" s="145" t="b">
        <f t="shared" si="51"/>
        <v>1</v>
      </c>
      <c r="AH22" s="223" t="b">
        <f t="shared" si="52"/>
        <v>0</v>
      </c>
      <c r="AI22" s="147" t="b">
        <f>OR(IF($T22=1,_xlfn.IFNA(VLOOKUP($F22,'Data Transfer Tables'!$K$144:$L$153,2,FALSE),FALSE),FALSE),
IF($T22=2,_xlfn.IFNA(VLOOKUP($F22,'Data Transfer Tables'!$K$158:$L$167,2,FALSE),FALSE),FALSE),
IF($T22=3,_xlfn.IFNA(VLOOKUP($F22,'Data Transfer Tables'!$K$172:$L$181,2,FALSE),FALSE),FALSE),
IF($T22=4,_xlfn.IFNA(VLOOKUP($F22,'Data Transfer Tables'!$K$186:$L$195,2,FALSE),FALSE),FALSE),
IF($T22=5,_xlfn.IFNA(VLOOKUP($F22,'Data Transfer Tables'!$K$200:$L$209,2,FALSE),FALSE),FALSE),
IF($T22=6,_xlfn.IFNA(VLOOKUP($F22,'Data Transfer Tables'!$K$214:$L$223,2,FALSE),FALSE),FALSE),
IF($T22=7,_xlfn.IFNA(VLOOKUP($F22,'Data Transfer Tables'!$K$228:$L$237,2,FALSE),FALSE),FALSE),
IF($T22=8,_xlfn.IFNA(VLOOKUP($F22,'Data Transfer Tables'!$K$242:$L$251,2,FALSE),FALSE),FALSE),
IF($T22=9,_xlfn.IFNA(VLOOKUP($F22,'Data Transfer Tables'!$K$256:$L$266,2,FALSE),FALSE),FALSE),
IF($T22=10,_xlfn.IFNA(VLOOKUP($F22,'Data Transfer Tables'!$K$271:$L$281,2,FALSE),FALSE),FALSE),
IF($T22=11,_xlfn.IFNA(VLOOKUP($F22,'Data Transfer Tables'!$K$286:$L$295,2,FALSE),FALSE),FALSE),
IF($T22=12,_xlfn.IFNA(VLOOKUP($F22,'Data Transfer Tables'!$K$300:$L$309,2,FALSE),FALSE),FALSE),
IF($T22=13,_xlfn.IFNA(VLOOKUP($F22,'Data Transfer Tables'!$K$314:$L$323,2,FALSE),FALSE),FALSE),
IF($T22=14,_xlfn.IFNA(VLOOKUP($F22,'Data Transfer Tables'!$K$328:$L$338,2,FALSE),FALSE),FALSE),
IF($T22=15,_xlfn.IFNA(VLOOKUP($F22,'Data Transfer Tables'!$K$343:$L$353,2,FALSE),FALSE),FALSE),
IF($T22=16,_xlfn.IFNA(VLOOKUP($F22,'Data Transfer Tables'!$K$358:$L$369,2,FALSE),FALSE),FALSE),
IF($T22=17,_xlfn.IFNA(VLOOKUP($F22,'Data Transfer Tables'!$K$374:$L$384,2,FALSE),FALSE),FALSE),
IF($T22=18,_xlfn.IFNA(VLOOKUP($F22,'Data Transfer Tables'!$K$389:$L$399,2,FALSE),FALSE),FALSE),
IF($T22=19,_xlfn.IFNA(VLOOKUP($F22,'Data Transfer Tables'!$K$404:$L$414,2,FALSE),FALSE),FALSE),
IF($T22=20,_xlfn.IFNA(VLOOKUP($F22,'Data Transfer Tables'!$K$419:$L$429,2,FALSE),FALSE),FALSE),
IF($T22=21,_xlfn.IFNA(VLOOKUP($F22,'Data Transfer Tables'!$K$434:$L$444,2,FALSE),FALSE),FALSE),
IF($T22=22,_xlfn.IFNA(VLOOKUP($F22,'Data Transfer Tables'!$K$449:$L$459,2,FALSE),FALSE),FALSE))</f>
        <v>0</v>
      </c>
      <c r="AJ22" s="147" t="b">
        <f t="shared" si="53"/>
        <v>1</v>
      </c>
      <c r="AK22" s="224" t="b">
        <f t="shared" si="54"/>
        <v>0</v>
      </c>
      <c r="AL22" s="225" t="b">
        <f t="shared" si="55"/>
        <v>0</v>
      </c>
      <c r="AM22" s="225" t="b">
        <f t="shared" si="56"/>
        <v>0</v>
      </c>
      <c r="AN22" s="225" t="b">
        <f t="shared" si="57"/>
        <v>0</v>
      </c>
      <c r="AO22" s="196" t="b">
        <f>OR(IF($T22=1,_xlfn.IFNA(VLOOKUP($G22,'Data Transfer Tables'!$E$113:$F$125,2,FALSE),FALSE),FALSE),
IF($T22=2,_xlfn.IFNA(VLOOKUP($G22,'Data Transfer Tables'!$E$113:$F$125,2,FALSE),FALSE),FALSE),
IF($T22=3,_xlfn.IFNA(VLOOKUP($G22,'Data Transfer Tables'!$E$113:$F$125,2,FALSE),FALSE),FALSE),
IF($T22=4,_xlfn.IFNA(VLOOKUP($G22,'Data Transfer Tables'!$E$113:$F$125,2,FALSE),FALSE),FALSE),
IF($T22=5,_xlfn.IFNA(VLOOKUP($G22,'Data Transfer Tables'!$E$113:$F$125,2,FALSE),FALSE),FALSE),
IF($T22=6,_xlfn.IFNA(VLOOKUP($G22,'Data Transfer Tables'!$E$113:$F$125,2,FALSE),FALSE),FALSE),
IF($T22=7,_xlfn.IFNA(VLOOKUP($G22,'Data Transfer Tables'!$E$113:$F$125,2,FALSE),FALSE),FALSE),
IF($T22=8,_xlfn.IFNA(VLOOKUP($G22,'Data Transfer Tables'!$E$113:$F$125,2,FALSE),FALSE),FALSE),
IF($T22=9,_xlfn.IFNA(VLOOKUP($G22,'Data Transfer Tables'!$E$113:$F$125,2,FALSE),FALSE),FALSE),
IF($T22=10,_xlfn.IFNA(VLOOKUP($G22,'Data Transfer Tables'!$E$113:$F$125,2,FALSE),FALSE),FALSE),
IF($T22=11,_xlfn.IFNA(VLOOKUP($G22,'Data Transfer Tables'!$E$113:$F$125,2,FALSE),FALSE),FALSE),
IF($T22=12,_xlfn.IFNA(VLOOKUP($G22,'Data Transfer Tables'!$E$113:$F$125,2,FALSE),FALSE),FALSE),
IF($T22=13,_xlfn.IFNA(VLOOKUP($G22,'Data Transfer Tables'!$E$113:$F$125,2,FALSE),FALSE),FALSE),
IF($T22=14,_xlfn.IFNA(VLOOKUP($G22,'Data Transfer Tables'!$E$113:$F$125,2,FALSE),FALSE),FALSE),
IF($T22=15,_xlfn.IFNA(VLOOKUP($G22,'Data Transfer Tables'!$E$113:$F$125,2,FALSE),FALSE),FALSE),
IF($T22=16,_xlfn.IFNA(VLOOKUP($G22,'Data Transfer Tables'!$E$113:$F$125,2,FALSE),FALSE),FALSE),
IF($T22=17,_xlfn.IFNA(VLOOKUP($G22,'Data Transfer Tables'!$E$113:$F$125,2,FALSE),FALSE),FALSE),
IF($T22=18,_xlfn.IFNA(VLOOKUP($G22,'Data Transfer Tables'!$E$113:$F$125,2,FALSE),FALSE),FALSE),
IF($T22=19,_xlfn.IFNA(VLOOKUP($G22,'Data Transfer Tables'!$E$113:$F$125,2,FALSE),FALSE),FALSE),
IF($T22=20,_xlfn.IFNA(VLOOKUP($G22,'Data Transfer Tables'!$E$113:$F$125,2,FALSE),FALSE),FALSE),
IF($T22=21,_xlfn.IFNA(VLOOKUP($G22,'Data Transfer Tables'!$E$113:$F$125,2,FALSE),FALSE),FALSE),
IF($T22=22,_xlfn.IFNA(VLOOKUP($G22,'Data Transfer Tables'!$E$113:$F$125,2,FALSE),FALSE),FALSE))</f>
        <v>0</v>
      </c>
      <c r="AP22" s="196" t="b">
        <f t="shared" si="58"/>
        <v>1</v>
      </c>
      <c r="AQ22" s="211" t="b">
        <f t="shared" si="59"/>
        <v>1</v>
      </c>
      <c r="AR22" s="211" t="b">
        <f t="shared" si="60"/>
        <v>0</v>
      </c>
      <c r="AS22" s="94" t="b">
        <f t="shared" si="61"/>
        <v>1</v>
      </c>
      <c r="AT22" s="140" t="str">
        <f t="shared" si="62"/>
        <v/>
      </c>
      <c r="AU22" s="226" t="str">
        <f t="shared" si="63"/>
        <v>N/A</v>
      </c>
      <c r="AV22" s="226" t="str">
        <f t="shared" si="64"/>
        <v>N/A</v>
      </c>
      <c r="AW22" s="32" t="str">
        <f t="shared" si="65"/>
        <v>N/A</v>
      </c>
      <c r="AX22" s="32" t="b">
        <f t="shared" si="33"/>
        <v>0</v>
      </c>
      <c r="AY22" s="32" t="str">
        <f t="shared" si="37"/>
        <v/>
      </c>
      <c r="AZ22" s="32" t="str">
        <f t="shared" si="24"/>
        <v/>
      </c>
      <c r="BA22" s="32" t="str">
        <f t="shared" si="25"/>
        <v/>
      </c>
      <c r="BB22" s="32" t="str">
        <f t="shared" si="26"/>
        <v/>
      </c>
      <c r="BC22" s="32" t="str">
        <f t="shared" si="27"/>
        <v/>
      </c>
      <c r="BD22" s="32" t="str">
        <f t="shared" si="28"/>
        <v/>
      </c>
    </row>
    <row r="23" spans="1:56" s="33" customFormat="1" ht="13.5" thickBot="1" x14ac:dyDescent="0.25">
      <c r="A23" s="63" t="s">
        <v>673</v>
      </c>
      <c r="B23" s="63" t="s">
        <v>44</v>
      </c>
      <c r="C23" s="63" t="s">
        <v>44</v>
      </c>
      <c r="D23" s="63" t="s">
        <v>44</v>
      </c>
      <c r="E23" s="63" t="s">
        <v>44</v>
      </c>
      <c r="F23" s="63" t="s">
        <v>44</v>
      </c>
      <c r="G23" s="63" t="s">
        <v>44</v>
      </c>
      <c r="H23" s="99" t="b">
        <v>1</v>
      </c>
      <c r="I23" s="99" t="b">
        <v>1</v>
      </c>
      <c r="J23" s="99" t="b">
        <v>1</v>
      </c>
      <c r="K23" s="138" t="b">
        <f t="shared" si="38"/>
        <v>1</v>
      </c>
      <c r="L23" s="62" t="b">
        <f t="shared" si="39"/>
        <v>1</v>
      </c>
      <c r="M23" s="62" t="b">
        <f t="shared" si="40"/>
        <v>1</v>
      </c>
      <c r="N23" s="55"/>
      <c r="O23" s="32"/>
      <c r="P23" s="46"/>
      <c r="Q23" s="46"/>
      <c r="S23" s="32" t="str">
        <f t="shared" si="41"/>
        <v>N/A</v>
      </c>
      <c r="T23" s="221">
        <f t="shared" si="42"/>
        <v>0</v>
      </c>
      <c r="U23" s="51" t="b">
        <f t="shared" si="43"/>
        <v>1</v>
      </c>
      <c r="V23" s="74">
        <f>_xlfn.IFNA(VLOOKUP(B23,'Data Transfer Tables'!$A$111:$B$131,2),0)</f>
        <v>0</v>
      </c>
      <c r="W23" s="74" t="b">
        <f t="shared" si="44"/>
        <v>0</v>
      </c>
      <c r="X23" s="74" t="b">
        <f t="shared" si="45"/>
        <v>0</v>
      </c>
      <c r="Y23" s="222" t="b">
        <f t="shared" si="46"/>
        <v>1</v>
      </c>
      <c r="Z23" s="210" t="b">
        <f>OR(IF($T23=1,_xlfn.IFNA(VLOOKUP($C23,'Data Transfer Tables'!$B$144:$C$153,2,FALSE),FALSE),FALSE),
IF($T23=2,_xlfn.IFNA(VLOOKUP($C23,'Data Transfer Tables'!$B$158:$C$167,2,FALSE),FALSE),FALSE),
IF($T23=3,_xlfn.IFNA(VLOOKUP($C23,'Data Transfer Tables'!$B$172:$C$181,2,FALSE),FALSE),FALSE),
IF($T23=4,_xlfn.IFNA(VLOOKUP($C23,'Data Transfer Tables'!$B$186:$C$195,2,FALSE),FALSE),FALSE),
IF($T23=5,_xlfn.IFNA(VLOOKUP($C23,'Data Transfer Tables'!$B$200:$C$209,2,FALSE),FALSE),FALSE),
IF($T23=6,_xlfn.IFNA(VLOOKUP($C23,'Data Transfer Tables'!$B$214:$C$223,2,FALSE),FALSE),FALSE),
IF($T23=7,_xlfn.IFNA(VLOOKUP($C23,'Data Transfer Tables'!$B$228:$C$237,2,FALSE),FALSE),FALSE),
IF($T23=8,_xlfn.IFNA(VLOOKUP($C23,'Data Transfer Tables'!$B$242:$C$251,2,FALSE),FALSE),FALSE),
IF($T23=9,_xlfn.IFNA(VLOOKUP($C23,'Data Transfer Tables'!$B$256:$C$266,2,FALSE),FALSE),FALSE),
IF($T23=10,_xlfn.IFNA(VLOOKUP($C23,'Data Transfer Tables'!$B$271:$C$281,2,FALSE),FALSE),FALSE),
IF($T23=11,_xlfn.IFNA(VLOOKUP($C23,'Data Transfer Tables'!$B$286:$C$295,2,FALSE),FALSE),FALSE),
IF($T23=12,_xlfn.IFNA(VLOOKUP($C23,'Data Transfer Tables'!$B$300:$C$309,2,FALSE),FALSE),FALSE),
IF($T23=13,_xlfn.IFNA(VLOOKUP($C23,'Data Transfer Tables'!$B$314:$C$323,2,FALSE),FALSE),FALSE),
IF($T23=14,_xlfn.IFNA(VLOOKUP($C23,'Data Transfer Tables'!$B$328:$C$338,2,FALSE),FALSE),FALSE),
IF($T23=15,_xlfn.IFNA(VLOOKUP($C23,'Data Transfer Tables'!$B$343:$C$353,2,FALSE),FALSE),FALSE),
IF($T23=16,_xlfn.IFNA(VLOOKUP($C23,'Data Transfer Tables'!$B$358:$C$369,2,FALSE),FALSE),FALSE),
IF($T23=17,_xlfn.IFNA(VLOOKUP($C23,'Data Transfer Tables'!$B$374:$C$384,2,FALSE),FALSE),FALSE),
IF($T23=18,_xlfn.IFNA(VLOOKUP($C23,'Data Transfer Tables'!$B$389:$C$399,2,FALSE),FALSE),FALSE),
IF($T23=19,_xlfn.IFNA(VLOOKUP($C23,'Data Transfer Tables'!$B$404:$C$414,2,FALSE),FALSE),FALSE),
IF($T23=20,_xlfn.IFNA(VLOOKUP($C23,'Data Transfer Tables'!$B$419:$C$429,2,FALSE),FALSE),FALSE),
IF($T23=21,_xlfn.IFNA(VLOOKUP($C23,'Data Transfer Tables'!$B$434:$C$444,2,FALSE),FALSE),FALSE),
IF($T23=22,_xlfn.IFNA(VLOOKUP($C23,'Data Transfer Tables'!$B$449:$C$459,2,FALSE),FALSE),FALSE))</f>
        <v>0</v>
      </c>
      <c r="AA23" s="210" t="b">
        <f t="shared" si="47"/>
        <v>1</v>
      </c>
      <c r="AB23" s="222" t="b">
        <f t="shared" si="48"/>
        <v>0</v>
      </c>
      <c r="AC23" s="146" t="b">
        <f>OR(IF($T23=1,_xlfn.IFNA(VLOOKUP($D23,'Data Transfer Tables'!$E$144:$G$153,2,FALSE),FALSE),FALSE),
IF($T23=2,_xlfn.IFNA(VLOOKUP($D23,'Data Transfer Tables'!$E$158:$G$167,2,FALSE),FALSE),FALSE),
IF($T23=3,_xlfn.IFNA(VLOOKUP($D23,'Data Transfer Tables'!$E$172:$G$181,2,FALSE),FALSE),FALSE),
IF($T23=4,_xlfn.IFNA(VLOOKUP($D23,'Data Transfer Tables'!$E$186:$G$195,2,FALSE),FALSE),FALSE),
IF($T23=5,_xlfn.IFNA(VLOOKUP($D23,'Data Transfer Tables'!$E$200:$G$209,2,FALSE),FALSE),FALSE),
IF($T23=6,_xlfn.IFNA(VLOOKUP($D23,'Data Transfer Tables'!$E$214:$G$223,2,FALSE),FALSE),FALSE),
IF($T23=7,_xlfn.IFNA(VLOOKUP($D23,'Data Transfer Tables'!$E$228:$G$237,2,FALSE),FALSE),FALSE),
IF($T23=8,_xlfn.IFNA(VLOOKUP($D23,'Data Transfer Tables'!$E$242:$G$251,2,FALSE),FALSE),FALSE),
IF($T23=9,_xlfn.IFNA(VLOOKUP($D23,'Data Transfer Tables'!$E$256:$G$266,2,FALSE),FALSE),FALSE),
IF($T23=10,_xlfn.IFNA(VLOOKUP($D23,'Data Transfer Tables'!$E$271:$G$281,2,FALSE),FALSE),FALSE),
IF($T23=11,_xlfn.IFNA(VLOOKUP($D23,'Data Transfer Tables'!$E$286:$G$295,2,FALSE),FALSE),FALSE),
IF($T23=12,_xlfn.IFNA(VLOOKUP($D23,'Data Transfer Tables'!$E$300:$G$309,2,FALSE),FALSE),FALSE),
IF($T23=13,_xlfn.IFNA(VLOOKUP($D23,'Data Transfer Tables'!$E$314:$G$323,2,FALSE),FALSE),FALSE),
IF($T23=14,_xlfn.IFNA(VLOOKUP($D23,'Data Transfer Tables'!$E$328:$G$338,2,FALSE),FALSE),FALSE),
IF($T23=15,_xlfn.IFNA(VLOOKUP($D23,'Data Transfer Tables'!$E$343:$G$353,2,FALSE),FALSE),FALSE),
IF($T23=16,_xlfn.IFNA(VLOOKUP($D23,'Data Transfer Tables'!$E$358:$G$369,2,FALSE),FALSE),FALSE),
IF($T23=17,_xlfn.IFNA(VLOOKUP($D23,'Data Transfer Tables'!$E$374:$G$384,2,FALSE),FALSE),FALSE),
IF($T23=18,_xlfn.IFNA(VLOOKUP($D23,'Data Transfer Tables'!$E$389:$G$399,2,FALSE),FALSE),FALSE),
IF($T23=19,_xlfn.IFNA(VLOOKUP($D23,'Data Transfer Tables'!$E$404:$G$414,2,FALSE),FALSE),FALSE),
IF($T23=20,_xlfn.IFNA(VLOOKUP($D23,'Data Transfer Tables'!$E$419:$G$429,2,FALSE),FALSE),FALSE),
IF($T23=21,_xlfn.IFNA(VLOOKUP($D23,'Data Transfer Tables'!$E$434:$G$444,2,FALSE),FALSE),FALSE),
IF($T23=22,_xlfn.IFNA(VLOOKUP($D23,'Data Transfer Tables'!$E$449:$G$459,2,FALSE),FALSE),FALSE))</f>
        <v>0</v>
      </c>
      <c r="AD23" s="146" t="b">
        <f t="shared" si="49"/>
        <v>1</v>
      </c>
      <c r="AE23" s="222" t="b">
        <f t="shared" si="50"/>
        <v>0</v>
      </c>
      <c r="AF23" s="145" t="b">
        <f>OR(IF($T23=1,_xlfn.IFNA(VLOOKUP($E23,'Data Transfer Tables'!$H$144:$I$153,2,FALSE),FALSE),FALSE),
IF($T23=2,_xlfn.IFNA(VLOOKUP($E23,'Data Transfer Tables'!$H$158:$I$167,2,FALSE),FALSE),FALSE),
IF($T23=3,_xlfn.IFNA(VLOOKUP($E23,'Data Transfer Tables'!$H$172:$I$181,2,FALSE),FALSE),FALSE),
IF($T23=4,_xlfn.IFNA(VLOOKUP($E23,'Data Transfer Tables'!$H$186:$I$195,2,FALSE),FALSE),FALSE),
IF($T23=5,_xlfn.IFNA(VLOOKUP($E23,'Data Transfer Tables'!$H$200:$I$209,2,FALSE),FALSE),FALSE),
IF($T23=6,_xlfn.IFNA(VLOOKUP($E23,'Data Transfer Tables'!$H$214:$I$223,2,FALSE),FALSE),FALSE),
IF($T23=7,_xlfn.IFNA(VLOOKUP($E23,'Data Transfer Tables'!$H$228:$I$237,2,FALSE),FALSE),FALSE),
IF($T23=8,_xlfn.IFNA(VLOOKUP($E23,'Data Transfer Tables'!$H$242:$I$251,2,FALSE),FALSE),FALSE),
IF($T23=9,_xlfn.IFNA(VLOOKUP($E23,'Data Transfer Tables'!$H$256:$I$266,2,FALSE),FALSE),FALSE),
IF($T23=10,_xlfn.IFNA(VLOOKUP($E23,'Data Transfer Tables'!$H$271:$I$281,2,FALSE),FALSE),FALSE),
IF($T23=11,_xlfn.IFNA(VLOOKUP($E23,'Data Transfer Tables'!$H$286:$I$295,2,FALSE),FALSE),FALSE),
IF($T23=12,_xlfn.IFNA(VLOOKUP($E23,'Data Transfer Tables'!$H$300:$I$309,2,FALSE),FALSE),FALSE),
IF($T23=13,_xlfn.IFNA(VLOOKUP($E23,'Data Transfer Tables'!$H$314:$I$323,2,FALSE),FALSE),FALSE),
IF($T23=14,_xlfn.IFNA(VLOOKUP($E23,'Data Transfer Tables'!$H$328:$I$338,2,FALSE),FALSE),FALSE),
IF($T23=15,_xlfn.IFNA(VLOOKUP($E23,'Data Transfer Tables'!$H$343:$I$353,2,FALSE),FALSE),FALSE),
IF($T23=16,_xlfn.IFNA(VLOOKUP($E23,'Data Transfer Tables'!$H$358:$I$369,2,FALSE),FALSE),FALSE),
IF($T23=17,_xlfn.IFNA(VLOOKUP($E23,'Data Transfer Tables'!$H$374:$I$384,2,FALSE),FALSE),FALSE),
IF($T23=18,_xlfn.IFNA(VLOOKUP($E23,'Data Transfer Tables'!$H$389:$I$399,2,FALSE),FALSE),FALSE),
IF($T23=19,_xlfn.IFNA(VLOOKUP($E23,'Data Transfer Tables'!$H$404:$I$414,2,FALSE),FALSE),FALSE),
IF($T23=20,_xlfn.IFNA(VLOOKUP($E23,'Data Transfer Tables'!$H$419:$I$429,2,FALSE),FALSE),FALSE),
IF($T23=21,_xlfn.IFNA(VLOOKUP($E23,'Data Transfer Tables'!$H$434:$I$444,2,FALSE),FALSE),FALSE),
IF($T23=22,_xlfn.IFNA(VLOOKUP($E23,'Data Transfer Tables'!$H$449:$I$459,2,FALSE),FALSE),FALSE))</f>
        <v>0</v>
      </c>
      <c r="AG23" s="145" t="b">
        <f t="shared" si="51"/>
        <v>1</v>
      </c>
      <c r="AH23" s="223" t="b">
        <f t="shared" si="52"/>
        <v>0</v>
      </c>
      <c r="AI23" s="147" t="b">
        <f>OR(IF($T23=1,_xlfn.IFNA(VLOOKUP($F23,'Data Transfer Tables'!$K$144:$L$153,2,FALSE),FALSE),FALSE),
IF($T23=2,_xlfn.IFNA(VLOOKUP($F23,'Data Transfer Tables'!$K$158:$L$167,2,FALSE),FALSE),FALSE),
IF($T23=3,_xlfn.IFNA(VLOOKUP($F23,'Data Transfer Tables'!$K$172:$L$181,2,FALSE),FALSE),FALSE),
IF($T23=4,_xlfn.IFNA(VLOOKUP($F23,'Data Transfer Tables'!$K$186:$L$195,2,FALSE),FALSE),FALSE),
IF($T23=5,_xlfn.IFNA(VLOOKUP($F23,'Data Transfer Tables'!$K$200:$L$209,2,FALSE),FALSE),FALSE),
IF($T23=6,_xlfn.IFNA(VLOOKUP($F23,'Data Transfer Tables'!$K$214:$L$223,2,FALSE),FALSE),FALSE),
IF($T23=7,_xlfn.IFNA(VLOOKUP($F23,'Data Transfer Tables'!$K$228:$L$237,2,FALSE),FALSE),FALSE),
IF($T23=8,_xlfn.IFNA(VLOOKUP($F23,'Data Transfer Tables'!$K$242:$L$251,2,FALSE),FALSE),FALSE),
IF($T23=9,_xlfn.IFNA(VLOOKUP($F23,'Data Transfer Tables'!$K$256:$L$266,2,FALSE),FALSE),FALSE),
IF($T23=10,_xlfn.IFNA(VLOOKUP($F23,'Data Transfer Tables'!$K$271:$L$281,2,FALSE),FALSE),FALSE),
IF($T23=11,_xlfn.IFNA(VLOOKUP($F23,'Data Transfer Tables'!$K$286:$L$295,2,FALSE),FALSE),FALSE),
IF($T23=12,_xlfn.IFNA(VLOOKUP($F23,'Data Transfer Tables'!$K$300:$L$309,2,FALSE),FALSE),FALSE),
IF($T23=13,_xlfn.IFNA(VLOOKUP($F23,'Data Transfer Tables'!$K$314:$L$323,2,FALSE),FALSE),FALSE),
IF($T23=14,_xlfn.IFNA(VLOOKUP($F23,'Data Transfer Tables'!$K$328:$L$338,2,FALSE),FALSE),FALSE),
IF($T23=15,_xlfn.IFNA(VLOOKUP($F23,'Data Transfer Tables'!$K$343:$L$353,2,FALSE),FALSE),FALSE),
IF($T23=16,_xlfn.IFNA(VLOOKUP($F23,'Data Transfer Tables'!$K$358:$L$369,2,FALSE),FALSE),FALSE),
IF($T23=17,_xlfn.IFNA(VLOOKUP($F23,'Data Transfer Tables'!$K$374:$L$384,2,FALSE),FALSE),FALSE),
IF($T23=18,_xlfn.IFNA(VLOOKUP($F23,'Data Transfer Tables'!$K$389:$L$399,2,FALSE),FALSE),FALSE),
IF($T23=19,_xlfn.IFNA(VLOOKUP($F23,'Data Transfer Tables'!$K$404:$L$414,2,FALSE),FALSE),FALSE),
IF($T23=20,_xlfn.IFNA(VLOOKUP($F23,'Data Transfer Tables'!$K$419:$L$429,2,FALSE),FALSE),FALSE),
IF($T23=21,_xlfn.IFNA(VLOOKUP($F23,'Data Transfer Tables'!$K$434:$L$444,2,FALSE),FALSE),FALSE),
IF($T23=22,_xlfn.IFNA(VLOOKUP($F23,'Data Transfer Tables'!$K$449:$L$459,2,FALSE),FALSE),FALSE))</f>
        <v>0</v>
      </c>
      <c r="AJ23" s="147" t="b">
        <f t="shared" si="53"/>
        <v>1</v>
      </c>
      <c r="AK23" s="224" t="b">
        <f t="shared" si="54"/>
        <v>0</v>
      </c>
      <c r="AL23" s="225" t="b">
        <f t="shared" si="55"/>
        <v>0</v>
      </c>
      <c r="AM23" s="225" t="b">
        <f t="shared" si="56"/>
        <v>0</v>
      </c>
      <c r="AN23" s="225" t="b">
        <f t="shared" si="57"/>
        <v>0</v>
      </c>
      <c r="AO23" s="196" t="b">
        <f>OR(IF($T23=1,_xlfn.IFNA(VLOOKUP($G23,'Data Transfer Tables'!$E$113:$F$125,2,FALSE),FALSE),FALSE),
IF($T23=2,_xlfn.IFNA(VLOOKUP($G23,'Data Transfer Tables'!$E$113:$F$125,2,FALSE),FALSE),FALSE),
IF($T23=3,_xlfn.IFNA(VLOOKUP($G23,'Data Transfer Tables'!$E$113:$F$125,2,FALSE),FALSE),FALSE),
IF($T23=4,_xlfn.IFNA(VLOOKUP($G23,'Data Transfer Tables'!$E$113:$F$125,2,FALSE),FALSE),FALSE),
IF($T23=5,_xlfn.IFNA(VLOOKUP($G23,'Data Transfer Tables'!$E$113:$F$125,2,FALSE),FALSE),FALSE),
IF($T23=6,_xlfn.IFNA(VLOOKUP($G23,'Data Transfer Tables'!$E$113:$F$125,2,FALSE),FALSE),FALSE),
IF($T23=7,_xlfn.IFNA(VLOOKUP($G23,'Data Transfer Tables'!$E$113:$F$125,2,FALSE),FALSE),FALSE),
IF($T23=8,_xlfn.IFNA(VLOOKUP($G23,'Data Transfer Tables'!$E$113:$F$125,2,FALSE),FALSE),FALSE),
IF($T23=9,_xlfn.IFNA(VLOOKUP($G23,'Data Transfer Tables'!$E$113:$F$125,2,FALSE),FALSE),FALSE),
IF($T23=10,_xlfn.IFNA(VLOOKUP($G23,'Data Transfer Tables'!$E$113:$F$125,2,FALSE),FALSE),FALSE),
IF($T23=11,_xlfn.IFNA(VLOOKUP($G23,'Data Transfer Tables'!$E$113:$F$125,2,FALSE),FALSE),FALSE),
IF($T23=12,_xlfn.IFNA(VLOOKUP($G23,'Data Transfer Tables'!$E$113:$F$125,2,FALSE),FALSE),FALSE),
IF($T23=13,_xlfn.IFNA(VLOOKUP($G23,'Data Transfer Tables'!$E$113:$F$125,2,FALSE),FALSE),FALSE),
IF($T23=14,_xlfn.IFNA(VLOOKUP($G23,'Data Transfer Tables'!$E$113:$F$125,2,FALSE),FALSE),FALSE),
IF($T23=15,_xlfn.IFNA(VLOOKUP($G23,'Data Transfer Tables'!$E$113:$F$125,2,FALSE),FALSE),FALSE),
IF($T23=16,_xlfn.IFNA(VLOOKUP($G23,'Data Transfer Tables'!$E$113:$F$125,2,FALSE),FALSE),FALSE),
IF($T23=17,_xlfn.IFNA(VLOOKUP($G23,'Data Transfer Tables'!$E$113:$F$125,2,FALSE),FALSE),FALSE),
IF($T23=18,_xlfn.IFNA(VLOOKUP($G23,'Data Transfer Tables'!$E$113:$F$125,2,FALSE),FALSE),FALSE),
IF($T23=19,_xlfn.IFNA(VLOOKUP($G23,'Data Transfer Tables'!$E$113:$F$125,2,FALSE),FALSE),FALSE),
IF($T23=20,_xlfn.IFNA(VLOOKUP($G23,'Data Transfer Tables'!$E$113:$F$125,2,FALSE),FALSE),FALSE),
IF($T23=21,_xlfn.IFNA(VLOOKUP($G23,'Data Transfer Tables'!$E$113:$F$125,2,FALSE),FALSE),FALSE),
IF($T23=22,_xlfn.IFNA(VLOOKUP($G23,'Data Transfer Tables'!$E$113:$F$125,2,FALSE),FALSE),FALSE))</f>
        <v>0</v>
      </c>
      <c r="AP23" s="196" t="b">
        <f t="shared" si="58"/>
        <v>1</v>
      </c>
      <c r="AQ23" s="211" t="b">
        <f t="shared" si="59"/>
        <v>1</v>
      </c>
      <c r="AR23" s="211" t="b">
        <f t="shared" si="60"/>
        <v>0</v>
      </c>
      <c r="AS23" s="94" t="b">
        <f t="shared" si="61"/>
        <v>1</v>
      </c>
      <c r="AT23" s="140" t="str">
        <f t="shared" si="62"/>
        <v/>
      </c>
      <c r="AU23" s="226" t="str">
        <f t="shared" si="63"/>
        <v>N/A</v>
      </c>
      <c r="AV23" s="226" t="str">
        <f t="shared" si="64"/>
        <v>N/A</v>
      </c>
      <c r="AW23" s="32" t="str">
        <f t="shared" si="65"/>
        <v>N/A</v>
      </c>
      <c r="AX23" s="32" t="b">
        <f t="shared" si="33"/>
        <v>0</v>
      </c>
      <c r="AY23" s="32" t="str">
        <f t="shared" si="37"/>
        <v/>
      </c>
      <c r="AZ23" s="32" t="str">
        <f t="shared" si="24"/>
        <v/>
      </c>
      <c r="BA23" s="32" t="str">
        <f t="shared" si="25"/>
        <v/>
      </c>
      <c r="BB23" s="32" t="str">
        <f t="shared" si="26"/>
        <v/>
      </c>
      <c r="BC23" s="32" t="str">
        <f t="shared" si="27"/>
        <v/>
      </c>
      <c r="BD23" s="32" t="str">
        <f t="shared" si="28"/>
        <v/>
      </c>
    </row>
    <row r="24" spans="1:56" s="33" customFormat="1" ht="13.5" thickBot="1" x14ac:dyDescent="0.25">
      <c r="A24" s="63" t="s">
        <v>673</v>
      </c>
      <c r="B24" s="63" t="s">
        <v>44</v>
      </c>
      <c r="C24" s="63" t="s">
        <v>44</v>
      </c>
      <c r="D24" s="63" t="s">
        <v>44</v>
      </c>
      <c r="E24" s="63" t="s">
        <v>44</v>
      </c>
      <c r="F24" s="63" t="s">
        <v>44</v>
      </c>
      <c r="G24" s="63" t="s">
        <v>44</v>
      </c>
      <c r="H24" s="99" t="b">
        <v>1</v>
      </c>
      <c r="I24" s="99" t="b">
        <v>1</v>
      </c>
      <c r="J24" s="99" t="b">
        <v>1</v>
      </c>
      <c r="K24" s="138" t="b">
        <f t="shared" si="0"/>
        <v>1</v>
      </c>
      <c r="L24" s="62" t="b">
        <f t="shared" si="29"/>
        <v>1</v>
      </c>
      <c r="M24" s="62" t="b">
        <f t="shared" si="30"/>
        <v>1</v>
      </c>
      <c r="N24" s="55"/>
      <c r="O24" s="32"/>
      <c r="P24" s="46"/>
      <c r="Q24" s="46"/>
      <c r="S24" s="32" t="str">
        <f t="shared" si="1"/>
        <v>N/A</v>
      </c>
      <c r="T24" s="221">
        <f t="shared" si="2"/>
        <v>0</v>
      </c>
      <c r="U24" s="51" t="b">
        <f t="shared" si="3"/>
        <v>1</v>
      </c>
      <c r="V24" s="74">
        <f>_xlfn.IFNA(VLOOKUP(B24,'Data Transfer Tables'!$A$111:$B$131,2),0)</f>
        <v>0</v>
      </c>
      <c r="W24" s="74" t="b">
        <f t="shared" si="4"/>
        <v>0</v>
      </c>
      <c r="X24" s="74" t="b">
        <f t="shared" si="5"/>
        <v>0</v>
      </c>
      <c r="Y24" s="222" t="b">
        <f t="shared" si="6"/>
        <v>1</v>
      </c>
      <c r="Z24" s="210" t="b">
        <f>OR(IF($T24=1,_xlfn.IFNA(VLOOKUP($C24,'Data Transfer Tables'!$B$144:$C$153,2,FALSE),FALSE),FALSE),
IF($T24=2,_xlfn.IFNA(VLOOKUP($C24,'Data Transfer Tables'!$B$158:$C$167,2,FALSE),FALSE),FALSE),
IF($T24=3,_xlfn.IFNA(VLOOKUP($C24,'Data Transfer Tables'!$B$172:$C$181,2,FALSE),FALSE),FALSE),
IF($T24=4,_xlfn.IFNA(VLOOKUP($C24,'Data Transfer Tables'!$B$186:$C$195,2,FALSE),FALSE),FALSE),
IF($T24=5,_xlfn.IFNA(VLOOKUP($C24,'Data Transfer Tables'!$B$200:$C$209,2,FALSE),FALSE),FALSE),
IF($T24=6,_xlfn.IFNA(VLOOKUP($C24,'Data Transfer Tables'!$B$214:$C$223,2,FALSE),FALSE),FALSE),
IF($T24=7,_xlfn.IFNA(VLOOKUP($C24,'Data Transfer Tables'!$B$228:$C$237,2,FALSE),FALSE),FALSE),
IF($T24=8,_xlfn.IFNA(VLOOKUP($C24,'Data Transfer Tables'!$B$242:$C$251,2,FALSE),FALSE),FALSE),
IF($T24=9,_xlfn.IFNA(VLOOKUP($C24,'Data Transfer Tables'!$B$256:$C$266,2,FALSE),FALSE),FALSE),
IF($T24=10,_xlfn.IFNA(VLOOKUP($C24,'Data Transfer Tables'!$B$271:$C$281,2,FALSE),FALSE),FALSE),
IF($T24=11,_xlfn.IFNA(VLOOKUP($C24,'Data Transfer Tables'!$B$286:$C$295,2,FALSE),FALSE),FALSE),
IF($T24=12,_xlfn.IFNA(VLOOKUP($C24,'Data Transfer Tables'!$B$300:$C$309,2,FALSE),FALSE),FALSE),
IF($T24=13,_xlfn.IFNA(VLOOKUP($C24,'Data Transfer Tables'!$B$314:$C$323,2,FALSE),FALSE),FALSE),
IF($T24=14,_xlfn.IFNA(VLOOKUP($C24,'Data Transfer Tables'!$B$328:$C$338,2,FALSE),FALSE),FALSE),
IF($T24=15,_xlfn.IFNA(VLOOKUP($C24,'Data Transfer Tables'!$B$343:$C$353,2,FALSE),FALSE),FALSE),
IF($T24=16,_xlfn.IFNA(VLOOKUP($C24,'Data Transfer Tables'!$B$358:$C$369,2,FALSE),FALSE),FALSE),
IF($T24=17,_xlfn.IFNA(VLOOKUP($C24,'Data Transfer Tables'!$B$374:$C$384,2,FALSE),FALSE),FALSE),
IF($T24=18,_xlfn.IFNA(VLOOKUP($C24,'Data Transfer Tables'!$B$389:$C$399,2,FALSE),FALSE),FALSE),
IF($T24=19,_xlfn.IFNA(VLOOKUP($C24,'Data Transfer Tables'!$B$404:$C$414,2,FALSE),FALSE),FALSE),
IF($T24=20,_xlfn.IFNA(VLOOKUP($C24,'Data Transfer Tables'!$B$419:$C$429,2,FALSE),FALSE),FALSE),
IF($T24=21,_xlfn.IFNA(VLOOKUP($C24,'Data Transfer Tables'!$B$434:$C$444,2,FALSE),FALSE),FALSE),
IF($T24=22,_xlfn.IFNA(VLOOKUP($C24,'Data Transfer Tables'!$B$449:$C$459,2,FALSE),FALSE),FALSE))</f>
        <v>0</v>
      </c>
      <c r="AA24" s="210" t="b">
        <f t="shared" si="7"/>
        <v>1</v>
      </c>
      <c r="AB24" s="222" t="b">
        <f t="shared" si="8"/>
        <v>0</v>
      </c>
      <c r="AC24" s="146" t="b">
        <f>OR(IF($T24=1,_xlfn.IFNA(VLOOKUP($D24,'Data Transfer Tables'!$E$144:$G$153,2,FALSE),FALSE),FALSE),
IF($T24=2,_xlfn.IFNA(VLOOKUP($D24,'Data Transfer Tables'!$E$158:$G$167,2,FALSE),FALSE),FALSE),
IF($T24=3,_xlfn.IFNA(VLOOKUP($D24,'Data Transfer Tables'!$E$172:$G$181,2,FALSE),FALSE),FALSE),
IF($T24=4,_xlfn.IFNA(VLOOKUP($D24,'Data Transfer Tables'!$E$186:$G$195,2,FALSE),FALSE),FALSE),
IF($T24=5,_xlfn.IFNA(VLOOKUP($D24,'Data Transfer Tables'!$E$200:$G$209,2,FALSE),FALSE),FALSE),
IF($T24=6,_xlfn.IFNA(VLOOKUP($D24,'Data Transfer Tables'!$E$214:$G$223,2,FALSE),FALSE),FALSE),
IF($T24=7,_xlfn.IFNA(VLOOKUP($D24,'Data Transfer Tables'!$E$228:$G$237,2,FALSE),FALSE),FALSE),
IF($T24=8,_xlfn.IFNA(VLOOKUP($D24,'Data Transfer Tables'!$E$242:$G$251,2,FALSE),FALSE),FALSE),
IF($T24=9,_xlfn.IFNA(VLOOKUP($D24,'Data Transfer Tables'!$E$256:$G$266,2,FALSE),FALSE),FALSE),
IF($T24=10,_xlfn.IFNA(VLOOKUP($D24,'Data Transfer Tables'!$E$271:$G$281,2,FALSE),FALSE),FALSE),
IF($T24=11,_xlfn.IFNA(VLOOKUP($D24,'Data Transfer Tables'!$E$286:$G$295,2,FALSE),FALSE),FALSE),
IF($T24=12,_xlfn.IFNA(VLOOKUP($D24,'Data Transfer Tables'!$E$300:$G$309,2,FALSE),FALSE),FALSE),
IF($T24=13,_xlfn.IFNA(VLOOKUP($D24,'Data Transfer Tables'!$E$314:$G$323,2,FALSE),FALSE),FALSE),
IF($T24=14,_xlfn.IFNA(VLOOKUP($D24,'Data Transfer Tables'!$E$328:$G$338,2,FALSE),FALSE),FALSE),
IF($T24=15,_xlfn.IFNA(VLOOKUP($D24,'Data Transfer Tables'!$E$343:$G$353,2,FALSE),FALSE),FALSE),
IF($T24=16,_xlfn.IFNA(VLOOKUP($D24,'Data Transfer Tables'!$E$358:$G$369,2,FALSE),FALSE),FALSE),
IF($T24=17,_xlfn.IFNA(VLOOKUP($D24,'Data Transfer Tables'!$E$374:$G$384,2,FALSE),FALSE),FALSE),
IF($T24=18,_xlfn.IFNA(VLOOKUP($D24,'Data Transfer Tables'!$E$389:$G$399,2,FALSE),FALSE),FALSE),
IF($T24=19,_xlfn.IFNA(VLOOKUP($D24,'Data Transfer Tables'!$E$404:$G$414,2,FALSE),FALSE),FALSE),
IF($T24=20,_xlfn.IFNA(VLOOKUP($D24,'Data Transfer Tables'!$E$419:$G$429,2,FALSE),FALSE),FALSE),
IF($T24=21,_xlfn.IFNA(VLOOKUP($D24,'Data Transfer Tables'!$E$434:$G$444,2,FALSE),FALSE),FALSE),
IF($T24=22,_xlfn.IFNA(VLOOKUP($D24,'Data Transfer Tables'!$E$449:$G$459,2,FALSE),FALSE),FALSE))</f>
        <v>0</v>
      </c>
      <c r="AD24" s="146" t="b">
        <f t="shared" si="9"/>
        <v>1</v>
      </c>
      <c r="AE24" s="222" t="b">
        <f t="shared" si="10"/>
        <v>0</v>
      </c>
      <c r="AF24" s="145" t="b">
        <f>OR(IF($T24=1,_xlfn.IFNA(VLOOKUP($E24,'Data Transfer Tables'!$H$144:$I$153,2,FALSE),FALSE),FALSE),
IF($T24=2,_xlfn.IFNA(VLOOKUP($E24,'Data Transfer Tables'!$H$158:$I$167,2,FALSE),FALSE),FALSE),
IF($T24=3,_xlfn.IFNA(VLOOKUP($E24,'Data Transfer Tables'!$H$172:$I$181,2,FALSE),FALSE),FALSE),
IF($T24=4,_xlfn.IFNA(VLOOKUP($E24,'Data Transfer Tables'!$H$186:$I$195,2,FALSE),FALSE),FALSE),
IF($T24=5,_xlfn.IFNA(VLOOKUP($E24,'Data Transfer Tables'!$H$200:$I$209,2,FALSE),FALSE),FALSE),
IF($T24=6,_xlfn.IFNA(VLOOKUP($E24,'Data Transfer Tables'!$H$214:$I$223,2,FALSE),FALSE),FALSE),
IF($T24=7,_xlfn.IFNA(VLOOKUP($E24,'Data Transfer Tables'!$H$228:$I$237,2,FALSE),FALSE),FALSE),
IF($T24=8,_xlfn.IFNA(VLOOKUP($E24,'Data Transfer Tables'!$H$242:$I$251,2,FALSE),FALSE),FALSE),
IF($T24=9,_xlfn.IFNA(VLOOKUP($E24,'Data Transfer Tables'!$H$256:$I$266,2,FALSE),FALSE),FALSE),
IF($T24=10,_xlfn.IFNA(VLOOKUP($E24,'Data Transfer Tables'!$H$271:$I$281,2,FALSE),FALSE),FALSE),
IF($T24=11,_xlfn.IFNA(VLOOKUP($E24,'Data Transfer Tables'!$H$286:$I$295,2,FALSE),FALSE),FALSE),
IF($T24=12,_xlfn.IFNA(VLOOKUP($E24,'Data Transfer Tables'!$H$300:$I$309,2,FALSE),FALSE),FALSE),
IF($T24=13,_xlfn.IFNA(VLOOKUP($E24,'Data Transfer Tables'!$H$314:$I$323,2,FALSE),FALSE),FALSE),
IF($T24=14,_xlfn.IFNA(VLOOKUP($E24,'Data Transfer Tables'!$H$328:$I$338,2,FALSE),FALSE),FALSE),
IF($T24=15,_xlfn.IFNA(VLOOKUP($E24,'Data Transfer Tables'!$H$343:$I$353,2,FALSE),FALSE),FALSE),
IF($T24=16,_xlfn.IFNA(VLOOKUP($E24,'Data Transfer Tables'!$H$358:$I$369,2,FALSE),FALSE),FALSE),
IF($T24=17,_xlfn.IFNA(VLOOKUP($E24,'Data Transfer Tables'!$H$374:$I$384,2,FALSE),FALSE),FALSE),
IF($T24=18,_xlfn.IFNA(VLOOKUP($E24,'Data Transfer Tables'!$H$389:$I$399,2,FALSE),FALSE),FALSE),
IF($T24=19,_xlfn.IFNA(VLOOKUP($E24,'Data Transfer Tables'!$H$404:$I$414,2,FALSE),FALSE),FALSE),
IF($T24=20,_xlfn.IFNA(VLOOKUP($E24,'Data Transfer Tables'!$H$419:$I$429,2,FALSE),FALSE),FALSE),
IF($T24=21,_xlfn.IFNA(VLOOKUP($E24,'Data Transfer Tables'!$H$434:$I$444,2,FALSE),FALSE),FALSE),
IF($T24=22,_xlfn.IFNA(VLOOKUP($E24,'Data Transfer Tables'!$H$449:$I$459,2,FALSE),FALSE),FALSE))</f>
        <v>0</v>
      </c>
      <c r="AG24" s="145" t="b">
        <f t="shared" si="11"/>
        <v>1</v>
      </c>
      <c r="AH24" s="223" t="b">
        <f t="shared" si="12"/>
        <v>0</v>
      </c>
      <c r="AI24" s="147" t="b">
        <f>OR(IF($T24=1,_xlfn.IFNA(VLOOKUP($F24,'Data Transfer Tables'!$K$144:$L$153,2,FALSE),FALSE),FALSE),
IF($T24=2,_xlfn.IFNA(VLOOKUP($F24,'Data Transfer Tables'!$K$158:$L$167,2,FALSE),FALSE),FALSE),
IF($T24=3,_xlfn.IFNA(VLOOKUP($F24,'Data Transfer Tables'!$K$172:$L$181,2,FALSE),FALSE),FALSE),
IF($T24=4,_xlfn.IFNA(VLOOKUP($F24,'Data Transfer Tables'!$K$186:$L$195,2,FALSE),FALSE),FALSE),
IF($T24=5,_xlfn.IFNA(VLOOKUP($F24,'Data Transfer Tables'!$K$200:$L$209,2,FALSE),FALSE),FALSE),
IF($T24=6,_xlfn.IFNA(VLOOKUP($F24,'Data Transfer Tables'!$K$214:$L$223,2,FALSE),FALSE),FALSE),
IF($T24=7,_xlfn.IFNA(VLOOKUP($F24,'Data Transfer Tables'!$K$228:$L$237,2,FALSE),FALSE),FALSE),
IF($T24=8,_xlfn.IFNA(VLOOKUP($F24,'Data Transfer Tables'!$K$242:$L$251,2,FALSE),FALSE),FALSE),
IF($T24=9,_xlfn.IFNA(VLOOKUP($F24,'Data Transfer Tables'!$K$256:$L$266,2,FALSE),FALSE),FALSE),
IF($T24=10,_xlfn.IFNA(VLOOKUP($F24,'Data Transfer Tables'!$K$271:$L$281,2,FALSE),FALSE),FALSE),
IF($T24=11,_xlfn.IFNA(VLOOKUP($F24,'Data Transfer Tables'!$K$286:$L$295,2,FALSE),FALSE),FALSE),
IF($T24=12,_xlfn.IFNA(VLOOKUP($F24,'Data Transfer Tables'!$K$300:$L$309,2,FALSE),FALSE),FALSE),
IF($T24=13,_xlfn.IFNA(VLOOKUP($F24,'Data Transfer Tables'!$K$314:$L$323,2,FALSE),FALSE),FALSE),
IF($T24=14,_xlfn.IFNA(VLOOKUP($F24,'Data Transfer Tables'!$K$328:$L$338,2,FALSE),FALSE),FALSE),
IF($T24=15,_xlfn.IFNA(VLOOKUP($F24,'Data Transfer Tables'!$K$343:$L$353,2,FALSE),FALSE),FALSE),
IF($T24=16,_xlfn.IFNA(VLOOKUP($F24,'Data Transfer Tables'!$K$358:$L$369,2,FALSE),FALSE),FALSE),
IF($T24=17,_xlfn.IFNA(VLOOKUP($F24,'Data Transfer Tables'!$K$374:$L$384,2,FALSE),FALSE),FALSE),
IF($T24=18,_xlfn.IFNA(VLOOKUP($F24,'Data Transfer Tables'!$K$389:$L$399,2,FALSE),FALSE),FALSE),
IF($T24=19,_xlfn.IFNA(VLOOKUP($F24,'Data Transfer Tables'!$K$404:$L$414,2,FALSE),FALSE),FALSE),
IF($T24=20,_xlfn.IFNA(VLOOKUP($F24,'Data Transfer Tables'!$K$419:$L$429,2,FALSE),FALSE),FALSE),
IF($T24=21,_xlfn.IFNA(VLOOKUP($F24,'Data Transfer Tables'!$K$434:$L$444,2,FALSE),FALSE),FALSE),
IF($T24=22,_xlfn.IFNA(VLOOKUP($F24,'Data Transfer Tables'!$K$449:$L$459,2,FALSE),FALSE),FALSE))</f>
        <v>0</v>
      </c>
      <c r="AJ24" s="147" t="b">
        <f t="shared" si="13"/>
        <v>1</v>
      </c>
      <c r="AK24" s="224" t="b">
        <f t="shared" si="14"/>
        <v>0</v>
      </c>
      <c r="AL24" s="225" t="b">
        <f t="shared" si="15"/>
        <v>0</v>
      </c>
      <c r="AM24" s="225" t="b">
        <f t="shared" si="16"/>
        <v>0</v>
      </c>
      <c r="AN24" s="225" t="b">
        <f t="shared" si="17"/>
        <v>0</v>
      </c>
      <c r="AO24" s="196" t="b">
        <f>OR(IF($T24=1,_xlfn.IFNA(VLOOKUP($G24,'Data Transfer Tables'!$E$113:$F$125,2,FALSE),FALSE),FALSE),
IF($T24=2,_xlfn.IFNA(VLOOKUP($G24,'Data Transfer Tables'!$E$113:$F$125,2,FALSE),FALSE),FALSE),
IF($T24=3,_xlfn.IFNA(VLOOKUP($G24,'Data Transfer Tables'!$E$113:$F$125,2,FALSE),FALSE),FALSE),
IF($T24=4,_xlfn.IFNA(VLOOKUP($G24,'Data Transfer Tables'!$E$113:$F$125,2,FALSE),FALSE),FALSE),
IF($T24=5,_xlfn.IFNA(VLOOKUP($G24,'Data Transfer Tables'!$E$113:$F$125,2,FALSE),FALSE),FALSE),
IF($T24=6,_xlfn.IFNA(VLOOKUP($G24,'Data Transfer Tables'!$E$113:$F$125,2,FALSE),FALSE),FALSE),
IF($T24=7,_xlfn.IFNA(VLOOKUP($G24,'Data Transfer Tables'!$E$113:$F$125,2,FALSE),FALSE),FALSE),
IF($T24=8,_xlfn.IFNA(VLOOKUP($G24,'Data Transfer Tables'!$E$113:$F$125,2,FALSE),FALSE),FALSE),
IF($T24=9,_xlfn.IFNA(VLOOKUP($G24,'Data Transfer Tables'!$E$113:$F$125,2,FALSE),FALSE),FALSE),
IF($T24=10,_xlfn.IFNA(VLOOKUP($G24,'Data Transfer Tables'!$E$113:$F$125,2,FALSE),FALSE),FALSE),
IF($T24=11,_xlfn.IFNA(VLOOKUP($G24,'Data Transfer Tables'!$E$113:$F$125,2,FALSE),FALSE),FALSE),
IF($T24=12,_xlfn.IFNA(VLOOKUP($G24,'Data Transfer Tables'!$E$113:$F$125,2,FALSE),FALSE),FALSE),
IF($T24=13,_xlfn.IFNA(VLOOKUP($G24,'Data Transfer Tables'!$E$113:$F$125,2,FALSE),FALSE),FALSE),
IF($T24=14,_xlfn.IFNA(VLOOKUP($G24,'Data Transfer Tables'!$E$113:$F$125,2,FALSE),FALSE),FALSE),
IF($T24=15,_xlfn.IFNA(VLOOKUP($G24,'Data Transfer Tables'!$E$113:$F$125,2,FALSE),FALSE),FALSE),
IF($T24=16,_xlfn.IFNA(VLOOKUP($G24,'Data Transfer Tables'!$E$113:$F$125,2,FALSE),FALSE),FALSE),
IF($T24=17,_xlfn.IFNA(VLOOKUP($G24,'Data Transfer Tables'!$E$113:$F$125,2,FALSE),FALSE),FALSE),
IF($T24=18,_xlfn.IFNA(VLOOKUP($G24,'Data Transfer Tables'!$E$113:$F$125,2,FALSE),FALSE),FALSE),
IF($T24=19,_xlfn.IFNA(VLOOKUP($G24,'Data Transfer Tables'!$E$113:$F$125,2,FALSE),FALSE),FALSE),
IF($T24=20,_xlfn.IFNA(VLOOKUP($G24,'Data Transfer Tables'!$E$113:$F$125,2,FALSE),FALSE),FALSE),
IF($T24=21,_xlfn.IFNA(VLOOKUP($G24,'Data Transfer Tables'!$E$113:$F$125,2,FALSE),FALSE),FALSE),
IF($T24=22,_xlfn.IFNA(VLOOKUP($G24,'Data Transfer Tables'!$E$113:$F$125,2,FALSE),FALSE),FALSE))</f>
        <v>0</v>
      </c>
      <c r="AP24" s="196" t="b">
        <f t="shared" si="18"/>
        <v>1</v>
      </c>
      <c r="AQ24" s="211" t="b">
        <f t="shared" si="35"/>
        <v>1</v>
      </c>
      <c r="AR24" s="211" t="b">
        <f t="shared" si="32"/>
        <v>0</v>
      </c>
      <c r="AS24" s="94" t="b">
        <f t="shared" si="19"/>
        <v>1</v>
      </c>
      <c r="AT24" s="140" t="str">
        <f t="shared" si="20"/>
        <v/>
      </c>
      <c r="AU24" s="226" t="str">
        <f t="shared" si="63"/>
        <v>N/A</v>
      </c>
      <c r="AV24" s="226" t="str">
        <f t="shared" si="64"/>
        <v>N/A</v>
      </c>
      <c r="AW24" s="32" t="str">
        <f t="shared" si="65"/>
        <v>N/A</v>
      </c>
      <c r="AX24" s="32" t="b">
        <f t="shared" si="33"/>
        <v>0</v>
      </c>
      <c r="AY24" s="32" t="str">
        <f t="shared" si="34"/>
        <v/>
      </c>
      <c r="AZ24" s="32" t="str">
        <f t="shared" si="24"/>
        <v/>
      </c>
      <c r="BA24" s="32" t="str">
        <f t="shared" si="25"/>
        <v/>
      </c>
      <c r="BB24" s="32" t="str">
        <f t="shared" si="26"/>
        <v/>
      </c>
      <c r="BC24" s="32" t="str">
        <f t="shared" si="27"/>
        <v/>
      </c>
      <c r="BD24" s="32" t="str">
        <f t="shared" si="28"/>
        <v/>
      </c>
    </row>
    <row r="25" spans="1:56" s="33" customFormat="1" ht="13.5" thickBot="1" x14ac:dyDescent="0.25">
      <c r="A25" s="63" t="s">
        <v>673</v>
      </c>
      <c r="B25" s="63" t="s">
        <v>44</v>
      </c>
      <c r="C25" s="63" t="s">
        <v>44</v>
      </c>
      <c r="D25" s="63" t="s">
        <v>44</v>
      </c>
      <c r="E25" s="63" t="s">
        <v>44</v>
      </c>
      <c r="F25" s="63" t="s">
        <v>44</v>
      </c>
      <c r="G25" s="63" t="s">
        <v>44</v>
      </c>
      <c r="H25" s="99" t="b">
        <v>1</v>
      </c>
      <c r="I25" s="99" t="b">
        <v>1</v>
      </c>
      <c r="J25" s="99" t="b">
        <v>1</v>
      </c>
      <c r="K25" s="138" t="b">
        <f t="shared" ref="K25" si="66">IF(AND(W25=TRUE,X25=TRUE,AR25=FALSE),FALSE,IF(AND(W25=FALSE,X25=FALSE,AR25=FALSE),TRUE,IF(AND(AS25,AU25,AQ25,W25,X25,AR25),TRUE,FALSE)))</f>
        <v>1</v>
      </c>
      <c r="L25" s="62" t="b">
        <f t="shared" ref="L25" si="67">IF(AND(W25=TRUE,X25=TRUE,AR25=FALSE),FALSE,IF(AND(W25=FALSE,X25=FALSE,AR25=FALSE),TRUE,IF(AND(AS25,AV25,AQ25,W25,X25,AR25),TRUE,FALSE)))</f>
        <v>1</v>
      </c>
      <c r="M25" s="62" t="b">
        <f t="shared" ref="M25" si="68">IF(AND(W25=TRUE,X25=TRUE,AR25=FALSE),FALSE,IF(AND(W25=FALSE,X25=FALSE,AR25=FALSE),TRUE,IF(AND(AS25,AW25,AQ25,W25,X25,AR25),TRUE,FALSE)))</f>
        <v>1</v>
      </c>
      <c r="N25" s="55"/>
      <c r="O25" s="32"/>
      <c r="P25" s="46"/>
      <c r="Q25" s="46"/>
      <c r="S25" s="32" t="str">
        <f t="shared" ref="S25" si="69">IF(V25=0,"N/A",AND(AB25,AE25,AH25,AK25, AO25, H25, I25, J25))</f>
        <v>N/A</v>
      </c>
      <c r="T25" s="221">
        <f t="shared" ref="T25" si="70">IF(AND(V25=11,D25="Does Not Use"), 12, IF(AND(V25=6, D25="Does Not Use", E25="Does Not Use"), 8, IF(AND(V25=6, D25="Does Not Use"), 7,V25)))</f>
        <v>0</v>
      </c>
      <c r="U25" s="51" t="b">
        <f t="shared" ref="U25" si="71">IF(OR(S25="N/A",S25=TRUE),TRUE,FALSE)</f>
        <v>1</v>
      </c>
      <c r="V25" s="74">
        <f>_xlfn.IFNA(VLOOKUP(B25,'Data Transfer Tables'!$A$111:$B$131,2),0)</f>
        <v>0</v>
      </c>
      <c r="W25" s="74" t="b">
        <f t="shared" ref="W25" si="72">IF(OR(A25="&lt;Enter OMS Data Transfer&gt;", A25=""),FALSE,TRUE)</f>
        <v>0</v>
      </c>
      <c r="X25" s="74" t="b">
        <f t="shared" ref="X25" si="73">IF(OR(B25="&lt;select&gt;", B25=""),FALSE,TRUE)</f>
        <v>0</v>
      </c>
      <c r="Y25" s="222" t="b">
        <f t="shared" ref="Y25" si="74">IF(B25="&lt;select&gt;",TRUE,FALSE)</f>
        <v>1</v>
      </c>
      <c r="Z25" s="210" t="b">
        <f>OR(IF($T25=1,_xlfn.IFNA(VLOOKUP($C25,'Data Transfer Tables'!$B$144:$C$153,2,FALSE),FALSE),FALSE),
IF($T25=2,_xlfn.IFNA(VLOOKUP($C25,'Data Transfer Tables'!$B$158:$C$167,2,FALSE),FALSE),FALSE),
IF($T25=3,_xlfn.IFNA(VLOOKUP($C25,'Data Transfer Tables'!$B$172:$C$181,2,FALSE),FALSE),FALSE),
IF($T25=4,_xlfn.IFNA(VLOOKUP($C25,'Data Transfer Tables'!$B$186:$C$195,2,FALSE),FALSE),FALSE),
IF($T25=5,_xlfn.IFNA(VLOOKUP($C25,'Data Transfer Tables'!$B$200:$C$209,2,FALSE),FALSE),FALSE),
IF($T25=6,_xlfn.IFNA(VLOOKUP($C25,'Data Transfer Tables'!$B$214:$C$223,2,FALSE),FALSE),FALSE),
IF($T25=7,_xlfn.IFNA(VLOOKUP($C25,'Data Transfer Tables'!$B$228:$C$237,2,FALSE),FALSE),FALSE),
IF($T25=8,_xlfn.IFNA(VLOOKUP($C25,'Data Transfer Tables'!$B$242:$C$251,2,FALSE),FALSE),FALSE),
IF($T25=9,_xlfn.IFNA(VLOOKUP($C25,'Data Transfer Tables'!$B$256:$C$266,2,FALSE),FALSE),FALSE),
IF($T25=10,_xlfn.IFNA(VLOOKUP($C25,'Data Transfer Tables'!$B$271:$C$281,2,FALSE),FALSE),FALSE),
IF($T25=11,_xlfn.IFNA(VLOOKUP($C25,'Data Transfer Tables'!$B$286:$C$295,2,FALSE),FALSE),FALSE),
IF($T25=12,_xlfn.IFNA(VLOOKUP($C25,'Data Transfer Tables'!$B$300:$C$309,2,FALSE),FALSE),FALSE),
IF($T25=13,_xlfn.IFNA(VLOOKUP($C25,'Data Transfer Tables'!$B$314:$C$323,2,FALSE),FALSE),FALSE),
IF($T25=14,_xlfn.IFNA(VLOOKUP($C25,'Data Transfer Tables'!$B$328:$C$338,2,FALSE),FALSE),FALSE),
IF($T25=15,_xlfn.IFNA(VLOOKUP($C25,'Data Transfer Tables'!$B$343:$C$353,2,FALSE),FALSE),FALSE),
IF($T25=16,_xlfn.IFNA(VLOOKUP($C25,'Data Transfer Tables'!$B$358:$C$369,2,FALSE),FALSE),FALSE),
IF($T25=17,_xlfn.IFNA(VLOOKUP($C25,'Data Transfer Tables'!$B$374:$C$384,2,FALSE),FALSE),FALSE),
IF($T25=18,_xlfn.IFNA(VLOOKUP($C25,'Data Transfer Tables'!$B$389:$C$399,2,FALSE),FALSE),FALSE),
IF($T25=19,_xlfn.IFNA(VLOOKUP($C25,'Data Transfer Tables'!$B$404:$C$414,2,FALSE),FALSE),FALSE),
IF($T25=20,_xlfn.IFNA(VLOOKUP($C25,'Data Transfer Tables'!$B$419:$C$429,2,FALSE),FALSE),FALSE),
IF($T25=21,_xlfn.IFNA(VLOOKUP($C25,'Data Transfer Tables'!$B$434:$C$444,2,FALSE),FALSE),FALSE),
IF($T25=22,_xlfn.IFNA(VLOOKUP($C25,'Data Transfer Tables'!$B$449:$C$459,2,FALSE),FALSE),FALSE))</f>
        <v>0</v>
      </c>
      <c r="AA25" s="210" t="b">
        <f t="shared" ref="AA25" si="75">IF(C25="&lt;select&gt;",TRUE,FALSE)</f>
        <v>1</v>
      </c>
      <c r="AB25" s="222" t="b">
        <f t="shared" ref="AB25" si="76">IF(A25="Does Not Use", TRUE, IF(AND(AA25=FALSE,Z25=TRUE), TRUE))</f>
        <v>0</v>
      </c>
      <c r="AC25" s="146" t="b">
        <f>OR(IF($T25=1,_xlfn.IFNA(VLOOKUP($D25,'Data Transfer Tables'!$E$144:$G$153,2,FALSE),FALSE),FALSE),
IF($T25=2,_xlfn.IFNA(VLOOKUP($D25,'Data Transfer Tables'!$E$158:$G$167,2,FALSE),FALSE),FALSE),
IF($T25=3,_xlfn.IFNA(VLOOKUP($D25,'Data Transfer Tables'!$E$172:$G$181,2,FALSE),FALSE),FALSE),
IF($T25=4,_xlfn.IFNA(VLOOKUP($D25,'Data Transfer Tables'!$E$186:$G$195,2,FALSE),FALSE),FALSE),
IF($T25=5,_xlfn.IFNA(VLOOKUP($D25,'Data Transfer Tables'!$E$200:$G$209,2,FALSE),FALSE),FALSE),
IF($T25=6,_xlfn.IFNA(VLOOKUP($D25,'Data Transfer Tables'!$E$214:$G$223,2,FALSE),FALSE),FALSE),
IF($T25=7,_xlfn.IFNA(VLOOKUP($D25,'Data Transfer Tables'!$E$228:$G$237,2,FALSE),FALSE),FALSE),
IF($T25=8,_xlfn.IFNA(VLOOKUP($D25,'Data Transfer Tables'!$E$242:$G$251,2,FALSE),FALSE),FALSE),
IF($T25=9,_xlfn.IFNA(VLOOKUP($D25,'Data Transfer Tables'!$E$256:$G$266,2,FALSE),FALSE),FALSE),
IF($T25=10,_xlfn.IFNA(VLOOKUP($D25,'Data Transfer Tables'!$E$271:$G$281,2,FALSE),FALSE),FALSE),
IF($T25=11,_xlfn.IFNA(VLOOKUP($D25,'Data Transfer Tables'!$E$286:$G$295,2,FALSE),FALSE),FALSE),
IF($T25=12,_xlfn.IFNA(VLOOKUP($D25,'Data Transfer Tables'!$E$300:$G$309,2,FALSE),FALSE),FALSE),
IF($T25=13,_xlfn.IFNA(VLOOKUP($D25,'Data Transfer Tables'!$E$314:$G$323,2,FALSE),FALSE),FALSE),
IF($T25=14,_xlfn.IFNA(VLOOKUP($D25,'Data Transfer Tables'!$E$328:$G$338,2,FALSE),FALSE),FALSE),
IF($T25=15,_xlfn.IFNA(VLOOKUP($D25,'Data Transfer Tables'!$E$343:$G$353,2,FALSE),FALSE),FALSE),
IF($T25=16,_xlfn.IFNA(VLOOKUP($D25,'Data Transfer Tables'!$E$358:$G$369,2,FALSE),FALSE),FALSE),
IF($T25=17,_xlfn.IFNA(VLOOKUP($D25,'Data Transfer Tables'!$E$374:$G$384,2,FALSE),FALSE),FALSE),
IF($T25=18,_xlfn.IFNA(VLOOKUP($D25,'Data Transfer Tables'!$E$389:$G$399,2,FALSE),FALSE),FALSE),
IF($T25=19,_xlfn.IFNA(VLOOKUP($D25,'Data Transfer Tables'!$E$404:$G$414,2,FALSE),FALSE),FALSE),
IF($T25=20,_xlfn.IFNA(VLOOKUP($D25,'Data Transfer Tables'!$E$419:$G$429,2,FALSE),FALSE),FALSE),
IF($T25=21,_xlfn.IFNA(VLOOKUP($D25,'Data Transfer Tables'!$E$434:$G$444,2,FALSE),FALSE),FALSE),
IF($T25=22,_xlfn.IFNA(VLOOKUP($D25,'Data Transfer Tables'!$E$449:$G$459,2,FALSE),FALSE),FALSE))</f>
        <v>0</v>
      </c>
      <c r="AD25" s="146" t="b">
        <f t="shared" ref="AD25" si="77">IF(D25="&lt;select&gt;",TRUE,FALSE)</f>
        <v>1</v>
      </c>
      <c r="AE25" s="222" t="b">
        <f t="shared" ref="AE25" si="78">IF(D25="Does Not Use", TRUE, IF(AND(AD25=FALSE,AC25=TRUE), TRUE))</f>
        <v>0</v>
      </c>
      <c r="AF25" s="145" t="b">
        <f>OR(IF($T25=1,_xlfn.IFNA(VLOOKUP($E25,'Data Transfer Tables'!$H$144:$I$153,2,FALSE),FALSE),FALSE),
IF($T25=2,_xlfn.IFNA(VLOOKUP($E25,'Data Transfer Tables'!$H$158:$I$167,2,FALSE),FALSE),FALSE),
IF($T25=3,_xlfn.IFNA(VLOOKUP($E25,'Data Transfer Tables'!$H$172:$I$181,2,FALSE),FALSE),FALSE),
IF($T25=4,_xlfn.IFNA(VLOOKUP($E25,'Data Transfer Tables'!$H$186:$I$195,2,FALSE),FALSE),FALSE),
IF($T25=5,_xlfn.IFNA(VLOOKUP($E25,'Data Transfer Tables'!$H$200:$I$209,2,FALSE),FALSE),FALSE),
IF($T25=6,_xlfn.IFNA(VLOOKUP($E25,'Data Transfer Tables'!$H$214:$I$223,2,FALSE),FALSE),FALSE),
IF($T25=7,_xlfn.IFNA(VLOOKUP($E25,'Data Transfer Tables'!$H$228:$I$237,2,FALSE),FALSE),FALSE),
IF($T25=8,_xlfn.IFNA(VLOOKUP($E25,'Data Transfer Tables'!$H$242:$I$251,2,FALSE),FALSE),FALSE),
IF($T25=9,_xlfn.IFNA(VLOOKUP($E25,'Data Transfer Tables'!$H$256:$I$266,2,FALSE),FALSE),FALSE),
IF($T25=10,_xlfn.IFNA(VLOOKUP($E25,'Data Transfer Tables'!$H$271:$I$281,2,FALSE),FALSE),FALSE),
IF($T25=11,_xlfn.IFNA(VLOOKUP($E25,'Data Transfer Tables'!$H$286:$I$295,2,FALSE),FALSE),FALSE),
IF($T25=12,_xlfn.IFNA(VLOOKUP($E25,'Data Transfer Tables'!$H$300:$I$309,2,FALSE),FALSE),FALSE),
IF($T25=13,_xlfn.IFNA(VLOOKUP($E25,'Data Transfer Tables'!$H$314:$I$323,2,FALSE),FALSE),FALSE),
IF($T25=14,_xlfn.IFNA(VLOOKUP($E25,'Data Transfer Tables'!$H$328:$I$338,2,FALSE),FALSE),FALSE),
IF($T25=15,_xlfn.IFNA(VLOOKUP($E25,'Data Transfer Tables'!$H$343:$I$353,2,FALSE),FALSE),FALSE),
IF($T25=16,_xlfn.IFNA(VLOOKUP($E25,'Data Transfer Tables'!$H$358:$I$369,2,FALSE),FALSE),FALSE),
IF($T25=17,_xlfn.IFNA(VLOOKUP($E25,'Data Transfer Tables'!$H$374:$I$384,2,FALSE),FALSE),FALSE),
IF($T25=18,_xlfn.IFNA(VLOOKUP($E25,'Data Transfer Tables'!$H$389:$I$399,2,FALSE),FALSE),FALSE),
IF($T25=19,_xlfn.IFNA(VLOOKUP($E25,'Data Transfer Tables'!$H$404:$I$414,2,FALSE),FALSE),FALSE),
IF($T25=20,_xlfn.IFNA(VLOOKUP($E25,'Data Transfer Tables'!$H$419:$I$429,2,FALSE),FALSE),FALSE),
IF($T25=21,_xlfn.IFNA(VLOOKUP($E25,'Data Transfer Tables'!$H$434:$I$444,2,FALSE),FALSE),FALSE),
IF($T25=22,_xlfn.IFNA(VLOOKUP($E25,'Data Transfer Tables'!$H$449:$I$459,2,FALSE),FALSE),FALSE))</f>
        <v>0</v>
      </c>
      <c r="AG25" s="145" t="b">
        <f t="shared" ref="AG25" si="79">IF(E25="&lt;select&gt;",TRUE,FALSE)</f>
        <v>1</v>
      </c>
      <c r="AH25" s="223" t="b">
        <f t="shared" ref="AH25" si="80">IF(E25="Does Not Use", TRUE, IF(AND(AG25=FALSE,AF25=TRUE), TRUE))</f>
        <v>0</v>
      </c>
      <c r="AI25" s="147" t="b">
        <f>OR(IF($T25=1,_xlfn.IFNA(VLOOKUP($F25,'Data Transfer Tables'!$K$144:$L$153,2,FALSE),FALSE),FALSE),
IF($T25=2,_xlfn.IFNA(VLOOKUP($F25,'Data Transfer Tables'!$K$158:$L$167,2,FALSE),FALSE),FALSE),
IF($T25=3,_xlfn.IFNA(VLOOKUP($F25,'Data Transfer Tables'!$K$172:$L$181,2,FALSE),FALSE),FALSE),
IF($T25=4,_xlfn.IFNA(VLOOKUP($F25,'Data Transfer Tables'!$K$186:$L$195,2,FALSE),FALSE),FALSE),
IF($T25=5,_xlfn.IFNA(VLOOKUP($F25,'Data Transfer Tables'!$K$200:$L$209,2,FALSE),FALSE),FALSE),
IF($T25=6,_xlfn.IFNA(VLOOKUP($F25,'Data Transfer Tables'!$K$214:$L$223,2,FALSE),FALSE),FALSE),
IF($T25=7,_xlfn.IFNA(VLOOKUP($F25,'Data Transfer Tables'!$K$228:$L$237,2,FALSE),FALSE),FALSE),
IF($T25=8,_xlfn.IFNA(VLOOKUP($F25,'Data Transfer Tables'!$K$242:$L$251,2,FALSE),FALSE),FALSE),
IF($T25=9,_xlfn.IFNA(VLOOKUP($F25,'Data Transfer Tables'!$K$256:$L$266,2,FALSE),FALSE),FALSE),
IF($T25=10,_xlfn.IFNA(VLOOKUP($F25,'Data Transfer Tables'!$K$271:$L$281,2,FALSE),FALSE),FALSE),
IF($T25=11,_xlfn.IFNA(VLOOKUP($F25,'Data Transfer Tables'!$K$286:$L$295,2,FALSE),FALSE),FALSE),
IF($T25=12,_xlfn.IFNA(VLOOKUP($F25,'Data Transfer Tables'!$K$300:$L$309,2,FALSE),FALSE),FALSE),
IF($T25=13,_xlfn.IFNA(VLOOKUP($F25,'Data Transfer Tables'!$K$314:$L$323,2,FALSE),FALSE),FALSE),
IF($T25=14,_xlfn.IFNA(VLOOKUP($F25,'Data Transfer Tables'!$K$328:$L$338,2,FALSE),FALSE),FALSE),
IF($T25=15,_xlfn.IFNA(VLOOKUP($F25,'Data Transfer Tables'!$K$343:$L$353,2,FALSE),FALSE),FALSE),
IF($T25=16,_xlfn.IFNA(VLOOKUP($F25,'Data Transfer Tables'!$K$358:$L$369,2,FALSE),FALSE),FALSE),
IF($T25=17,_xlfn.IFNA(VLOOKUP($F25,'Data Transfer Tables'!$K$374:$L$384,2,FALSE),FALSE),FALSE),
IF($T25=18,_xlfn.IFNA(VLOOKUP($F25,'Data Transfer Tables'!$K$389:$L$399,2,FALSE),FALSE),FALSE),
IF($T25=19,_xlfn.IFNA(VLOOKUP($F25,'Data Transfer Tables'!$K$404:$L$414,2,FALSE),FALSE),FALSE),
IF($T25=20,_xlfn.IFNA(VLOOKUP($F25,'Data Transfer Tables'!$K$419:$L$429,2,FALSE),FALSE),FALSE),
IF($T25=21,_xlfn.IFNA(VLOOKUP($F25,'Data Transfer Tables'!$K$434:$L$444,2,FALSE),FALSE),FALSE),
IF($T25=22,_xlfn.IFNA(VLOOKUP($F25,'Data Transfer Tables'!$K$449:$L$459,2,FALSE),FALSE),FALSE))</f>
        <v>0</v>
      </c>
      <c r="AJ25" s="147" t="b">
        <f t="shared" ref="AJ25" si="81">IF(F25="&lt;select&gt;",TRUE,FALSE)</f>
        <v>1</v>
      </c>
      <c r="AK25" s="224" t="b">
        <f t="shared" ref="AK25" si="82">IF(F25="Does Not Use", TRUE, IF(AND(AJ25=FALSE,AI25=TRUE), TRUE))</f>
        <v>0</v>
      </c>
      <c r="AL25" s="225" t="b">
        <f t="shared" ref="AL25" si="83">IF(OR(AND(OR(D25="Not Allowed", D25= "Does Not Apply", D25="N/A", D25="Does Not Use"), OR(E25="Not Allowed", E25= "Does Not Apply", E25="N/A", E25="Does Not Use"))),TRUE,
IF(OR(AND(OR(D25="Not Allowed", D25= "Does Not Apply", D25="N/A", D25="Does Not Use"), OR(F25="Not Allowed", F25= "Does Not Apply", F25="N/A", F25="Does Not Use"))),TRUE,
IF(OR(AND(OR(E25="Not Allowed", E25= "Does Not Apply", E25="N/A", E25="Does Not Use"), OR(F25="Not Allowed", F25= "Does Not Apply", F25="N/A", F25="Does Not Use"))),TRUE)))</f>
        <v>0</v>
      </c>
      <c r="AM25" s="225" t="b">
        <f t="shared" ref="AM25" si="84">IF(AND(AL25=TRUE, AND(AE25=TRUE, AH25=TRUE, AK25=TRUE)), TRUE)</f>
        <v>0</v>
      </c>
      <c r="AN25" s="225" t="b">
        <f t="shared" ref="AN25" si="85">IF(AND(Y25=FALSE, AA25=FALSE, AD25=FALSE, AG25=FALSE, AJ25=FALSE), TRUE, FALSE)</f>
        <v>0</v>
      </c>
      <c r="AO25" s="196" t="b">
        <f>OR(IF($T25=1,_xlfn.IFNA(VLOOKUP($G25,'Data Transfer Tables'!$E$113:$F$125,2,FALSE),FALSE),FALSE),
IF($T25=2,_xlfn.IFNA(VLOOKUP($G25,'Data Transfer Tables'!$E$113:$F$125,2,FALSE),FALSE),FALSE),
IF($T25=3,_xlfn.IFNA(VLOOKUP($G25,'Data Transfer Tables'!$E$113:$F$125,2,FALSE),FALSE),FALSE),
IF($T25=4,_xlfn.IFNA(VLOOKUP($G25,'Data Transfer Tables'!$E$113:$F$125,2,FALSE),FALSE),FALSE),
IF($T25=5,_xlfn.IFNA(VLOOKUP($G25,'Data Transfer Tables'!$E$113:$F$125,2,FALSE),FALSE),FALSE),
IF($T25=6,_xlfn.IFNA(VLOOKUP($G25,'Data Transfer Tables'!$E$113:$F$125,2,FALSE),FALSE),FALSE),
IF($T25=7,_xlfn.IFNA(VLOOKUP($G25,'Data Transfer Tables'!$E$113:$F$125,2,FALSE),FALSE),FALSE),
IF($T25=8,_xlfn.IFNA(VLOOKUP($G25,'Data Transfer Tables'!$E$113:$F$125,2,FALSE),FALSE),FALSE),
IF($T25=9,_xlfn.IFNA(VLOOKUP($G25,'Data Transfer Tables'!$E$113:$F$125,2,FALSE),FALSE),FALSE),
IF($T25=10,_xlfn.IFNA(VLOOKUP($G25,'Data Transfer Tables'!$E$113:$F$125,2,FALSE),FALSE),FALSE),
IF($T25=11,_xlfn.IFNA(VLOOKUP($G25,'Data Transfer Tables'!$E$113:$F$125,2,FALSE),FALSE),FALSE),
IF($T25=12,_xlfn.IFNA(VLOOKUP($G25,'Data Transfer Tables'!$E$113:$F$125,2,FALSE),FALSE),FALSE),
IF($T25=13,_xlfn.IFNA(VLOOKUP($G25,'Data Transfer Tables'!$E$113:$F$125,2,FALSE),FALSE),FALSE),
IF($T25=14,_xlfn.IFNA(VLOOKUP($G25,'Data Transfer Tables'!$E$113:$F$125,2,FALSE),FALSE),FALSE),
IF($T25=15,_xlfn.IFNA(VLOOKUP($G25,'Data Transfer Tables'!$E$113:$F$125,2,FALSE),FALSE),FALSE),
IF($T25=16,_xlfn.IFNA(VLOOKUP($G25,'Data Transfer Tables'!$E$113:$F$125,2,FALSE),FALSE),FALSE),
IF($T25=17,_xlfn.IFNA(VLOOKUP($G25,'Data Transfer Tables'!$E$113:$F$125,2,FALSE),FALSE),FALSE),
IF($T25=18,_xlfn.IFNA(VLOOKUP($G25,'Data Transfer Tables'!$E$113:$F$125,2,FALSE),FALSE),FALSE),
IF($T25=19,_xlfn.IFNA(VLOOKUP($G25,'Data Transfer Tables'!$E$113:$F$125,2,FALSE),FALSE),FALSE),
IF($T25=20,_xlfn.IFNA(VLOOKUP($G25,'Data Transfer Tables'!$E$113:$F$125,2,FALSE),FALSE),FALSE),
IF($T25=21,_xlfn.IFNA(VLOOKUP($G25,'Data Transfer Tables'!$E$113:$F$125,2,FALSE),FALSE),FALSE),
IF($T25=22,_xlfn.IFNA(VLOOKUP($G25,'Data Transfer Tables'!$E$113:$F$125,2,FALSE),FALSE),FALSE))</f>
        <v>0</v>
      </c>
      <c r="AP25" s="196" t="b">
        <f t="shared" ref="AP25" si="86">IF(G25="&lt;select&gt;",TRUE,FALSE)</f>
        <v>1</v>
      </c>
      <c r="AQ25" s="211" t="b">
        <f t="shared" ref="AQ25" si="87">IF(V25=0, TRUE, IF(AND(AB25=TRUE, AM25, AO25=TRUE), TRUE,FALSE))</f>
        <v>1</v>
      </c>
      <c r="AR25" s="211" t="b">
        <f t="shared" ref="AR25" si="88">AND(AB25=TRUE, AE25=TRUE, AH25=TRUE, AK25=TRUE, AO25=TRUE, X25=TRUE)</f>
        <v>0</v>
      </c>
      <c r="AS25" s="94" t="b">
        <f t="shared" ref="AS25" si="89">AND(H25:J25)</f>
        <v>1</v>
      </c>
      <c r="AT25" s="140" t="str">
        <f t="shared" ref="AT25" si="90">IF(S25="N/A","",
IF(AND(D25="Does Not Use", E25="Does Not Use", F25="Does Not Use"), FALSE,
 IF(B25="Non-OMS Data Transfer","1_TESTNON",
  IF(S25=TRUE,
   IF(AND(OR(D25="Does Not Apply", D25="Does Not Use"),OR(E25="Does Not Apply", E25="Does Not Use"), B25="Mission Data Files (MDFs)"),"1",
    IF(AND(OR(D25="Does Not Apply", D25="Does Not Use"),OR(B25="Mission Data Files (MDFs)", B25="Complex Sensor Data")),"2","3")),"1"))))</f>
        <v/>
      </c>
      <c r="AU25" s="226" t="str">
        <f t="shared" si="63"/>
        <v>N/A</v>
      </c>
      <c r="AV25" s="226" t="str">
        <f t="shared" si="64"/>
        <v>N/A</v>
      </c>
      <c r="AW25" s="32" t="str">
        <f t="shared" si="65"/>
        <v>N/A</v>
      </c>
      <c r="AX25" s="32" t="b">
        <f t="shared" si="33"/>
        <v>0</v>
      </c>
      <c r="AY25" s="32" t="str">
        <f t="shared" ref="AY25" si="91">IF(AX25=TRUE, TRUE, "")</f>
        <v/>
      </c>
      <c r="AZ25" s="32" t="str">
        <f t="shared" ref="AZ25" si="92">IF(V25=0, "", IF(AND(V25&lt;&gt;0,Z25=FALSE), FALSE,TRUE))</f>
        <v/>
      </c>
      <c r="BA25" s="32" t="str">
        <f t="shared" ref="BA25" si="93">IF(V25=0, "", IF(AND(V25&lt;&gt;0,AC25=FALSE), FALSE,TRUE))</f>
        <v/>
      </c>
      <c r="BB25" s="32" t="str">
        <f t="shared" ref="BB25" si="94">IF(V25=0, "", IF(AND(V25&lt;&gt;0,AF25=FALSE), FALSE,TRUE))</f>
        <v/>
      </c>
      <c r="BC25" s="32" t="str">
        <f t="shared" ref="BC25" si="95">IF(V25=0, "", IF(AND(V25&lt;&gt;0,AI25=FALSE), FALSE,TRUE))</f>
        <v/>
      </c>
      <c r="BD25" s="32" t="str">
        <f t="shared" ref="BD25" si="96">IF(V25=0, "", IF(AND(V25&lt;&gt;0,AO25=FALSE), FALSE,TRUE))</f>
        <v/>
      </c>
    </row>
    <row r="26" spans="1:56" s="33" customFormat="1" x14ac:dyDescent="0.2">
      <c r="O26" s="32"/>
      <c r="P26" s="46"/>
      <c r="Q26" s="46"/>
      <c r="S26" s="32"/>
      <c r="T26" s="217"/>
      <c r="U26" s="32"/>
      <c r="V26" s="32"/>
      <c r="W26" s="32"/>
      <c r="X26" s="74"/>
      <c r="Y26" s="74"/>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row>
    <row r="27" spans="1:56" s="33" customFormat="1" ht="39.75" customHeight="1" x14ac:dyDescent="0.2">
      <c r="O27" s="32"/>
      <c r="P27" s="46"/>
      <c r="Q27" s="46"/>
      <c r="S27" s="32"/>
      <c r="T27" s="217"/>
      <c r="U27" s="32"/>
      <c r="V27" s="32"/>
      <c r="W27" s="32"/>
      <c r="X27" s="74"/>
      <c r="Y27" s="74"/>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row>
    <row r="28" spans="1:56" s="46" customFormat="1" x14ac:dyDescent="0.2">
      <c r="A28" s="34" t="s">
        <v>207</v>
      </c>
      <c r="B28" s="136"/>
      <c r="C28" s="136"/>
      <c r="D28" s="136"/>
      <c r="E28" s="136"/>
      <c r="F28" s="136"/>
      <c r="O28" s="32"/>
      <c r="P28" s="33"/>
      <c r="Q28" s="33"/>
      <c r="S28" s="217"/>
      <c r="T28" s="217"/>
      <c r="U28" s="217"/>
      <c r="V28" s="217"/>
      <c r="W28" s="217"/>
      <c r="X28" s="74"/>
      <c r="Y28" s="74"/>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217"/>
      <c r="AZ28" s="217"/>
      <c r="BA28" s="217"/>
      <c r="BB28" s="217"/>
      <c r="BC28" s="217"/>
      <c r="BD28" s="217"/>
    </row>
    <row r="29" spans="1:56" s="46" customFormat="1" x14ac:dyDescent="0.2">
      <c r="A29" s="34" t="s">
        <v>208</v>
      </c>
      <c r="B29" s="136"/>
      <c r="C29" s="136"/>
      <c r="D29" s="136"/>
      <c r="E29" s="136"/>
      <c r="F29" s="136"/>
      <c r="P29" s="33"/>
      <c r="Q29" s="33"/>
      <c r="S29" s="217"/>
      <c r="T29" s="217"/>
      <c r="U29" s="217"/>
      <c r="V29" s="217"/>
      <c r="W29" s="217"/>
      <c r="X29" s="217"/>
      <c r="Y29" s="217"/>
      <c r="Z29" s="217"/>
      <c r="AA29" s="217"/>
      <c r="AB29" s="217"/>
      <c r="AC29" s="217"/>
      <c r="AD29" s="217"/>
      <c r="AE29" s="217"/>
      <c r="AF29" s="217"/>
      <c r="AG29" s="217"/>
      <c r="AH29" s="217"/>
      <c r="AI29" s="217"/>
      <c r="AJ29" s="217"/>
      <c r="AK29" s="217"/>
      <c r="AL29" s="217"/>
      <c r="AM29" s="217"/>
      <c r="AN29" s="217"/>
      <c r="AO29" s="217"/>
      <c r="AP29" s="217"/>
      <c r="AQ29" s="217"/>
      <c r="AR29" s="217"/>
      <c r="AS29" s="217"/>
      <c r="AT29" s="217"/>
      <c r="AU29" s="217"/>
      <c r="AV29" s="217"/>
      <c r="AW29" s="217"/>
      <c r="AX29" s="217"/>
      <c r="AY29" s="217"/>
      <c r="AZ29" s="217"/>
      <c r="BA29" s="217"/>
      <c r="BB29" s="217"/>
      <c r="BC29" s="217"/>
      <c r="BD29" s="217"/>
    </row>
    <row r="30" spans="1:56" s="46" customFormat="1" ht="13.5" thickBot="1" x14ac:dyDescent="0.25">
      <c r="A30" s="34" t="s">
        <v>217</v>
      </c>
      <c r="B30" s="136"/>
      <c r="C30" s="136"/>
      <c r="D30" s="136"/>
      <c r="E30" s="136"/>
      <c r="F30" s="136"/>
      <c r="P30" s="33"/>
      <c r="Q30" s="33"/>
      <c r="S30" s="217"/>
      <c r="T30" s="217"/>
      <c r="U30" s="217"/>
      <c r="V30" s="217"/>
      <c r="W30" s="217"/>
      <c r="X30" s="217"/>
      <c r="Y30" s="217"/>
      <c r="Z30" s="217"/>
      <c r="AA30" s="217"/>
      <c r="AB30" s="217"/>
      <c r="AC30" s="217"/>
      <c r="AD30" s="217"/>
      <c r="AE30" s="217"/>
      <c r="AF30" s="217"/>
      <c r="AG30" s="217"/>
      <c r="AH30" s="217"/>
      <c r="AI30" s="217"/>
      <c r="AJ30" s="217"/>
      <c r="AK30" s="217"/>
      <c r="AL30" s="217"/>
      <c r="AM30" s="217"/>
      <c r="AN30" s="217"/>
      <c r="AO30" s="217"/>
      <c r="AP30" s="217"/>
      <c r="AQ30" s="217"/>
      <c r="AR30" s="217"/>
      <c r="AS30" s="217"/>
      <c r="AT30" s="217"/>
      <c r="AU30" s="217"/>
      <c r="AV30" s="217"/>
      <c r="AW30" s="217"/>
      <c r="AX30" s="217"/>
      <c r="AY30" s="217"/>
      <c r="AZ30" s="217"/>
      <c r="BA30" s="217"/>
      <c r="BB30" s="217"/>
      <c r="BC30" s="217"/>
      <c r="BD30" s="217"/>
    </row>
    <row r="31" spans="1:56" s="40" customFormat="1" ht="19.5" thickBot="1" x14ac:dyDescent="0.25">
      <c r="A31" s="34" t="s">
        <v>209</v>
      </c>
      <c r="B31" s="34"/>
      <c r="C31" s="34"/>
      <c r="D31" s="34"/>
      <c r="E31" s="34"/>
      <c r="F31" s="34"/>
      <c r="G31" s="32"/>
      <c r="P31" s="32"/>
      <c r="Q31" s="32"/>
      <c r="S31" s="56" t="s">
        <v>373</v>
      </c>
      <c r="T31" s="56" t="s">
        <v>375</v>
      </c>
      <c r="U31" s="32" t="s">
        <v>23</v>
      </c>
      <c r="V31" s="217"/>
      <c r="W31" s="284" t="s">
        <v>467</v>
      </c>
      <c r="X31" s="285"/>
      <c r="Y31" s="217"/>
      <c r="Z31" s="231" t="s">
        <v>547</v>
      </c>
      <c r="AA31" s="231" t="s">
        <v>456</v>
      </c>
      <c r="AB31" s="231" t="s">
        <v>553</v>
      </c>
      <c r="AC31" s="231" t="s">
        <v>466</v>
      </c>
      <c r="AD31" s="217"/>
      <c r="AE31" s="217"/>
      <c r="AF31" s="217"/>
      <c r="AG31" s="217"/>
      <c r="AH31" s="217"/>
      <c r="AI31" s="217"/>
      <c r="AJ31" s="217"/>
      <c r="AK31" s="217"/>
      <c r="AL31" s="217"/>
      <c r="AM31" s="217"/>
      <c r="AN31" s="217"/>
      <c r="AO31" s="217"/>
      <c r="AP31" s="217"/>
      <c r="AQ31" s="217"/>
      <c r="AR31" s="217"/>
      <c r="AS31" s="217"/>
      <c r="AT31" s="217"/>
      <c r="AU31" s="217"/>
      <c r="AV31" s="217"/>
      <c r="AW31" s="217"/>
      <c r="AX31" s="217"/>
      <c r="AY31" s="217"/>
      <c r="AZ31" s="217"/>
      <c r="BA31" s="217"/>
      <c r="BB31" s="217"/>
      <c r="BC31" s="217"/>
      <c r="BD31" s="217"/>
    </row>
    <row r="32" spans="1:56" s="40" customFormat="1" ht="13.5" thickBot="1" x14ac:dyDescent="0.25">
      <c r="A32" s="34" t="s">
        <v>210</v>
      </c>
      <c r="B32" s="34"/>
      <c r="C32" s="34"/>
      <c r="D32" s="34"/>
      <c r="E32" s="34"/>
      <c r="F32" s="34"/>
      <c r="M32" s="32"/>
      <c r="N32" s="32"/>
      <c r="O32" s="32"/>
      <c r="P32" s="32"/>
      <c r="Q32" s="32"/>
      <c r="R32" s="32"/>
      <c r="S32" s="232" t="s">
        <v>468</v>
      </c>
      <c r="T32" s="66" t="b">
        <f>M2</f>
        <v>1</v>
      </c>
      <c r="U32" s="32"/>
      <c r="V32" s="217"/>
      <c r="W32" s="155" t="s">
        <v>411</v>
      </c>
      <c r="X32" s="233" t="e">
        <f>AND(AZ5:AZ24)</f>
        <v>#VALUE!</v>
      </c>
      <c r="Y32" s="217"/>
      <c r="Z32" s="234">
        <f>COUNTIF(W5:W24,TRUE)</f>
        <v>0</v>
      </c>
      <c r="AA32" s="234">
        <f>COUNTIF(AX5:AX24,TRUE)</f>
        <v>0</v>
      </c>
      <c r="AB32" s="234">
        <f>COUNTIF(AA5:AA24,TRUE)</f>
        <v>20</v>
      </c>
      <c r="AC32" s="234" t="str">
        <f>IF(Z32=0,"N/A", IF(AND(AB44=AB32, AB44=AB34, AB44=AB36, AB44=AB38, AB44=AB40),TRUE))</f>
        <v>N/A</v>
      </c>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217"/>
      <c r="AZ32" s="217"/>
      <c r="BA32" s="217"/>
      <c r="BB32" s="217"/>
      <c r="BC32" s="217"/>
      <c r="BD32" s="217"/>
    </row>
    <row r="33" spans="1:28" ht="13.5" thickBot="1" x14ac:dyDescent="0.25">
      <c r="S33" s="235" t="s">
        <v>469</v>
      </c>
      <c r="T33" s="100" t="str">
        <f>IF(ISERROR(X32),"N/A", IF(X32=TRUE,TRUE))</f>
        <v>N/A</v>
      </c>
      <c r="U33" s="32" t="str">
        <f t="shared" ref="U33:U38" si="97">IF(T33="N/A", "No OMS Data Transfer", "Auto Calculated")</f>
        <v>No OMS Data Transfer</v>
      </c>
      <c r="W33" s="155" t="s">
        <v>412</v>
      </c>
      <c r="X33" s="233" t="e">
        <f>AND(BA5:BA24)</f>
        <v>#VALUE!</v>
      </c>
      <c r="AB33" s="234" t="s">
        <v>554</v>
      </c>
    </row>
    <row r="34" spans="1:28" ht="13.5" thickBot="1" x14ac:dyDescent="0.25">
      <c r="A34" s="101" t="s">
        <v>45</v>
      </c>
      <c r="B34" s="65"/>
      <c r="C34" s="65"/>
      <c r="D34" s="65"/>
      <c r="S34" s="235" t="s">
        <v>470</v>
      </c>
      <c r="T34" s="100" t="str">
        <f>IF(ISERROR(X33),"N/A", IF(X33=TRUE,TRUE))</f>
        <v>N/A</v>
      </c>
      <c r="U34" s="32" t="str">
        <f t="shared" si="97"/>
        <v>No OMS Data Transfer</v>
      </c>
      <c r="W34" s="156" t="s">
        <v>413</v>
      </c>
      <c r="X34" s="233" t="e">
        <f>AND(BB5:BB24)</f>
        <v>#VALUE!</v>
      </c>
      <c r="AB34" s="234">
        <f>COUNTIF(AD5:AD24,TRUE)</f>
        <v>20</v>
      </c>
    </row>
    <row r="35" spans="1:28" ht="13.5" thickBot="1" x14ac:dyDescent="0.25">
      <c r="A35" s="34" t="s">
        <v>416</v>
      </c>
      <c r="B35" s="65"/>
      <c r="C35" s="65"/>
      <c r="D35" s="65"/>
      <c r="S35" s="236" t="s">
        <v>471</v>
      </c>
      <c r="T35" s="100" t="str">
        <f>IF(ISERROR(X34),"N/A", IF(X34=TRUE,TRUE))</f>
        <v>N/A</v>
      </c>
      <c r="U35" s="32" t="str">
        <f t="shared" si="97"/>
        <v>No OMS Data Transfer</v>
      </c>
      <c r="W35" s="157" t="s">
        <v>414</v>
      </c>
      <c r="X35" s="237" t="e">
        <f>AND(BC5:BC24)</f>
        <v>#VALUE!</v>
      </c>
      <c r="AB35" s="238" t="s">
        <v>555</v>
      </c>
    </row>
    <row r="36" spans="1:28" ht="13.5" thickBot="1" x14ac:dyDescent="0.25">
      <c r="A36" s="34" t="s">
        <v>46</v>
      </c>
      <c r="B36" s="65"/>
      <c r="C36" s="65"/>
      <c r="D36" s="65"/>
      <c r="S36" s="236" t="s">
        <v>472</v>
      </c>
      <c r="T36" s="100" t="str">
        <f>IF(ISERROR(X35),"N/A", IF(X35=TRUE,TRUE))</f>
        <v>N/A</v>
      </c>
      <c r="U36" s="32" t="str">
        <f t="shared" si="97"/>
        <v>No OMS Data Transfer</v>
      </c>
      <c r="W36" s="156" t="s">
        <v>415</v>
      </c>
      <c r="X36" s="233" t="e">
        <f>AND(BD5:BD24)</f>
        <v>#VALUE!</v>
      </c>
      <c r="AB36" s="234">
        <f>COUNTIF(AG5:AG24,TRUE)</f>
        <v>20</v>
      </c>
    </row>
    <row r="37" spans="1:28" ht="13.5" thickBot="1" x14ac:dyDescent="0.25">
      <c r="A37" s="34" t="s">
        <v>417</v>
      </c>
      <c r="B37" s="65"/>
      <c r="C37" s="65"/>
      <c r="D37" s="65"/>
      <c r="S37" s="239" t="s">
        <v>473</v>
      </c>
      <c r="T37" s="102" t="str">
        <f>IF(ISERROR(X36),"N/A", IF(X36=TRUE,TRUE))</f>
        <v>N/A</v>
      </c>
      <c r="U37" s="32" t="str">
        <f t="shared" si="97"/>
        <v>No OMS Data Transfer</v>
      </c>
      <c r="AB37" s="234" t="s">
        <v>556</v>
      </c>
    </row>
    <row r="38" spans="1:28" ht="13.5" thickBot="1" x14ac:dyDescent="0.25">
      <c r="A38" s="65" t="s">
        <v>389</v>
      </c>
      <c r="B38" s="65"/>
      <c r="C38" s="65"/>
      <c r="D38" s="65"/>
      <c r="S38" s="240" t="s">
        <v>474</v>
      </c>
      <c r="T38" s="103" t="str">
        <f>AC32</f>
        <v>N/A</v>
      </c>
      <c r="U38" s="32" t="str">
        <f t="shared" si="97"/>
        <v>No OMS Data Transfer</v>
      </c>
      <c r="AB38" s="234">
        <f>COUNTIF(AJ5:AJ24,TRUE)</f>
        <v>20</v>
      </c>
    </row>
    <row r="39" spans="1:28" ht="13.5" thickBot="1" x14ac:dyDescent="0.3">
      <c r="A39" s="65" t="s">
        <v>418</v>
      </c>
      <c r="B39" s="65"/>
      <c r="C39" s="65"/>
      <c r="D39" s="65"/>
      <c r="AB39" s="234" t="s">
        <v>561</v>
      </c>
    </row>
    <row r="40" spans="1:28" ht="13.5" thickBot="1" x14ac:dyDescent="0.3">
      <c r="A40" s="72" t="s">
        <v>419</v>
      </c>
      <c r="B40" s="65"/>
      <c r="C40" s="65"/>
      <c r="D40" s="65"/>
      <c r="AB40" s="234">
        <f>COUNTIF(AP5:AP24,TRUE)</f>
        <v>20</v>
      </c>
    </row>
    <row r="41" spans="1:28" ht="13.5" thickBot="1" x14ac:dyDescent="0.3">
      <c r="A41" s="65" t="s">
        <v>420</v>
      </c>
      <c r="AB41" s="234" t="s">
        <v>559</v>
      </c>
    </row>
    <row r="42" spans="1:28" ht="13.5" thickBot="1" x14ac:dyDescent="0.3">
      <c r="A42" s="65" t="s">
        <v>421</v>
      </c>
      <c r="AB42" s="234">
        <f>COUNT(T5:T24)</f>
        <v>20</v>
      </c>
    </row>
    <row r="43" spans="1:28" ht="13.5" thickBot="1" x14ac:dyDescent="0.3">
      <c r="AB43" s="234" t="s">
        <v>560</v>
      </c>
    </row>
    <row r="44" spans="1:28" ht="13.5" thickBot="1" x14ac:dyDescent="0.3">
      <c r="AB44" s="234">
        <f>AB42-Z32</f>
        <v>20</v>
      </c>
    </row>
  </sheetData>
  <sheetProtection algorithmName="SHA-512" hashValue="TtafVaxQFXVzu+uEPtbEBq01aCjcf/q8JFExOMSANSVM5RwBUcu8w5vfZKbQY/upJdCM+bieZZze4sVcHEOUvA==" saltValue="3ZFbXCq1f+lfxFFihgM68w==" spinCount="100000" sheet="1" objects="1" scenarios="1"/>
  <mergeCells count="5">
    <mergeCell ref="B1:J1"/>
    <mergeCell ref="B3:F3"/>
    <mergeCell ref="H3:J3"/>
    <mergeCell ref="K3:M3"/>
    <mergeCell ref="W31:X31"/>
  </mergeCells>
  <conditionalFormatting sqref="A5:A25">
    <cfRule type="notContainsText" dxfId="62" priority="1" operator="notContains" text="&lt;Enter OMS Data Transfer&gt;">
      <formula>ISERROR(SEARCH("&lt;Enter OMS Data Transfer&gt;",A5))</formula>
    </cfRule>
    <cfRule type="containsText" dxfId="61" priority="2" operator="containsText" text="&lt;Enter OMS Data Transfer&gt;">
      <formula>NOT(ISERROR(SEARCH("&lt;Enter OMS Data Transfer&gt;",A5)))</formula>
    </cfRule>
  </conditionalFormatting>
  <conditionalFormatting sqref="B5:G25">
    <cfRule type="notContainsText" dxfId="60" priority="9" operator="notContains" text="&lt;select&gt;">
      <formula>ISERROR(SEARCH("&lt;select&gt;",B5))</formula>
    </cfRule>
    <cfRule type="containsText" dxfId="59" priority="10" operator="containsText" text="&lt;select&gt;">
      <formula>NOT(ISERROR(SEARCH("&lt;select&gt;",B5)))</formula>
    </cfRule>
  </conditionalFormatting>
  <conditionalFormatting sqref="K2:M2">
    <cfRule type="containsText" dxfId="58" priority="3" operator="containsText" text="N/A">
      <formula>NOT(ISERROR(SEARCH("N/A",K2)))</formula>
    </cfRule>
    <cfRule type="containsText" dxfId="57" priority="4" operator="containsText" text="FALSE">
      <formula>NOT(ISERROR(SEARCH("FALSE",K2)))</formula>
    </cfRule>
    <cfRule type="containsText" dxfId="56" priority="5" operator="containsText" text="TRUE">
      <formula>NOT(ISERROR(SEARCH("TRUE",K2)))</formula>
    </cfRule>
  </conditionalFormatting>
  <conditionalFormatting sqref="K5:M25">
    <cfRule type="containsText" dxfId="55" priority="6" operator="containsText" text="N/A">
      <formula>NOT(ISERROR(SEARCH("N/A",K5)))</formula>
    </cfRule>
    <cfRule type="containsText" dxfId="54" priority="11" operator="containsText" text="FALSE">
      <formula>NOT(ISERROR(SEARCH("FALSE",K5)))</formula>
    </cfRule>
    <cfRule type="containsText" dxfId="53" priority="12" operator="containsText" text="TRUE">
      <formula>NOT(ISERROR(SEARCH("TRUE",K5)))</formula>
    </cfRule>
  </conditionalFormatting>
  <conditionalFormatting sqref="N5:N25">
    <cfRule type="notContainsBlanks" dxfId="52" priority="7">
      <formula>LEN(TRIM(N5))&gt;0</formula>
    </cfRule>
    <cfRule type="containsBlanks" dxfId="51" priority="8">
      <formula>LEN(TRIM(N5))=0</formula>
    </cfRule>
  </conditionalFormatting>
  <dataValidations disablePrompts="1" count="1">
    <dataValidation type="list" showInputMessage="1" showErrorMessage="1" sqref="H5:J25" xr:uid="{1D94C56B-48A2-4ADC-9A18-23D36F578C52}">
      <formula1>"TRUE,FALSE"</formula1>
    </dataValidation>
  </dataValidations>
  <pageMargins left="0.45" right="0.45" top="0.75" bottom="0.75" header="0.3" footer="0.3"/>
  <pageSetup fitToWidth="0"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7697316B-5D69-4F3A-B3C2-84279BC268D2}">
          <x14:formula1>
            <xm:f>'Data Transfer Tables'!$G$3:$G$16</xm:f>
          </x14:formula1>
          <xm:sqref>G5:G25</xm:sqref>
        </x14:dataValidation>
        <x14:dataValidation type="list" allowBlank="1" showInputMessage="1" showErrorMessage="1" xr:uid="{0883D229-B373-4317-89BE-8D2B38F90DEE}">
          <x14:formula1>
            <xm:f>'Data Transfer Tables'!$A$3:$A$21</xm:f>
          </x14:formula1>
          <xm:sqref>B5:B25</xm:sqref>
        </x14:dataValidation>
        <x14:dataValidation type="list" allowBlank="1" showInputMessage="1" showErrorMessage="1" xr:uid="{614E4056-043E-4E87-8CB0-4BE934633BAD}">
          <x14:formula1>
            <xm:f>'Data Transfer Tables'!$D$3:$D$19</xm:f>
          </x14:formula1>
          <xm:sqref>E5:E25</xm:sqref>
        </x14:dataValidation>
        <x14:dataValidation type="list" allowBlank="1" showInputMessage="1" showErrorMessage="1" xr:uid="{068324AD-F17D-498D-949A-5A668137DD7A}">
          <x14:formula1>
            <xm:f>'Data Transfer Tables'!$C$3:$C$14</xm:f>
          </x14:formula1>
          <xm:sqref>D5:D25</xm:sqref>
        </x14:dataValidation>
        <x14:dataValidation type="list" allowBlank="1" showInputMessage="1" showErrorMessage="1" xr:uid="{E2B15237-430E-4901-9172-F8B262BA7201}">
          <x14:formula1>
            <xm:f>'Data Transfer Tables'!$E$3:$E$17</xm:f>
          </x14:formula1>
          <xm:sqref>F5:F25</xm:sqref>
        </x14:dataValidation>
        <x14:dataValidation type="list" allowBlank="1" showInputMessage="1" showErrorMessage="1" xr:uid="{8C4D04C7-0012-460A-8FEF-DFCD5A6C2ED2}">
          <x14:formula1>
            <xm:f>'Data Transfer Tables'!$B$3:$B$53</xm:f>
          </x14:formula1>
          <xm:sqref>C5:C25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theme="4"/>
  </sheetPr>
  <dimension ref="A1:BX47"/>
  <sheetViews>
    <sheetView zoomScale="85" zoomScaleNormal="85" workbookViewId="0"/>
  </sheetViews>
  <sheetFormatPr defaultColWidth="25.28515625" defaultRowHeight="12.75" x14ac:dyDescent="0.2"/>
  <cols>
    <col min="1" max="1" width="25.28515625" style="51" customWidth="1"/>
    <col min="2" max="7" width="20.7109375" style="51" customWidth="1"/>
    <col min="8" max="8" width="29.28515625" style="52" customWidth="1"/>
    <col min="9" max="9" width="25.7109375" style="52" customWidth="1"/>
    <col min="10" max="11" width="28.28515625" style="52" customWidth="1"/>
    <col min="12" max="15" width="20" style="51" customWidth="1"/>
    <col min="16" max="16" width="27.85546875" style="51" customWidth="1"/>
    <col min="17" max="17" width="23.5703125" style="51" customWidth="1"/>
    <col min="18" max="18" width="20" style="51" customWidth="1"/>
    <col min="19" max="19" width="40" style="51" hidden="1" customWidth="1"/>
    <col min="20" max="22" width="25" style="51" hidden="1" customWidth="1"/>
    <col min="23" max="23" width="31.85546875" style="51" hidden="1" customWidth="1"/>
    <col min="24" max="24" width="43.140625" style="51" hidden="1" customWidth="1"/>
    <col min="25" max="26" width="25.28515625" style="51" hidden="1" customWidth="1"/>
    <col min="27" max="27" width="13.85546875" style="51" hidden="1" customWidth="1"/>
    <col min="28" max="31" width="14.7109375" style="51" hidden="1" customWidth="1"/>
    <col min="32" max="33" width="14.85546875" style="51" hidden="1" customWidth="1"/>
    <col min="34" max="35" width="21.85546875" style="51" hidden="1" customWidth="1"/>
    <col min="36" max="37" width="11.7109375" style="51" hidden="1" customWidth="1"/>
    <col min="38" max="38" width="31.28515625" style="51" hidden="1" customWidth="1"/>
    <col min="39" max="39" width="20.140625" style="51" hidden="1" customWidth="1"/>
    <col min="40" max="41" width="12.7109375" style="51" hidden="1" customWidth="1"/>
    <col min="42" max="42" width="23.85546875" style="51" hidden="1" customWidth="1"/>
    <col min="43" max="43" width="18.140625" style="51" hidden="1" customWidth="1"/>
    <col min="44" max="45" width="12.85546875" style="51" hidden="1" customWidth="1"/>
    <col min="46" max="46" width="23.42578125" style="51" hidden="1" customWidth="1"/>
    <col min="47" max="47" width="19.42578125" style="51" hidden="1" customWidth="1"/>
    <col min="48" max="49" width="12.42578125" style="51" hidden="1" customWidth="1"/>
    <col min="50" max="51" width="20.7109375" style="51" hidden="1" customWidth="1"/>
    <col min="52" max="54" width="12.42578125" style="51" hidden="1" customWidth="1"/>
    <col min="55" max="55" width="15.85546875" style="51" hidden="1" customWidth="1"/>
    <col min="56" max="56" width="24" style="51" hidden="1" customWidth="1"/>
    <col min="57" max="57" width="25" style="51" hidden="1" customWidth="1"/>
    <col min="58" max="58" width="13.42578125" style="51" hidden="1" customWidth="1"/>
    <col min="59" max="61" width="0" style="51" hidden="1" customWidth="1"/>
    <col min="62" max="66" width="25.28515625" style="51" hidden="1" customWidth="1"/>
    <col min="67" max="73" width="15.140625" style="51" hidden="1" customWidth="1"/>
    <col min="74" max="76" width="0" style="51" hidden="1" customWidth="1"/>
    <col min="77" max="16384" width="25.28515625" style="51"/>
  </cols>
  <sheetData>
    <row r="1" spans="1:76" ht="15" thickBot="1" x14ac:dyDescent="0.3">
      <c r="A1" s="58" t="s">
        <v>362</v>
      </c>
      <c r="B1" s="279" t="s">
        <v>363</v>
      </c>
      <c r="C1" s="279"/>
      <c r="D1" s="279"/>
      <c r="E1" s="279"/>
      <c r="F1" s="279"/>
      <c r="G1" s="279"/>
      <c r="H1" s="58"/>
      <c r="I1" s="58"/>
      <c r="J1" s="58"/>
      <c r="K1" s="58"/>
      <c r="L1" s="73" t="s">
        <v>364</v>
      </c>
      <c r="M1" s="57" t="s">
        <v>356</v>
      </c>
      <c r="N1" s="57" t="s">
        <v>357</v>
      </c>
      <c r="Z1" s="57" t="s">
        <v>365</v>
      </c>
      <c r="AA1" s="57" t="s">
        <v>366</v>
      </c>
      <c r="AB1" s="57" t="s">
        <v>639</v>
      </c>
      <c r="AC1" s="57" t="s">
        <v>640</v>
      </c>
      <c r="AD1" s="57" t="s">
        <v>641</v>
      </c>
      <c r="AE1" s="57" t="s">
        <v>642</v>
      </c>
      <c r="AF1" s="57" t="s">
        <v>643</v>
      </c>
      <c r="AG1" s="57" t="s">
        <v>644</v>
      </c>
      <c r="AH1" s="144"/>
      <c r="AI1" s="144"/>
      <c r="BO1" s="51" t="str">
        <f>IF(AND(BO5:BO18),"N/A",IF(AND(BP5:BP18),TRUE,FALSE))</f>
        <v>N/A</v>
      </c>
    </row>
    <row r="2" spans="1:76" ht="15" thickBot="1" x14ac:dyDescent="0.3">
      <c r="A2" s="58" t="s">
        <v>47</v>
      </c>
      <c r="H2" s="58"/>
      <c r="I2" s="58"/>
      <c r="J2" s="58"/>
      <c r="K2" s="58"/>
      <c r="L2" s="62" t="b">
        <f>AND(L5:L18)</f>
        <v>1</v>
      </c>
      <c r="M2" s="62" t="b">
        <f>AND(M5:M18)</f>
        <v>1</v>
      </c>
      <c r="N2" s="62" t="b">
        <f>AND(N5:N18)</f>
        <v>1</v>
      </c>
      <c r="O2" s="28"/>
      <c r="P2" s="28"/>
      <c r="Q2" s="28"/>
      <c r="R2" s="28"/>
      <c r="Z2" s="57">
        <f>COUNT(AB5:AB18)</f>
        <v>14</v>
      </c>
      <c r="AA2" s="57">
        <f>COUNTIF(AD5:AD18, "=FALSE")</f>
        <v>14</v>
      </c>
      <c r="AB2" s="57">
        <f>COUNTIF(AE5:AE18, "=TRUE")</f>
        <v>14</v>
      </c>
      <c r="AC2" s="57">
        <f>COUNTIF(AG5:AG18, "=TRUE")</f>
        <v>14</v>
      </c>
      <c r="AD2" s="57">
        <f>COUNTIF(AK5:AK18, "=TRUE")</f>
        <v>14</v>
      </c>
      <c r="AE2" s="57">
        <f>COUNTIF(AO5:AO18, "=TRUE")</f>
        <v>14</v>
      </c>
      <c r="AF2" s="57">
        <f>COUNTIF(AS5:AS18, "=TRUE")</f>
        <v>14</v>
      </c>
      <c r="AG2" s="57">
        <f>COUNTIF(AW5:AW18, "=TRUE")</f>
        <v>14</v>
      </c>
      <c r="AH2" s="144"/>
      <c r="AI2" s="201"/>
      <c r="BO2" s="51" t="str">
        <f>IF(N2=TRUE, IF(AND(BO5:BO18),"N/A",IF(AND(BP5:BP18), TRUE, FALSE)), FALSE)</f>
        <v>N/A</v>
      </c>
    </row>
    <row r="3" spans="1:76" ht="26.25" thickBot="1" x14ac:dyDescent="0.25">
      <c r="A3" s="74"/>
      <c r="B3" s="286" t="s">
        <v>367</v>
      </c>
      <c r="C3" s="287"/>
      <c r="D3" s="287"/>
      <c r="E3" s="287"/>
      <c r="F3" s="288"/>
      <c r="G3" s="60" t="s">
        <v>33</v>
      </c>
      <c r="L3" s="286" t="s">
        <v>368</v>
      </c>
      <c r="M3" s="287"/>
      <c r="N3" s="288"/>
      <c r="O3" s="14"/>
      <c r="P3" s="28"/>
      <c r="Q3" s="14"/>
      <c r="R3" s="14"/>
      <c r="S3" s="74"/>
      <c r="T3" s="74"/>
      <c r="U3" s="74"/>
      <c r="Z3" s="148"/>
      <c r="AW3" s="51" t="b">
        <f>IF(AND(AE5,AW5), TRUE, IF(AND(NOT(AE5),NOT(AW5),NOT(AV5)), TRUE, "N/A"))</f>
        <v>1</v>
      </c>
    </row>
    <row r="4" spans="1:76" ht="26.25" thickBot="1" x14ac:dyDescent="0.25">
      <c r="A4" s="73" t="s">
        <v>369</v>
      </c>
      <c r="B4" s="60" t="s">
        <v>34</v>
      </c>
      <c r="C4" s="73" t="s">
        <v>35</v>
      </c>
      <c r="D4" s="60" t="s">
        <v>271</v>
      </c>
      <c r="E4" s="60" t="s">
        <v>274</v>
      </c>
      <c r="F4" s="60" t="s">
        <v>276</v>
      </c>
      <c r="G4" s="60" t="s">
        <v>36</v>
      </c>
      <c r="H4" s="59" t="s">
        <v>49</v>
      </c>
      <c r="I4" s="59" t="s">
        <v>23</v>
      </c>
      <c r="J4" s="59" t="s">
        <v>664</v>
      </c>
      <c r="K4" s="60" t="s">
        <v>1869</v>
      </c>
      <c r="L4" s="59" t="s">
        <v>370</v>
      </c>
      <c r="M4" s="60" t="s">
        <v>371</v>
      </c>
      <c r="N4" s="60" t="s">
        <v>372</v>
      </c>
      <c r="S4" s="51" t="s">
        <v>1880</v>
      </c>
      <c r="T4" s="94" t="s">
        <v>576</v>
      </c>
      <c r="U4" s="94" t="s">
        <v>577</v>
      </c>
      <c r="V4" s="94" t="s">
        <v>578</v>
      </c>
      <c r="W4" s="94" t="s">
        <v>579</v>
      </c>
      <c r="X4" s="148" t="s">
        <v>546</v>
      </c>
      <c r="Y4" s="74" t="s">
        <v>37</v>
      </c>
      <c r="Z4" s="51" t="s">
        <v>38</v>
      </c>
      <c r="AA4" s="51" t="s">
        <v>205</v>
      </c>
      <c r="AB4" s="51" t="s">
        <v>322</v>
      </c>
      <c r="AC4" s="51" t="s">
        <v>637</v>
      </c>
      <c r="AD4" s="51" t="s">
        <v>638</v>
      </c>
      <c r="AE4" s="51" t="s">
        <v>651</v>
      </c>
      <c r="AF4" s="202" t="s">
        <v>39</v>
      </c>
      <c r="AG4" s="202" t="s">
        <v>646</v>
      </c>
      <c r="AH4" s="202" t="s">
        <v>652</v>
      </c>
      <c r="AI4" s="202" t="s">
        <v>653</v>
      </c>
      <c r="AJ4" s="203" t="s">
        <v>40</v>
      </c>
      <c r="AK4" s="203" t="s">
        <v>647</v>
      </c>
      <c r="AL4" s="203" t="s">
        <v>654</v>
      </c>
      <c r="AM4" s="203" t="s">
        <v>684</v>
      </c>
      <c r="AN4" s="204" t="s">
        <v>41</v>
      </c>
      <c r="AO4" s="204" t="s">
        <v>648</v>
      </c>
      <c r="AP4" s="204" t="s">
        <v>655</v>
      </c>
      <c r="AQ4" s="204" t="s">
        <v>683</v>
      </c>
      <c r="AR4" s="205" t="s">
        <v>42</v>
      </c>
      <c r="AS4" s="205" t="s">
        <v>649</v>
      </c>
      <c r="AT4" s="205" t="s">
        <v>645</v>
      </c>
      <c r="AU4" s="205" t="s">
        <v>656</v>
      </c>
      <c r="AV4" s="51" t="s">
        <v>43</v>
      </c>
      <c r="AW4" s="51" t="s">
        <v>650</v>
      </c>
      <c r="AX4" s="51" t="s">
        <v>657</v>
      </c>
      <c r="AY4" s="51" t="s">
        <v>658</v>
      </c>
      <c r="AZ4" s="206" t="s">
        <v>376</v>
      </c>
      <c r="BA4" s="206" t="s">
        <v>484</v>
      </c>
      <c r="BB4" s="206" t="s">
        <v>455</v>
      </c>
      <c r="BC4" s="51" t="s">
        <v>303</v>
      </c>
      <c r="BD4" s="51" t="s">
        <v>364</v>
      </c>
      <c r="BE4" s="51" t="s">
        <v>356</v>
      </c>
      <c r="BF4" s="51" t="s">
        <v>357</v>
      </c>
      <c r="BG4" s="51" t="s">
        <v>50</v>
      </c>
      <c r="BH4" s="106" t="s">
        <v>377</v>
      </c>
      <c r="BI4" s="51" t="s">
        <v>51</v>
      </c>
      <c r="BJ4" s="51" t="s">
        <v>26</v>
      </c>
      <c r="BK4" s="51" t="s">
        <v>665</v>
      </c>
      <c r="BL4" s="51" t="s">
        <v>378</v>
      </c>
      <c r="BM4" s="51" t="s">
        <v>354</v>
      </c>
      <c r="BN4" s="51" t="s">
        <v>457</v>
      </c>
      <c r="BO4" s="51" t="s">
        <v>379</v>
      </c>
      <c r="BP4" s="51" t="s">
        <v>380</v>
      </c>
      <c r="BQ4" s="51" t="s">
        <v>381</v>
      </c>
      <c r="BR4" s="106" t="s">
        <v>382</v>
      </c>
      <c r="BS4" s="106" t="s">
        <v>459</v>
      </c>
      <c r="BT4" s="51" t="s">
        <v>460</v>
      </c>
      <c r="BU4" s="51" t="s">
        <v>461</v>
      </c>
      <c r="BV4" s="51" t="s">
        <v>383</v>
      </c>
      <c r="BW4" s="51" t="s">
        <v>384</v>
      </c>
      <c r="BX4" s="51" t="s">
        <v>385</v>
      </c>
    </row>
    <row r="5" spans="1:76" s="28" customFormat="1" ht="26.25" thickBot="1" x14ac:dyDescent="0.25">
      <c r="A5" s="63" t="s">
        <v>52</v>
      </c>
      <c r="B5" s="142" t="s">
        <v>44</v>
      </c>
      <c r="C5" s="142" t="s">
        <v>44</v>
      </c>
      <c r="D5" s="63" t="s">
        <v>44</v>
      </c>
      <c r="E5" s="63" t="s">
        <v>44</v>
      </c>
      <c r="F5" s="63" t="s">
        <v>44</v>
      </c>
      <c r="G5" s="63" t="s">
        <v>44</v>
      </c>
      <c r="H5" s="37" t="s">
        <v>53</v>
      </c>
      <c r="I5" s="37" t="s">
        <v>29</v>
      </c>
      <c r="J5" s="37" t="s">
        <v>666</v>
      </c>
      <c r="K5" s="64" t="s">
        <v>20</v>
      </c>
      <c r="L5" s="62" t="b">
        <f>IF(BB5=TRUE,"This is an OMS Data Transfer", IF(BL5=TRUE, TRUE, IF(AND(BD5, BG5, BI5, BJ5, NOT(S5)), TRUE, FALSE)))</f>
        <v>1</v>
      </c>
      <c r="M5" s="62" t="b">
        <f>IF(BB5=TRUE,"This is an OMS Data Transfer", IF(BL5=TRUE, TRUE, IF(AND(BE5, BG5, BI5, BJ5, NOT(S5)), TRUE, FALSE)))</f>
        <v>1</v>
      </c>
      <c r="N5" s="62" t="b">
        <f>IF(BB5=TRUE,"This is an OMS Data Transfer", IF(BL5=TRUE, TRUE, IF(AND(BF5, BG5, BI5, BJ5, NOT(S5)), TRUE, FALSE)))</f>
        <v>1</v>
      </c>
      <c r="S5" s="51" t="b">
        <f>OR(AG5,AK5,AO5,AS5,AW5)</f>
        <v>1</v>
      </c>
      <c r="T5" s="94" t="b">
        <f>IF(D5="Does Not Use", TRUE,FALSE)</f>
        <v>0</v>
      </c>
      <c r="U5" s="94" t="b">
        <f>IF(E5="Does Not Use", TRUE,FALSE)</f>
        <v>0</v>
      </c>
      <c r="V5" s="94" t="b">
        <f>IF(F5="Does Not Use", TRUE,FALSE)</f>
        <v>0</v>
      </c>
      <c r="W5" s="94" t="b">
        <f>IF(AND(T5=TRUE, U5=TRUE, V5=TRUE), FALSE, IF(OR(AND(T5=TRUE, U5=TRUE), AND(T5=TRUE, V5=TRUE), AND(V5=TRUE, U5=TRUE)), TRUE, FALSE))</f>
        <v>0</v>
      </c>
      <c r="X5" s="207" t="str">
        <f>IF(K5="&lt;Select&gt;", "", IF(AND(K5=3, BG5, BI5, BJ5, BK5, W5), 3, IF(AND(OR(K5=3, K5=2), BG5, BI5, BJ5, BK5, W5), 2, IF(AND(OR(K5=3, K5=2, K5=1, K5="N/A"), BG5, BI5, BJ5, W5), 1, FALSE))))</f>
        <v/>
      </c>
      <c r="Y5" s="51" t="str">
        <f t="shared" ref="Y5:Y18" si="0">IF(AB5=0,"N/A",AND(AF5,AJ5,AN5,AR5, AV5))</f>
        <v>N/A</v>
      </c>
      <c r="Z5" s="208">
        <f>IF(AND(AB5=11,D5="Does Not Use"), 12, IF(AND(AB5=6, D5="Does Not Use", E5="Does Not Use"), 8, IF(AND(AB5=6, D5="Does Not Use"), 7,AB5)))</f>
        <v>0</v>
      </c>
      <c r="AA5" s="51" t="b">
        <f>IF(OR(Y5="N/A",Y5=TRUE),TRUE,FALSE)</f>
        <v>1</v>
      </c>
      <c r="AB5" s="74">
        <f>_xlfn.IFNA(VLOOKUP(B5,'Data Transfer Tables'!$A$111:$B$131,2),0)</f>
        <v>0</v>
      </c>
      <c r="AC5" s="196" t="b">
        <f>IF(OR(A5="&lt;Enter Non-OMS Data Transfer&gt;", ISBLANK(A5)),FALSE,TRUE)</f>
        <v>0</v>
      </c>
      <c r="AD5" s="74" t="b">
        <f>NOT(AND(AE5,AG5,AK5,AO5,AS5,AW5,NOT(AC5)))</f>
        <v>0</v>
      </c>
      <c r="AE5" s="209" t="b">
        <f>IF(OR(B5="&lt;select&gt;", ISBLANK(B5)),TRUE,FALSE)</f>
        <v>1</v>
      </c>
      <c r="AF5" s="210" t="b">
        <f>OR(IF($Z5=1,_xlfn.IFNA(VLOOKUP($C5,'Data Transfer Tables'!$B$144:$C$153,2,FALSE),FALSE),FALSE),
IF($Z5=2,_xlfn.IFNA(VLOOKUP($C5,'Data Transfer Tables'!$B$158:$C$167,2,FALSE),FALSE),FALSE),
IF($Z5=3,_xlfn.IFNA(VLOOKUP($C5,'Data Transfer Tables'!$B$172:$C$181,2,FALSE),FALSE),FALSE),
IF($Z5=4,_xlfn.IFNA(VLOOKUP($C5,'Data Transfer Tables'!$B$186:$C$195,2,FALSE),FALSE),FALSE),
IF($Z5=5,_xlfn.IFNA(VLOOKUP($C5,'Data Transfer Tables'!$B$200:$C$209,2,FALSE),FALSE),FALSE),
IF($Z5=6,_xlfn.IFNA(VLOOKUP($C5,'Data Transfer Tables'!$B$214:$C$223,2,FALSE),FALSE),FALSE),
IF($Z5=7,_xlfn.IFNA(VLOOKUP($C5,'Data Transfer Tables'!$B$228:$C$237,2,FALSE),FALSE),FALSE),
IF($Z5=8,_xlfn.IFNA(VLOOKUP($C5,'Data Transfer Tables'!$B$242:$C$251,2,FALSE),FALSE),FALSE),
IF($Z5=9,_xlfn.IFNA(VLOOKUP($C5,'Data Transfer Tables'!$B$256:$C$266,2,FALSE),FALSE),FALSE),
IF($Z5=10,_xlfn.IFNA(VLOOKUP($C5,'Data Transfer Tables'!$B$271:$C$281,2,FALSE),FALSE),FALSE),
IF($Z5=11,_xlfn.IFNA(VLOOKUP($C5,'Data Transfer Tables'!$B$286:$C$295,2,FALSE),FALSE),FALSE),
IF($Z5=12,_xlfn.IFNA(VLOOKUP($C5,'Data Transfer Tables'!$B$300:$C$309,2,FALSE),FALSE),FALSE),
IF($Z5=13,_xlfn.IFNA(VLOOKUP($C5,'Data Transfer Tables'!$B$314:$C$323,2,FALSE),FALSE),FALSE),
IF($Z5=14,_xlfn.IFNA(VLOOKUP($C5,'Data Transfer Tables'!$B$328:$C$338,2,FALSE),FALSE),FALSE),
IF($Z5=15,_xlfn.IFNA(VLOOKUP($C5,'Data Transfer Tables'!$B$343:$C$353,2,FALSE),FALSE),FALSE),
IF($Z5=16,_xlfn.IFNA(VLOOKUP($C5,'Data Transfer Tables'!$B$358:$C$369,2,FALSE),FALSE),FALSE),
IF($Z5=17,_xlfn.IFNA(VLOOKUP($C5,'Data Transfer Tables'!$B$374:$C$384,2,FALSE),FALSE),FALSE),
IF($Z5=18,_xlfn.IFNA(VLOOKUP($C5,'Data Transfer Tables'!$B$389:$C$399,2,FALSE),FALSE),FALSE),
IF($Z5=19,_xlfn.IFNA(VLOOKUP($C5,'Data Transfer Tables'!$B$404:$C$414,2,FALSE),FALSE),FALSE),
IF($Z5=20,_xlfn.IFNA(VLOOKUP($C5,'Data Transfer Tables'!$B$419:$C$429,2,FALSE),FALSE),FALSE),
IF($Z5=21,_xlfn.IFNA(VLOOKUP($C5,'Data Transfer Tables'!$B$434:$C$444,2,FALSE),FALSE),FALSE),
IF($Z5=22,_xlfn.IFNA(VLOOKUP($C5,'Data Transfer Tables'!$B$449:$C$459,2,FALSE),FALSE),FALSE))</f>
        <v>0</v>
      </c>
      <c r="AG5" s="210" t="b">
        <f>IF(OR(C5="&lt;select&gt;",ISBLANK(C5)),TRUE,FALSE)</f>
        <v>1</v>
      </c>
      <c r="AH5" s="210" t="str">
        <f>IF(AND(AE5=TRUE,AG5=TRUE),"Data Type/Format Empty",IF(AND(AE5=TRUE,AG5=FALSE),"Data Type is Empty",IF(AND(AF5,NOT(AG5)),"OMS Data Format Entered",IF(AND(NOT(AF5),AG5),"Data Format is Empty","Non-OMS Data Format Entered"))))</f>
        <v>Data Type/Format Empty</v>
      </c>
      <c r="AI5" s="210" t="str">
        <f>IF(OR(AH5="Data Type/Format Empty", AH5="OMS Data Format Entered"),"N/A",IF(OR(AH5="Data Format is Empty", AH5="Data Type is Empty"),FALSE,IF(AH5="Non-OMS Data Format Entered",TRUE,FALSE)))</f>
        <v>N/A</v>
      </c>
      <c r="AJ5" s="146" t="b">
        <f>OR(IF($Z5=1,_xlfn.IFNA(VLOOKUP($D5,'Data Transfer Tables'!$E$144:$G$153,2,FALSE),FALSE),FALSE),
IF($Z5=2,_xlfn.IFNA(VLOOKUP($D5,'Data Transfer Tables'!$E$158:$G$167,2,FALSE),FALSE),FALSE),
IF($Z5=3,_xlfn.IFNA(VLOOKUP($D5,'Data Transfer Tables'!$E$172:$G$181,2,FALSE),FALSE),FALSE),
IF($Z5=4,_xlfn.IFNA(VLOOKUP($D5,'Data Transfer Tables'!$E$186:$G$195,2,FALSE),FALSE),FALSE),
IF($Z5=5,_xlfn.IFNA(VLOOKUP($D5,'Data Transfer Tables'!$E$200:$G$209,2,FALSE),FALSE),FALSE),
IF($Z5=6,_xlfn.IFNA(VLOOKUP($D5,'Data Transfer Tables'!$E$214:$G$223,2,FALSE),FALSE),FALSE),
IF($Z5=7,_xlfn.IFNA(VLOOKUP($D5,'Data Transfer Tables'!$E$228:$G$237,2,FALSE),FALSE),FALSE),
IF($Z5=8,_xlfn.IFNA(VLOOKUP($D5,'Data Transfer Tables'!$E$242:$G$251,2,FALSE),FALSE),FALSE),
IF($Z5=9,_xlfn.IFNA(VLOOKUP($D5,'Data Transfer Tables'!$E$256:$G$266,2,FALSE),FALSE),FALSE),
IF($Z5=10,_xlfn.IFNA(VLOOKUP($D5,'Data Transfer Tables'!$E$271:$G$281,2,FALSE),FALSE),FALSE),
IF($Z5=11,_xlfn.IFNA(VLOOKUP($D5,'Data Transfer Tables'!$E$286:$G$295,2,FALSE),FALSE),FALSE),
IF($Z5=12,_xlfn.IFNA(VLOOKUP($D5,'Data Transfer Tables'!$E$300:$G$309,2,FALSE),FALSE),FALSE),
IF($Z5=13,_xlfn.IFNA(VLOOKUP($D5,'Data Transfer Tables'!$E$314:$G$323,2,FALSE),FALSE),FALSE),
IF($Z5=14,_xlfn.IFNA(VLOOKUP($D5,'Data Transfer Tables'!$E$328:$G$338,2,FALSE),FALSE),FALSE),
IF($Z5=15,_xlfn.IFNA(VLOOKUP($D5,'Data Transfer Tables'!$E$343:$G$353,2,FALSE),FALSE),FALSE),
IF($Z5=16,_xlfn.IFNA(VLOOKUP($D5,'Data Transfer Tables'!$E$358:$G$369,2,FALSE),FALSE),FALSE),
IF($Z5=17,_xlfn.IFNA(VLOOKUP($D5,'Data Transfer Tables'!$E$374:$G$384,2,FALSE),FALSE),FALSE),
IF($Z5=18,_xlfn.IFNA(VLOOKUP($D5,'Data Transfer Tables'!$E$389:$G$399,2,FALSE),FALSE),FALSE),
IF($Z5=19,_xlfn.IFNA(VLOOKUP($D5,'Data Transfer Tables'!$E$404:$G$414,2,FALSE),FALSE),FALSE),
IF($Z5=20,_xlfn.IFNA(VLOOKUP($D5,'Data Transfer Tables'!$E$419:$G$429,2,FALSE),FALSE),FALSE),
IF($Z5=21,_xlfn.IFNA(VLOOKUP($D5,'Data Transfer Tables'!$E$434:$G$444,2,FALSE),FALSE),FALSE),
IF($Z5=22,_xlfn.IFNA(VLOOKUP($D5,'Data Transfer Tables'!$E$449:$G$459,2,FALSE),FALSE),FALSE))</f>
        <v>0</v>
      </c>
      <c r="AK5" s="146" t="b">
        <f t="shared" ref="AK5:AK18" si="1">IF(OR(D5="&lt;select&gt;",ISBLANK(D5)),TRUE,FALSE)</f>
        <v>1</v>
      </c>
      <c r="AL5" s="146" t="str">
        <f>IF(AND(AE5=TRUE,AK5=TRUE),"Data Type/Exclusive Use Empty",IF(AND(AE5=TRUE,AK5=FALSE),"Data Type is Empty",IF(AND(AJ5,NOT(AK5)),"OMS Exclusive Use Entered",IF(AND(NOT(AJ5),AK5),"Exclusive Use is Empty","Non-OMS Exclusive Use Entered"))))</f>
        <v>Data Type/Exclusive Use Empty</v>
      </c>
      <c r="AM5" s="146" t="str">
        <f>IF(OR(AL5="Data Type/Exclusive Use Empty", AL5="OMS Exclusive Use Entered"),"N/A",IF(OR(AL5="Exclusive Use is Empty", AL5="Data Type is Empty"),FALSE,IF(AL5="Non-OMS Exclusive Use Entered",TRUE,FALSE)))</f>
        <v>N/A</v>
      </c>
      <c r="AN5" s="145" t="b">
        <f>OR(IF($Z5=1,_xlfn.IFNA(VLOOKUP($E5,'Data Transfer Tables'!$H$144:$I$153,2,FALSE),FALSE),FALSE),
IF($Z5=2,_xlfn.IFNA(VLOOKUP($E5,'Data Transfer Tables'!$H$158:$I$167,2,FALSE),FALSE),FALSE),
IF($Z5=3,_xlfn.IFNA(VLOOKUP($E5,'Data Transfer Tables'!$H$172:$I$181,2,FALSE),FALSE),FALSE),
IF($Z5=4,_xlfn.IFNA(VLOOKUP($E5,'Data Transfer Tables'!$H$186:$I$195,2,FALSE),FALSE),FALSE),
IF($Z5=5,_xlfn.IFNA(VLOOKUP($E5,'Data Transfer Tables'!$H$200:$I$209,2,FALSE),FALSE),FALSE),
IF($Z5=6,_xlfn.IFNA(VLOOKUP($E5,'Data Transfer Tables'!$H$214:$I$223,2,FALSE),FALSE),FALSE),
IF($Z5=7,_xlfn.IFNA(VLOOKUP($E5,'Data Transfer Tables'!$H$228:$I$237,2,FALSE),FALSE),FALSE),
IF($Z5=8,_xlfn.IFNA(VLOOKUP($E5,'Data Transfer Tables'!$H$242:$I$251,2,FALSE),FALSE),FALSE),
IF($Z5=9,_xlfn.IFNA(VLOOKUP($E5,'Data Transfer Tables'!$H$256:$I$266,2,FALSE),FALSE),FALSE),
IF($Z5=10,_xlfn.IFNA(VLOOKUP($E5,'Data Transfer Tables'!$H$271:$I$281,2,FALSE),FALSE),FALSE),
IF($Z5=11,_xlfn.IFNA(VLOOKUP($E5,'Data Transfer Tables'!$H$286:$I$295,2,FALSE),FALSE),FALSE),
IF($Z5=12,_xlfn.IFNA(VLOOKUP($E5,'Data Transfer Tables'!$H$300:$I$309,2,FALSE),FALSE),FALSE),
IF($Z5=13,_xlfn.IFNA(VLOOKUP($E5,'Data Transfer Tables'!$H$314:$I$323,2,FALSE),FALSE),FALSE),
IF($Z5=14,_xlfn.IFNA(VLOOKUP($E5,'Data Transfer Tables'!$H$328:$I$338,2,FALSE),FALSE),FALSE),
IF($Z5=15,_xlfn.IFNA(VLOOKUP($E5,'Data Transfer Tables'!$H$343:$I$353,2,FALSE),FALSE),FALSE),
IF($Z5=16,_xlfn.IFNA(VLOOKUP($E5,'Data Transfer Tables'!$H$358:$I$369,2,FALSE),FALSE),FALSE),
IF($Z5=17,_xlfn.IFNA(VLOOKUP($E5,'Data Transfer Tables'!$H$374:$I$384,2,FALSE),FALSE),FALSE),
IF($Z5=18,_xlfn.IFNA(VLOOKUP($E5,'Data Transfer Tables'!$H$389:$I$399,2,FALSE),FALSE),FALSE),
IF($Z5=19,_xlfn.IFNA(VLOOKUP($E5,'Data Transfer Tables'!$H$404:$I$414,2,FALSE),FALSE),FALSE),
IF($Z5=20,_xlfn.IFNA(VLOOKUP($E5,'Data Transfer Tables'!$H$419:$I$429,2,FALSE),FALSE),FALSE),
IF($Z5=21,_xlfn.IFNA(VLOOKUP($E5,'Data Transfer Tables'!$H$434:$I$444,2,FALSE),FALSE),FALSE),
IF($Z5=22,_xlfn.IFNA(VLOOKUP($E5,'Data Transfer Tables'!$H$449:$I$459,2,FALSE),FALSE),FALSE))</f>
        <v>0</v>
      </c>
      <c r="AO5" s="145" t="b">
        <f t="shared" ref="AO5:AO18" si="2">IF(OR(E5="&lt;select&gt;",ISBLANK(E5)),TRUE,FALSE)</f>
        <v>1</v>
      </c>
      <c r="AP5" s="145" t="str">
        <f>IF(AND(AE5=TRUE,AO5=TRUE),"Data Type/Shared Read-Only Empty",IF(AND(AE5=TRUE,AO5=FALSE),"Data Type is Empty",IF(AND(AN5,NOT(AO5)),"OMS Shared Read-Only Entered",IF(AND(NOT(AN5),AO5),"Shared Read-Only is Empty","Non-OMS Shared Read-Only Entered"))))</f>
        <v>Data Type/Shared Read-Only Empty</v>
      </c>
      <c r="AQ5" s="145" t="str">
        <f>IF(OR(AP5="Data Type/Shared Read-Only Empty", AP5="OMS Shared Read-Only Entered"),"N/A",IF(OR(AP5="Shared Read-Only is Empty", AP5="Data Type is Empty"),FALSE,IF(AP5="Non-OMS Shared Read-Only Entered",TRUE,FALSE)))</f>
        <v>N/A</v>
      </c>
      <c r="AR5" s="147" t="b">
        <f>OR(IF($Z5=1,_xlfn.IFNA(VLOOKUP($F5,'Data Transfer Tables'!$K$144:$L$153,2,FALSE),FALSE),FALSE),
IF($Z5=2,_xlfn.IFNA(VLOOKUP($F5,'Data Transfer Tables'!$K$158:$L$167,2,FALSE),FALSE),FALSE),
IF($Z5=3,_xlfn.IFNA(VLOOKUP($F5,'Data Transfer Tables'!$K$172:$L$181,2,FALSE),FALSE),FALSE),
IF($Z5=4,_xlfn.IFNA(VLOOKUP($F5,'Data Transfer Tables'!$K$186:$L$195,2,FALSE),FALSE),FALSE),
IF($Z5=5,_xlfn.IFNA(VLOOKUP($F5,'Data Transfer Tables'!$K$200:$L$209,2,FALSE),FALSE),FALSE),
IF($Z5=6,_xlfn.IFNA(VLOOKUP($F5,'Data Transfer Tables'!$K$214:$L$223,2,FALSE),FALSE),FALSE),
IF($Z5=7,_xlfn.IFNA(VLOOKUP($F5,'Data Transfer Tables'!$K$228:$L$237,2,FALSE),FALSE),FALSE),
IF($Z5=8,_xlfn.IFNA(VLOOKUP($F5,'Data Transfer Tables'!$K$242:$L$251,2,FALSE),FALSE),FALSE),
IF($Z5=9,_xlfn.IFNA(VLOOKUP($F5,'Data Transfer Tables'!$K$256:$L$266,2,FALSE),FALSE),FALSE),
IF($Z5=10,_xlfn.IFNA(VLOOKUP($F5,'Data Transfer Tables'!$K$271:$L$281,2,FALSE),FALSE),FALSE),
IF($Z5=11,_xlfn.IFNA(VLOOKUP($F5,'Data Transfer Tables'!$K$286:$L$295,2,FALSE),FALSE),FALSE),
IF($Z5=12,_xlfn.IFNA(VLOOKUP($F5,'Data Transfer Tables'!$K$300:$L$309,2,FALSE),FALSE),FALSE),
IF($Z5=13,_xlfn.IFNA(VLOOKUP($F5,'Data Transfer Tables'!$K$314:$L$323,2,FALSE),FALSE),FALSE),
IF($Z5=14,_xlfn.IFNA(VLOOKUP($F5,'Data Transfer Tables'!$K$328:$L$338,2,FALSE),FALSE),FALSE),
IF($Z5=15,_xlfn.IFNA(VLOOKUP($F5,'Data Transfer Tables'!$K$343:$L$353,2,FALSE),FALSE),FALSE),
IF($Z5=16,_xlfn.IFNA(VLOOKUP($F5,'Data Transfer Tables'!$K$358:$L$369,2,FALSE),FALSE),FALSE),
IF($Z5=17,_xlfn.IFNA(VLOOKUP($F5,'Data Transfer Tables'!$K$374:$L$384,2,FALSE),FALSE),FALSE),
IF($Z5=18,_xlfn.IFNA(VLOOKUP($F5,'Data Transfer Tables'!$K$389:$L$399,2,FALSE),FALSE),FALSE),
IF($Z5=19,_xlfn.IFNA(VLOOKUP($F5,'Data Transfer Tables'!$K$404:$L$414,2,FALSE),FALSE),FALSE),
IF($Z5=20,_xlfn.IFNA(VLOOKUP($F5,'Data Transfer Tables'!$K$419:$L$429,2,FALSE),FALSE),FALSE),
IF($Z5=21,_xlfn.IFNA(VLOOKUP($F5,'Data Transfer Tables'!$K$434:$L$444,2,FALSE),FALSE),FALSE),
IF($Z5=22,_xlfn.IFNA(VLOOKUP($F5,'Data Transfer Tables'!$K$449:$L$459,2,FALSE),FALSE),FALSE))</f>
        <v>0</v>
      </c>
      <c r="AS5" s="147" t="b">
        <f t="shared" ref="AS5:AS18" si="3">IF(OR(F5="&lt;select&gt;",ISBLANK(F5)),TRUE,FALSE)</f>
        <v>1</v>
      </c>
      <c r="AT5" s="147" t="str">
        <f>IF(AND(AE5=TRUE,AS5=TRUE),"Data Type/Shared Read/Modify Empty",IF(AND(AE5=TRUE,AS5=FALSE),"Data Type is Empty",IF(AND(AR5,NOT(AS5)),"OMS Shared Read/Modify Entered",IF(AND(NOT(AR5),AS5),"Shared Read/Modify is Empty","Non-OMS Shared Read/Modify Entered"))))</f>
        <v>Data Type/Shared Read/Modify Empty</v>
      </c>
      <c r="AU5" s="147" t="str">
        <f>IF(OR(AT5="Data Type/Shared Read/Modify Empty", AT5="OMS Shared Read/Modify Entered"),"N/A",IF(OR(AT5="Shared Read/Modify is Empty", AT5="Data Type is Empty"),FALSE,IF(AT5="Non-OMS Shared Read/Modify Entered",TRUE,FALSE)))</f>
        <v>N/A</v>
      </c>
      <c r="AV5" s="74" t="b">
        <f>OR(IF($Z5=1,_xlfn.IFNA(VLOOKUP($G5,'Data Transfer Tables'!$H$113:$I$125,2,FALSE),FALSE),FALSE),
IF($Z5=2,_xlfn.IFNA(VLOOKUP($G5,'Data Transfer Tables'!$H$113:$I$125,2,FALSE),FALSE),FALSE),
IF($Z5=3,_xlfn.IFNA(VLOOKUP($G5,'Data Transfer Tables'!$H$113:$I$125,2,FALSE),FALSE),FALSE),
IF($Z5=4,_xlfn.IFNA(VLOOKUP($G5,'Data Transfer Tables'!$H$113:$I$125,2,FALSE),FALSE),FALSE),
IF($Z5=5,_xlfn.IFNA(VLOOKUP($G5,'Data Transfer Tables'!$H$113:$I$125,2,FALSE),FALSE),FALSE),
IF($Z5=6,_xlfn.IFNA(VLOOKUP($G5,'Data Transfer Tables'!$H$113:$I$125,2,FALSE),FALSE),FALSE),
IF($Z5=7,_xlfn.IFNA(VLOOKUP($G5,'Data Transfer Tables'!$H$113:$I$125,2,FALSE),FALSE),FALSE),
IF($Z5=8,_xlfn.IFNA(VLOOKUP($G5,'Data Transfer Tables'!$H$113:$I$125,2,FALSE),FALSE),FALSE),
IF($Z5=9,_xlfn.IFNA(VLOOKUP($G5,'Data Transfer Tables'!$H$113:$I$125,2,FALSE),FALSE),FALSE),
IF($Z5=10,_xlfn.IFNA(VLOOKUP($G5,'Data Transfer Tables'!$H$113:$I$125,2,FALSE),FALSE),FALSE),
IF($Z5=11,_xlfn.IFNA(VLOOKUP($G5,'Data Transfer Tables'!$H$113:$I$125,2,FALSE),FALSE),FALSE),
IF($Z5=12,_xlfn.IFNA(VLOOKUP($G5,'Data Transfer Tables'!$H$113:$I$125,2,FALSE),FALSE),FALSE),
IF($Z5=13,_xlfn.IFNA(VLOOKUP($G5,'Data Transfer Tables'!$H$113:$I$125,2,FALSE),FALSE),FALSE),
IF($Z5=14,_xlfn.IFNA(VLOOKUP($G5,'Data Transfer Tables'!$H$113:$I$125,2,FALSE),FALSE),FALSE),
IF($Z5=15,_xlfn.IFNA(VLOOKUP($G5,'Data Transfer Tables'!$H$113:$I$125,2,FALSE),FALSE),FALSE),
IF($Z5=16,_xlfn.IFNA(VLOOKUP($G5,'Data Transfer Tables'!$H$113:$I$125,2,FALSE),FALSE),FALSE),
IF($Z5=17,_xlfn.IFNA(VLOOKUP($G5,'Data Transfer Tables'!$H$113:$I$125,2,FALSE),FALSE),FALSE),
IF($Z5=18,_xlfn.IFNA(VLOOKUP($G5,'Data Transfer Tables'!$H$113:$I$125,2,FALSE),FALSE),FALSE),
IF($Z5=19,_xlfn.IFNA(VLOOKUP($G5,'Data Transfer Tables'!$H$113:$I$125,2,FALSE),FALSE),FALSE),
IF($Z5=20,_xlfn.IFNA(VLOOKUP($G5,'Data Transfer Tables'!$H$113:$I$125,2,FALSE),FALSE),FALSE),
IF($Z5=21,_xlfn.IFNA(VLOOKUP($G5,'Data Transfer Tables'!$H$113:$I$125,2,FALSE),FALSE),FALSE),
IF($Z5=22,_xlfn.IFNA(VLOOKUP($G5,'Data Transfer Tables'!$H$113:$I$125,2,FALSE),FALSE),FALSE))</f>
        <v>0</v>
      </c>
      <c r="AW5" s="74" t="b">
        <f t="shared" ref="AW5:AW18" si="4">IF(OR(G5="&lt;select&gt;",ISBLANK(G5)),TRUE,FALSE)</f>
        <v>1</v>
      </c>
      <c r="AX5" s="74" t="str">
        <f>IF(AND(AE5=TRUE,AW5=TRUE),"Data Type/URI Empty",IF(AND(AE5=TRUE,AW5=FALSE),"Data Type is Empty",IF(AND(AV5,NOT(AW5)),"OMS URI Entered",IF(AND(NOT(AV5),AW5),"URI is Empty","Non-OMS URI Entered"))))</f>
        <v>Data Type/URI Empty</v>
      </c>
      <c r="AY5" s="74" t="str">
        <f>IF(OR(AX5="Data Type/URI Empty", AX5="OMS URI Entered"),"N/A",IF(OR(AX5="URI is Empty", AX5="Data Type is Empty"),FALSE,IF(AX5="Non-OMS URI Entered",TRUE,FALSE)))</f>
        <v>N/A</v>
      </c>
      <c r="AZ5" s="206" t="b">
        <f t="shared" ref="AZ5:AZ18" si="5">IF(AB5=0, TRUE, IF(AND(AF5=TRUE, AJ5=TRUE, AN5=TRUE, AR5=TRUE, AV5=TRUE), TRUE,FALSE))</f>
        <v>1</v>
      </c>
      <c r="BA5" s="206" t="b">
        <f>AND(AF5=TRUE, AJ5=TRUE, AN5=TRUE, AR5=TRUE, AV5=TRUE)</f>
        <v>0</v>
      </c>
      <c r="BB5" s="211" t="b">
        <f t="shared" ref="BB5:BB18" si="6">AND(AF5=TRUE, AJ5=TRUE, AN5=TRUE, AR5=TRUE, AV5=TRUE, W5=TRUE)</f>
        <v>0</v>
      </c>
      <c r="BC5" s="51" t="str">
        <f>IF(Y5="N/A","",
 IF(B5="Non-OMS Data Transfer","1",
  IF(Y5=TRUE,
   IF(AND(D5="Does Not Use",E5="Does Not Use"),"1",
    IF(D5="Does Not Use","2","3")),"1")))</f>
        <v/>
      </c>
      <c r="BD5" s="51" t="b">
        <f>IF(AB5=0,FALSE, IF(AND(OR(X5=1,X5=2,X5=3)),TRUE,FALSE))</f>
        <v>0</v>
      </c>
      <c r="BE5" s="51" t="b">
        <f t="shared" ref="BE5:BE18" si="7">IF(AB5=0,FALSE,IF(AND(OR(X5=2,X5=3)),TRUE,FALSE))</f>
        <v>0</v>
      </c>
      <c r="BF5" s="51" t="b">
        <f t="shared" ref="BF5:BF18" si="8">IF(AB5=0,FALSE, IF(X5=3,TRUE,FALSE))</f>
        <v>0</v>
      </c>
      <c r="BG5" s="94" t="str">
        <f>IF(AB5=0,"N/A",IF(OR(A5="&lt;Enter Non-OMS Data Transfer&gt;",(ISBLANK(A5))),FALSE,TRUE))</f>
        <v>N/A</v>
      </c>
      <c r="BH5" s="106" t="str">
        <f t="shared" ref="BH5:BH18" si="9">IF(G5="&lt;Select&gt;", "N/A", IF(AV5=TRUE,"OMS URI Entered", IF(AV5=FALSE,"Non-OMS URI Entered")))</f>
        <v>N/A</v>
      </c>
      <c r="BI5" s="51" t="str">
        <f t="shared" ref="BI5:BI18" si="10">IF(AB5=0,"N/A",IF(OR(H5="&lt;Enter Description Here&gt;", (ISBLANK(H5))),FALSE,TRUE))</f>
        <v>N/A</v>
      </c>
      <c r="BJ5" s="51" t="str">
        <f t="shared" ref="BJ5:BJ18" si="11">IF(AB5=0,"N/A",IF(OR(I5="&lt;Enter Rationale Here&gt;", (ISBLANK(I5))),FALSE,TRUE))</f>
        <v>N/A</v>
      </c>
      <c r="BK5" s="51" t="str">
        <f t="shared" ref="BK5:BK18" si="12">IF(AB5=0,"N/A",IF(OR(J5="&lt;Enter Change Request ID Here&gt;",(ISBLANK(J5))),FALSE,TRUE))</f>
        <v>N/A</v>
      </c>
      <c r="BL5" s="51" t="b">
        <f t="shared" ref="BL5:BL18" si="13">AND(A5="&lt;Enter Non-OMS Data Transfer&gt;", B5="&lt;select&gt;", C5="&lt;select&gt;", D5="&lt;select&gt;", E5="&lt;select&gt;", F5="&lt;select&gt;", G5="&lt;select&gt;", H5="&lt;Enter Description Here&gt;", I5="&lt;Enter Rationale Here&gt;", J5="&lt;Enter Change Request ID Here&gt;")</f>
        <v>1</v>
      </c>
      <c r="BM5" s="51" t="b">
        <f t="shared" ref="BM5:BM18" si="14">IF(AND(AC5=TRUE,A5&lt;&gt;"&lt;Enter Non-OMS Data Transfer&gt;",B5&lt;&gt;"&lt;select&gt;",C5&lt;&gt;"&lt;select&gt;",D5&lt;&gt;"&lt;select&gt;",E5&lt;&gt;"&lt;select&gt;",F5&lt;&gt;"&lt;select&gt;",G5&lt;&gt;"&lt;select&gt;", BI5=TRUE, BJ5=TRUE, BK5=TRUE, K5&lt;&gt;"&lt;select&gt;"),TRUE,FALSE)</f>
        <v>0</v>
      </c>
      <c r="BN5" s="51" t="str">
        <f>IF(BM5=TRUE,TRUE,"")</f>
        <v/>
      </c>
      <c r="BO5" s="51" t="b">
        <f>AND(A5="&lt;Enter Non-OMS Data Transfer&gt;",COUNTIF(B5:G5,"*&lt;select&gt;*")=COLUMNS(B5:G5), H5="&lt;Enter Description Here&gt;", I5="&lt;Enter Rationale Here&gt;", J5="&lt;Enter Change Request ID Here&gt;")</f>
        <v>1</v>
      </c>
      <c r="BP5" s="51" t="str">
        <f t="shared" ref="BP5:BP18" si="15">IF(AB5=0,"N/A",IF(BK5=TRUE, TRUE, FALSE))</f>
        <v>N/A</v>
      </c>
      <c r="BQ5" s="51" t="str">
        <f t="shared" ref="BQ5:BQ18" si="16">IF(AB5=0,"N/A",IF(BK5=TRUE, TRUE, FALSE))</f>
        <v>N/A</v>
      </c>
      <c r="BR5" s="94" t="b">
        <f t="shared" ref="BR5:BR18" si="17">IF(AND(AE5,AG5), TRUE, IF(AND(NOT(AE5),NOT(AG5),NOT(AF5)), TRUE, ""))</f>
        <v>1</v>
      </c>
      <c r="BS5" s="94" t="b">
        <f t="shared" ref="BS5:BS18" si="18">IF(AND(AE5,AK5), TRUE, IF(AND(NOT(AE5),NOT(AK5),NOT(AJ5)), TRUE, FALSE))</f>
        <v>1</v>
      </c>
      <c r="BT5" s="94" t="b">
        <f t="shared" ref="BT5:BT18" si="19">IF(AND(AE5,AO5), TRUE, IF(AND(NOT(AE5),NOT(AO5),NOT(AN5)), TRUE, FALSE))</f>
        <v>1</v>
      </c>
      <c r="BU5" s="94" t="b">
        <f t="shared" ref="BU5:BU18" si="20">IF(AND(AE5,AS5), TRUE, IF(AND(NOT(AE5),NOT(AS5),NOT(AR5)), TRUE, FALSE))</f>
        <v>1</v>
      </c>
      <c r="BV5" s="51" t="str">
        <f>IF(BI5=TRUE,TRUE, IF(BI5="N/A", "", FALSE))</f>
        <v/>
      </c>
      <c r="BW5" s="51" t="str">
        <f>IF(BJ5=TRUE,TRUE, IF(BJ5="N/A", "", FALSE))</f>
        <v/>
      </c>
      <c r="BX5" s="51" t="b">
        <f t="shared" ref="BX5:BX18" si="21">IF(AND(AE5,AW5), TRUE, IF(AND(NOT(AE5),NOT(AW5),NOT(AV5)), TRUE, "N/A"))</f>
        <v>1</v>
      </c>
    </row>
    <row r="6" spans="1:76" s="28" customFormat="1" ht="26.25" thickBot="1" x14ac:dyDescent="0.25">
      <c r="A6" s="63" t="s">
        <v>52</v>
      </c>
      <c r="B6" s="142" t="s">
        <v>44</v>
      </c>
      <c r="C6" s="142" t="s">
        <v>44</v>
      </c>
      <c r="D6" s="63" t="s">
        <v>44</v>
      </c>
      <c r="E6" s="63" t="s">
        <v>44</v>
      </c>
      <c r="F6" s="63" t="s">
        <v>44</v>
      </c>
      <c r="G6" s="63" t="s">
        <v>44</v>
      </c>
      <c r="H6" s="37" t="s">
        <v>53</v>
      </c>
      <c r="I6" s="37" t="s">
        <v>29</v>
      </c>
      <c r="J6" s="37" t="s">
        <v>666</v>
      </c>
      <c r="K6" s="64" t="s">
        <v>20</v>
      </c>
      <c r="L6" s="174" t="b">
        <f t="shared" ref="L6:L18" si="22">IF(BB6=TRUE,"This is an OMS Data Transfer", IF(BL6=TRUE, TRUE, IF(AND(BD6, BG6, BI6, BJ6, NOT(S6)), TRUE, FALSE)))</f>
        <v>1</v>
      </c>
      <c r="M6" s="174" t="b">
        <f t="shared" ref="M6:M18" si="23">IF(BB6=TRUE,"This is an OMS Data Transfer", IF(BL6=TRUE, TRUE, IF(AND(BE6, BG6, BI6, BJ6, NOT(S6)), TRUE, FALSE)))</f>
        <v>1</v>
      </c>
      <c r="N6" s="174" t="b">
        <f t="shared" ref="N6:N18" si="24">IF(BB6=TRUE,"This is an OMS Data Transfer", IF(BL6=TRUE, TRUE, IF(AND(BF6, BG6, BI6, BJ6, NOT(S6)), TRUE, FALSE)))</f>
        <v>1</v>
      </c>
      <c r="S6" s="51" t="b">
        <f t="shared" ref="S6:S18" si="25">OR(AG6,AK6,AO6,AS6,AW6)</f>
        <v>1</v>
      </c>
      <c r="T6" s="94" t="b">
        <f t="shared" ref="T6:T18" si="26">IF(D6="Does Not Use", TRUE,FALSE)</f>
        <v>0</v>
      </c>
      <c r="U6" s="94" t="b">
        <f t="shared" ref="U6:U18" si="27">IF(E6="Does Not Use", TRUE,FALSE)</f>
        <v>0</v>
      </c>
      <c r="V6" s="94" t="b">
        <f t="shared" ref="V6:V18" si="28">IF(F6="Does Not Use", TRUE,FALSE)</f>
        <v>0</v>
      </c>
      <c r="W6" s="94" t="b">
        <f t="shared" ref="W6:W18" si="29">IF(AND(T6=TRUE, U6=TRUE, V6=TRUE), FALSE, IF(OR(AND(T6=TRUE, U6=TRUE), AND(T6=TRUE, V6=TRUE), AND(V6=TRUE, U6=TRUE)), TRUE, FALSE))</f>
        <v>0</v>
      </c>
      <c r="X6" s="207" t="str">
        <f t="shared" ref="X6:X18" si="30">IF(K6="&lt;Select&gt;", "", IF(AND(K6=3, BG6, BI6, BJ6, BK6, W6), 3, IF(AND(OR(K6=3, K6=2), BG6, BI6, BJ6, BK6, W6), 2, IF(AND(OR(K6=3, K6=2, K6=1, K6="N/A"), BG6, BI6, BJ6, W6), 1, FALSE))))</f>
        <v/>
      </c>
      <c r="Y6" s="51" t="str">
        <f t="shared" si="0"/>
        <v>N/A</v>
      </c>
      <c r="Z6" s="208">
        <f t="shared" ref="Z6:Z18" si="31">IF(AND(AB6=11,D6="Does Not Use"), 12, IF(AND(AB6=6, D6="Does Not Use", E6="Does Not Use"), 8, IF(AND(AB6=6, D6="Does Not Use"), 7,AB6)))</f>
        <v>0</v>
      </c>
      <c r="AA6" s="51" t="b">
        <f t="shared" ref="AA6:AA18" si="32">IF(OR(Y6="N/A",Y6=TRUE),TRUE,FALSE)</f>
        <v>1</v>
      </c>
      <c r="AB6" s="74">
        <f>_xlfn.IFNA(VLOOKUP(B6,'Data Transfer Tables'!$A$111:$B$131,2),0)</f>
        <v>0</v>
      </c>
      <c r="AC6" s="196" t="b">
        <f t="shared" ref="AC6:AC18" si="33">IF(OR(A6="&lt;Enter Non-OMS Data Transfer&gt;", ISBLANK(A6)),FALSE,TRUE)</f>
        <v>0</v>
      </c>
      <c r="AD6" s="74" t="b">
        <f t="shared" ref="AD6:AD18" si="34">NOT(AND(AE6,AG6,AK6,AO6,AS6,AW6,NOT(AC6)))</f>
        <v>0</v>
      </c>
      <c r="AE6" s="209" t="b">
        <f t="shared" ref="AE6:AE18" si="35">IF(OR(B6="&lt;select&gt;", ISBLANK(B6)),TRUE,FALSE)</f>
        <v>1</v>
      </c>
      <c r="AF6" s="210" t="b">
        <f>OR(IF($Z6=1,_xlfn.IFNA(VLOOKUP($C6,'Data Transfer Tables'!$B$144:$C$153,2,FALSE),FALSE),FALSE),
IF($Z6=2,_xlfn.IFNA(VLOOKUP($C6,'Data Transfer Tables'!$B$158:$C$167,2,FALSE),FALSE),FALSE),
IF($Z6=3,_xlfn.IFNA(VLOOKUP($C6,'Data Transfer Tables'!$B$172:$C$181,2,FALSE),FALSE),FALSE),
IF($Z6=4,_xlfn.IFNA(VLOOKUP($C6,'Data Transfer Tables'!$B$186:$C$195,2,FALSE),FALSE),FALSE),
IF($Z6=5,_xlfn.IFNA(VLOOKUP($C6,'Data Transfer Tables'!$B$200:$C$209,2,FALSE),FALSE),FALSE),
IF($Z6=6,_xlfn.IFNA(VLOOKUP($C6,'Data Transfer Tables'!$B$214:$C$223,2,FALSE),FALSE),FALSE),
IF($Z6=7,_xlfn.IFNA(VLOOKUP($C6,'Data Transfer Tables'!$B$228:$C$237,2,FALSE),FALSE),FALSE),
IF($Z6=8,_xlfn.IFNA(VLOOKUP($C6,'Data Transfer Tables'!$B$242:$C$251,2,FALSE),FALSE),FALSE),
IF($Z6=9,_xlfn.IFNA(VLOOKUP($C6,'Data Transfer Tables'!$B$256:$C$266,2,FALSE),FALSE),FALSE),
IF($Z6=10,_xlfn.IFNA(VLOOKUP($C6,'Data Transfer Tables'!$B$271:$C$281,2,FALSE),FALSE),FALSE),
IF($Z6=11,_xlfn.IFNA(VLOOKUP($C6,'Data Transfer Tables'!$B$286:$C$295,2,FALSE),FALSE),FALSE),
IF($Z6=12,_xlfn.IFNA(VLOOKUP($C6,'Data Transfer Tables'!$B$300:$C$309,2,FALSE),FALSE),FALSE),
IF($Z6=13,_xlfn.IFNA(VLOOKUP($C6,'Data Transfer Tables'!$B$314:$C$323,2,FALSE),FALSE),FALSE),
IF($Z6=14,_xlfn.IFNA(VLOOKUP($C6,'Data Transfer Tables'!$B$328:$C$338,2,FALSE),FALSE),FALSE),
IF($Z6=15,_xlfn.IFNA(VLOOKUP($C6,'Data Transfer Tables'!$B$343:$C$353,2,FALSE),FALSE),FALSE),
IF($Z6=16,_xlfn.IFNA(VLOOKUP($C6,'Data Transfer Tables'!$B$358:$C$369,2,FALSE),FALSE),FALSE),
IF($Z6=17,_xlfn.IFNA(VLOOKUP($C6,'Data Transfer Tables'!$B$374:$C$384,2,FALSE),FALSE),FALSE),
IF($Z6=18,_xlfn.IFNA(VLOOKUP($C6,'Data Transfer Tables'!$B$389:$C$399,2,FALSE),FALSE),FALSE),
IF($Z6=19,_xlfn.IFNA(VLOOKUP($C6,'Data Transfer Tables'!$B$404:$C$414,2,FALSE),FALSE),FALSE),
IF($Z6=20,_xlfn.IFNA(VLOOKUP($C6,'Data Transfer Tables'!$B$419:$C$429,2,FALSE),FALSE),FALSE),
IF($Z6=21,_xlfn.IFNA(VLOOKUP($C6,'Data Transfer Tables'!$B$434:$C$444,2,FALSE),FALSE),FALSE),
IF($Z6=22,_xlfn.IFNA(VLOOKUP($C6,'Data Transfer Tables'!$B$449:$C$459,2,FALSE),FALSE),FALSE))</f>
        <v>0</v>
      </c>
      <c r="AG6" s="210" t="b">
        <f t="shared" ref="AG6:AG18" si="36">IF(OR(C6="&lt;select&gt;",ISBLANK(C6)),TRUE,FALSE)</f>
        <v>1</v>
      </c>
      <c r="AH6" s="210" t="str">
        <f t="shared" ref="AH6:AH18" si="37">IF(AND(AE6=TRUE,AG6=TRUE),"Data Type/Format Empty",IF(AND(AE6=TRUE,AG6=FALSE),"Data Type is Empty",IF(AND(AF6,NOT(AG6)),"OMS Data Format Entered",IF(AND(NOT(AF6),AG6),"Data Format is Empty","Non-OMS Data Format Entered"))))</f>
        <v>Data Type/Format Empty</v>
      </c>
      <c r="AI6" s="210" t="str">
        <f t="shared" ref="AI6:AI18" si="38">IF(OR(AH6="Data Type/Format Empty", AH6="OMS Data Format Entered"),"N/A",IF(OR(AH6="Data Format is Empty", AH6="Data Type is Empty"),FALSE,IF(AH6="Non-OMS Data Format Entered",TRUE,FALSE)))</f>
        <v>N/A</v>
      </c>
      <c r="AJ6" s="146" t="b">
        <f>OR(IF($Z6=1,_xlfn.IFNA(VLOOKUP($D6,'Data Transfer Tables'!$E$144:$G$153,2,FALSE),FALSE),FALSE),
IF($Z6=2,_xlfn.IFNA(VLOOKUP($D6,'Data Transfer Tables'!$E$158:$G$167,2,FALSE),FALSE),FALSE),
IF($Z6=3,_xlfn.IFNA(VLOOKUP($D6,'Data Transfer Tables'!$E$172:$G$181,2,FALSE),FALSE),FALSE),
IF($Z6=4,_xlfn.IFNA(VLOOKUP($D6,'Data Transfer Tables'!$E$186:$G$195,2,FALSE),FALSE),FALSE),
IF($Z6=5,_xlfn.IFNA(VLOOKUP($D6,'Data Transfer Tables'!$E$200:$G$209,2,FALSE),FALSE),FALSE),
IF($Z6=6,_xlfn.IFNA(VLOOKUP($D6,'Data Transfer Tables'!$E$214:$G$223,2,FALSE),FALSE),FALSE),
IF($Z6=7,_xlfn.IFNA(VLOOKUP($D6,'Data Transfer Tables'!$E$228:$G$237,2,FALSE),FALSE),FALSE),
IF($Z6=8,_xlfn.IFNA(VLOOKUP($D6,'Data Transfer Tables'!$E$242:$G$251,2,FALSE),FALSE),FALSE),
IF($Z6=9,_xlfn.IFNA(VLOOKUP($D6,'Data Transfer Tables'!$E$256:$G$266,2,FALSE),FALSE),FALSE),
IF($Z6=10,_xlfn.IFNA(VLOOKUP($D6,'Data Transfer Tables'!$E$271:$G$281,2,FALSE),FALSE),FALSE),
IF($Z6=11,_xlfn.IFNA(VLOOKUP($D6,'Data Transfer Tables'!$E$286:$G$295,2,FALSE),FALSE),FALSE),
IF($Z6=12,_xlfn.IFNA(VLOOKUP($D6,'Data Transfer Tables'!$E$300:$G$309,2,FALSE),FALSE),FALSE),
IF($Z6=13,_xlfn.IFNA(VLOOKUP($D6,'Data Transfer Tables'!$E$314:$G$323,2,FALSE),FALSE),FALSE),
IF($Z6=14,_xlfn.IFNA(VLOOKUP($D6,'Data Transfer Tables'!$E$328:$G$338,2,FALSE),FALSE),FALSE),
IF($Z6=15,_xlfn.IFNA(VLOOKUP($D6,'Data Transfer Tables'!$E$343:$G$353,2,FALSE),FALSE),FALSE),
IF($Z6=16,_xlfn.IFNA(VLOOKUP($D6,'Data Transfer Tables'!$E$358:$G$369,2,FALSE),FALSE),FALSE),
IF($Z6=17,_xlfn.IFNA(VLOOKUP($D6,'Data Transfer Tables'!$E$374:$G$384,2,FALSE),FALSE),FALSE),
IF($Z6=18,_xlfn.IFNA(VLOOKUP($D6,'Data Transfer Tables'!$E$389:$G$399,2,FALSE),FALSE),FALSE),
IF($Z6=19,_xlfn.IFNA(VLOOKUP($D6,'Data Transfer Tables'!$E$404:$G$414,2,FALSE),FALSE),FALSE),
IF($Z6=20,_xlfn.IFNA(VLOOKUP($D6,'Data Transfer Tables'!$E$419:$G$429,2,FALSE),FALSE),FALSE),
IF($Z6=21,_xlfn.IFNA(VLOOKUP($D6,'Data Transfer Tables'!$E$434:$G$444,2,FALSE),FALSE),FALSE),
IF($Z6=22,_xlfn.IFNA(VLOOKUP($D6,'Data Transfer Tables'!$E$449:$G$459,2,FALSE),FALSE),FALSE))</f>
        <v>0</v>
      </c>
      <c r="AK6" s="146" t="b">
        <f t="shared" si="1"/>
        <v>1</v>
      </c>
      <c r="AL6" s="146" t="str">
        <f t="shared" ref="AL6:AL18" si="39">IF(AND(AE6=TRUE,AK6=TRUE),"Data Type/Exclusive Use Empty",IF(AND(AE6=TRUE,AK6=FALSE),"Data Type is Empty",IF(AND(AJ6,NOT(AK6)),"OMS Exclusive Use Entered",IF(AND(NOT(AJ6),AK6),"Exclusive Use is Empty","Non-OMS Exclusive Use Entered"))))</f>
        <v>Data Type/Exclusive Use Empty</v>
      </c>
      <c r="AM6" s="146" t="str">
        <f t="shared" ref="AM6:AM18" si="40">IF(OR(AL6="Data Type/Exclusive Use Empty", AL6="OMS Exclusive Use Entered"),"N/A",IF(OR(AL6="Exclusive Use is Empty", AL6="Data Type is Empty"),FALSE,IF(AL6="Non-OMS Exclusive Use Entered",TRUE,FALSE)))</f>
        <v>N/A</v>
      </c>
      <c r="AN6" s="145" t="b">
        <f>OR(IF($Z6=1,_xlfn.IFNA(VLOOKUP($E6,'Data Transfer Tables'!$H$144:$I$153,2,FALSE),FALSE),FALSE),
IF($Z6=2,_xlfn.IFNA(VLOOKUP($E6,'Data Transfer Tables'!$H$158:$I$167,2,FALSE),FALSE),FALSE),
IF($Z6=3,_xlfn.IFNA(VLOOKUP($E6,'Data Transfer Tables'!$H$172:$I$181,2,FALSE),FALSE),FALSE),
IF($Z6=4,_xlfn.IFNA(VLOOKUP($E6,'Data Transfer Tables'!$H$186:$I$195,2,FALSE),FALSE),FALSE),
IF($Z6=5,_xlfn.IFNA(VLOOKUP($E6,'Data Transfer Tables'!$H$200:$I$209,2,FALSE),FALSE),FALSE),
IF($Z6=6,_xlfn.IFNA(VLOOKUP($E6,'Data Transfer Tables'!$H$214:$I$223,2,FALSE),FALSE),FALSE),
IF($Z6=7,_xlfn.IFNA(VLOOKUP($E6,'Data Transfer Tables'!$H$228:$I$237,2,FALSE),FALSE),FALSE),
IF($Z6=8,_xlfn.IFNA(VLOOKUP($E6,'Data Transfer Tables'!$H$242:$I$251,2,FALSE),FALSE),FALSE),
IF($Z6=9,_xlfn.IFNA(VLOOKUP($E6,'Data Transfer Tables'!$H$256:$I$266,2,FALSE),FALSE),FALSE),
IF($Z6=10,_xlfn.IFNA(VLOOKUP($E6,'Data Transfer Tables'!$H$271:$I$281,2,FALSE),FALSE),FALSE),
IF($Z6=11,_xlfn.IFNA(VLOOKUP($E6,'Data Transfer Tables'!$H$286:$I$295,2,FALSE),FALSE),FALSE),
IF($Z6=12,_xlfn.IFNA(VLOOKUP($E6,'Data Transfer Tables'!$H$300:$I$309,2,FALSE),FALSE),FALSE),
IF($Z6=13,_xlfn.IFNA(VLOOKUP($E6,'Data Transfer Tables'!$H$314:$I$323,2,FALSE),FALSE),FALSE),
IF($Z6=14,_xlfn.IFNA(VLOOKUP($E6,'Data Transfer Tables'!$H$328:$I$338,2,FALSE),FALSE),FALSE),
IF($Z6=15,_xlfn.IFNA(VLOOKUP($E6,'Data Transfer Tables'!$H$343:$I$353,2,FALSE),FALSE),FALSE),
IF($Z6=16,_xlfn.IFNA(VLOOKUP($E6,'Data Transfer Tables'!$H$358:$I$369,2,FALSE),FALSE),FALSE),
IF($Z6=17,_xlfn.IFNA(VLOOKUP($E6,'Data Transfer Tables'!$H$374:$I$384,2,FALSE),FALSE),FALSE),
IF($Z6=18,_xlfn.IFNA(VLOOKUP($E6,'Data Transfer Tables'!$H$389:$I$399,2,FALSE),FALSE),FALSE),
IF($Z6=19,_xlfn.IFNA(VLOOKUP($E6,'Data Transfer Tables'!$H$404:$I$414,2,FALSE),FALSE),FALSE),
IF($Z6=20,_xlfn.IFNA(VLOOKUP($E6,'Data Transfer Tables'!$H$419:$I$429,2,FALSE),FALSE),FALSE),
IF($Z6=21,_xlfn.IFNA(VLOOKUP($E6,'Data Transfer Tables'!$H$434:$I$444,2,FALSE),FALSE),FALSE),
IF($Z6=22,_xlfn.IFNA(VLOOKUP($E6,'Data Transfer Tables'!$H$449:$I$459,2,FALSE),FALSE),FALSE))</f>
        <v>0</v>
      </c>
      <c r="AO6" s="145" t="b">
        <f t="shared" si="2"/>
        <v>1</v>
      </c>
      <c r="AP6" s="145" t="str">
        <f t="shared" ref="AP6:AP18" si="41">IF(AND(AE6=TRUE,AO6=TRUE),"Data Type/Shared Read-Only Empty",IF(AND(AE6=TRUE,AO6=FALSE),"Data Type is Empty",IF(AND(AN6,NOT(AO6)),"OMS Shared Read-Only Entered",IF(AND(NOT(AN6),AO6),"Shared Read-Only is Empty","Non-OMS Shared Read-Only Entered"))))</f>
        <v>Data Type/Shared Read-Only Empty</v>
      </c>
      <c r="AQ6" s="145" t="str">
        <f t="shared" ref="AQ6:AQ18" si="42">IF(OR(AP6="Data Type/Shared Read-Only Empty", AP6="OMS Shared Read-Only Entered"),"N/A",IF(OR(AP6="Shared Read-Only is Empty", AP6="Data Type is Empty"),FALSE,IF(AP6="Non-OMS Shared Read-Only Entered",TRUE,FALSE)))</f>
        <v>N/A</v>
      </c>
      <c r="AR6" s="147" t="b">
        <f>OR(IF($Z6=1,_xlfn.IFNA(VLOOKUP($F6,'Data Transfer Tables'!$K$144:$L$153,2,FALSE),FALSE),FALSE),
IF($Z6=2,_xlfn.IFNA(VLOOKUP($F6,'Data Transfer Tables'!$K$158:$L$167,2,FALSE),FALSE),FALSE),
IF($Z6=3,_xlfn.IFNA(VLOOKUP($F6,'Data Transfer Tables'!$K$172:$L$181,2,FALSE),FALSE),FALSE),
IF($Z6=4,_xlfn.IFNA(VLOOKUP($F6,'Data Transfer Tables'!$K$186:$L$195,2,FALSE),FALSE),FALSE),
IF($Z6=5,_xlfn.IFNA(VLOOKUP($F6,'Data Transfer Tables'!$K$200:$L$209,2,FALSE),FALSE),FALSE),
IF($Z6=6,_xlfn.IFNA(VLOOKUP($F6,'Data Transfer Tables'!$K$214:$L$223,2,FALSE),FALSE),FALSE),
IF($Z6=7,_xlfn.IFNA(VLOOKUP($F6,'Data Transfer Tables'!$K$228:$L$237,2,FALSE),FALSE),FALSE),
IF($Z6=8,_xlfn.IFNA(VLOOKUP($F6,'Data Transfer Tables'!$K$242:$L$251,2,FALSE),FALSE),FALSE),
IF($Z6=9,_xlfn.IFNA(VLOOKUP($F6,'Data Transfer Tables'!$K$256:$L$266,2,FALSE),FALSE),FALSE),
IF($Z6=10,_xlfn.IFNA(VLOOKUP($F6,'Data Transfer Tables'!$K$271:$L$281,2,FALSE),FALSE),FALSE),
IF($Z6=11,_xlfn.IFNA(VLOOKUP($F6,'Data Transfer Tables'!$K$286:$L$295,2,FALSE),FALSE),FALSE),
IF($Z6=12,_xlfn.IFNA(VLOOKUP($F6,'Data Transfer Tables'!$K$300:$L$309,2,FALSE),FALSE),FALSE),
IF($Z6=13,_xlfn.IFNA(VLOOKUP($F6,'Data Transfer Tables'!$K$314:$L$323,2,FALSE),FALSE),FALSE),
IF($Z6=14,_xlfn.IFNA(VLOOKUP($F6,'Data Transfer Tables'!$K$328:$L$338,2,FALSE),FALSE),FALSE),
IF($Z6=15,_xlfn.IFNA(VLOOKUP($F6,'Data Transfer Tables'!$K$343:$L$353,2,FALSE),FALSE),FALSE),
IF($Z6=16,_xlfn.IFNA(VLOOKUP($F6,'Data Transfer Tables'!$K$358:$L$369,2,FALSE),FALSE),FALSE),
IF($Z6=17,_xlfn.IFNA(VLOOKUP($F6,'Data Transfer Tables'!$K$374:$L$384,2,FALSE),FALSE),FALSE),
IF($Z6=18,_xlfn.IFNA(VLOOKUP($F6,'Data Transfer Tables'!$K$389:$L$399,2,FALSE),FALSE),FALSE),
IF($Z6=19,_xlfn.IFNA(VLOOKUP($F6,'Data Transfer Tables'!$K$404:$L$414,2,FALSE),FALSE),FALSE),
IF($Z6=20,_xlfn.IFNA(VLOOKUP($F6,'Data Transfer Tables'!$K$419:$L$429,2,FALSE),FALSE),FALSE),
IF($Z6=21,_xlfn.IFNA(VLOOKUP($F6,'Data Transfer Tables'!$K$434:$L$444,2,FALSE),FALSE),FALSE),
IF($Z6=22,_xlfn.IFNA(VLOOKUP($F6,'Data Transfer Tables'!$K$449:$L$459,2,FALSE),FALSE),FALSE))</f>
        <v>0</v>
      </c>
      <c r="AS6" s="147" t="b">
        <f t="shared" si="3"/>
        <v>1</v>
      </c>
      <c r="AT6" s="147" t="str">
        <f t="shared" ref="AT6:AT18" si="43">IF(AND(AE6=TRUE,AS6=TRUE),"Data Type/Shared Read/Modify Empty",IF(AND(AE6=TRUE,AS6=FALSE),"Data Type is Empty",IF(AND(AR6,NOT(AS6)),"OMS Shared Read/Modify Entered",IF(AND(NOT(AR6),AS6),"Shared Read/Modify is Empty","Non-OMS Shared Read/Modify Entered"))))</f>
        <v>Data Type/Shared Read/Modify Empty</v>
      </c>
      <c r="AU6" s="147" t="str">
        <f t="shared" ref="AU6:AU18" si="44">IF(OR(AT6="Data Type/Shared Read/Modify Empty", AT6="OMS Shared Read/Modify Entered"),"N/A",IF(OR(AT6="Shared Read/Modify is Empty", AT6="Data Type is Empty"),FALSE,IF(AT6="Non-OMS Shared Read/Modify Entered",TRUE,FALSE)))</f>
        <v>N/A</v>
      </c>
      <c r="AV6" s="74" t="b">
        <f>OR(IF($Z6=1,_xlfn.IFNA(VLOOKUP($G6,'Data Transfer Tables'!$H$113:$I$125,2,FALSE),FALSE),FALSE),
IF($Z6=2,_xlfn.IFNA(VLOOKUP($G6,'Data Transfer Tables'!$H$113:$I$125,2,FALSE),FALSE),FALSE),
IF($Z6=3,_xlfn.IFNA(VLOOKUP($G6,'Data Transfer Tables'!$H$113:$I$125,2,FALSE),FALSE),FALSE),
IF($Z6=4,_xlfn.IFNA(VLOOKUP($G6,'Data Transfer Tables'!$H$113:$I$125,2,FALSE),FALSE),FALSE),
IF($Z6=5,_xlfn.IFNA(VLOOKUP($G6,'Data Transfer Tables'!$H$113:$I$125,2,FALSE),FALSE),FALSE),
IF($Z6=6,_xlfn.IFNA(VLOOKUP($G6,'Data Transfer Tables'!$H$113:$I$125,2,FALSE),FALSE),FALSE),
IF($Z6=7,_xlfn.IFNA(VLOOKUP($G6,'Data Transfer Tables'!$H$113:$I$125,2,FALSE),FALSE),FALSE),
IF($Z6=8,_xlfn.IFNA(VLOOKUP($G6,'Data Transfer Tables'!$H$113:$I$125,2,FALSE),FALSE),FALSE),
IF($Z6=9,_xlfn.IFNA(VLOOKUP($G6,'Data Transfer Tables'!$H$113:$I$125,2,FALSE),FALSE),FALSE),
IF($Z6=10,_xlfn.IFNA(VLOOKUP($G6,'Data Transfer Tables'!$H$113:$I$125,2,FALSE),FALSE),FALSE),
IF($Z6=11,_xlfn.IFNA(VLOOKUP($G6,'Data Transfer Tables'!$H$113:$I$125,2,FALSE),FALSE),FALSE),
IF($Z6=12,_xlfn.IFNA(VLOOKUP($G6,'Data Transfer Tables'!$H$113:$I$125,2,FALSE),FALSE),FALSE),
IF($Z6=13,_xlfn.IFNA(VLOOKUP($G6,'Data Transfer Tables'!$H$113:$I$125,2,FALSE),FALSE),FALSE),
IF($Z6=14,_xlfn.IFNA(VLOOKUP($G6,'Data Transfer Tables'!$H$113:$I$125,2,FALSE),FALSE),FALSE),
IF($Z6=15,_xlfn.IFNA(VLOOKUP($G6,'Data Transfer Tables'!$H$113:$I$125,2,FALSE),FALSE),FALSE),
IF($Z6=16,_xlfn.IFNA(VLOOKUP($G6,'Data Transfer Tables'!$H$113:$I$125,2,FALSE),FALSE),FALSE),
IF($Z6=17,_xlfn.IFNA(VLOOKUP($G6,'Data Transfer Tables'!$H$113:$I$125,2,FALSE),FALSE),FALSE),
IF($Z6=18,_xlfn.IFNA(VLOOKUP($G6,'Data Transfer Tables'!$H$113:$I$125,2,FALSE),FALSE),FALSE),
IF($Z6=19,_xlfn.IFNA(VLOOKUP($G6,'Data Transfer Tables'!$H$113:$I$125,2,FALSE),FALSE),FALSE),
IF($Z6=20,_xlfn.IFNA(VLOOKUP($G6,'Data Transfer Tables'!$H$113:$I$125,2,FALSE),FALSE),FALSE),
IF($Z6=21,_xlfn.IFNA(VLOOKUP($G6,'Data Transfer Tables'!$H$113:$I$125,2,FALSE),FALSE),FALSE),
IF($Z6=22,_xlfn.IFNA(VLOOKUP($G6,'Data Transfer Tables'!$H$113:$I$125,2,FALSE),FALSE),FALSE))</f>
        <v>0</v>
      </c>
      <c r="AW6" s="74" t="b">
        <f t="shared" si="4"/>
        <v>1</v>
      </c>
      <c r="AX6" s="74" t="str">
        <f t="shared" ref="AX6:AX18" si="45">IF(AND(AE6=TRUE,AW6=TRUE),"Data Type/URI Empty",IF(AND(AE6=TRUE,AW6=FALSE),"Data Type is Empty",IF(AND(AV6,NOT(AW6)),"OMS URI Entered",IF(AND(NOT(AV6),AW6),"URI is Empty","Non-OMS URI Entered"))))</f>
        <v>Data Type/URI Empty</v>
      </c>
      <c r="AY6" s="74" t="str">
        <f t="shared" ref="AY6:AY18" si="46">IF(OR(AX6="Data Type/URI Empty", AX6="OMS URI Entered"),"N/A",IF(OR(AX6="URI is Empty", AX6="Data Type is Empty"),FALSE,IF(AX6="Non-OMS URI Entered",TRUE,FALSE)))</f>
        <v>N/A</v>
      </c>
      <c r="AZ6" s="206" t="b">
        <f t="shared" si="5"/>
        <v>1</v>
      </c>
      <c r="BA6" s="206" t="b">
        <f t="shared" ref="BA6:BA18" si="47">AND(AF6=TRUE, AJ6=TRUE, AN6=TRUE, AR6=TRUE, AV6=TRUE)</f>
        <v>0</v>
      </c>
      <c r="BB6" s="211" t="b">
        <f t="shared" si="6"/>
        <v>0</v>
      </c>
      <c r="BC6" s="51" t="str">
        <f t="shared" ref="BC6:BC18" si="48">IF(Y6="N/A","",
 IF(B6="Non-OMS Data Transfer","1",
  IF(Y6=TRUE,
   IF(AND(D6="Does Not Use",E6="Does Not Use"),"1",
    IF(D6="Does Not Use","2","3")),"1")))</f>
        <v/>
      </c>
      <c r="BD6" s="51" t="b">
        <f t="shared" ref="BD6:BD18" si="49">IF(AB6=0,FALSE, IF(AND(OR(X6=1,X6=2,X6=3)),TRUE,FALSE))</f>
        <v>0</v>
      </c>
      <c r="BE6" s="51" t="b">
        <f t="shared" si="7"/>
        <v>0</v>
      </c>
      <c r="BF6" s="51" t="b">
        <f t="shared" si="8"/>
        <v>0</v>
      </c>
      <c r="BG6" s="51" t="str">
        <f t="shared" ref="BG6:BG18" si="50">IF(AB6=0,"N/A",IF(OR(A6="&lt;Enter Non-OMS Data Transfer&gt;",(ISBLANK(A6))),FALSE,TRUE))</f>
        <v>N/A</v>
      </c>
      <c r="BH6" s="106" t="str">
        <f t="shared" si="9"/>
        <v>N/A</v>
      </c>
      <c r="BI6" s="51" t="str">
        <f t="shared" si="10"/>
        <v>N/A</v>
      </c>
      <c r="BJ6" s="51" t="str">
        <f t="shared" si="11"/>
        <v>N/A</v>
      </c>
      <c r="BK6" s="51" t="str">
        <f t="shared" si="12"/>
        <v>N/A</v>
      </c>
      <c r="BL6" s="51" t="b">
        <f t="shared" si="13"/>
        <v>1</v>
      </c>
      <c r="BM6" s="51" t="b">
        <f t="shared" si="14"/>
        <v>0</v>
      </c>
      <c r="BN6" s="51" t="str">
        <f t="shared" ref="BN6:BN18" si="51">IF(BM6=TRUE,TRUE,"")</f>
        <v/>
      </c>
      <c r="BO6" s="51" t="b">
        <f t="shared" ref="BO6:BO18" si="52">AND(A6="&lt;Enter Non-OMS Data Transfer&gt;",COUNTIF(B6:G6,"*&lt;select&gt;*")=COLUMNS(B6:G6), H6="&lt;Enter Description Here&gt;", I6="&lt;Enter Rationale Here&gt;", J6="&lt;Enter Change Request ID Here&gt;")</f>
        <v>1</v>
      </c>
      <c r="BP6" s="51" t="str">
        <f t="shared" si="15"/>
        <v>N/A</v>
      </c>
      <c r="BQ6" s="51" t="str">
        <f t="shared" si="16"/>
        <v>N/A</v>
      </c>
      <c r="BR6" s="94" t="b">
        <f t="shared" si="17"/>
        <v>1</v>
      </c>
      <c r="BS6" s="94" t="b">
        <f t="shared" si="18"/>
        <v>1</v>
      </c>
      <c r="BT6" s="94" t="b">
        <f t="shared" si="19"/>
        <v>1</v>
      </c>
      <c r="BU6" s="94" t="b">
        <f t="shared" si="20"/>
        <v>1</v>
      </c>
      <c r="BV6" s="51" t="str">
        <f t="shared" ref="BV6:BV17" si="53">IF(BI6=TRUE,TRUE, IF(BI6="N/A", "", FALSE))</f>
        <v/>
      </c>
      <c r="BW6" s="51" t="str">
        <f t="shared" ref="BW6:BW17" si="54">IF(BJ6=TRUE,TRUE, IF(BJ6="N/A", "", FALSE))</f>
        <v/>
      </c>
      <c r="BX6" s="51" t="b">
        <f t="shared" si="21"/>
        <v>1</v>
      </c>
    </row>
    <row r="7" spans="1:76" s="28" customFormat="1" ht="26.25" thickBot="1" x14ac:dyDescent="0.25">
      <c r="A7" s="63" t="s">
        <v>52</v>
      </c>
      <c r="B7" s="142" t="s">
        <v>44</v>
      </c>
      <c r="C7" s="142" t="s">
        <v>44</v>
      </c>
      <c r="D7" s="63" t="s">
        <v>44</v>
      </c>
      <c r="E7" s="63" t="s">
        <v>44</v>
      </c>
      <c r="F7" s="63" t="s">
        <v>44</v>
      </c>
      <c r="G7" s="63" t="s">
        <v>44</v>
      </c>
      <c r="H7" s="37" t="s">
        <v>53</v>
      </c>
      <c r="I7" s="37" t="s">
        <v>29</v>
      </c>
      <c r="J7" s="37" t="s">
        <v>666</v>
      </c>
      <c r="K7" s="64" t="s">
        <v>20</v>
      </c>
      <c r="L7" s="174" t="b">
        <f t="shared" si="22"/>
        <v>1</v>
      </c>
      <c r="M7" s="174" t="b">
        <f t="shared" si="23"/>
        <v>1</v>
      </c>
      <c r="N7" s="174" t="b">
        <f t="shared" si="24"/>
        <v>1</v>
      </c>
      <c r="S7" s="51" t="b">
        <f t="shared" si="25"/>
        <v>1</v>
      </c>
      <c r="T7" s="94" t="b">
        <f t="shared" si="26"/>
        <v>0</v>
      </c>
      <c r="U7" s="94" t="b">
        <f t="shared" si="27"/>
        <v>0</v>
      </c>
      <c r="V7" s="94" t="b">
        <f t="shared" si="28"/>
        <v>0</v>
      </c>
      <c r="W7" s="94" t="b">
        <f t="shared" si="29"/>
        <v>0</v>
      </c>
      <c r="X7" s="207" t="str">
        <f t="shared" si="30"/>
        <v/>
      </c>
      <c r="Y7" s="51" t="str">
        <f t="shared" si="0"/>
        <v>N/A</v>
      </c>
      <c r="Z7" s="208">
        <f t="shared" si="31"/>
        <v>0</v>
      </c>
      <c r="AA7" s="51" t="b">
        <f t="shared" si="32"/>
        <v>1</v>
      </c>
      <c r="AB7" s="74">
        <f>_xlfn.IFNA(VLOOKUP(B7,'Data Transfer Tables'!$A$111:$B$131,2),0)</f>
        <v>0</v>
      </c>
      <c r="AC7" s="196" t="b">
        <f t="shared" si="33"/>
        <v>0</v>
      </c>
      <c r="AD7" s="74" t="b">
        <f t="shared" si="34"/>
        <v>0</v>
      </c>
      <c r="AE7" s="209" t="b">
        <f t="shared" si="35"/>
        <v>1</v>
      </c>
      <c r="AF7" s="210" t="b">
        <f>OR(IF($Z7=1,_xlfn.IFNA(VLOOKUP($C7,'Data Transfer Tables'!$B$144:$C$153,2,FALSE),FALSE),FALSE),
IF($Z7=2,_xlfn.IFNA(VLOOKUP($C7,'Data Transfer Tables'!$B$158:$C$167,2,FALSE),FALSE),FALSE),
IF($Z7=3,_xlfn.IFNA(VLOOKUP($C7,'Data Transfer Tables'!$B$172:$C$181,2,FALSE),FALSE),FALSE),
IF($Z7=4,_xlfn.IFNA(VLOOKUP($C7,'Data Transfer Tables'!$B$186:$C$195,2,FALSE),FALSE),FALSE),
IF($Z7=5,_xlfn.IFNA(VLOOKUP($C7,'Data Transfer Tables'!$B$200:$C$209,2,FALSE),FALSE),FALSE),
IF($Z7=6,_xlfn.IFNA(VLOOKUP($C7,'Data Transfer Tables'!$B$214:$C$223,2,FALSE),FALSE),FALSE),
IF($Z7=7,_xlfn.IFNA(VLOOKUP($C7,'Data Transfer Tables'!$B$228:$C$237,2,FALSE),FALSE),FALSE),
IF($Z7=8,_xlfn.IFNA(VLOOKUP($C7,'Data Transfer Tables'!$B$242:$C$251,2,FALSE),FALSE),FALSE),
IF($Z7=9,_xlfn.IFNA(VLOOKUP($C7,'Data Transfer Tables'!$B$256:$C$266,2,FALSE),FALSE),FALSE),
IF($Z7=10,_xlfn.IFNA(VLOOKUP($C7,'Data Transfer Tables'!$B$271:$C$281,2,FALSE),FALSE),FALSE),
IF($Z7=11,_xlfn.IFNA(VLOOKUP($C7,'Data Transfer Tables'!$B$286:$C$295,2,FALSE),FALSE),FALSE),
IF($Z7=12,_xlfn.IFNA(VLOOKUP($C7,'Data Transfer Tables'!$B$300:$C$309,2,FALSE),FALSE),FALSE),
IF($Z7=13,_xlfn.IFNA(VLOOKUP($C7,'Data Transfer Tables'!$B$314:$C$323,2,FALSE),FALSE),FALSE),
IF($Z7=14,_xlfn.IFNA(VLOOKUP($C7,'Data Transfer Tables'!$B$328:$C$338,2,FALSE),FALSE),FALSE),
IF($Z7=15,_xlfn.IFNA(VLOOKUP($C7,'Data Transfer Tables'!$B$343:$C$353,2,FALSE),FALSE),FALSE),
IF($Z7=16,_xlfn.IFNA(VLOOKUP($C7,'Data Transfer Tables'!$B$358:$C$369,2,FALSE),FALSE),FALSE),
IF($Z7=17,_xlfn.IFNA(VLOOKUP($C7,'Data Transfer Tables'!$B$374:$C$384,2,FALSE),FALSE),FALSE),
IF($Z7=18,_xlfn.IFNA(VLOOKUP($C7,'Data Transfer Tables'!$B$389:$C$399,2,FALSE),FALSE),FALSE),
IF($Z7=19,_xlfn.IFNA(VLOOKUP($C7,'Data Transfer Tables'!$B$404:$C$414,2,FALSE),FALSE),FALSE),
IF($Z7=20,_xlfn.IFNA(VLOOKUP($C7,'Data Transfer Tables'!$B$419:$C$429,2,FALSE),FALSE),FALSE),
IF($Z7=21,_xlfn.IFNA(VLOOKUP($C7,'Data Transfer Tables'!$B$434:$C$444,2,FALSE),FALSE),FALSE),
IF($Z7=22,_xlfn.IFNA(VLOOKUP($C7,'Data Transfer Tables'!$B$449:$C$459,2,FALSE),FALSE),FALSE))</f>
        <v>0</v>
      </c>
      <c r="AG7" s="210" t="b">
        <f t="shared" si="36"/>
        <v>1</v>
      </c>
      <c r="AH7" s="210" t="str">
        <f t="shared" si="37"/>
        <v>Data Type/Format Empty</v>
      </c>
      <c r="AI7" s="210" t="str">
        <f t="shared" si="38"/>
        <v>N/A</v>
      </c>
      <c r="AJ7" s="146" t="b">
        <f>OR(IF($Z7=1,_xlfn.IFNA(VLOOKUP($D7,'Data Transfer Tables'!$E$144:$G$153,2,FALSE),FALSE),FALSE),
IF($Z7=2,_xlfn.IFNA(VLOOKUP($D7,'Data Transfer Tables'!$E$158:$G$167,2,FALSE),FALSE),FALSE),
IF($Z7=3,_xlfn.IFNA(VLOOKUP($D7,'Data Transfer Tables'!$E$172:$G$181,2,FALSE),FALSE),FALSE),
IF($Z7=4,_xlfn.IFNA(VLOOKUP($D7,'Data Transfer Tables'!$E$186:$G$195,2,FALSE),FALSE),FALSE),
IF($Z7=5,_xlfn.IFNA(VLOOKUP($D7,'Data Transfer Tables'!$E$200:$G$209,2,FALSE),FALSE),FALSE),
IF($Z7=6,_xlfn.IFNA(VLOOKUP($D7,'Data Transfer Tables'!$E$214:$G$223,2,FALSE),FALSE),FALSE),
IF($Z7=7,_xlfn.IFNA(VLOOKUP($D7,'Data Transfer Tables'!$E$228:$G$237,2,FALSE),FALSE),FALSE),
IF($Z7=8,_xlfn.IFNA(VLOOKUP($D7,'Data Transfer Tables'!$E$242:$G$251,2,FALSE),FALSE),FALSE),
IF($Z7=9,_xlfn.IFNA(VLOOKUP($D7,'Data Transfer Tables'!$E$256:$G$266,2,FALSE),FALSE),FALSE),
IF($Z7=10,_xlfn.IFNA(VLOOKUP($D7,'Data Transfer Tables'!$E$271:$G$281,2,FALSE),FALSE),FALSE),
IF($Z7=11,_xlfn.IFNA(VLOOKUP($D7,'Data Transfer Tables'!$E$286:$G$295,2,FALSE),FALSE),FALSE),
IF($Z7=12,_xlfn.IFNA(VLOOKUP($D7,'Data Transfer Tables'!$E$300:$G$309,2,FALSE),FALSE),FALSE),
IF($Z7=13,_xlfn.IFNA(VLOOKUP($D7,'Data Transfer Tables'!$E$314:$G$323,2,FALSE),FALSE),FALSE),
IF($Z7=14,_xlfn.IFNA(VLOOKUP($D7,'Data Transfer Tables'!$E$328:$G$338,2,FALSE),FALSE),FALSE),
IF($Z7=15,_xlfn.IFNA(VLOOKUP($D7,'Data Transfer Tables'!$E$343:$G$353,2,FALSE),FALSE),FALSE),
IF($Z7=16,_xlfn.IFNA(VLOOKUP($D7,'Data Transfer Tables'!$E$358:$G$369,2,FALSE),FALSE),FALSE),
IF($Z7=17,_xlfn.IFNA(VLOOKUP($D7,'Data Transfer Tables'!$E$374:$G$384,2,FALSE),FALSE),FALSE),
IF($Z7=18,_xlfn.IFNA(VLOOKUP($D7,'Data Transfer Tables'!$E$389:$G$399,2,FALSE),FALSE),FALSE),
IF($Z7=19,_xlfn.IFNA(VLOOKUP($D7,'Data Transfer Tables'!$E$404:$G$414,2,FALSE),FALSE),FALSE),
IF($Z7=20,_xlfn.IFNA(VLOOKUP($D7,'Data Transfer Tables'!$E$419:$G$429,2,FALSE),FALSE),FALSE),
IF($Z7=21,_xlfn.IFNA(VLOOKUP($D7,'Data Transfer Tables'!$E$434:$G$444,2,FALSE),FALSE),FALSE),
IF($Z7=22,_xlfn.IFNA(VLOOKUP($D7,'Data Transfer Tables'!$E$449:$G$459,2,FALSE),FALSE),FALSE))</f>
        <v>0</v>
      </c>
      <c r="AK7" s="146" t="b">
        <f t="shared" si="1"/>
        <v>1</v>
      </c>
      <c r="AL7" s="146" t="str">
        <f t="shared" si="39"/>
        <v>Data Type/Exclusive Use Empty</v>
      </c>
      <c r="AM7" s="146" t="str">
        <f t="shared" si="40"/>
        <v>N/A</v>
      </c>
      <c r="AN7" s="145" t="b">
        <f>OR(IF($Z7=1,_xlfn.IFNA(VLOOKUP($E7,'Data Transfer Tables'!$H$144:$I$153,2,FALSE),FALSE),FALSE),
IF($Z7=2,_xlfn.IFNA(VLOOKUP($E7,'Data Transfer Tables'!$H$158:$I$167,2,FALSE),FALSE),FALSE),
IF($Z7=3,_xlfn.IFNA(VLOOKUP($E7,'Data Transfer Tables'!$H$172:$I$181,2,FALSE),FALSE),FALSE),
IF($Z7=4,_xlfn.IFNA(VLOOKUP($E7,'Data Transfer Tables'!$H$186:$I$195,2,FALSE),FALSE),FALSE),
IF($Z7=5,_xlfn.IFNA(VLOOKUP($E7,'Data Transfer Tables'!$H$200:$I$209,2,FALSE),FALSE),FALSE),
IF($Z7=6,_xlfn.IFNA(VLOOKUP($E7,'Data Transfer Tables'!$H$214:$I$223,2,FALSE),FALSE),FALSE),
IF($Z7=7,_xlfn.IFNA(VLOOKUP($E7,'Data Transfer Tables'!$H$228:$I$237,2,FALSE),FALSE),FALSE),
IF($Z7=8,_xlfn.IFNA(VLOOKUP($E7,'Data Transfer Tables'!$H$242:$I$251,2,FALSE),FALSE),FALSE),
IF($Z7=9,_xlfn.IFNA(VLOOKUP($E7,'Data Transfer Tables'!$H$256:$I$266,2,FALSE),FALSE),FALSE),
IF($Z7=10,_xlfn.IFNA(VLOOKUP($E7,'Data Transfer Tables'!$H$271:$I$281,2,FALSE),FALSE),FALSE),
IF($Z7=11,_xlfn.IFNA(VLOOKUP($E7,'Data Transfer Tables'!$H$286:$I$295,2,FALSE),FALSE),FALSE),
IF($Z7=12,_xlfn.IFNA(VLOOKUP($E7,'Data Transfer Tables'!$H$300:$I$309,2,FALSE),FALSE),FALSE),
IF($Z7=13,_xlfn.IFNA(VLOOKUP($E7,'Data Transfer Tables'!$H$314:$I$323,2,FALSE),FALSE),FALSE),
IF($Z7=14,_xlfn.IFNA(VLOOKUP($E7,'Data Transfer Tables'!$H$328:$I$338,2,FALSE),FALSE),FALSE),
IF($Z7=15,_xlfn.IFNA(VLOOKUP($E7,'Data Transfer Tables'!$H$343:$I$353,2,FALSE),FALSE),FALSE),
IF($Z7=16,_xlfn.IFNA(VLOOKUP($E7,'Data Transfer Tables'!$H$358:$I$369,2,FALSE),FALSE),FALSE),
IF($Z7=17,_xlfn.IFNA(VLOOKUP($E7,'Data Transfer Tables'!$H$374:$I$384,2,FALSE),FALSE),FALSE),
IF($Z7=18,_xlfn.IFNA(VLOOKUP($E7,'Data Transfer Tables'!$H$389:$I$399,2,FALSE),FALSE),FALSE),
IF($Z7=19,_xlfn.IFNA(VLOOKUP($E7,'Data Transfer Tables'!$H$404:$I$414,2,FALSE),FALSE),FALSE),
IF($Z7=20,_xlfn.IFNA(VLOOKUP($E7,'Data Transfer Tables'!$H$419:$I$429,2,FALSE),FALSE),FALSE),
IF($Z7=21,_xlfn.IFNA(VLOOKUP($E7,'Data Transfer Tables'!$H$434:$I$444,2,FALSE),FALSE),FALSE),
IF($Z7=22,_xlfn.IFNA(VLOOKUP($E7,'Data Transfer Tables'!$H$449:$I$459,2,FALSE),FALSE),FALSE))</f>
        <v>0</v>
      </c>
      <c r="AO7" s="145" t="b">
        <f t="shared" si="2"/>
        <v>1</v>
      </c>
      <c r="AP7" s="145" t="str">
        <f t="shared" si="41"/>
        <v>Data Type/Shared Read-Only Empty</v>
      </c>
      <c r="AQ7" s="145" t="str">
        <f t="shared" si="42"/>
        <v>N/A</v>
      </c>
      <c r="AR7" s="147" t="b">
        <f>OR(IF($Z7=1,_xlfn.IFNA(VLOOKUP($F7,'Data Transfer Tables'!$K$144:$L$153,2,FALSE),FALSE),FALSE),
IF($Z7=2,_xlfn.IFNA(VLOOKUP($F7,'Data Transfer Tables'!$K$158:$L$167,2,FALSE),FALSE),FALSE),
IF($Z7=3,_xlfn.IFNA(VLOOKUP($F7,'Data Transfer Tables'!$K$172:$L$181,2,FALSE),FALSE),FALSE),
IF($Z7=4,_xlfn.IFNA(VLOOKUP($F7,'Data Transfer Tables'!$K$186:$L$195,2,FALSE),FALSE),FALSE),
IF($Z7=5,_xlfn.IFNA(VLOOKUP($F7,'Data Transfer Tables'!$K$200:$L$209,2,FALSE),FALSE),FALSE),
IF($Z7=6,_xlfn.IFNA(VLOOKUP($F7,'Data Transfer Tables'!$K$214:$L$223,2,FALSE),FALSE),FALSE),
IF($Z7=7,_xlfn.IFNA(VLOOKUP($F7,'Data Transfer Tables'!$K$228:$L$237,2,FALSE),FALSE),FALSE),
IF($Z7=8,_xlfn.IFNA(VLOOKUP($F7,'Data Transfer Tables'!$K$242:$L$251,2,FALSE),FALSE),FALSE),
IF($Z7=9,_xlfn.IFNA(VLOOKUP($F7,'Data Transfer Tables'!$K$256:$L$266,2,FALSE),FALSE),FALSE),
IF($Z7=10,_xlfn.IFNA(VLOOKUP($F7,'Data Transfer Tables'!$K$271:$L$281,2,FALSE),FALSE),FALSE),
IF($Z7=11,_xlfn.IFNA(VLOOKUP($F7,'Data Transfer Tables'!$K$286:$L$295,2,FALSE),FALSE),FALSE),
IF($Z7=12,_xlfn.IFNA(VLOOKUP($F7,'Data Transfer Tables'!$K$300:$L$309,2,FALSE),FALSE),FALSE),
IF($Z7=13,_xlfn.IFNA(VLOOKUP($F7,'Data Transfer Tables'!$K$314:$L$323,2,FALSE),FALSE),FALSE),
IF($Z7=14,_xlfn.IFNA(VLOOKUP($F7,'Data Transfer Tables'!$K$328:$L$338,2,FALSE),FALSE),FALSE),
IF($Z7=15,_xlfn.IFNA(VLOOKUP($F7,'Data Transfer Tables'!$K$343:$L$353,2,FALSE),FALSE),FALSE),
IF($Z7=16,_xlfn.IFNA(VLOOKUP($F7,'Data Transfer Tables'!$K$358:$L$369,2,FALSE),FALSE),FALSE),
IF($Z7=17,_xlfn.IFNA(VLOOKUP($F7,'Data Transfer Tables'!$K$374:$L$384,2,FALSE),FALSE),FALSE),
IF($Z7=18,_xlfn.IFNA(VLOOKUP($F7,'Data Transfer Tables'!$K$389:$L$399,2,FALSE),FALSE),FALSE),
IF($Z7=19,_xlfn.IFNA(VLOOKUP($F7,'Data Transfer Tables'!$K$404:$L$414,2,FALSE),FALSE),FALSE),
IF($Z7=20,_xlfn.IFNA(VLOOKUP($F7,'Data Transfer Tables'!$K$419:$L$429,2,FALSE),FALSE),FALSE),
IF($Z7=21,_xlfn.IFNA(VLOOKUP($F7,'Data Transfer Tables'!$K$434:$L$444,2,FALSE),FALSE),FALSE),
IF($Z7=22,_xlfn.IFNA(VLOOKUP($F7,'Data Transfer Tables'!$K$449:$L$459,2,FALSE),FALSE),FALSE))</f>
        <v>0</v>
      </c>
      <c r="AS7" s="147" t="b">
        <f t="shared" si="3"/>
        <v>1</v>
      </c>
      <c r="AT7" s="147" t="str">
        <f t="shared" si="43"/>
        <v>Data Type/Shared Read/Modify Empty</v>
      </c>
      <c r="AU7" s="147" t="str">
        <f t="shared" si="44"/>
        <v>N/A</v>
      </c>
      <c r="AV7" s="74" t="b">
        <f>OR(IF($Z7=1,_xlfn.IFNA(VLOOKUP($G7,'Data Transfer Tables'!$H$113:$I$125,2,FALSE),FALSE),FALSE),
IF($Z7=2,_xlfn.IFNA(VLOOKUP($G7,'Data Transfer Tables'!$H$113:$I$125,2,FALSE),FALSE),FALSE),
IF($Z7=3,_xlfn.IFNA(VLOOKUP($G7,'Data Transfer Tables'!$H$113:$I$125,2,FALSE),FALSE),FALSE),
IF($Z7=4,_xlfn.IFNA(VLOOKUP($G7,'Data Transfer Tables'!$H$113:$I$125,2,FALSE),FALSE),FALSE),
IF($Z7=5,_xlfn.IFNA(VLOOKUP($G7,'Data Transfer Tables'!$H$113:$I$125,2,FALSE),FALSE),FALSE),
IF($Z7=6,_xlfn.IFNA(VLOOKUP($G7,'Data Transfer Tables'!$H$113:$I$125,2,FALSE),FALSE),FALSE),
IF($Z7=7,_xlfn.IFNA(VLOOKUP($G7,'Data Transfer Tables'!$H$113:$I$125,2,FALSE),FALSE),FALSE),
IF($Z7=8,_xlfn.IFNA(VLOOKUP($G7,'Data Transfer Tables'!$H$113:$I$125,2,FALSE),FALSE),FALSE),
IF($Z7=9,_xlfn.IFNA(VLOOKUP($G7,'Data Transfer Tables'!$H$113:$I$125,2,FALSE),FALSE),FALSE),
IF($Z7=10,_xlfn.IFNA(VLOOKUP($G7,'Data Transfer Tables'!$H$113:$I$125,2,FALSE),FALSE),FALSE),
IF($Z7=11,_xlfn.IFNA(VLOOKUP($G7,'Data Transfer Tables'!$H$113:$I$125,2,FALSE),FALSE),FALSE),
IF($Z7=12,_xlfn.IFNA(VLOOKUP($G7,'Data Transfer Tables'!$H$113:$I$125,2,FALSE),FALSE),FALSE),
IF($Z7=13,_xlfn.IFNA(VLOOKUP($G7,'Data Transfer Tables'!$H$113:$I$125,2,FALSE),FALSE),FALSE),
IF($Z7=14,_xlfn.IFNA(VLOOKUP($G7,'Data Transfer Tables'!$H$113:$I$125,2,FALSE),FALSE),FALSE),
IF($Z7=15,_xlfn.IFNA(VLOOKUP($G7,'Data Transfer Tables'!$H$113:$I$125,2,FALSE),FALSE),FALSE),
IF($Z7=16,_xlfn.IFNA(VLOOKUP($G7,'Data Transfer Tables'!$H$113:$I$125,2,FALSE),FALSE),FALSE),
IF($Z7=17,_xlfn.IFNA(VLOOKUP($G7,'Data Transfer Tables'!$H$113:$I$125,2,FALSE),FALSE),FALSE),
IF($Z7=18,_xlfn.IFNA(VLOOKUP($G7,'Data Transfer Tables'!$H$113:$I$125,2,FALSE),FALSE),FALSE),
IF($Z7=19,_xlfn.IFNA(VLOOKUP($G7,'Data Transfer Tables'!$H$113:$I$125,2,FALSE),FALSE),FALSE),
IF($Z7=20,_xlfn.IFNA(VLOOKUP($G7,'Data Transfer Tables'!$H$113:$I$125,2,FALSE),FALSE),FALSE),
IF($Z7=21,_xlfn.IFNA(VLOOKUP($G7,'Data Transfer Tables'!$H$113:$I$125,2,FALSE),FALSE),FALSE),
IF($Z7=22,_xlfn.IFNA(VLOOKUP($G7,'Data Transfer Tables'!$H$113:$I$125,2,FALSE),FALSE),FALSE))</f>
        <v>0</v>
      </c>
      <c r="AW7" s="74" t="b">
        <f t="shared" si="4"/>
        <v>1</v>
      </c>
      <c r="AX7" s="74" t="str">
        <f t="shared" si="45"/>
        <v>Data Type/URI Empty</v>
      </c>
      <c r="AY7" s="74" t="str">
        <f t="shared" si="46"/>
        <v>N/A</v>
      </c>
      <c r="AZ7" s="206" t="b">
        <f t="shared" si="5"/>
        <v>1</v>
      </c>
      <c r="BA7" s="206" t="b">
        <f t="shared" si="47"/>
        <v>0</v>
      </c>
      <c r="BB7" s="211" t="b">
        <f t="shared" si="6"/>
        <v>0</v>
      </c>
      <c r="BC7" s="51" t="str">
        <f t="shared" si="48"/>
        <v/>
      </c>
      <c r="BD7" s="51" t="b">
        <f t="shared" si="49"/>
        <v>0</v>
      </c>
      <c r="BE7" s="51" t="b">
        <f t="shared" si="7"/>
        <v>0</v>
      </c>
      <c r="BF7" s="51" t="b">
        <f t="shared" si="8"/>
        <v>0</v>
      </c>
      <c r="BG7" s="51" t="str">
        <f t="shared" si="50"/>
        <v>N/A</v>
      </c>
      <c r="BH7" s="106" t="str">
        <f t="shared" si="9"/>
        <v>N/A</v>
      </c>
      <c r="BI7" s="51" t="str">
        <f t="shared" si="10"/>
        <v>N/A</v>
      </c>
      <c r="BJ7" s="51" t="str">
        <f t="shared" si="11"/>
        <v>N/A</v>
      </c>
      <c r="BK7" s="51" t="str">
        <f t="shared" si="12"/>
        <v>N/A</v>
      </c>
      <c r="BL7" s="51" t="b">
        <f t="shared" si="13"/>
        <v>1</v>
      </c>
      <c r="BM7" s="51" t="b">
        <f t="shared" si="14"/>
        <v>0</v>
      </c>
      <c r="BN7" s="51" t="str">
        <f t="shared" si="51"/>
        <v/>
      </c>
      <c r="BO7" s="51" t="b">
        <f t="shared" si="52"/>
        <v>1</v>
      </c>
      <c r="BP7" s="51" t="str">
        <f t="shared" si="15"/>
        <v>N/A</v>
      </c>
      <c r="BQ7" s="51" t="str">
        <f t="shared" si="16"/>
        <v>N/A</v>
      </c>
      <c r="BR7" s="94" t="b">
        <f t="shared" si="17"/>
        <v>1</v>
      </c>
      <c r="BS7" s="94" t="b">
        <f t="shared" si="18"/>
        <v>1</v>
      </c>
      <c r="BT7" s="94" t="b">
        <f t="shared" si="19"/>
        <v>1</v>
      </c>
      <c r="BU7" s="94" t="b">
        <f t="shared" si="20"/>
        <v>1</v>
      </c>
      <c r="BV7" s="51" t="str">
        <f t="shared" si="53"/>
        <v/>
      </c>
      <c r="BW7" s="51" t="str">
        <f t="shared" si="54"/>
        <v/>
      </c>
      <c r="BX7" s="51" t="b">
        <f t="shared" si="21"/>
        <v>1</v>
      </c>
    </row>
    <row r="8" spans="1:76" s="28" customFormat="1" ht="26.25" thickBot="1" x14ac:dyDescent="0.25">
      <c r="A8" s="63" t="s">
        <v>52</v>
      </c>
      <c r="B8" s="142" t="s">
        <v>44</v>
      </c>
      <c r="C8" s="142" t="s">
        <v>44</v>
      </c>
      <c r="D8" s="63" t="s">
        <v>44</v>
      </c>
      <c r="E8" s="63" t="s">
        <v>44</v>
      </c>
      <c r="F8" s="63" t="s">
        <v>44</v>
      </c>
      <c r="G8" s="63" t="s">
        <v>44</v>
      </c>
      <c r="H8" s="37" t="s">
        <v>53</v>
      </c>
      <c r="I8" s="37" t="s">
        <v>29</v>
      </c>
      <c r="J8" s="37" t="s">
        <v>666</v>
      </c>
      <c r="K8" s="64" t="s">
        <v>20</v>
      </c>
      <c r="L8" s="174" t="b">
        <f t="shared" si="22"/>
        <v>1</v>
      </c>
      <c r="M8" s="174" t="b">
        <f t="shared" si="23"/>
        <v>1</v>
      </c>
      <c r="N8" s="174" t="b">
        <f t="shared" si="24"/>
        <v>1</v>
      </c>
      <c r="S8" s="51" t="b">
        <f t="shared" si="25"/>
        <v>1</v>
      </c>
      <c r="T8" s="94" t="b">
        <f t="shared" si="26"/>
        <v>0</v>
      </c>
      <c r="U8" s="94" t="b">
        <f t="shared" si="27"/>
        <v>0</v>
      </c>
      <c r="V8" s="94" t="b">
        <f t="shared" si="28"/>
        <v>0</v>
      </c>
      <c r="W8" s="94" t="b">
        <f t="shared" si="29"/>
        <v>0</v>
      </c>
      <c r="X8" s="207" t="str">
        <f t="shared" si="30"/>
        <v/>
      </c>
      <c r="Y8" s="51" t="str">
        <f t="shared" si="0"/>
        <v>N/A</v>
      </c>
      <c r="Z8" s="208">
        <f t="shared" si="31"/>
        <v>0</v>
      </c>
      <c r="AA8" s="51" t="b">
        <f t="shared" si="32"/>
        <v>1</v>
      </c>
      <c r="AB8" s="74">
        <f>_xlfn.IFNA(VLOOKUP(B8,'Data Transfer Tables'!$A$111:$B$131,2),0)</f>
        <v>0</v>
      </c>
      <c r="AC8" s="196" t="b">
        <f t="shared" si="33"/>
        <v>0</v>
      </c>
      <c r="AD8" s="74" t="b">
        <f t="shared" si="34"/>
        <v>0</v>
      </c>
      <c r="AE8" s="209" t="b">
        <f t="shared" si="35"/>
        <v>1</v>
      </c>
      <c r="AF8" s="210" t="b">
        <f>OR(IF($Z8=1,_xlfn.IFNA(VLOOKUP($C8,'Data Transfer Tables'!$B$144:$C$153,2,FALSE),FALSE),FALSE),
IF($Z8=2,_xlfn.IFNA(VLOOKUP($C8,'Data Transfer Tables'!$B$158:$C$167,2,FALSE),FALSE),FALSE),
IF($Z8=3,_xlfn.IFNA(VLOOKUP($C8,'Data Transfer Tables'!$B$172:$C$181,2,FALSE),FALSE),FALSE),
IF($Z8=4,_xlfn.IFNA(VLOOKUP($C8,'Data Transfer Tables'!$B$186:$C$195,2,FALSE),FALSE),FALSE),
IF($Z8=5,_xlfn.IFNA(VLOOKUP($C8,'Data Transfer Tables'!$B$200:$C$209,2,FALSE),FALSE),FALSE),
IF($Z8=6,_xlfn.IFNA(VLOOKUP($C8,'Data Transfer Tables'!$B$214:$C$223,2,FALSE),FALSE),FALSE),
IF($Z8=7,_xlfn.IFNA(VLOOKUP($C8,'Data Transfer Tables'!$B$228:$C$237,2,FALSE),FALSE),FALSE),
IF($Z8=8,_xlfn.IFNA(VLOOKUP($C8,'Data Transfer Tables'!$B$242:$C$251,2,FALSE),FALSE),FALSE),
IF($Z8=9,_xlfn.IFNA(VLOOKUP($C8,'Data Transfer Tables'!$B$256:$C$266,2,FALSE),FALSE),FALSE),
IF($Z8=10,_xlfn.IFNA(VLOOKUP($C8,'Data Transfer Tables'!$B$271:$C$281,2,FALSE),FALSE),FALSE),
IF($Z8=11,_xlfn.IFNA(VLOOKUP($C8,'Data Transfer Tables'!$B$286:$C$295,2,FALSE),FALSE),FALSE),
IF($Z8=12,_xlfn.IFNA(VLOOKUP($C8,'Data Transfer Tables'!$B$300:$C$309,2,FALSE),FALSE),FALSE),
IF($Z8=13,_xlfn.IFNA(VLOOKUP($C8,'Data Transfer Tables'!$B$314:$C$323,2,FALSE),FALSE),FALSE),
IF($Z8=14,_xlfn.IFNA(VLOOKUP($C8,'Data Transfer Tables'!$B$328:$C$338,2,FALSE),FALSE),FALSE),
IF($Z8=15,_xlfn.IFNA(VLOOKUP($C8,'Data Transfer Tables'!$B$343:$C$353,2,FALSE),FALSE),FALSE),
IF($Z8=16,_xlfn.IFNA(VLOOKUP($C8,'Data Transfer Tables'!$B$358:$C$369,2,FALSE),FALSE),FALSE),
IF($Z8=17,_xlfn.IFNA(VLOOKUP($C8,'Data Transfer Tables'!$B$374:$C$384,2,FALSE),FALSE),FALSE),
IF($Z8=18,_xlfn.IFNA(VLOOKUP($C8,'Data Transfer Tables'!$B$389:$C$399,2,FALSE),FALSE),FALSE),
IF($Z8=19,_xlfn.IFNA(VLOOKUP($C8,'Data Transfer Tables'!$B$404:$C$414,2,FALSE),FALSE),FALSE),
IF($Z8=20,_xlfn.IFNA(VLOOKUP($C8,'Data Transfer Tables'!$B$419:$C$429,2,FALSE),FALSE),FALSE),
IF($Z8=21,_xlfn.IFNA(VLOOKUP($C8,'Data Transfer Tables'!$B$434:$C$444,2,FALSE),FALSE),FALSE),
IF($Z8=22,_xlfn.IFNA(VLOOKUP($C8,'Data Transfer Tables'!$B$449:$C$459,2,FALSE),FALSE),FALSE))</f>
        <v>0</v>
      </c>
      <c r="AG8" s="210" t="b">
        <f t="shared" si="36"/>
        <v>1</v>
      </c>
      <c r="AH8" s="210" t="str">
        <f t="shared" si="37"/>
        <v>Data Type/Format Empty</v>
      </c>
      <c r="AI8" s="210" t="str">
        <f t="shared" si="38"/>
        <v>N/A</v>
      </c>
      <c r="AJ8" s="146" t="b">
        <f>OR(IF($Z8=1,_xlfn.IFNA(VLOOKUP($D8,'Data Transfer Tables'!$E$144:$G$153,2,FALSE),FALSE),FALSE),
IF($Z8=2,_xlfn.IFNA(VLOOKUP($D8,'Data Transfer Tables'!$E$158:$G$167,2,FALSE),FALSE),FALSE),
IF($Z8=3,_xlfn.IFNA(VLOOKUP($D8,'Data Transfer Tables'!$E$172:$G$181,2,FALSE),FALSE),FALSE),
IF($Z8=4,_xlfn.IFNA(VLOOKUP($D8,'Data Transfer Tables'!$E$186:$G$195,2,FALSE),FALSE),FALSE),
IF($Z8=5,_xlfn.IFNA(VLOOKUP($D8,'Data Transfer Tables'!$E$200:$G$209,2,FALSE),FALSE),FALSE),
IF($Z8=6,_xlfn.IFNA(VLOOKUP($D8,'Data Transfer Tables'!$E$214:$G$223,2,FALSE),FALSE),FALSE),
IF($Z8=7,_xlfn.IFNA(VLOOKUP($D8,'Data Transfer Tables'!$E$228:$G$237,2,FALSE),FALSE),FALSE),
IF($Z8=8,_xlfn.IFNA(VLOOKUP($D8,'Data Transfer Tables'!$E$242:$G$251,2,FALSE),FALSE),FALSE),
IF($Z8=9,_xlfn.IFNA(VLOOKUP($D8,'Data Transfer Tables'!$E$256:$G$266,2,FALSE),FALSE),FALSE),
IF($Z8=10,_xlfn.IFNA(VLOOKUP($D8,'Data Transfer Tables'!$E$271:$G$281,2,FALSE),FALSE),FALSE),
IF($Z8=11,_xlfn.IFNA(VLOOKUP($D8,'Data Transfer Tables'!$E$286:$G$295,2,FALSE),FALSE),FALSE),
IF($Z8=12,_xlfn.IFNA(VLOOKUP($D8,'Data Transfer Tables'!$E$300:$G$309,2,FALSE),FALSE),FALSE),
IF($Z8=13,_xlfn.IFNA(VLOOKUP($D8,'Data Transfer Tables'!$E$314:$G$323,2,FALSE),FALSE),FALSE),
IF($Z8=14,_xlfn.IFNA(VLOOKUP($D8,'Data Transfer Tables'!$E$328:$G$338,2,FALSE),FALSE),FALSE),
IF($Z8=15,_xlfn.IFNA(VLOOKUP($D8,'Data Transfer Tables'!$E$343:$G$353,2,FALSE),FALSE),FALSE),
IF($Z8=16,_xlfn.IFNA(VLOOKUP($D8,'Data Transfer Tables'!$E$358:$G$369,2,FALSE),FALSE),FALSE),
IF($Z8=17,_xlfn.IFNA(VLOOKUP($D8,'Data Transfer Tables'!$E$374:$G$384,2,FALSE),FALSE),FALSE),
IF($Z8=18,_xlfn.IFNA(VLOOKUP($D8,'Data Transfer Tables'!$E$389:$G$399,2,FALSE),FALSE),FALSE),
IF($Z8=19,_xlfn.IFNA(VLOOKUP($D8,'Data Transfer Tables'!$E$404:$G$414,2,FALSE),FALSE),FALSE),
IF($Z8=20,_xlfn.IFNA(VLOOKUP($D8,'Data Transfer Tables'!$E$419:$G$429,2,FALSE),FALSE),FALSE),
IF($Z8=21,_xlfn.IFNA(VLOOKUP($D8,'Data Transfer Tables'!$E$434:$G$444,2,FALSE),FALSE),FALSE),
IF($Z8=22,_xlfn.IFNA(VLOOKUP($D8,'Data Transfer Tables'!$E$449:$G$459,2,FALSE),FALSE),FALSE))</f>
        <v>0</v>
      </c>
      <c r="AK8" s="146" t="b">
        <f t="shared" si="1"/>
        <v>1</v>
      </c>
      <c r="AL8" s="146" t="str">
        <f t="shared" si="39"/>
        <v>Data Type/Exclusive Use Empty</v>
      </c>
      <c r="AM8" s="146" t="str">
        <f t="shared" si="40"/>
        <v>N/A</v>
      </c>
      <c r="AN8" s="145" t="b">
        <f>OR(IF($Z8=1,_xlfn.IFNA(VLOOKUP($E8,'Data Transfer Tables'!$H$144:$I$153,2,FALSE),FALSE),FALSE),
IF($Z8=2,_xlfn.IFNA(VLOOKUP($E8,'Data Transfer Tables'!$H$158:$I$167,2,FALSE),FALSE),FALSE),
IF($Z8=3,_xlfn.IFNA(VLOOKUP($E8,'Data Transfer Tables'!$H$172:$I$181,2,FALSE),FALSE),FALSE),
IF($Z8=4,_xlfn.IFNA(VLOOKUP($E8,'Data Transfer Tables'!$H$186:$I$195,2,FALSE),FALSE),FALSE),
IF($Z8=5,_xlfn.IFNA(VLOOKUP($E8,'Data Transfer Tables'!$H$200:$I$209,2,FALSE),FALSE),FALSE),
IF($Z8=6,_xlfn.IFNA(VLOOKUP($E8,'Data Transfer Tables'!$H$214:$I$223,2,FALSE),FALSE),FALSE),
IF($Z8=7,_xlfn.IFNA(VLOOKUP($E8,'Data Transfer Tables'!$H$228:$I$237,2,FALSE),FALSE),FALSE),
IF($Z8=8,_xlfn.IFNA(VLOOKUP($E8,'Data Transfer Tables'!$H$242:$I$251,2,FALSE),FALSE),FALSE),
IF($Z8=9,_xlfn.IFNA(VLOOKUP($E8,'Data Transfer Tables'!$H$256:$I$266,2,FALSE),FALSE),FALSE),
IF($Z8=10,_xlfn.IFNA(VLOOKUP($E8,'Data Transfer Tables'!$H$271:$I$281,2,FALSE),FALSE),FALSE),
IF($Z8=11,_xlfn.IFNA(VLOOKUP($E8,'Data Transfer Tables'!$H$286:$I$295,2,FALSE),FALSE),FALSE),
IF($Z8=12,_xlfn.IFNA(VLOOKUP($E8,'Data Transfer Tables'!$H$300:$I$309,2,FALSE),FALSE),FALSE),
IF($Z8=13,_xlfn.IFNA(VLOOKUP($E8,'Data Transfer Tables'!$H$314:$I$323,2,FALSE),FALSE),FALSE),
IF($Z8=14,_xlfn.IFNA(VLOOKUP($E8,'Data Transfer Tables'!$H$328:$I$338,2,FALSE),FALSE),FALSE),
IF($Z8=15,_xlfn.IFNA(VLOOKUP($E8,'Data Transfer Tables'!$H$343:$I$353,2,FALSE),FALSE),FALSE),
IF($Z8=16,_xlfn.IFNA(VLOOKUP($E8,'Data Transfer Tables'!$H$358:$I$369,2,FALSE),FALSE),FALSE),
IF($Z8=17,_xlfn.IFNA(VLOOKUP($E8,'Data Transfer Tables'!$H$374:$I$384,2,FALSE),FALSE),FALSE),
IF($Z8=18,_xlfn.IFNA(VLOOKUP($E8,'Data Transfer Tables'!$H$389:$I$399,2,FALSE),FALSE),FALSE),
IF($Z8=19,_xlfn.IFNA(VLOOKUP($E8,'Data Transfer Tables'!$H$404:$I$414,2,FALSE),FALSE),FALSE),
IF($Z8=20,_xlfn.IFNA(VLOOKUP($E8,'Data Transfer Tables'!$H$419:$I$429,2,FALSE),FALSE),FALSE),
IF($Z8=21,_xlfn.IFNA(VLOOKUP($E8,'Data Transfer Tables'!$H$434:$I$444,2,FALSE),FALSE),FALSE),
IF($Z8=22,_xlfn.IFNA(VLOOKUP($E8,'Data Transfer Tables'!$H$449:$I$459,2,FALSE),FALSE),FALSE))</f>
        <v>0</v>
      </c>
      <c r="AO8" s="145" t="b">
        <f t="shared" si="2"/>
        <v>1</v>
      </c>
      <c r="AP8" s="145" t="str">
        <f t="shared" si="41"/>
        <v>Data Type/Shared Read-Only Empty</v>
      </c>
      <c r="AQ8" s="145" t="str">
        <f t="shared" si="42"/>
        <v>N/A</v>
      </c>
      <c r="AR8" s="147" t="b">
        <f>OR(IF($Z8=1,_xlfn.IFNA(VLOOKUP($F8,'Data Transfer Tables'!$K$144:$L$153,2,FALSE),FALSE),FALSE),
IF($Z8=2,_xlfn.IFNA(VLOOKUP($F8,'Data Transfer Tables'!$K$158:$L$167,2,FALSE),FALSE),FALSE),
IF($Z8=3,_xlfn.IFNA(VLOOKUP($F8,'Data Transfer Tables'!$K$172:$L$181,2,FALSE),FALSE),FALSE),
IF($Z8=4,_xlfn.IFNA(VLOOKUP($F8,'Data Transfer Tables'!$K$186:$L$195,2,FALSE),FALSE),FALSE),
IF($Z8=5,_xlfn.IFNA(VLOOKUP($F8,'Data Transfer Tables'!$K$200:$L$209,2,FALSE),FALSE),FALSE),
IF($Z8=6,_xlfn.IFNA(VLOOKUP($F8,'Data Transfer Tables'!$K$214:$L$223,2,FALSE),FALSE),FALSE),
IF($Z8=7,_xlfn.IFNA(VLOOKUP($F8,'Data Transfer Tables'!$K$228:$L$237,2,FALSE),FALSE),FALSE),
IF($Z8=8,_xlfn.IFNA(VLOOKUP($F8,'Data Transfer Tables'!$K$242:$L$251,2,FALSE),FALSE),FALSE),
IF($Z8=9,_xlfn.IFNA(VLOOKUP($F8,'Data Transfer Tables'!$K$256:$L$266,2,FALSE),FALSE),FALSE),
IF($Z8=10,_xlfn.IFNA(VLOOKUP($F8,'Data Transfer Tables'!$K$271:$L$281,2,FALSE),FALSE),FALSE),
IF($Z8=11,_xlfn.IFNA(VLOOKUP($F8,'Data Transfer Tables'!$K$286:$L$295,2,FALSE),FALSE),FALSE),
IF($Z8=12,_xlfn.IFNA(VLOOKUP($F8,'Data Transfer Tables'!$K$300:$L$309,2,FALSE),FALSE),FALSE),
IF($Z8=13,_xlfn.IFNA(VLOOKUP($F8,'Data Transfer Tables'!$K$314:$L$323,2,FALSE),FALSE),FALSE),
IF($Z8=14,_xlfn.IFNA(VLOOKUP($F8,'Data Transfer Tables'!$K$328:$L$338,2,FALSE),FALSE),FALSE),
IF($Z8=15,_xlfn.IFNA(VLOOKUP($F8,'Data Transfer Tables'!$K$343:$L$353,2,FALSE),FALSE),FALSE),
IF($Z8=16,_xlfn.IFNA(VLOOKUP($F8,'Data Transfer Tables'!$K$358:$L$369,2,FALSE),FALSE),FALSE),
IF($Z8=17,_xlfn.IFNA(VLOOKUP($F8,'Data Transfer Tables'!$K$374:$L$384,2,FALSE),FALSE),FALSE),
IF($Z8=18,_xlfn.IFNA(VLOOKUP($F8,'Data Transfer Tables'!$K$389:$L$399,2,FALSE),FALSE),FALSE),
IF($Z8=19,_xlfn.IFNA(VLOOKUP($F8,'Data Transfer Tables'!$K$404:$L$414,2,FALSE),FALSE),FALSE),
IF($Z8=20,_xlfn.IFNA(VLOOKUP($F8,'Data Transfer Tables'!$K$419:$L$429,2,FALSE),FALSE),FALSE),
IF($Z8=21,_xlfn.IFNA(VLOOKUP($F8,'Data Transfer Tables'!$K$434:$L$444,2,FALSE),FALSE),FALSE),
IF($Z8=22,_xlfn.IFNA(VLOOKUP($F8,'Data Transfer Tables'!$K$449:$L$459,2,FALSE),FALSE),FALSE))</f>
        <v>0</v>
      </c>
      <c r="AS8" s="147" t="b">
        <f t="shared" si="3"/>
        <v>1</v>
      </c>
      <c r="AT8" s="147" t="str">
        <f t="shared" si="43"/>
        <v>Data Type/Shared Read/Modify Empty</v>
      </c>
      <c r="AU8" s="147" t="str">
        <f t="shared" si="44"/>
        <v>N/A</v>
      </c>
      <c r="AV8" s="74" t="b">
        <f>OR(IF($Z8=1,_xlfn.IFNA(VLOOKUP($G8,'Data Transfer Tables'!$H$113:$I$125,2,FALSE),FALSE),FALSE),
IF($Z8=2,_xlfn.IFNA(VLOOKUP($G8,'Data Transfer Tables'!$H$113:$I$125,2,FALSE),FALSE),FALSE),
IF($Z8=3,_xlfn.IFNA(VLOOKUP($G8,'Data Transfer Tables'!$H$113:$I$125,2,FALSE),FALSE),FALSE),
IF($Z8=4,_xlfn.IFNA(VLOOKUP($G8,'Data Transfer Tables'!$H$113:$I$125,2,FALSE),FALSE),FALSE),
IF($Z8=5,_xlfn.IFNA(VLOOKUP($G8,'Data Transfer Tables'!$H$113:$I$125,2,FALSE),FALSE),FALSE),
IF($Z8=6,_xlfn.IFNA(VLOOKUP($G8,'Data Transfer Tables'!$H$113:$I$125,2,FALSE),FALSE),FALSE),
IF($Z8=7,_xlfn.IFNA(VLOOKUP($G8,'Data Transfer Tables'!$H$113:$I$125,2,FALSE),FALSE),FALSE),
IF($Z8=8,_xlfn.IFNA(VLOOKUP($G8,'Data Transfer Tables'!$H$113:$I$125,2,FALSE),FALSE),FALSE),
IF($Z8=9,_xlfn.IFNA(VLOOKUP($G8,'Data Transfer Tables'!$H$113:$I$125,2,FALSE),FALSE),FALSE),
IF($Z8=10,_xlfn.IFNA(VLOOKUP($G8,'Data Transfer Tables'!$H$113:$I$125,2,FALSE),FALSE),FALSE),
IF($Z8=11,_xlfn.IFNA(VLOOKUP($G8,'Data Transfer Tables'!$H$113:$I$125,2,FALSE),FALSE),FALSE),
IF($Z8=12,_xlfn.IFNA(VLOOKUP($G8,'Data Transfer Tables'!$H$113:$I$125,2,FALSE),FALSE),FALSE),
IF($Z8=13,_xlfn.IFNA(VLOOKUP($G8,'Data Transfer Tables'!$H$113:$I$125,2,FALSE),FALSE),FALSE),
IF($Z8=14,_xlfn.IFNA(VLOOKUP($G8,'Data Transfer Tables'!$H$113:$I$125,2,FALSE),FALSE),FALSE),
IF($Z8=15,_xlfn.IFNA(VLOOKUP($G8,'Data Transfer Tables'!$H$113:$I$125,2,FALSE),FALSE),FALSE),
IF($Z8=16,_xlfn.IFNA(VLOOKUP($G8,'Data Transfer Tables'!$H$113:$I$125,2,FALSE),FALSE),FALSE),
IF($Z8=17,_xlfn.IFNA(VLOOKUP($G8,'Data Transfer Tables'!$H$113:$I$125,2,FALSE),FALSE),FALSE),
IF($Z8=18,_xlfn.IFNA(VLOOKUP($G8,'Data Transfer Tables'!$H$113:$I$125,2,FALSE),FALSE),FALSE),
IF($Z8=19,_xlfn.IFNA(VLOOKUP($G8,'Data Transfer Tables'!$H$113:$I$125,2,FALSE),FALSE),FALSE),
IF($Z8=20,_xlfn.IFNA(VLOOKUP($G8,'Data Transfer Tables'!$H$113:$I$125,2,FALSE),FALSE),FALSE),
IF($Z8=21,_xlfn.IFNA(VLOOKUP($G8,'Data Transfer Tables'!$H$113:$I$125,2,FALSE),FALSE),FALSE),
IF($Z8=22,_xlfn.IFNA(VLOOKUP($G8,'Data Transfer Tables'!$H$113:$I$125,2,FALSE),FALSE),FALSE))</f>
        <v>0</v>
      </c>
      <c r="AW8" s="74" t="b">
        <f t="shared" si="4"/>
        <v>1</v>
      </c>
      <c r="AX8" s="74" t="str">
        <f t="shared" si="45"/>
        <v>Data Type/URI Empty</v>
      </c>
      <c r="AY8" s="74" t="str">
        <f t="shared" si="46"/>
        <v>N/A</v>
      </c>
      <c r="AZ8" s="206" t="b">
        <f t="shared" si="5"/>
        <v>1</v>
      </c>
      <c r="BA8" s="206" t="b">
        <f t="shared" si="47"/>
        <v>0</v>
      </c>
      <c r="BB8" s="211" t="b">
        <f t="shared" si="6"/>
        <v>0</v>
      </c>
      <c r="BC8" s="51" t="str">
        <f t="shared" si="48"/>
        <v/>
      </c>
      <c r="BD8" s="51" t="b">
        <f t="shared" si="49"/>
        <v>0</v>
      </c>
      <c r="BE8" s="51" t="b">
        <f t="shared" si="7"/>
        <v>0</v>
      </c>
      <c r="BF8" s="51" t="b">
        <f t="shared" si="8"/>
        <v>0</v>
      </c>
      <c r="BG8" s="51" t="str">
        <f t="shared" si="50"/>
        <v>N/A</v>
      </c>
      <c r="BH8" s="106" t="str">
        <f t="shared" si="9"/>
        <v>N/A</v>
      </c>
      <c r="BI8" s="51" t="str">
        <f t="shared" si="10"/>
        <v>N/A</v>
      </c>
      <c r="BJ8" s="51" t="str">
        <f t="shared" si="11"/>
        <v>N/A</v>
      </c>
      <c r="BK8" s="51" t="str">
        <f t="shared" si="12"/>
        <v>N/A</v>
      </c>
      <c r="BL8" s="51" t="b">
        <f t="shared" si="13"/>
        <v>1</v>
      </c>
      <c r="BM8" s="51" t="b">
        <f t="shared" si="14"/>
        <v>0</v>
      </c>
      <c r="BN8" s="51" t="str">
        <f t="shared" si="51"/>
        <v/>
      </c>
      <c r="BO8" s="51" t="b">
        <f t="shared" si="52"/>
        <v>1</v>
      </c>
      <c r="BP8" s="51" t="str">
        <f t="shared" si="15"/>
        <v>N/A</v>
      </c>
      <c r="BQ8" s="51" t="str">
        <f t="shared" si="16"/>
        <v>N/A</v>
      </c>
      <c r="BR8" s="94" t="b">
        <f t="shared" si="17"/>
        <v>1</v>
      </c>
      <c r="BS8" s="94" t="b">
        <f t="shared" si="18"/>
        <v>1</v>
      </c>
      <c r="BT8" s="94" t="b">
        <f t="shared" si="19"/>
        <v>1</v>
      </c>
      <c r="BU8" s="94" t="b">
        <f t="shared" si="20"/>
        <v>1</v>
      </c>
      <c r="BV8" s="51" t="str">
        <f t="shared" si="53"/>
        <v/>
      </c>
      <c r="BW8" s="51" t="str">
        <f t="shared" si="54"/>
        <v/>
      </c>
      <c r="BX8" s="51" t="b">
        <f t="shared" si="21"/>
        <v>1</v>
      </c>
    </row>
    <row r="9" spans="1:76" s="96" customFormat="1" ht="26.25" thickBot="1" x14ac:dyDescent="0.25">
      <c r="A9" s="142" t="s">
        <v>52</v>
      </c>
      <c r="B9" s="142" t="s">
        <v>44</v>
      </c>
      <c r="C9" s="142" t="s">
        <v>44</v>
      </c>
      <c r="D9" s="142" t="s">
        <v>44</v>
      </c>
      <c r="E9" s="142" t="s">
        <v>44</v>
      </c>
      <c r="F9" s="142" t="s">
        <v>44</v>
      </c>
      <c r="G9" s="142" t="s">
        <v>44</v>
      </c>
      <c r="H9" s="37" t="s">
        <v>53</v>
      </c>
      <c r="I9" s="37" t="s">
        <v>29</v>
      </c>
      <c r="J9" s="37" t="s">
        <v>666</v>
      </c>
      <c r="K9" s="143" t="s">
        <v>20</v>
      </c>
      <c r="L9" s="174" t="b">
        <f t="shared" si="22"/>
        <v>1</v>
      </c>
      <c r="M9" s="174" t="b">
        <f t="shared" si="23"/>
        <v>1</v>
      </c>
      <c r="N9" s="174" t="b">
        <f t="shared" si="24"/>
        <v>1</v>
      </c>
      <c r="S9" s="51" t="b">
        <f t="shared" si="25"/>
        <v>1</v>
      </c>
      <c r="T9" s="94" t="b">
        <f t="shared" si="26"/>
        <v>0</v>
      </c>
      <c r="U9" s="94" t="b">
        <f t="shared" si="27"/>
        <v>0</v>
      </c>
      <c r="V9" s="94" t="b">
        <f t="shared" si="28"/>
        <v>0</v>
      </c>
      <c r="W9" s="94" t="b">
        <f t="shared" si="29"/>
        <v>0</v>
      </c>
      <c r="X9" s="207" t="str">
        <f t="shared" si="30"/>
        <v/>
      </c>
      <c r="Y9" s="94" t="str">
        <f t="shared" si="0"/>
        <v>N/A</v>
      </c>
      <c r="Z9" s="208">
        <f t="shared" si="31"/>
        <v>0</v>
      </c>
      <c r="AA9" s="94" t="b">
        <f t="shared" si="32"/>
        <v>1</v>
      </c>
      <c r="AB9" s="196">
        <f>_xlfn.IFNA(VLOOKUP(B9,'Data Transfer Tables'!$A$111:$B$131,2),0)</f>
        <v>0</v>
      </c>
      <c r="AC9" s="196" t="b">
        <f t="shared" si="33"/>
        <v>0</v>
      </c>
      <c r="AD9" s="74" t="b">
        <f t="shared" si="34"/>
        <v>0</v>
      </c>
      <c r="AE9" s="209" t="b">
        <f t="shared" si="35"/>
        <v>1</v>
      </c>
      <c r="AF9" s="212" t="b">
        <f>OR(IF($Z9=1,_xlfn.IFNA(VLOOKUP($C9,'Data Transfer Tables'!$B$144:$C$153,2,FALSE),FALSE),FALSE),
IF($Z9=2,_xlfn.IFNA(VLOOKUP($C9,'Data Transfer Tables'!$B$158:$C$167,2,FALSE),FALSE),FALSE),
IF($Z9=3,_xlfn.IFNA(VLOOKUP($C9,'Data Transfer Tables'!$B$172:$C$181,2,FALSE),FALSE),FALSE),
IF($Z9=4,_xlfn.IFNA(VLOOKUP($C9,'Data Transfer Tables'!$B$186:$C$195,2,FALSE),FALSE),FALSE),
IF($Z9=5,_xlfn.IFNA(VLOOKUP($C9,'Data Transfer Tables'!$B$200:$C$209,2,FALSE),FALSE),FALSE),
IF($Z9=6,_xlfn.IFNA(VLOOKUP($C9,'Data Transfer Tables'!$B$214:$C$223,2,FALSE),FALSE),FALSE),
IF($Z9=7,_xlfn.IFNA(VLOOKUP($C9,'Data Transfer Tables'!$B$228:$C$237,2,FALSE),FALSE),FALSE),
IF($Z9=8,_xlfn.IFNA(VLOOKUP($C9,'Data Transfer Tables'!$B$242:$C$251,2,FALSE),FALSE),FALSE),
IF($Z9=9,_xlfn.IFNA(VLOOKUP($C9,'Data Transfer Tables'!$B$256:$C$266,2,FALSE),FALSE),FALSE),
IF($Z9=10,_xlfn.IFNA(VLOOKUP($C9,'Data Transfer Tables'!$B$271:$C$281,2,FALSE),FALSE),FALSE),
IF($Z9=11,_xlfn.IFNA(VLOOKUP($C9,'Data Transfer Tables'!$B$286:$C$295,2,FALSE),FALSE),FALSE),
IF($Z9=12,_xlfn.IFNA(VLOOKUP($C9,'Data Transfer Tables'!$B$300:$C$309,2,FALSE),FALSE),FALSE),
IF($Z9=13,_xlfn.IFNA(VLOOKUP($C9,'Data Transfer Tables'!$B$314:$C$323,2,FALSE),FALSE),FALSE),
IF($Z9=14,_xlfn.IFNA(VLOOKUP($C9,'Data Transfer Tables'!$B$328:$C$338,2,FALSE),FALSE),FALSE),
IF($Z9=15,_xlfn.IFNA(VLOOKUP($C9,'Data Transfer Tables'!$B$343:$C$353,2,FALSE),FALSE),FALSE),
IF($Z9=16,_xlfn.IFNA(VLOOKUP($C9,'Data Transfer Tables'!$B$358:$C$369,2,FALSE),FALSE),FALSE),
IF($Z9=17,_xlfn.IFNA(VLOOKUP($C9,'Data Transfer Tables'!$B$374:$C$384,2,FALSE),FALSE),FALSE),
IF($Z9=18,_xlfn.IFNA(VLOOKUP($C9,'Data Transfer Tables'!$B$389:$C$399,2,FALSE),FALSE),FALSE),
IF($Z9=19,_xlfn.IFNA(VLOOKUP($C9,'Data Transfer Tables'!$B$404:$C$414,2,FALSE),FALSE),FALSE),
IF($Z9=20,_xlfn.IFNA(VLOOKUP($C9,'Data Transfer Tables'!$B$419:$C$429,2,FALSE),FALSE),FALSE),
IF($Z9=21,_xlfn.IFNA(VLOOKUP($C9,'Data Transfer Tables'!$B$434:$C$444,2,FALSE),FALSE),FALSE),
IF($Z9=22,_xlfn.IFNA(VLOOKUP($C9,'Data Transfer Tables'!$B$449:$C$459,2,FALSE),FALSE),FALSE))</f>
        <v>0</v>
      </c>
      <c r="AG9" s="210" t="b">
        <f t="shared" si="36"/>
        <v>1</v>
      </c>
      <c r="AH9" s="210" t="str">
        <f t="shared" si="37"/>
        <v>Data Type/Format Empty</v>
      </c>
      <c r="AI9" s="210" t="str">
        <f t="shared" si="38"/>
        <v>N/A</v>
      </c>
      <c r="AJ9" s="213" t="b">
        <f>OR(IF($Z9=1,_xlfn.IFNA(VLOOKUP($D9,'Data Transfer Tables'!$E$144:$G$153,2,FALSE),FALSE),FALSE),
IF($Z9=2,_xlfn.IFNA(VLOOKUP($D9,'Data Transfer Tables'!$E$158:$G$167,2,FALSE),FALSE),FALSE),
IF($Z9=3,_xlfn.IFNA(VLOOKUP($D9,'Data Transfer Tables'!$E$172:$G$181,2,FALSE),FALSE),FALSE),
IF($Z9=4,_xlfn.IFNA(VLOOKUP($D9,'Data Transfer Tables'!$E$186:$G$195,2,FALSE),FALSE),FALSE),
IF($Z9=5,_xlfn.IFNA(VLOOKUP($D9,'Data Transfer Tables'!$E$200:$G$209,2,FALSE),FALSE),FALSE),
IF($Z9=6,_xlfn.IFNA(VLOOKUP($D9,'Data Transfer Tables'!$E$214:$G$223,2,FALSE),FALSE),FALSE),
IF($Z9=7,_xlfn.IFNA(VLOOKUP($D9,'Data Transfer Tables'!$E$228:$G$237,2,FALSE),FALSE),FALSE),
IF($Z9=8,_xlfn.IFNA(VLOOKUP($D9,'Data Transfer Tables'!$E$242:$G$251,2,FALSE),FALSE),FALSE),
IF($Z9=9,_xlfn.IFNA(VLOOKUP($D9,'Data Transfer Tables'!$E$256:$G$266,2,FALSE),FALSE),FALSE),
IF($Z9=10,_xlfn.IFNA(VLOOKUP($D9,'Data Transfer Tables'!$E$271:$G$281,2,FALSE),FALSE),FALSE),
IF($Z9=11,_xlfn.IFNA(VLOOKUP($D9,'Data Transfer Tables'!$E$286:$G$295,2,FALSE),FALSE),FALSE),
IF($Z9=12,_xlfn.IFNA(VLOOKUP($D9,'Data Transfer Tables'!$E$300:$G$309,2,FALSE),FALSE),FALSE),
IF($Z9=13,_xlfn.IFNA(VLOOKUP($D9,'Data Transfer Tables'!$E$314:$G$323,2,FALSE),FALSE),FALSE),
IF($Z9=14,_xlfn.IFNA(VLOOKUP($D9,'Data Transfer Tables'!$E$328:$G$338,2,FALSE),FALSE),FALSE),
IF($Z9=15,_xlfn.IFNA(VLOOKUP($D9,'Data Transfer Tables'!$E$343:$G$353,2,FALSE),FALSE),FALSE),
IF($Z9=16,_xlfn.IFNA(VLOOKUP($D9,'Data Transfer Tables'!$E$358:$G$369,2,FALSE),FALSE),FALSE),
IF($Z9=17,_xlfn.IFNA(VLOOKUP($D9,'Data Transfer Tables'!$E$374:$G$384,2,FALSE),FALSE),FALSE),
IF($Z9=18,_xlfn.IFNA(VLOOKUP($D9,'Data Transfer Tables'!$E$389:$G$399,2,FALSE),FALSE),FALSE),
IF($Z9=19,_xlfn.IFNA(VLOOKUP($D9,'Data Transfer Tables'!$E$404:$G$414,2,FALSE),FALSE),FALSE),
IF($Z9=20,_xlfn.IFNA(VLOOKUP($D9,'Data Transfer Tables'!$E$419:$G$429,2,FALSE),FALSE),FALSE),
IF($Z9=21,_xlfn.IFNA(VLOOKUP($D9,'Data Transfer Tables'!$E$434:$G$444,2,FALSE),FALSE),FALSE),
IF($Z9=22,_xlfn.IFNA(VLOOKUP($D9,'Data Transfer Tables'!$E$449:$G$459,2,FALSE),FALSE),FALSE))</f>
        <v>0</v>
      </c>
      <c r="AK9" s="146" t="b">
        <f t="shared" si="1"/>
        <v>1</v>
      </c>
      <c r="AL9" s="146" t="str">
        <f t="shared" si="39"/>
        <v>Data Type/Exclusive Use Empty</v>
      </c>
      <c r="AM9" s="146" t="str">
        <f t="shared" si="40"/>
        <v>N/A</v>
      </c>
      <c r="AN9" s="214" t="b">
        <f>OR(IF($Z9=1,_xlfn.IFNA(VLOOKUP($E9,'Data Transfer Tables'!$H$144:$I$153,2,FALSE),FALSE),FALSE),
IF($Z9=2,_xlfn.IFNA(VLOOKUP($E9,'Data Transfer Tables'!$H$158:$I$167,2,FALSE),FALSE),FALSE),
IF($Z9=3,_xlfn.IFNA(VLOOKUP($E9,'Data Transfer Tables'!$H$172:$I$181,2,FALSE),FALSE),FALSE),
IF($Z9=4,_xlfn.IFNA(VLOOKUP($E9,'Data Transfer Tables'!$H$186:$I$195,2,FALSE),FALSE),FALSE),
IF($Z9=5,_xlfn.IFNA(VLOOKUP($E9,'Data Transfer Tables'!$H$200:$I$209,2,FALSE),FALSE),FALSE),
IF($Z9=6,_xlfn.IFNA(VLOOKUP($E9,'Data Transfer Tables'!$H$214:$I$223,2,FALSE),FALSE),FALSE),
IF($Z9=7,_xlfn.IFNA(VLOOKUP($E9,'Data Transfer Tables'!$H$228:$I$237,2,FALSE),FALSE),FALSE),
IF($Z9=8,_xlfn.IFNA(VLOOKUP($E9,'Data Transfer Tables'!$H$242:$I$251,2,FALSE),FALSE),FALSE),
IF($Z9=9,_xlfn.IFNA(VLOOKUP($E9,'Data Transfer Tables'!$H$256:$I$266,2,FALSE),FALSE),FALSE),
IF($Z9=10,_xlfn.IFNA(VLOOKUP($E9,'Data Transfer Tables'!$H$271:$I$281,2,FALSE),FALSE),FALSE),
IF($Z9=11,_xlfn.IFNA(VLOOKUP($E9,'Data Transfer Tables'!$H$286:$I$295,2,FALSE),FALSE),FALSE),
IF($Z9=12,_xlfn.IFNA(VLOOKUP($E9,'Data Transfer Tables'!$H$300:$I$309,2,FALSE),FALSE),FALSE),
IF($Z9=13,_xlfn.IFNA(VLOOKUP($E9,'Data Transfer Tables'!$H$314:$I$323,2,FALSE),FALSE),FALSE),
IF($Z9=14,_xlfn.IFNA(VLOOKUP($E9,'Data Transfer Tables'!$H$328:$I$338,2,FALSE),FALSE),FALSE),
IF($Z9=15,_xlfn.IFNA(VLOOKUP($E9,'Data Transfer Tables'!$H$343:$I$353,2,FALSE),FALSE),FALSE),
IF($Z9=16,_xlfn.IFNA(VLOOKUP($E9,'Data Transfer Tables'!$H$358:$I$369,2,FALSE),FALSE),FALSE),
IF($Z9=17,_xlfn.IFNA(VLOOKUP($E9,'Data Transfer Tables'!$H$374:$I$384,2,FALSE),FALSE),FALSE),
IF($Z9=18,_xlfn.IFNA(VLOOKUP($E9,'Data Transfer Tables'!$H$389:$I$399,2,FALSE),FALSE),FALSE),
IF($Z9=19,_xlfn.IFNA(VLOOKUP($E9,'Data Transfer Tables'!$H$404:$I$414,2,FALSE),FALSE),FALSE),
IF($Z9=20,_xlfn.IFNA(VLOOKUP($E9,'Data Transfer Tables'!$H$419:$I$429,2,FALSE),FALSE),FALSE),
IF($Z9=21,_xlfn.IFNA(VLOOKUP($E9,'Data Transfer Tables'!$H$434:$I$444,2,FALSE),FALSE),FALSE),
IF($Z9=22,_xlfn.IFNA(VLOOKUP($E9,'Data Transfer Tables'!$H$449:$I$459,2,FALSE),FALSE),FALSE))</f>
        <v>0</v>
      </c>
      <c r="AO9" s="145" t="b">
        <f t="shared" si="2"/>
        <v>1</v>
      </c>
      <c r="AP9" s="145" t="str">
        <f t="shared" si="41"/>
        <v>Data Type/Shared Read-Only Empty</v>
      </c>
      <c r="AQ9" s="145" t="str">
        <f t="shared" si="42"/>
        <v>N/A</v>
      </c>
      <c r="AR9" s="147" t="b">
        <f>OR(IF($Z9=1,_xlfn.IFNA(VLOOKUP($F9,'Data Transfer Tables'!$K$144:$L$153,2,FALSE),FALSE),FALSE),
IF($Z9=2,_xlfn.IFNA(VLOOKUP($F9,'Data Transfer Tables'!$K$158:$L$167,2,FALSE),FALSE),FALSE),
IF($Z9=3,_xlfn.IFNA(VLOOKUP($F9,'Data Transfer Tables'!$K$172:$L$181,2,FALSE),FALSE),FALSE),
IF($Z9=4,_xlfn.IFNA(VLOOKUP($F9,'Data Transfer Tables'!$K$186:$L$195,2,FALSE),FALSE),FALSE),
IF($Z9=5,_xlfn.IFNA(VLOOKUP($F9,'Data Transfer Tables'!$K$200:$L$209,2,FALSE),FALSE),FALSE),
IF($Z9=6,_xlfn.IFNA(VLOOKUP($F9,'Data Transfer Tables'!$K$214:$L$223,2,FALSE),FALSE),FALSE),
IF($Z9=7,_xlfn.IFNA(VLOOKUP($F9,'Data Transfer Tables'!$K$228:$L$237,2,FALSE),FALSE),FALSE),
IF($Z9=8,_xlfn.IFNA(VLOOKUP($F9,'Data Transfer Tables'!$K$242:$L$251,2,FALSE),FALSE),FALSE),
IF($Z9=9,_xlfn.IFNA(VLOOKUP($F9,'Data Transfer Tables'!$K$256:$L$266,2,FALSE),FALSE),FALSE),
IF($Z9=10,_xlfn.IFNA(VLOOKUP($F9,'Data Transfer Tables'!$K$271:$L$281,2,FALSE),FALSE),FALSE),
IF($Z9=11,_xlfn.IFNA(VLOOKUP($F9,'Data Transfer Tables'!$K$286:$L$295,2,FALSE),FALSE),FALSE),
IF($Z9=12,_xlfn.IFNA(VLOOKUP($F9,'Data Transfer Tables'!$K$300:$L$309,2,FALSE),FALSE),FALSE),
IF($Z9=13,_xlfn.IFNA(VLOOKUP($F9,'Data Transfer Tables'!$K$314:$L$323,2,FALSE),FALSE),FALSE),
IF($Z9=14,_xlfn.IFNA(VLOOKUP($F9,'Data Transfer Tables'!$K$328:$L$338,2,FALSE),FALSE),FALSE),
IF($Z9=15,_xlfn.IFNA(VLOOKUP($F9,'Data Transfer Tables'!$K$343:$L$353,2,FALSE),FALSE),FALSE),
IF($Z9=16,_xlfn.IFNA(VLOOKUP($F9,'Data Transfer Tables'!$K$358:$L$369,2,FALSE),FALSE),FALSE),
IF($Z9=17,_xlfn.IFNA(VLOOKUP($F9,'Data Transfer Tables'!$K$374:$L$384,2,FALSE),FALSE),FALSE),
IF($Z9=18,_xlfn.IFNA(VLOOKUP($F9,'Data Transfer Tables'!$K$389:$L$399,2,FALSE),FALSE),FALSE),
IF($Z9=19,_xlfn.IFNA(VLOOKUP($F9,'Data Transfer Tables'!$K$404:$L$414,2,FALSE),FALSE),FALSE),
IF($Z9=20,_xlfn.IFNA(VLOOKUP($F9,'Data Transfer Tables'!$K$419:$L$429,2,FALSE),FALSE),FALSE),
IF($Z9=21,_xlfn.IFNA(VLOOKUP($F9,'Data Transfer Tables'!$K$434:$L$444,2,FALSE),FALSE),FALSE),
IF($Z9=22,_xlfn.IFNA(VLOOKUP($F9,'Data Transfer Tables'!$K$449:$L$459,2,FALSE),FALSE),FALSE))</f>
        <v>0</v>
      </c>
      <c r="AS9" s="147" t="b">
        <f t="shared" si="3"/>
        <v>1</v>
      </c>
      <c r="AT9" s="147" t="str">
        <f t="shared" si="43"/>
        <v>Data Type/Shared Read/Modify Empty</v>
      </c>
      <c r="AU9" s="147" t="str">
        <f t="shared" si="44"/>
        <v>N/A</v>
      </c>
      <c r="AV9" s="196" t="b">
        <f>OR(IF($Z9=1,_xlfn.IFNA(VLOOKUP($G9,'Data Transfer Tables'!$H$113:$I$125,2,FALSE),FALSE),FALSE),
IF($Z9=2,_xlfn.IFNA(VLOOKUP($G9,'Data Transfer Tables'!$H$113:$I$125,2,FALSE),FALSE),FALSE),
IF($Z9=3,_xlfn.IFNA(VLOOKUP($G9,'Data Transfer Tables'!$H$113:$I$125,2,FALSE),FALSE),FALSE),
IF($Z9=4,_xlfn.IFNA(VLOOKUP($G9,'Data Transfer Tables'!$H$113:$I$125,2,FALSE),FALSE),FALSE),
IF($Z9=5,_xlfn.IFNA(VLOOKUP($G9,'Data Transfer Tables'!$H$113:$I$125,2,FALSE),FALSE),FALSE),
IF($Z9=6,_xlfn.IFNA(VLOOKUP($G9,'Data Transfer Tables'!$H$113:$I$125,2,FALSE),FALSE),FALSE),
IF($Z9=7,_xlfn.IFNA(VLOOKUP($G9,'Data Transfer Tables'!$H$113:$I$125,2,FALSE),FALSE),FALSE),
IF($Z9=8,_xlfn.IFNA(VLOOKUP($G9,'Data Transfer Tables'!$H$113:$I$125,2,FALSE),FALSE),FALSE),
IF($Z9=9,_xlfn.IFNA(VLOOKUP($G9,'Data Transfer Tables'!$H$113:$I$125,2,FALSE),FALSE),FALSE),
IF($Z9=10,_xlfn.IFNA(VLOOKUP($G9,'Data Transfer Tables'!$H$113:$I$125,2,FALSE),FALSE),FALSE),
IF($Z9=11,_xlfn.IFNA(VLOOKUP($G9,'Data Transfer Tables'!$H$113:$I$125,2,FALSE),FALSE),FALSE),
IF($Z9=12,_xlfn.IFNA(VLOOKUP($G9,'Data Transfer Tables'!$H$113:$I$125,2,FALSE),FALSE),FALSE),
IF($Z9=13,_xlfn.IFNA(VLOOKUP($G9,'Data Transfer Tables'!$H$113:$I$125,2,FALSE),FALSE),FALSE),
IF($Z9=14,_xlfn.IFNA(VLOOKUP($G9,'Data Transfer Tables'!$H$113:$I$125,2,FALSE),FALSE),FALSE),
IF($Z9=15,_xlfn.IFNA(VLOOKUP($G9,'Data Transfer Tables'!$H$113:$I$125,2,FALSE),FALSE),FALSE),
IF($Z9=16,_xlfn.IFNA(VLOOKUP($G9,'Data Transfer Tables'!$H$113:$I$125,2,FALSE),FALSE),FALSE),
IF($Z9=17,_xlfn.IFNA(VLOOKUP($G9,'Data Transfer Tables'!$H$113:$I$125,2,FALSE),FALSE),FALSE),
IF($Z9=18,_xlfn.IFNA(VLOOKUP($G9,'Data Transfer Tables'!$H$113:$I$125,2,FALSE),FALSE),FALSE),
IF($Z9=19,_xlfn.IFNA(VLOOKUP($G9,'Data Transfer Tables'!$H$113:$I$125,2,FALSE),FALSE),FALSE),
IF($Z9=20,_xlfn.IFNA(VLOOKUP($G9,'Data Transfer Tables'!$H$113:$I$125,2,FALSE),FALSE),FALSE),
IF($Z9=21,_xlfn.IFNA(VLOOKUP($G9,'Data Transfer Tables'!$H$113:$I$125,2,FALSE),FALSE),FALSE),
IF($Z9=22,_xlfn.IFNA(VLOOKUP($G9,'Data Transfer Tables'!$H$113:$I$125,2,FALSE),FALSE),FALSE))</f>
        <v>0</v>
      </c>
      <c r="AW9" s="74" t="b">
        <f t="shared" si="4"/>
        <v>1</v>
      </c>
      <c r="AX9" s="74" t="str">
        <f t="shared" si="45"/>
        <v>Data Type/URI Empty</v>
      </c>
      <c r="AY9" s="74" t="str">
        <f t="shared" si="46"/>
        <v>N/A</v>
      </c>
      <c r="AZ9" s="211" t="b">
        <f t="shared" si="5"/>
        <v>1</v>
      </c>
      <c r="BA9" s="211" t="b">
        <f t="shared" si="47"/>
        <v>0</v>
      </c>
      <c r="BB9" s="211" t="b">
        <f t="shared" si="6"/>
        <v>0</v>
      </c>
      <c r="BC9" s="51" t="str">
        <f t="shared" si="48"/>
        <v/>
      </c>
      <c r="BD9" s="94" t="b">
        <f t="shared" si="49"/>
        <v>0</v>
      </c>
      <c r="BE9" s="94" t="b">
        <f t="shared" si="7"/>
        <v>0</v>
      </c>
      <c r="BF9" s="94" t="b">
        <f t="shared" si="8"/>
        <v>0</v>
      </c>
      <c r="BG9" s="94" t="str">
        <f t="shared" si="50"/>
        <v>N/A</v>
      </c>
      <c r="BH9" s="158" t="str">
        <f t="shared" si="9"/>
        <v>N/A</v>
      </c>
      <c r="BI9" s="94" t="str">
        <f t="shared" si="10"/>
        <v>N/A</v>
      </c>
      <c r="BJ9" s="94" t="str">
        <f t="shared" si="11"/>
        <v>N/A</v>
      </c>
      <c r="BK9" s="94" t="str">
        <f t="shared" si="12"/>
        <v>N/A</v>
      </c>
      <c r="BL9" s="94" t="b">
        <f t="shared" si="13"/>
        <v>1</v>
      </c>
      <c r="BM9" s="94" t="b">
        <f t="shared" si="14"/>
        <v>0</v>
      </c>
      <c r="BN9" s="94" t="str">
        <f t="shared" si="51"/>
        <v/>
      </c>
      <c r="BO9" s="51" t="b">
        <f t="shared" si="52"/>
        <v>1</v>
      </c>
      <c r="BP9" s="94" t="str">
        <f t="shared" si="15"/>
        <v>N/A</v>
      </c>
      <c r="BQ9" s="94" t="str">
        <f t="shared" si="16"/>
        <v>N/A</v>
      </c>
      <c r="BR9" s="94" t="b">
        <f t="shared" si="17"/>
        <v>1</v>
      </c>
      <c r="BS9" s="94" t="b">
        <f t="shared" si="18"/>
        <v>1</v>
      </c>
      <c r="BT9" s="94" t="b">
        <f t="shared" si="19"/>
        <v>1</v>
      </c>
      <c r="BU9" s="94" t="b">
        <f t="shared" si="20"/>
        <v>1</v>
      </c>
      <c r="BV9" s="51" t="str">
        <f t="shared" si="53"/>
        <v/>
      </c>
      <c r="BW9" s="51" t="str">
        <f t="shared" si="54"/>
        <v/>
      </c>
      <c r="BX9" s="51" t="b">
        <f t="shared" si="21"/>
        <v>1</v>
      </c>
    </row>
    <row r="10" spans="1:76" s="28" customFormat="1" ht="26.25" thickBot="1" x14ac:dyDescent="0.25">
      <c r="A10" s="63" t="s">
        <v>52</v>
      </c>
      <c r="B10" s="63" t="s">
        <v>44</v>
      </c>
      <c r="C10" s="63" t="s">
        <v>44</v>
      </c>
      <c r="D10" s="63" t="s">
        <v>44</v>
      </c>
      <c r="E10" s="63" t="s">
        <v>44</v>
      </c>
      <c r="F10" s="63" t="s">
        <v>44</v>
      </c>
      <c r="G10" s="63" t="s">
        <v>44</v>
      </c>
      <c r="H10" s="37" t="s">
        <v>53</v>
      </c>
      <c r="I10" s="37" t="s">
        <v>29</v>
      </c>
      <c r="J10" s="37" t="s">
        <v>666</v>
      </c>
      <c r="K10" s="64" t="s">
        <v>20</v>
      </c>
      <c r="L10" s="174" t="b">
        <f t="shared" si="22"/>
        <v>1</v>
      </c>
      <c r="M10" s="174" t="b">
        <f t="shared" si="23"/>
        <v>1</v>
      </c>
      <c r="N10" s="174" t="b">
        <f t="shared" si="24"/>
        <v>1</v>
      </c>
      <c r="S10" s="51" t="b">
        <f t="shared" si="25"/>
        <v>1</v>
      </c>
      <c r="T10" s="94" t="b">
        <f t="shared" si="26"/>
        <v>0</v>
      </c>
      <c r="U10" s="94" t="b">
        <f t="shared" si="27"/>
        <v>0</v>
      </c>
      <c r="V10" s="94" t="b">
        <f t="shared" si="28"/>
        <v>0</v>
      </c>
      <c r="W10" s="94" t="b">
        <f t="shared" si="29"/>
        <v>0</v>
      </c>
      <c r="X10" s="207" t="str">
        <f t="shared" si="30"/>
        <v/>
      </c>
      <c r="Y10" s="51" t="str">
        <f t="shared" si="0"/>
        <v>N/A</v>
      </c>
      <c r="Z10" s="208">
        <f t="shared" si="31"/>
        <v>0</v>
      </c>
      <c r="AA10" s="51" t="b">
        <f t="shared" si="32"/>
        <v>1</v>
      </c>
      <c r="AB10" s="74">
        <f>_xlfn.IFNA(VLOOKUP(B10,'Data Transfer Tables'!$A$111:$B$131,2),0)</f>
        <v>0</v>
      </c>
      <c r="AC10" s="196" t="b">
        <f t="shared" si="33"/>
        <v>0</v>
      </c>
      <c r="AD10" s="74" t="b">
        <f t="shared" si="34"/>
        <v>0</v>
      </c>
      <c r="AE10" s="209" t="b">
        <f t="shared" si="35"/>
        <v>1</v>
      </c>
      <c r="AF10" s="210" t="b">
        <f>OR(IF($Z10=1,_xlfn.IFNA(VLOOKUP($C10,'Data Transfer Tables'!$B$144:$C$153,2,FALSE),FALSE),FALSE),
IF($Z10=2,_xlfn.IFNA(VLOOKUP($C10,'Data Transfer Tables'!$B$158:$C$167,2,FALSE),FALSE),FALSE),
IF($Z10=3,_xlfn.IFNA(VLOOKUP($C10,'Data Transfer Tables'!$B$172:$C$181,2,FALSE),FALSE),FALSE),
IF($Z10=4,_xlfn.IFNA(VLOOKUP($C10,'Data Transfer Tables'!$B$186:$C$195,2,FALSE),FALSE),FALSE),
IF($Z10=5,_xlfn.IFNA(VLOOKUP($C10,'Data Transfer Tables'!$B$200:$C$209,2,FALSE),FALSE),FALSE),
IF($Z10=6,_xlfn.IFNA(VLOOKUP($C10,'Data Transfer Tables'!$B$214:$C$223,2,FALSE),FALSE),FALSE),
IF($Z10=7,_xlfn.IFNA(VLOOKUP($C10,'Data Transfer Tables'!$B$228:$C$237,2,FALSE),FALSE),FALSE),
IF($Z10=8,_xlfn.IFNA(VLOOKUP($C10,'Data Transfer Tables'!$B$242:$C$251,2,FALSE),FALSE),FALSE),
IF($Z10=9,_xlfn.IFNA(VLOOKUP($C10,'Data Transfer Tables'!$B$256:$C$266,2,FALSE),FALSE),FALSE),
IF($Z10=10,_xlfn.IFNA(VLOOKUP($C10,'Data Transfer Tables'!$B$271:$C$281,2,FALSE),FALSE),FALSE),
IF($Z10=11,_xlfn.IFNA(VLOOKUP($C10,'Data Transfer Tables'!$B$286:$C$295,2,FALSE),FALSE),FALSE),
IF($Z10=12,_xlfn.IFNA(VLOOKUP($C10,'Data Transfer Tables'!$B$300:$C$309,2,FALSE),FALSE),FALSE),
IF($Z10=13,_xlfn.IFNA(VLOOKUP($C10,'Data Transfer Tables'!$B$314:$C$323,2,FALSE),FALSE),FALSE),
IF($Z10=14,_xlfn.IFNA(VLOOKUP($C10,'Data Transfer Tables'!$B$328:$C$338,2,FALSE),FALSE),FALSE),
IF($Z10=15,_xlfn.IFNA(VLOOKUP($C10,'Data Transfer Tables'!$B$343:$C$353,2,FALSE),FALSE),FALSE),
IF($Z10=16,_xlfn.IFNA(VLOOKUP($C10,'Data Transfer Tables'!$B$358:$C$369,2,FALSE),FALSE),FALSE),
IF($Z10=17,_xlfn.IFNA(VLOOKUP($C10,'Data Transfer Tables'!$B$374:$C$384,2,FALSE),FALSE),FALSE),
IF($Z10=18,_xlfn.IFNA(VLOOKUP($C10,'Data Transfer Tables'!$B$389:$C$399,2,FALSE),FALSE),FALSE),
IF($Z10=19,_xlfn.IFNA(VLOOKUP($C10,'Data Transfer Tables'!$B$404:$C$414,2,FALSE),FALSE),FALSE),
IF($Z10=20,_xlfn.IFNA(VLOOKUP($C10,'Data Transfer Tables'!$B$419:$C$429,2,FALSE),FALSE),FALSE),
IF($Z10=21,_xlfn.IFNA(VLOOKUP($C10,'Data Transfer Tables'!$B$434:$C$444,2,FALSE),FALSE),FALSE),
IF($Z10=22,_xlfn.IFNA(VLOOKUP($C10,'Data Transfer Tables'!$B$449:$C$459,2,FALSE),FALSE),FALSE))</f>
        <v>0</v>
      </c>
      <c r="AG10" s="210" t="b">
        <f t="shared" si="36"/>
        <v>1</v>
      </c>
      <c r="AH10" s="210" t="str">
        <f t="shared" si="37"/>
        <v>Data Type/Format Empty</v>
      </c>
      <c r="AI10" s="210" t="str">
        <f t="shared" si="38"/>
        <v>N/A</v>
      </c>
      <c r="AJ10" s="146" t="b">
        <f>OR(IF($Z10=1,_xlfn.IFNA(VLOOKUP($D10,'Data Transfer Tables'!$E$144:$G$153,2,FALSE),FALSE),FALSE),
IF($Z10=2,_xlfn.IFNA(VLOOKUP($D10,'Data Transfer Tables'!$E$158:$G$167,2,FALSE),FALSE),FALSE),
IF($Z10=3,_xlfn.IFNA(VLOOKUP($D10,'Data Transfer Tables'!$E$172:$G$181,2,FALSE),FALSE),FALSE),
IF($Z10=4,_xlfn.IFNA(VLOOKUP($D10,'Data Transfer Tables'!$E$186:$G$195,2,FALSE),FALSE),FALSE),
IF($Z10=5,_xlfn.IFNA(VLOOKUP($D10,'Data Transfer Tables'!$E$200:$G$209,2,FALSE),FALSE),FALSE),
IF($Z10=6,_xlfn.IFNA(VLOOKUP($D10,'Data Transfer Tables'!$E$214:$G$223,2,FALSE),FALSE),FALSE),
IF($Z10=7,_xlfn.IFNA(VLOOKUP($D10,'Data Transfer Tables'!$E$228:$G$237,2,FALSE),FALSE),FALSE),
IF($Z10=8,_xlfn.IFNA(VLOOKUP($D10,'Data Transfer Tables'!$E$242:$G$251,2,FALSE),FALSE),FALSE),
IF($Z10=9,_xlfn.IFNA(VLOOKUP($D10,'Data Transfer Tables'!$E$256:$G$266,2,FALSE),FALSE),FALSE),
IF($Z10=10,_xlfn.IFNA(VLOOKUP($D10,'Data Transfer Tables'!$E$271:$G$281,2,FALSE),FALSE),FALSE),
IF($Z10=11,_xlfn.IFNA(VLOOKUP($D10,'Data Transfer Tables'!$E$286:$G$295,2,FALSE),FALSE),FALSE),
IF($Z10=12,_xlfn.IFNA(VLOOKUP($D10,'Data Transfer Tables'!$E$300:$G$309,2,FALSE),FALSE),FALSE),
IF($Z10=13,_xlfn.IFNA(VLOOKUP($D10,'Data Transfer Tables'!$E$314:$G$323,2,FALSE),FALSE),FALSE),
IF($Z10=14,_xlfn.IFNA(VLOOKUP($D10,'Data Transfer Tables'!$E$328:$G$338,2,FALSE),FALSE),FALSE),
IF($Z10=15,_xlfn.IFNA(VLOOKUP($D10,'Data Transfer Tables'!$E$343:$G$353,2,FALSE),FALSE),FALSE),
IF($Z10=16,_xlfn.IFNA(VLOOKUP($D10,'Data Transfer Tables'!$E$358:$G$369,2,FALSE),FALSE),FALSE),
IF($Z10=17,_xlfn.IFNA(VLOOKUP($D10,'Data Transfer Tables'!$E$374:$G$384,2,FALSE),FALSE),FALSE),
IF($Z10=18,_xlfn.IFNA(VLOOKUP($D10,'Data Transfer Tables'!$E$389:$G$399,2,FALSE),FALSE),FALSE),
IF($Z10=19,_xlfn.IFNA(VLOOKUP($D10,'Data Transfer Tables'!$E$404:$G$414,2,FALSE),FALSE),FALSE),
IF($Z10=20,_xlfn.IFNA(VLOOKUP($D10,'Data Transfer Tables'!$E$419:$G$429,2,FALSE),FALSE),FALSE),
IF($Z10=21,_xlfn.IFNA(VLOOKUP($D10,'Data Transfer Tables'!$E$434:$G$444,2,FALSE),FALSE),FALSE),
IF($Z10=22,_xlfn.IFNA(VLOOKUP($D10,'Data Transfer Tables'!$E$449:$G$459,2,FALSE),FALSE),FALSE))</f>
        <v>0</v>
      </c>
      <c r="AK10" s="146" t="b">
        <f t="shared" si="1"/>
        <v>1</v>
      </c>
      <c r="AL10" s="146" t="str">
        <f t="shared" si="39"/>
        <v>Data Type/Exclusive Use Empty</v>
      </c>
      <c r="AM10" s="146" t="str">
        <f t="shared" si="40"/>
        <v>N/A</v>
      </c>
      <c r="AN10" s="145" t="b">
        <f>OR(IF($Z10=1,_xlfn.IFNA(VLOOKUP($E10,'Data Transfer Tables'!$H$144:$I$153,2,FALSE),FALSE),FALSE),
IF($Z10=2,_xlfn.IFNA(VLOOKUP($E10,'Data Transfer Tables'!$H$158:$I$167,2,FALSE),FALSE),FALSE),
IF($Z10=3,_xlfn.IFNA(VLOOKUP($E10,'Data Transfer Tables'!$H$172:$I$181,2,FALSE),FALSE),FALSE),
IF($Z10=4,_xlfn.IFNA(VLOOKUP($E10,'Data Transfer Tables'!$H$186:$I$195,2,FALSE),FALSE),FALSE),
IF($Z10=5,_xlfn.IFNA(VLOOKUP($E10,'Data Transfer Tables'!$H$200:$I$209,2,FALSE),FALSE),FALSE),
IF($Z10=6,_xlfn.IFNA(VLOOKUP($E10,'Data Transfer Tables'!$H$214:$I$223,2,FALSE),FALSE),FALSE),
IF($Z10=7,_xlfn.IFNA(VLOOKUP($E10,'Data Transfer Tables'!$H$228:$I$237,2,FALSE),FALSE),FALSE),
IF($Z10=8,_xlfn.IFNA(VLOOKUP($E10,'Data Transfer Tables'!$H$242:$I$251,2,FALSE),FALSE),FALSE),
IF($Z10=9,_xlfn.IFNA(VLOOKUP($E10,'Data Transfer Tables'!$H$256:$I$266,2,FALSE),FALSE),FALSE),
IF($Z10=10,_xlfn.IFNA(VLOOKUP($E10,'Data Transfer Tables'!$H$271:$I$281,2,FALSE),FALSE),FALSE),
IF($Z10=11,_xlfn.IFNA(VLOOKUP($E10,'Data Transfer Tables'!$H$286:$I$295,2,FALSE),FALSE),FALSE),
IF($Z10=12,_xlfn.IFNA(VLOOKUP($E10,'Data Transfer Tables'!$H$300:$I$309,2,FALSE),FALSE),FALSE),
IF($Z10=13,_xlfn.IFNA(VLOOKUP($E10,'Data Transfer Tables'!$H$314:$I$323,2,FALSE),FALSE),FALSE),
IF($Z10=14,_xlfn.IFNA(VLOOKUP($E10,'Data Transfer Tables'!$H$328:$I$338,2,FALSE),FALSE),FALSE),
IF($Z10=15,_xlfn.IFNA(VLOOKUP($E10,'Data Transfer Tables'!$H$343:$I$353,2,FALSE),FALSE),FALSE),
IF($Z10=16,_xlfn.IFNA(VLOOKUP($E10,'Data Transfer Tables'!$H$358:$I$369,2,FALSE),FALSE),FALSE),
IF($Z10=17,_xlfn.IFNA(VLOOKUP($E10,'Data Transfer Tables'!$H$374:$I$384,2,FALSE),FALSE),FALSE),
IF($Z10=18,_xlfn.IFNA(VLOOKUP($E10,'Data Transfer Tables'!$H$389:$I$399,2,FALSE),FALSE),FALSE),
IF($Z10=19,_xlfn.IFNA(VLOOKUP($E10,'Data Transfer Tables'!$H$404:$I$414,2,FALSE),FALSE),FALSE),
IF($Z10=20,_xlfn.IFNA(VLOOKUP($E10,'Data Transfer Tables'!$H$419:$I$429,2,FALSE),FALSE),FALSE),
IF($Z10=21,_xlfn.IFNA(VLOOKUP($E10,'Data Transfer Tables'!$H$434:$I$444,2,FALSE),FALSE),FALSE),
IF($Z10=22,_xlfn.IFNA(VLOOKUP($E10,'Data Transfer Tables'!$H$449:$I$459,2,FALSE),FALSE),FALSE))</f>
        <v>0</v>
      </c>
      <c r="AO10" s="145" t="b">
        <f t="shared" si="2"/>
        <v>1</v>
      </c>
      <c r="AP10" s="145" t="str">
        <f t="shared" si="41"/>
        <v>Data Type/Shared Read-Only Empty</v>
      </c>
      <c r="AQ10" s="145" t="str">
        <f t="shared" si="42"/>
        <v>N/A</v>
      </c>
      <c r="AR10" s="147" t="b">
        <f>OR(IF($Z10=1,_xlfn.IFNA(VLOOKUP($F10,'Data Transfer Tables'!$K$144:$L$153,2,FALSE),FALSE),FALSE),
IF($Z10=2,_xlfn.IFNA(VLOOKUP($F10,'Data Transfer Tables'!$K$158:$L$167,2,FALSE),FALSE),FALSE),
IF($Z10=3,_xlfn.IFNA(VLOOKUP($F10,'Data Transfer Tables'!$K$172:$L$181,2,FALSE),FALSE),FALSE),
IF($Z10=4,_xlfn.IFNA(VLOOKUP($F10,'Data Transfer Tables'!$K$186:$L$195,2,FALSE),FALSE),FALSE),
IF($Z10=5,_xlfn.IFNA(VLOOKUP($F10,'Data Transfer Tables'!$K$200:$L$209,2,FALSE),FALSE),FALSE),
IF($Z10=6,_xlfn.IFNA(VLOOKUP($F10,'Data Transfer Tables'!$K$214:$L$223,2,FALSE),FALSE),FALSE),
IF($Z10=7,_xlfn.IFNA(VLOOKUP($F10,'Data Transfer Tables'!$K$228:$L$237,2,FALSE),FALSE),FALSE),
IF($Z10=8,_xlfn.IFNA(VLOOKUP($F10,'Data Transfer Tables'!$K$242:$L$251,2,FALSE),FALSE),FALSE),
IF($Z10=9,_xlfn.IFNA(VLOOKUP($F10,'Data Transfer Tables'!$K$256:$L$266,2,FALSE),FALSE),FALSE),
IF($Z10=10,_xlfn.IFNA(VLOOKUP($F10,'Data Transfer Tables'!$K$271:$L$281,2,FALSE),FALSE),FALSE),
IF($Z10=11,_xlfn.IFNA(VLOOKUP($F10,'Data Transfer Tables'!$K$286:$L$295,2,FALSE),FALSE),FALSE),
IF($Z10=12,_xlfn.IFNA(VLOOKUP($F10,'Data Transfer Tables'!$K$300:$L$309,2,FALSE),FALSE),FALSE),
IF($Z10=13,_xlfn.IFNA(VLOOKUP($F10,'Data Transfer Tables'!$K$314:$L$323,2,FALSE),FALSE),FALSE),
IF($Z10=14,_xlfn.IFNA(VLOOKUP($F10,'Data Transfer Tables'!$K$328:$L$338,2,FALSE),FALSE),FALSE),
IF($Z10=15,_xlfn.IFNA(VLOOKUP($F10,'Data Transfer Tables'!$K$343:$L$353,2,FALSE),FALSE),FALSE),
IF($Z10=16,_xlfn.IFNA(VLOOKUP($F10,'Data Transfer Tables'!$K$358:$L$369,2,FALSE),FALSE),FALSE),
IF($Z10=17,_xlfn.IFNA(VLOOKUP($F10,'Data Transfer Tables'!$K$374:$L$384,2,FALSE),FALSE),FALSE),
IF($Z10=18,_xlfn.IFNA(VLOOKUP($F10,'Data Transfer Tables'!$K$389:$L$399,2,FALSE),FALSE),FALSE),
IF($Z10=19,_xlfn.IFNA(VLOOKUP($F10,'Data Transfer Tables'!$K$404:$L$414,2,FALSE),FALSE),FALSE),
IF($Z10=20,_xlfn.IFNA(VLOOKUP($F10,'Data Transfer Tables'!$K$419:$L$429,2,FALSE),FALSE),FALSE),
IF($Z10=21,_xlfn.IFNA(VLOOKUP($F10,'Data Transfer Tables'!$K$434:$L$444,2,FALSE),FALSE),FALSE),
IF($Z10=22,_xlfn.IFNA(VLOOKUP($F10,'Data Transfer Tables'!$K$449:$L$459,2,FALSE),FALSE),FALSE))</f>
        <v>0</v>
      </c>
      <c r="AS10" s="147" t="b">
        <f t="shared" si="3"/>
        <v>1</v>
      </c>
      <c r="AT10" s="147" t="str">
        <f t="shared" si="43"/>
        <v>Data Type/Shared Read/Modify Empty</v>
      </c>
      <c r="AU10" s="147" t="str">
        <f t="shared" si="44"/>
        <v>N/A</v>
      </c>
      <c r="AV10" s="74" t="b">
        <f>OR(IF($Z10=1,_xlfn.IFNA(VLOOKUP($G10,'Data Transfer Tables'!$H$113:$I$125,2,FALSE),FALSE),FALSE),
IF($Z10=2,_xlfn.IFNA(VLOOKUP($G10,'Data Transfer Tables'!$H$113:$I$125,2,FALSE),FALSE),FALSE),
IF($Z10=3,_xlfn.IFNA(VLOOKUP($G10,'Data Transfer Tables'!$H$113:$I$125,2,FALSE),FALSE),FALSE),
IF($Z10=4,_xlfn.IFNA(VLOOKUP($G10,'Data Transfer Tables'!$H$113:$I$125,2,FALSE),FALSE),FALSE),
IF($Z10=5,_xlfn.IFNA(VLOOKUP($G10,'Data Transfer Tables'!$H$113:$I$125,2,FALSE),FALSE),FALSE),
IF($Z10=6,_xlfn.IFNA(VLOOKUP($G10,'Data Transfer Tables'!$H$113:$I$125,2,FALSE),FALSE),FALSE),
IF($Z10=7,_xlfn.IFNA(VLOOKUP($G10,'Data Transfer Tables'!$H$113:$I$125,2,FALSE),FALSE),FALSE),
IF($Z10=8,_xlfn.IFNA(VLOOKUP($G10,'Data Transfer Tables'!$H$113:$I$125,2,FALSE),FALSE),FALSE),
IF($Z10=9,_xlfn.IFNA(VLOOKUP($G10,'Data Transfer Tables'!$H$113:$I$125,2,FALSE),FALSE),FALSE),
IF($Z10=10,_xlfn.IFNA(VLOOKUP($G10,'Data Transfer Tables'!$H$113:$I$125,2,FALSE),FALSE),FALSE),
IF($Z10=11,_xlfn.IFNA(VLOOKUP($G10,'Data Transfer Tables'!$H$113:$I$125,2,FALSE),FALSE),FALSE),
IF($Z10=12,_xlfn.IFNA(VLOOKUP($G10,'Data Transfer Tables'!$H$113:$I$125,2,FALSE),FALSE),FALSE),
IF($Z10=13,_xlfn.IFNA(VLOOKUP($G10,'Data Transfer Tables'!$H$113:$I$125,2,FALSE),FALSE),FALSE),
IF($Z10=14,_xlfn.IFNA(VLOOKUP($G10,'Data Transfer Tables'!$H$113:$I$125,2,FALSE),FALSE),FALSE),
IF($Z10=15,_xlfn.IFNA(VLOOKUP($G10,'Data Transfer Tables'!$H$113:$I$125,2,FALSE),FALSE),FALSE),
IF($Z10=16,_xlfn.IFNA(VLOOKUP($G10,'Data Transfer Tables'!$H$113:$I$125,2,FALSE),FALSE),FALSE),
IF($Z10=17,_xlfn.IFNA(VLOOKUP($G10,'Data Transfer Tables'!$H$113:$I$125,2,FALSE),FALSE),FALSE),
IF($Z10=18,_xlfn.IFNA(VLOOKUP($G10,'Data Transfer Tables'!$H$113:$I$125,2,FALSE),FALSE),FALSE),
IF($Z10=19,_xlfn.IFNA(VLOOKUP($G10,'Data Transfer Tables'!$H$113:$I$125,2,FALSE),FALSE),FALSE),
IF($Z10=20,_xlfn.IFNA(VLOOKUP($G10,'Data Transfer Tables'!$H$113:$I$125,2,FALSE),FALSE),FALSE),
IF($Z10=21,_xlfn.IFNA(VLOOKUP($G10,'Data Transfer Tables'!$H$113:$I$125,2,FALSE),FALSE),FALSE),
IF($Z10=22,_xlfn.IFNA(VLOOKUP($G10,'Data Transfer Tables'!$H$113:$I$125,2,FALSE),FALSE),FALSE))</f>
        <v>0</v>
      </c>
      <c r="AW10" s="74" t="b">
        <f t="shared" si="4"/>
        <v>1</v>
      </c>
      <c r="AX10" s="74" t="str">
        <f t="shared" si="45"/>
        <v>Data Type/URI Empty</v>
      </c>
      <c r="AY10" s="74" t="str">
        <f t="shared" si="46"/>
        <v>N/A</v>
      </c>
      <c r="AZ10" s="206" t="b">
        <f t="shared" si="5"/>
        <v>1</v>
      </c>
      <c r="BA10" s="206" t="b">
        <f t="shared" si="47"/>
        <v>0</v>
      </c>
      <c r="BB10" s="211" t="b">
        <f t="shared" si="6"/>
        <v>0</v>
      </c>
      <c r="BC10" s="51" t="str">
        <f t="shared" si="48"/>
        <v/>
      </c>
      <c r="BD10" s="51" t="b">
        <f t="shared" si="49"/>
        <v>0</v>
      </c>
      <c r="BE10" s="51" t="b">
        <f t="shared" si="7"/>
        <v>0</v>
      </c>
      <c r="BF10" s="51" t="b">
        <f t="shared" si="8"/>
        <v>0</v>
      </c>
      <c r="BG10" s="51" t="str">
        <f t="shared" si="50"/>
        <v>N/A</v>
      </c>
      <c r="BH10" s="106" t="str">
        <f t="shared" si="9"/>
        <v>N/A</v>
      </c>
      <c r="BI10" s="51" t="str">
        <f t="shared" si="10"/>
        <v>N/A</v>
      </c>
      <c r="BJ10" s="51" t="str">
        <f t="shared" si="11"/>
        <v>N/A</v>
      </c>
      <c r="BK10" s="51" t="str">
        <f t="shared" si="12"/>
        <v>N/A</v>
      </c>
      <c r="BL10" s="51" t="b">
        <f t="shared" si="13"/>
        <v>1</v>
      </c>
      <c r="BM10" s="51" t="b">
        <f t="shared" si="14"/>
        <v>0</v>
      </c>
      <c r="BN10" s="51" t="str">
        <f t="shared" si="51"/>
        <v/>
      </c>
      <c r="BO10" s="51" t="b">
        <f t="shared" si="52"/>
        <v>1</v>
      </c>
      <c r="BP10" s="51" t="str">
        <f t="shared" si="15"/>
        <v>N/A</v>
      </c>
      <c r="BQ10" s="51" t="str">
        <f t="shared" si="16"/>
        <v>N/A</v>
      </c>
      <c r="BR10" s="94" t="b">
        <f t="shared" si="17"/>
        <v>1</v>
      </c>
      <c r="BS10" s="94" t="b">
        <f t="shared" si="18"/>
        <v>1</v>
      </c>
      <c r="BT10" s="94" t="b">
        <f t="shared" si="19"/>
        <v>1</v>
      </c>
      <c r="BU10" s="94" t="b">
        <f t="shared" si="20"/>
        <v>1</v>
      </c>
      <c r="BV10" s="51" t="str">
        <f t="shared" si="53"/>
        <v/>
      </c>
      <c r="BW10" s="51" t="str">
        <f t="shared" si="54"/>
        <v/>
      </c>
      <c r="BX10" s="51" t="b">
        <f t="shared" si="21"/>
        <v>1</v>
      </c>
    </row>
    <row r="11" spans="1:76" s="28" customFormat="1" ht="26.25" thickBot="1" x14ac:dyDescent="0.25">
      <c r="A11" s="63" t="s">
        <v>52</v>
      </c>
      <c r="B11" s="63" t="s">
        <v>44</v>
      </c>
      <c r="C11" s="63" t="s">
        <v>44</v>
      </c>
      <c r="D11" s="63" t="s">
        <v>44</v>
      </c>
      <c r="E11" s="63" t="s">
        <v>44</v>
      </c>
      <c r="F11" s="63" t="s">
        <v>44</v>
      </c>
      <c r="G11" s="63" t="s">
        <v>44</v>
      </c>
      <c r="H11" s="37" t="s">
        <v>53</v>
      </c>
      <c r="I11" s="37" t="s">
        <v>29</v>
      </c>
      <c r="J11" s="37" t="s">
        <v>666</v>
      </c>
      <c r="K11" s="64" t="s">
        <v>20</v>
      </c>
      <c r="L11" s="174" t="b">
        <f t="shared" si="22"/>
        <v>1</v>
      </c>
      <c r="M11" s="174" t="b">
        <f t="shared" si="23"/>
        <v>1</v>
      </c>
      <c r="N11" s="174" t="b">
        <f t="shared" si="24"/>
        <v>1</v>
      </c>
      <c r="S11" s="51" t="b">
        <f t="shared" si="25"/>
        <v>1</v>
      </c>
      <c r="T11" s="94" t="b">
        <f t="shared" si="26"/>
        <v>0</v>
      </c>
      <c r="U11" s="94" t="b">
        <f t="shared" si="27"/>
        <v>0</v>
      </c>
      <c r="V11" s="94" t="b">
        <f t="shared" si="28"/>
        <v>0</v>
      </c>
      <c r="W11" s="94" t="b">
        <f t="shared" si="29"/>
        <v>0</v>
      </c>
      <c r="X11" s="207" t="str">
        <f t="shared" si="30"/>
        <v/>
      </c>
      <c r="Y11" s="51" t="str">
        <f t="shared" si="0"/>
        <v>N/A</v>
      </c>
      <c r="Z11" s="208">
        <f t="shared" si="31"/>
        <v>0</v>
      </c>
      <c r="AA11" s="51" t="b">
        <f t="shared" si="32"/>
        <v>1</v>
      </c>
      <c r="AB11" s="74">
        <f>_xlfn.IFNA(VLOOKUP(B11,'Data Transfer Tables'!$A$111:$B$131,2),0)</f>
        <v>0</v>
      </c>
      <c r="AC11" s="196" t="b">
        <f t="shared" si="33"/>
        <v>0</v>
      </c>
      <c r="AD11" s="74" t="b">
        <f t="shared" si="34"/>
        <v>0</v>
      </c>
      <c r="AE11" s="209" t="b">
        <f t="shared" si="35"/>
        <v>1</v>
      </c>
      <c r="AF11" s="210" t="b">
        <f>OR(IF($Z11=1,_xlfn.IFNA(VLOOKUP($C11,'Data Transfer Tables'!$B$144:$C$153,2,FALSE),FALSE),FALSE),
IF($Z11=2,_xlfn.IFNA(VLOOKUP($C11,'Data Transfer Tables'!$B$158:$C$167,2,FALSE),FALSE),FALSE),
IF($Z11=3,_xlfn.IFNA(VLOOKUP($C11,'Data Transfer Tables'!$B$172:$C$181,2,FALSE),FALSE),FALSE),
IF($Z11=4,_xlfn.IFNA(VLOOKUP($C11,'Data Transfer Tables'!$B$186:$C$195,2,FALSE),FALSE),FALSE),
IF($Z11=5,_xlfn.IFNA(VLOOKUP($C11,'Data Transfer Tables'!$B$200:$C$209,2,FALSE),FALSE),FALSE),
IF($Z11=6,_xlfn.IFNA(VLOOKUP($C11,'Data Transfer Tables'!$B$214:$C$223,2,FALSE),FALSE),FALSE),
IF($Z11=7,_xlfn.IFNA(VLOOKUP($C11,'Data Transfer Tables'!$B$228:$C$237,2,FALSE),FALSE),FALSE),
IF($Z11=8,_xlfn.IFNA(VLOOKUP($C11,'Data Transfer Tables'!$B$242:$C$251,2,FALSE),FALSE),FALSE),
IF($Z11=9,_xlfn.IFNA(VLOOKUP($C11,'Data Transfer Tables'!$B$256:$C$266,2,FALSE),FALSE),FALSE),
IF($Z11=10,_xlfn.IFNA(VLOOKUP($C11,'Data Transfer Tables'!$B$271:$C$281,2,FALSE),FALSE),FALSE),
IF($Z11=11,_xlfn.IFNA(VLOOKUP($C11,'Data Transfer Tables'!$B$286:$C$295,2,FALSE),FALSE),FALSE),
IF($Z11=12,_xlfn.IFNA(VLOOKUP($C11,'Data Transfer Tables'!$B$300:$C$309,2,FALSE),FALSE),FALSE),
IF($Z11=13,_xlfn.IFNA(VLOOKUP($C11,'Data Transfer Tables'!$B$314:$C$323,2,FALSE),FALSE),FALSE),
IF($Z11=14,_xlfn.IFNA(VLOOKUP($C11,'Data Transfer Tables'!$B$328:$C$338,2,FALSE),FALSE),FALSE),
IF($Z11=15,_xlfn.IFNA(VLOOKUP($C11,'Data Transfer Tables'!$B$343:$C$353,2,FALSE),FALSE),FALSE),
IF($Z11=16,_xlfn.IFNA(VLOOKUP($C11,'Data Transfer Tables'!$B$358:$C$369,2,FALSE),FALSE),FALSE),
IF($Z11=17,_xlfn.IFNA(VLOOKUP($C11,'Data Transfer Tables'!$B$374:$C$384,2,FALSE),FALSE),FALSE),
IF($Z11=18,_xlfn.IFNA(VLOOKUP($C11,'Data Transfer Tables'!$B$389:$C$399,2,FALSE),FALSE),FALSE),
IF($Z11=19,_xlfn.IFNA(VLOOKUP($C11,'Data Transfer Tables'!$B$404:$C$414,2,FALSE),FALSE),FALSE),
IF($Z11=20,_xlfn.IFNA(VLOOKUP($C11,'Data Transfer Tables'!$B$419:$C$429,2,FALSE),FALSE),FALSE),
IF($Z11=21,_xlfn.IFNA(VLOOKUP($C11,'Data Transfer Tables'!$B$434:$C$444,2,FALSE),FALSE),FALSE),
IF($Z11=22,_xlfn.IFNA(VLOOKUP($C11,'Data Transfer Tables'!$B$449:$C$459,2,FALSE),FALSE),FALSE))</f>
        <v>0</v>
      </c>
      <c r="AG11" s="210" t="b">
        <f t="shared" si="36"/>
        <v>1</v>
      </c>
      <c r="AH11" s="210" t="str">
        <f t="shared" si="37"/>
        <v>Data Type/Format Empty</v>
      </c>
      <c r="AI11" s="210" t="str">
        <f t="shared" si="38"/>
        <v>N/A</v>
      </c>
      <c r="AJ11" s="146" t="b">
        <f>OR(IF($Z11=1,_xlfn.IFNA(VLOOKUP($D11,'Data Transfer Tables'!$E$144:$G$153,2,FALSE),FALSE),FALSE),
IF($Z11=2,_xlfn.IFNA(VLOOKUP($D11,'Data Transfer Tables'!$E$158:$G$167,2,FALSE),FALSE),FALSE),
IF($Z11=3,_xlfn.IFNA(VLOOKUP($D11,'Data Transfer Tables'!$E$172:$G$181,2,FALSE),FALSE),FALSE),
IF($Z11=4,_xlfn.IFNA(VLOOKUP($D11,'Data Transfer Tables'!$E$186:$G$195,2,FALSE),FALSE),FALSE),
IF($Z11=5,_xlfn.IFNA(VLOOKUP($D11,'Data Transfer Tables'!$E$200:$G$209,2,FALSE),FALSE),FALSE),
IF($Z11=6,_xlfn.IFNA(VLOOKUP($D11,'Data Transfer Tables'!$E$214:$G$223,2,FALSE),FALSE),FALSE),
IF($Z11=7,_xlfn.IFNA(VLOOKUP($D11,'Data Transfer Tables'!$E$228:$G$237,2,FALSE),FALSE),FALSE),
IF($Z11=8,_xlfn.IFNA(VLOOKUP($D11,'Data Transfer Tables'!$E$242:$G$251,2,FALSE),FALSE),FALSE),
IF($Z11=9,_xlfn.IFNA(VLOOKUP($D11,'Data Transfer Tables'!$E$256:$G$266,2,FALSE),FALSE),FALSE),
IF($Z11=10,_xlfn.IFNA(VLOOKUP($D11,'Data Transfer Tables'!$E$271:$G$281,2,FALSE),FALSE),FALSE),
IF($Z11=11,_xlfn.IFNA(VLOOKUP($D11,'Data Transfer Tables'!$E$286:$G$295,2,FALSE),FALSE),FALSE),
IF($Z11=12,_xlfn.IFNA(VLOOKUP($D11,'Data Transfer Tables'!$E$300:$G$309,2,FALSE),FALSE),FALSE),
IF($Z11=13,_xlfn.IFNA(VLOOKUP($D11,'Data Transfer Tables'!$E$314:$G$323,2,FALSE),FALSE),FALSE),
IF($Z11=14,_xlfn.IFNA(VLOOKUP($D11,'Data Transfer Tables'!$E$328:$G$338,2,FALSE),FALSE),FALSE),
IF($Z11=15,_xlfn.IFNA(VLOOKUP($D11,'Data Transfer Tables'!$E$343:$G$353,2,FALSE),FALSE),FALSE),
IF($Z11=16,_xlfn.IFNA(VLOOKUP($D11,'Data Transfer Tables'!$E$358:$G$369,2,FALSE),FALSE),FALSE),
IF($Z11=17,_xlfn.IFNA(VLOOKUP($D11,'Data Transfer Tables'!$E$374:$G$384,2,FALSE),FALSE),FALSE),
IF($Z11=18,_xlfn.IFNA(VLOOKUP($D11,'Data Transfer Tables'!$E$389:$G$399,2,FALSE),FALSE),FALSE),
IF($Z11=19,_xlfn.IFNA(VLOOKUP($D11,'Data Transfer Tables'!$E$404:$G$414,2,FALSE),FALSE),FALSE),
IF($Z11=20,_xlfn.IFNA(VLOOKUP($D11,'Data Transfer Tables'!$E$419:$G$429,2,FALSE),FALSE),FALSE),
IF($Z11=21,_xlfn.IFNA(VLOOKUP($D11,'Data Transfer Tables'!$E$434:$G$444,2,FALSE),FALSE),FALSE),
IF($Z11=22,_xlfn.IFNA(VLOOKUP($D11,'Data Transfer Tables'!$E$449:$G$459,2,FALSE),FALSE),FALSE))</f>
        <v>0</v>
      </c>
      <c r="AK11" s="146" t="b">
        <f t="shared" si="1"/>
        <v>1</v>
      </c>
      <c r="AL11" s="146" t="str">
        <f t="shared" si="39"/>
        <v>Data Type/Exclusive Use Empty</v>
      </c>
      <c r="AM11" s="146" t="str">
        <f t="shared" si="40"/>
        <v>N/A</v>
      </c>
      <c r="AN11" s="145" t="b">
        <f>OR(IF($Z11=1,_xlfn.IFNA(VLOOKUP($E11,'Data Transfer Tables'!$H$144:$I$153,2,FALSE),FALSE),FALSE),
IF($Z11=2,_xlfn.IFNA(VLOOKUP($E11,'Data Transfer Tables'!$H$158:$I$167,2,FALSE),FALSE),FALSE),
IF($Z11=3,_xlfn.IFNA(VLOOKUP($E11,'Data Transfer Tables'!$H$172:$I$181,2,FALSE),FALSE),FALSE),
IF($Z11=4,_xlfn.IFNA(VLOOKUP($E11,'Data Transfer Tables'!$H$186:$I$195,2,FALSE),FALSE),FALSE),
IF($Z11=5,_xlfn.IFNA(VLOOKUP($E11,'Data Transfer Tables'!$H$200:$I$209,2,FALSE),FALSE),FALSE),
IF($Z11=6,_xlfn.IFNA(VLOOKUP($E11,'Data Transfer Tables'!$H$214:$I$223,2,FALSE),FALSE),FALSE),
IF($Z11=7,_xlfn.IFNA(VLOOKUP($E11,'Data Transfer Tables'!$H$228:$I$237,2,FALSE),FALSE),FALSE),
IF($Z11=8,_xlfn.IFNA(VLOOKUP($E11,'Data Transfer Tables'!$H$242:$I$251,2,FALSE),FALSE),FALSE),
IF($Z11=9,_xlfn.IFNA(VLOOKUP($E11,'Data Transfer Tables'!$H$256:$I$266,2,FALSE),FALSE),FALSE),
IF($Z11=10,_xlfn.IFNA(VLOOKUP($E11,'Data Transfer Tables'!$H$271:$I$281,2,FALSE),FALSE),FALSE),
IF($Z11=11,_xlfn.IFNA(VLOOKUP($E11,'Data Transfer Tables'!$H$286:$I$295,2,FALSE),FALSE),FALSE),
IF($Z11=12,_xlfn.IFNA(VLOOKUP($E11,'Data Transfer Tables'!$H$300:$I$309,2,FALSE),FALSE),FALSE),
IF($Z11=13,_xlfn.IFNA(VLOOKUP($E11,'Data Transfer Tables'!$H$314:$I$323,2,FALSE),FALSE),FALSE),
IF($Z11=14,_xlfn.IFNA(VLOOKUP($E11,'Data Transfer Tables'!$H$328:$I$338,2,FALSE),FALSE),FALSE),
IF($Z11=15,_xlfn.IFNA(VLOOKUP($E11,'Data Transfer Tables'!$H$343:$I$353,2,FALSE),FALSE),FALSE),
IF($Z11=16,_xlfn.IFNA(VLOOKUP($E11,'Data Transfer Tables'!$H$358:$I$369,2,FALSE),FALSE),FALSE),
IF($Z11=17,_xlfn.IFNA(VLOOKUP($E11,'Data Transfer Tables'!$H$374:$I$384,2,FALSE),FALSE),FALSE),
IF($Z11=18,_xlfn.IFNA(VLOOKUP($E11,'Data Transfer Tables'!$H$389:$I$399,2,FALSE),FALSE),FALSE),
IF($Z11=19,_xlfn.IFNA(VLOOKUP($E11,'Data Transfer Tables'!$H$404:$I$414,2,FALSE),FALSE),FALSE),
IF($Z11=20,_xlfn.IFNA(VLOOKUP($E11,'Data Transfer Tables'!$H$419:$I$429,2,FALSE),FALSE),FALSE),
IF($Z11=21,_xlfn.IFNA(VLOOKUP($E11,'Data Transfer Tables'!$H$434:$I$444,2,FALSE),FALSE),FALSE),
IF($Z11=22,_xlfn.IFNA(VLOOKUP($E11,'Data Transfer Tables'!$H$449:$I$459,2,FALSE),FALSE),FALSE))</f>
        <v>0</v>
      </c>
      <c r="AO11" s="145" t="b">
        <f t="shared" si="2"/>
        <v>1</v>
      </c>
      <c r="AP11" s="145" t="str">
        <f t="shared" si="41"/>
        <v>Data Type/Shared Read-Only Empty</v>
      </c>
      <c r="AQ11" s="145" t="str">
        <f t="shared" si="42"/>
        <v>N/A</v>
      </c>
      <c r="AR11" s="147" t="b">
        <f>OR(IF($Z11=1,_xlfn.IFNA(VLOOKUP($F11,'Data Transfer Tables'!$K$144:$L$153,2,FALSE),FALSE),FALSE),
IF($Z11=2,_xlfn.IFNA(VLOOKUP($F11,'Data Transfer Tables'!$K$158:$L$167,2,FALSE),FALSE),FALSE),
IF($Z11=3,_xlfn.IFNA(VLOOKUP($F11,'Data Transfer Tables'!$K$172:$L$181,2,FALSE),FALSE),FALSE),
IF($Z11=4,_xlfn.IFNA(VLOOKUP($F11,'Data Transfer Tables'!$K$186:$L$195,2,FALSE),FALSE),FALSE),
IF($Z11=5,_xlfn.IFNA(VLOOKUP($F11,'Data Transfer Tables'!$K$200:$L$209,2,FALSE),FALSE),FALSE),
IF($Z11=6,_xlfn.IFNA(VLOOKUP($F11,'Data Transfer Tables'!$K$214:$L$223,2,FALSE),FALSE),FALSE),
IF($Z11=7,_xlfn.IFNA(VLOOKUP($F11,'Data Transfer Tables'!$K$228:$L$237,2,FALSE),FALSE),FALSE),
IF($Z11=8,_xlfn.IFNA(VLOOKUP($F11,'Data Transfer Tables'!$K$242:$L$251,2,FALSE),FALSE),FALSE),
IF($Z11=9,_xlfn.IFNA(VLOOKUP($F11,'Data Transfer Tables'!$K$256:$L$266,2,FALSE),FALSE),FALSE),
IF($Z11=10,_xlfn.IFNA(VLOOKUP($F11,'Data Transfer Tables'!$K$271:$L$281,2,FALSE),FALSE),FALSE),
IF($Z11=11,_xlfn.IFNA(VLOOKUP($F11,'Data Transfer Tables'!$K$286:$L$295,2,FALSE),FALSE),FALSE),
IF($Z11=12,_xlfn.IFNA(VLOOKUP($F11,'Data Transfer Tables'!$K$300:$L$309,2,FALSE),FALSE),FALSE),
IF($Z11=13,_xlfn.IFNA(VLOOKUP($F11,'Data Transfer Tables'!$K$314:$L$323,2,FALSE),FALSE),FALSE),
IF($Z11=14,_xlfn.IFNA(VLOOKUP($F11,'Data Transfer Tables'!$K$328:$L$338,2,FALSE),FALSE),FALSE),
IF($Z11=15,_xlfn.IFNA(VLOOKUP($F11,'Data Transfer Tables'!$K$343:$L$353,2,FALSE),FALSE),FALSE),
IF($Z11=16,_xlfn.IFNA(VLOOKUP($F11,'Data Transfer Tables'!$K$358:$L$369,2,FALSE),FALSE),FALSE),
IF($Z11=17,_xlfn.IFNA(VLOOKUP($F11,'Data Transfer Tables'!$K$374:$L$384,2,FALSE),FALSE),FALSE),
IF($Z11=18,_xlfn.IFNA(VLOOKUP($F11,'Data Transfer Tables'!$K$389:$L$399,2,FALSE),FALSE),FALSE),
IF($Z11=19,_xlfn.IFNA(VLOOKUP($F11,'Data Transfer Tables'!$K$404:$L$414,2,FALSE),FALSE),FALSE),
IF($Z11=20,_xlfn.IFNA(VLOOKUP($F11,'Data Transfer Tables'!$K$419:$L$429,2,FALSE),FALSE),FALSE),
IF($Z11=21,_xlfn.IFNA(VLOOKUP($F11,'Data Transfer Tables'!$K$434:$L$444,2,FALSE),FALSE),FALSE),
IF($Z11=22,_xlfn.IFNA(VLOOKUP($F11,'Data Transfer Tables'!$K$449:$L$459,2,FALSE),FALSE),FALSE))</f>
        <v>0</v>
      </c>
      <c r="AS11" s="147" t="b">
        <f t="shared" si="3"/>
        <v>1</v>
      </c>
      <c r="AT11" s="147" t="str">
        <f t="shared" si="43"/>
        <v>Data Type/Shared Read/Modify Empty</v>
      </c>
      <c r="AU11" s="147" t="str">
        <f t="shared" si="44"/>
        <v>N/A</v>
      </c>
      <c r="AV11" s="74" t="b">
        <f>OR(IF($Z11=1,_xlfn.IFNA(VLOOKUP($G11,'Data Transfer Tables'!$H$113:$I$125,2,FALSE),FALSE),FALSE),
IF($Z11=2,_xlfn.IFNA(VLOOKUP($G11,'Data Transfer Tables'!$H$113:$I$125,2,FALSE),FALSE),FALSE),
IF($Z11=3,_xlfn.IFNA(VLOOKUP($G11,'Data Transfer Tables'!$H$113:$I$125,2,FALSE),FALSE),FALSE),
IF($Z11=4,_xlfn.IFNA(VLOOKUP($G11,'Data Transfer Tables'!$H$113:$I$125,2,FALSE),FALSE),FALSE),
IF($Z11=5,_xlfn.IFNA(VLOOKUP($G11,'Data Transfer Tables'!$H$113:$I$125,2,FALSE),FALSE),FALSE),
IF($Z11=6,_xlfn.IFNA(VLOOKUP($G11,'Data Transfer Tables'!$H$113:$I$125,2,FALSE),FALSE),FALSE),
IF($Z11=7,_xlfn.IFNA(VLOOKUP($G11,'Data Transfer Tables'!$H$113:$I$125,2,FALSE),FALSE),FALSE),
IF($Z11=8,_xlfn.IFNA(VLOOKUP($G11,'Data Transfer Tables'!$H$113:$I$125,2,FALSE),FALSE),FALSE),
IF($Z11=9,_xlfn.IFNA(VLOOKUP($G11,'Data Transfer Tables'!$H$113:$I$125,2,FALSE),FALSE),FALSE),
IF($Z11=10,_xlfn.IFNA(VLOOKUP($G11,'Data Transfer Tables'!$H$113:$I$125,2,FALSE),FALSE),FALSE),
IF($Z11=11,_xlfn.IFNA(VLOOKUP($G11,'Data Transfer Tables'!$H$113:$I$125,2,FALSE),FALSE),FALSE),
IF($Z11=12,_xlfn.IFNA(VLOOKUP($G11,'Data Transfer Tables'!$H$113:$I$125,2,FALSE),FALSE),FALSE),
IF($Z11=13,_xlfn.IFNA(VLOOKUP($G11,'Data Transfer Tables'!$H$113:$I$125,2,FALSE),FALSE),FALSE),
IF($Z11=14,_xlfn.IFNA(VLOOKUP($G11,'Data Transfer Tables'!$H$113:$I$125,2,FALSE),FALSE),FALSE),
IF($Z11=15,_xlfn.IFNA(VLOOKUP($G11,'Data Transfer Tables'!$H$113:$I$125,2,FALSE),FALSE),FALSE),
IF($Z11=16,_xlfn.IFNA(VLOOKUP($G11,'Data Transfer Tables'!$H$113:$I$125,2,FALSE),FALSE),FALSE),
IF($Z11=17,_xlfn.IFNA(VLOOKUP($G11,'Data Transfer Tables'!$H$113:$I$125,2,FALSE),FALSE),FALSE),
IF($Z11=18,_xlfn.IFNA(VLOOKUP($G11,'Data Transfer Tables'!$H$113:$I$125,2,FALSE),FALSE),FALSE),
IF($Z11=19,_xlfn.IFNA(VLOOKUP($G11,'Data Transfer Tables'!$H$113:$I$125,2,FALSE),FALSE),FALSE),
IF($Z11=20,_xlfn.IFNA(VLOOKUP($G11,'Data Transfer Tables'!$H$113:$I$125,2,FALSE),FALSE),FALSE),
IF($Z11=21,_xlfn.IFNA(VLOOKUP($G11,'Data Transfer Tables'!$H$113:$I$125,2,FALSE),FALSE),FALSE),
IF($Z11=22,_xlfn.IFNA(VLOOKUP($G11,'Data Transfer Tables'!$H$113:$I$125,2,FALSE),FALSE),FALSE))</f>
        <v>0</v>
      </c>
      <c r="AW11" s="74" t="b">
        <f t="shared" si="4"/>
        <v>1</v>
      </c>
      <c r="AX11" s="74" t="str">
        <f t="shared" si="45"/>
        <v>Data Type/URI Empty</v>
      </c>
      <c r="AY11" s="74" t="str">
        <f t="shared" si="46"/>
        <v>N/A</v>
      </c>
      <c r="AZ11" s="206" t="b">
        <f t="shared" si="5"/>
        <v>1</v>
      </c>
      <c r="BA11" s="206" t="b">
        <f t="shared" si="47"/>
        <v>0</v>
      </c>
      <c r="BB11" s="211" t="b">
        <f t="shared" si="6"/>
        <v>0</v>
      </c>
      <c r="BC11" s="51" t="str">
        <f t="shared" si="48"/>
        <v/>
      </c>
      <c r="BD11" s="51" t="b">
        <f t="shared" si="49"/>
        <v>0</v>
      </c>
      <c r="BE11" s="51" t="b">
        <f t="shared" si="7"/>
        <v>0</v>
      </c>
      <c r="BF11" s="51" t="b">
        <f t="shared" si="8"/>
        <v>0</v>
      </c>
      <c r="BG11" s="51" t="str">
        <f t="shared" si="50"/>
        <v>N/A</v>
      </c>
      <c r="BH11" s="106" t="str">
        <f t="shared" si="9"/>
        <v>N/A</v>
      </c>
      <c r="BI11" s="51" t="str">
        <f t="shared" si="10"/>
        <v>N/A</v>
      </c>
      <c r="BJ11" s="51" t="str">
        <f t="shared" si="11"/>
        <v>N/A</v>
      </c>
      <c r="BK11" s="51" t="str">
        <f t="shared" si="12"/>
        <v>N/A</v>
      </c>
      <c r="BL11" s="51" t="b">
        <f t="shared" si="13"/>
        <v>1</v>
      </c>
      <c r="BM11" s="51" t="b">
        <f t="shared" si="14"/>
        <v>0</v>
      </c>
      <c r="BN11" s="51" t="str">
        <f t="shared" si="51"/>
        <v/>
      </c>
      <c r="BO11" s="51" t="b">
        <f t="shared" si="52"/>
        <v>1</v>
      </c>
      <c r="BP11" s="51" t="str">
        <f t="shared" si="15"/>
        <v>N/A</v>
      </c>
      <c r="BQ11" s="51" t="str">
        <f t="shared" si="16"/>
        <v>N/A</v>
      </c>
      <c r="BR11" s="94" t="b">
        <f t="shared" si="17"/>
        <v>1</v>
      </c>
      <c r="BS11" s="94" t="b">
        <f t="shared" si="18"/>
        <v>1</v>
      </c>
      <c r="BT11" s="94" t="b">
        <f t="shared" si="19"/>
        <v>1</v>
      </c>
      <c r="BU11" s="94" t="b">
        <f t="shared" si="20"/>
        <v>1</v>
      </c>
      <c r="BV11" s="51" t="str">
        <f t="shared" si="53"/>
        <v/>
      </c>
      <c r="BW11" s="51" t="str">
        <f t="shared" si="54"/>
        <v/>
      </c>
      <c r="BX11" s="51" t="b">
        <f t="shared" si="21"/>
        <v>1</v>
      </c>
    </row>
    <row r="12" spans="1:76" s="28" customFormat="1" ht="26.25" thickBot="1" x14ac:dyDescent="0.25">
      <c r="A12" s="63" t="s">
        <v>52</v>
      </c>
      <c r="B12" s="63" t="s">
        <v>44</v>
      </c>
      <c r="C12" s="63" t="s">
        <v>44</v>
      </c>
      <c r="D12" s="63" t="s">
        <v>44</v>
      </c>
      <c r="E12" s="63" t="s">
        <v>44</v>
      </c>
      <c r="F12" s="63" t="s">
        <v>44</v>
      </c>
      <c r="G12" s="63" t="s">
        <v>44</v>
      </c>
      <c r="H12" s="37" t="s">
        <v>53</v>
      </c>
      <c r="I12" s="37" t="s">
        <v>29</v>
      </c>
      <c r="J12" s="37" t="s">
        <v>666</v>
      </c>
      <c r="K12" s="64" t="s">
        <v>20</v>
      </c>
      <c r="L12" s="174" t="b">
        <f t="shared" si="22"/>
        <v>1</v>
      </c>
      <c r="M12" s="174" t="b">
        <f t="shared" si="23"/>
        <v>1</v>
      </c>
      <c r="N12" s="174" t="b">
        <f t="shared" si="24"/>
        <v>1</v>
      </c>
      <c r="S12" s="51" t="b">
        <f t="shared" si="25"/>
        <v>1</v>
      </c>
      <c r="T12" s="94" t="b">
        <f t="shared" si="26"/>
        <v>0</v>
      </c>
      <c r="U12" s="94" t="b">
        <f t="shared" si="27"/>
        <v>0</v>
      </c>
      <c r="V12" s="94" t="b">
        <f t="shared" si="28"/>
        <v>0</v>
      </c>
      <c r="W12" s="94" t="b">
        <f t="shared" si="29"/>
        <v>0</v>
      </c>
      <c r="X12" s="207" t="str">
        <f t="shared" si="30"/>
        <v/>
      </c>
      <c r="Y12" s="51" t="str">
        <f t="shared" si="0"/>
        <v>N/A</v>
      </c>
      <c r="Z12" s="208">
        <f t="shared" si="31"/>
        <v>0</v>
      </c>
      <c r="AA12" s="51" t="b">
        <f t="shared" si="32"/>
        <v>1</v>
      </c>
      <c r="AB12" s="74">
        <f>_xlfn.IFNA(VLOOKUP(B12,'Data Transfer Tables'!$A$111:$B$131,2),0)</f>
        <v>0</v>
      </c>
      <c r="AC12" s="196" t="b">
        <f t="shared" si="33"/>
        <v>0</v>
      </c>
      <c r="AD12" s="74" t="b">
        <f t="shared" si="34"/>
        <v>0</v>
      </c>
      <c r="AE12" s="209" t="b">
        <f t="shared" si="35"/>
        <v>1</v>
      </c>
      <c r="AF12" s="210" t="b">
        <f>OR(IF($Z12=1,_xlfn.IFNA(VLOOKUP($C12,'Data Transfer Tables'!$B$144:$C$153,2,FALSE),FALSE),FALSE),
IF($Z12=2,_xlfn.IFNA(VLOOKUP($C12,'Data Transfer Tables'!$B$158:$C$167,2,FALSE),FALSE),FALSE),
IF($Z12=3,_xlfn.IFNA(VLOOKUP($C12,'Data Transfer Tables'!$B$172:$C$181,2,FALSE),FALSE),FALSE),
IF($Z12=4,_xlfn.IFNA(VLOOKUP($C12,'Data Transfer Tables'!$B$186:$C$195,2,FALSE),FALSE),FALSE),
IF($Z12=5,_xlfn.IFNA(VLOOKUP($C12,'Data Transfer Tables'!$B$200:$C$209,2,FALSE),FALSE),FALSE),
IF($Z12=6,_xlfn.IFNA(VLOOKUP($C12,'Data Transfer Tables'!$B$214:$C$223,2,FALSE),FALSE),FALSE),
IF($Z12=7,_xlfn.IFNA(VLOOKUP($C12,'Data Transfer Tables'!$B$228:$C$237,2,FALSE),FALSE),FALSE),
IF($Z12=8,_xlfn.IFNA(VLOOKUP($C12,'Data Transfer Tables'!$B$242:$C$251,2,FALSE),FALSE),FALSE),
IF($Z12=9,_xlfn.IFNA(VLOOKUP($C12,'Data Transfer Tables'!$B$256:$C$266,2,FALSE),FALSE),FALSE),
IF($Z12=10,_xlfn.IFNA(VLOOKUP($C12,'Data Transfer Tables'!$B$271:$C$281,2,FALSE),FALSE),FALSE),
IF($Z12=11,_xlfn.IFNA(VLOOKUP($C12,'Data Transfer Tables'!$B$286:$C$295,2,FALSE),FALSE),FALSE),
IF($Z12=12,_xlfn.IFNA(VLOOKUP($C12,'Data Transfer Tables'!$B$300:$C$309,2,FALSE),FALSE),FALSE),
IF($Z12=13,_xlfn.IFNA(VLOOKUP($C12,'Data Transfer Tables'!$B$314:$C$323,2,FALSE),FALSE),FALSE),
IF($Z12=14,_xlfn.IFNA(VLOOKUP($C12,'Data Transfer Tables'!$B$328:$C$338,2,FALSE),FALSE),FALSE),
IF($Z12=15,_xlfn.IFNA(VLOOKUP($C12,'Data Transfer Tables'!$B$343:$C$353,2,FALSE),FALSE),FALSE),
IF($Z12=16,_xlfn.IFNA(VLOOKUP($C12,'Data Transfer Tables'!$B$358:$C$369,2,FALSE),FALSE),FALSE),
IF($Z12=17,_xlfn.IFNA(VLOOKUP($C12,'Data Transfer Tables'!$B$374:$C$384,2,FALSE),FALSE),FALSE),
IF($Z12=18,_xlfn.IFNA(VLOOKUP($C12,'Data Transfer Tables'!$B$389:$C$399,2,FALSE),FALSE),FALSE),
IF($Z12=19,_xlfn.IFNA(VLOOKUP($C12,'Data Transfer Tables'!$B$404:$C$414,2,FALSE),FALSE),FALSE),
IF($Z12=20,_xlfn.IFNA(VLOOKUP($C12,'Data Transfer Tables'!$B$419:$C$429,2,FALSE),FALSE),FALSE),
IF($Z12=21,_xlfn.IFNA(VLOOKUP($C12,'Data Transfer Tables'!$B$434:$C$444,2,FALSE),FALSE),FALSE),
IF($Z12=22,_xlfn.IFNA(VLOOKUP($C12,'Data Transfer Tables'!$B$449:$C$459,2,FALSE),FALSE),FALSE))</f>
        <v>0</v>
      </c>
      <c r="AG12" s="210" t="b">
        <f t="shared" si="36"/>
        <v>1</v>
      </c>
      <c r="AH12" s="210" t="str">
        <f t="shared" si="37"/>
        <v>Data Type/Format Empty</v>
      </c>
      <c r="AI12" s="210" t="str">
        <f t="shared" si="38"/>
        <v>N/A</v>
      </c>
      <c r="AJ12" s="146" t="b">
        <f>OR(IF($Z12=1,_xlfn.IFNA(VLOOKUP($D12,'Data Transfer Tables'!$E$144:$G$153,2,FALSE),FALSE),FALSE),
IF($Z12=2,_xlfn.IFNA(VLOOKUP($D12,'Data Transfer Tables'!$E$158:$G$167,2,FALSE),FALSE),FALSE),
IF($Z12=3,_xlfn.IFNA(VLOOKUP($D12,'Data Transfer Tables'!$E$172:$G$181,2,FALSE),FALSE),FALSE),
IF($Z12=4,_xlfn.IFNA(VLOOKUP($D12,'Data Transfer Tables'!$E$186:$G$195,2,FALSE),FALSE),FALSE),
IF($Z12=5,_xlfn.IFNA(VLOOKUP($D12,'Data Transfer Tables'!$E$200:$G$209,2,FALSE),FALSE),FALSE),
IF($Z12=6,_xlfn.IFNA(VLOOKUP($D12,'Data Transfer Tables'!$E$214:$G$223,2,FALSE),FALSE),FALSE),
IF($Z12=7,_xlfn.IFNA(VLOOKUP($D12,'Data Transfer Tables'!$E$228:$G$237,2,FALSE),FALSE),FALSE),
IF($Z12=8,_xlfn.IFNA(VLOOKUP($D12,'Data Transfer Tables'!$E$242:$G$251,2,FALSE),FALSE),FALSE),
IF($Z12=9,_xlfn.IFNA(VLOOKUP($D12,'Data Transfer Tables'!$E$256:$G$266,2,FALSE),FALSE),FALSE),
IF($Z12=10,_xlfn.IFNA(VLOOKUP($D12,'Data Transfer Tables'!$E$271:$G$281,2,FALSE),FALSE),FALSE),
IF($Z12=11,_xlfn.IFNA(VLOOKUP($D12,'Data Transfer Tables'!$E$286:$G$295,2,FALSE),FALSE),FALSE),
IF($Z12=12,_xlfn.IFNA(VLOOKUP($D12,'Data Transfer Tables'!$E$300:$G$309,2,FALSE),FALSE),FALSE),
IF($Z12=13,_xlfn.IFNA(VLOOKUP($D12,'Data Transfer Tables'!$E$314:$G$323,2,FALSE),FALSE),FALSE),
IF($Z12=14,_xlfn.IFNA(VLOOKUP($D12,'Data Transfer Tables'!$E$328:$G$338,2,FALSE),FALSE),FALSE),
IF($Z12=15,_xlfn.IFNA(VLOOKUP($D12,'Data Transfer Tables'!$E$343:$G$353,2,FALSE),FALSE),FALSE),
IF($Z12=16,_xlfn.IFNA(VLOOKUP($D12,'Data Transfer Tables'!$E$358:$G$369,2,FALSE),FALSE),FALSE),
IF($Z12=17,_xlfn.IFNA(VLOOKUP($D12,'Data Transfer Tables'!$E$374:$G$384,2,FALSE),FALSE),FALSE),
IF($Z12=18,_xlfn.IFNA(VLOOKUP($D12,'Data Transfer Tables'!$E$389:$G$399,2,FALSE),FALSE),FALSE),
IF($Z12=19,_xlfn.IFNA(VLOOKUP($D12,'Data Transfer Tables'!$E$404:$G$414,2,FALSE),FALSE),FALSE),
IF($Z12=20,_xlfn.IFNA(VLOOKUP($D12,'Data Transfer Tables'!$E$419:$G$429,2,FALSE),FALSE),FALSE),
IF($Z12=21,_xlfn.IFNA(VLOOKUP($D12,'Data Transfer Tables'!$E$434:$G$444,2,FALSE),FALSE),FALSE),
IF($Z12=22,_xlfn.IFNA(VLOOKUP($D12,'Data Transfer Tables'!$E$449:$G$459,2,FALSE),FALSE),FALSE))</f>
        <v>0</v>
      </c>
      <c r="AK12" s="146" t="b">
        <f t="shared" si="1"/>
        <v>1</v>
      </c>
      <c r="AL12" s="146" t="str">
        <f t="shared" si="39"/>
        <v>Data Type/Exclusive Use Empty</v>
      </c>
      <c r="AM12" s="146" t="str">
        <f t="shared" si="40"/>
        <v>N/A</v>
      </c>
      <c r="AN12" s="145" t="b">
        <f>OR(IF($Z12=1,_xlfn.IFNA(VLOOKUP($E12,'Data Transfer Tables'!$H$144:$I$153,2,FALSE),FALSE),FALSE),
IF($Z12=2,_xlfn.IFNA(VLOOKUP($E12,'Data Transfer Tables'!$H$158:$I$167,2,FALSE),FALSE),FALSE),
IF($Z12=3,_xlfn.IFNA(VLOOKUP($E12,'Data Transfer Tables'!$H$172:$I$181,2,FALSE),FALSE),FALSE),
IF($Z12=4,_xlfn.IFNA(VLOOKUP($E12,'Data Transfer Tables'!$H$186:$I$195,2,FALSE),FALSE),FALSE),
IF($Z12=5,_xlfn.IFNA(VLOOKUP($E12,'Data Transfer Tables'!$H$200:$I$209,2,FALSE),FALSE),FALSE),
IF($Z12=6,_xlfn.IFNA(VLOOKUP($E12,'Data Transfer Tables'!$H$214:$I$223,2,FALSE),FALSE),FALSE),
IF($Z12=7,_xlfn.IFNA(VLOOKUP($E12,'Data Transfer Tables'!$H$228:$I$237,2,FALSE),FALSE),FALSE),
IF($Z12=8,_xlfn.IFNA(VLOOKUP($E12,'Data Transfer Tables'!$H$242:$I$251,2,FALSE),FALSE),FALSE),
IF($Z12=9,_xlfn.IFNA(VLOOKUP($E12,'Data Transfer Tables'!$H$256:$I$266,2,FALSE),FALSE),FALSE),
IF($Z12=10,_xlfn.IFNA(VLOOKUP($E12,'Data Transfer Tables'!$H$271:$I$281,2,FALSE),FALSE),FALSE),
IF($Z12=11,_xlfn.IFNA(VLOOKUP($E12,'Data Transfer Tables'!$H$286:$I$295,2,FALSE),FALSE),FALSE),
IF($Z12=12,_xlfn.IFNA(VLOOKUP($E12,'Data Transfer Tables'!$H$300:$I$309,2,FALSE),FALSE),FALSE),
IF($Z12=13,_xlfn.IFNA(VLOOKUP($E12,'Data Transfer Tables'!$H$314:$I$323,2,FALSE),FALSE),FALSE),
IF($Z12=14,_xlfn.IFNA(VLOOKUP($E12,'Data Transfer Tables'!$H$328:$I$338,2,FALSE),FALSE),FALSE),
IF($Z12=15,_xlfn.IFNA(VLOOKUP($E12,'Data Transfer Tables'!$H$343:$I$353,2,FALSE),FALSE),FALSE),
IF($Z12=16,_xlfn.IFNA(VLOOKUP($E12,'Data Transfer Tables'!$H$358:$I$369,2,FALSE),FALSE),FALSE),
IF($Z12=17,_xlfn.IFNA(VLOOKUP($E12,'Data Transfer Tables'!$H$374:$I$384,2,FALSE),FALSE),FALSE),
IF($Z12=18,_xlfn.IFNA(VLOOKUP($E12,'Data Transfer Tables'!$H$389:$I$399,2,FALSE),FALSE),FALSE),
IF($Z12=19,_xlfn.IFNA(VLOOKUP($E12,'Data Transfer Tables'!$H$404:$I$414,2,FALSE),FALSE),FALSE),
IF($Z12=20,_xlfn.IFNA(VLOOKUP($E12,'Data Transfer Tables'!$H$419:$I$429,2,FALSE),FALSE),FALSE),
IF($Z12=21,_xlfn.IFNA(VLOOKUP($E12,'Data Transfer Tables'!$H$434:$I$444,2,FALSE),FALSE),FALSE),
IF($Z12=22,_xlfn.IFNA(VLOOKUP($E12,'Data Transfer Tables'!$H$449:$I$459,2,FALSE),FALSE),FALSE))</f>
        <v>0</v>
      </c>
      <c r="AO12" s="145" t="b">
        <f t="shared" si="2"/>
        <v>1</v>
      </c>
      <c r="AP12" s="145" t="str">
        <f t="shared" si="41"/>
        <v>Data Type/Shared Read-Only Empty</v>
      </c>
      <c r="AQ12" s="145" t="str">
        <f t="shared" si="42"/>
        <v>N/A</v>
      </c>
      <c r="AR12" s="147" t="b">
        <f>OR(IF($Z12=1,_xlfn.IFNA(VLOOKUP($F12,'Data Transfer Tables'!$K$144:$L$153,2,FALSE),FALSE),FALSE),
IF($Z12=2,_xlfn.IFNA(VLOOKUP($F12,'Data Transfer Tables'!$K$158:$L$167,2,FALSE),FALSE),FALSE),
IF($Z12=3,_xlfn.IFNA(VLOOKUP($F12,'Data Transfer Tables'!$K$172:$L$181,2,FALSE),FALSE),FALSE),
IF($Z12=4,_xlfn.IFNA(VLOOKUP($F12,'Data Transfer Tables'!$K$186:$L$195,2,FALSE),FALSE),FALSE),
IF($Z12=5,_xlfn.IFNA(VLOOKUP($F12,'Data Transfer Tables'!$K$200:$L$209,2,FALSE),FALSE),FALSE),
IF($Z12=6,_xlfn.IFNA(VLOOKUP($F12,'Data Transfer Tables'!$K$214:$L$223,2,FALSE),FALSE),FALSE),
IF($Z12=7,_xlfn.IFNA(VLOOKUP($F12,'Data Transfer Tables'!$K$228:$L$237,2,FALSE),FALSE),FALSE),
IF($Z12=8,_xlfn.IFNA(VLOOKUP($F12,'Data Transfer Tables'!$K$242:$L$251,2,FALSE),FALSE),FALSE),
IF($Z12=9,_xlfn.IFNA(VLOOKUP($F12,'Data Transfer Tables'!$K$256:$L$266,2,FALSE),FALSE),FALSE),
IF($Z12=10,_xlfn.IFNA(VLOOKUP($F12,'Data Transfer Tables'!$K$271:$L$281,2,FALSE),FALSE),FALSE),
IF($Z12=11,_xlfn.IFNA(VLOOKUP($F12,'Data Transfer Tables'!$K$286:$L$295,2,FALSE),FALSE),FALSE),
IF($Z12=12,_xlfn.IFNA(VLOOKUP($F12,'Data Transfer Tables'!$K$300:$L$309,2,FALSE),FALSE),FALSE),
IF($Z12=13,_xlfn.IFNA(VLOOKUP($F12,'Data Transfer Tables'!$K$314:$L$323,2,FALSE),FALSE),FALSE),
IF($Z12=14,_xlfn.IFNA(VLOOKUP($F12,'Data Transfer Tables'!$K$328:$L$338,2,FALSE),FALSE),FALSE),
IF($Z12=15,_xlfn.IFNA(VLOOKUP($F12,'Data Transfer Tables'!$K$343:$L$353,2,FALSE),FALSE),FALSE),
IF($Z12=16,_xlfn.IFNA(VLOOKUP($F12,'Data Transfer Tables'!$K$358:$L$369,2,FALSE),FALSE),FALSE),
IF($Z12=17,_xlfn.IFNA(VLOOKUP($F12,'Data Transfer Tables'!$K$374:$L$384,2,FALSE),FALSE),FALSE),
IF($Z12=18,_xlfn.IFNA(VLOOKUP($F12,'Data Transfer Tables'!$K$389:$L$399,2,FALSE),FALSE),FALSE),
IF($Z12=19,_xlfn.IFNA(VLOOKUP($F12,'Data Transfer Tables'!$K$404:$L$414,2,FALSE),FALSE),FALSE),
IF($Z12=20,_xlfn.IFNA(VLOOKUP($F12,'Data Transfer Tables'!$K$419:$L$429,2,FALSE),FALSE),FALSE),
IF($Z12=21,_xlfn.IFNA(VLOOKUP($F12,'Data Transfer Tables'!$K$434:$L$444,2,FALSE),FALSE),FALSE),
IF($Z12=22,_xlfn.IFNA(VLOOKUP($F12,'Data Transfer Tables'!$K$449:$L$459,2,FALSE),FALSE),FALSE))</f>
        <v>0</v>
      </c>
      <c r="AS12" s="147" t="b">
        <f t="shared" si="3"/>
        <v>1</v>
      </c>
      <c r="AT12" s="147" t="str">
        <f t="shared" si="43"/>
        <v>Data Type/Shared Read/Modify Empty</v>
      </c>
      <c r="AU12" s="147" t="str">
        <f t="shared" si="44"/>
        <v>N/A</v>
      </c>
      <c r="AV12" s="74" t="b">
        <f>OR(IF($Z12=1,_xlfn.IFNA(VLOOKUP($G12,'Data Transfer Tables'!$H$113:$I$125,2,FALSE),FALSE),FALSE),
IF($Z12=2,_xlfn.IFNA(VLOOKUP($G12,'Data Transfer Tables'!$H$113:$I$125,2,FALSE),FALSE),FALSE),
IF($Z12=3,_xlfn.IFNA(VLOOKUP($G12,'Data Transfer Tables'!$H$113:$I$125,2,FALSE),FALSE),FALSE),
IF($Z12=4,_xlfn.IFNA(VLOOKUP($G12,'Data Transfer Tables'!$H$113:$I$125,2,FALSE),FALSE),FALSE),
IF($Z12=5,_xlfn.IFNA(VLOOKUP($G12,'Data Transfer Tables'!$H$113:$I$125,2,FALSE),FALSE),FALSE),
IF($Z12=6,_xlfn.IFNA(VLOOKUP($G12,'Data Transfer Tables'!$H$113:$I$125,2,FALSE),FALSE),FALSE),
IF($Z12=7,_xlfn.IFNA(VLOOKUP($G12,'Data Transfer Tables'!$H$113:$I$125,2,FALSE),FALSE),FALSE),
IF($Z12=8,_xlfn.IFNA(VLOOKUP($G12,'Data Transfer Tables'!$H$113:$I$125,2,FALSE),FALSE),FALSE),
IF($Z12=9,_xlfn.IFNA(VLOOKUP($G12,'Data Transfer Tables'!$H$113:$I$125,2,FALSE),FALSE),FALSE),
IF($Z12=10,_xlfn.IFNA(VLOOKUP($G12,'Data Transfer Tables'!$H$113:$I$125,2,FALSE),FALSE),FALSE),
IF($Z12=11,_xlfn.IFNA(VLOOKUP($G12,'Data Transfer Tables'!$H$113:$I$125,2,FALSE),FALSE),FALSE),
IF($Z12=12,_xlfn.IFNA(VLOOKUP($G12,'Data Transfer Tables'!$H$113:$I$125,2,FALSE),FALSE),FALSE),
IF($Z12=13,_xlfn.IFNA(VLOOKUP($G12,'Data Transfer Tables'!$H$113:$I$125,2,FALSE),FALSE),FALSE),
IF($Z12=14,_xlfn.IFNA(VLOOKUP($G12,'Data Transfer Tables'!$H$113:$I$125,2,FALSE),FALSE),FALSE),
IF($Z12=15,_xlfn.IFNA(VLOOKUP($G12,'Data Transfer Tables'!$H$113:$I$125,2,FALSE),FALSE),FALSE),
IF($Z12=16,_xlfn.IFNA(VLOOKUP($G12,'Data Transfer Tables'!$H$113:$I$125,2,FALSE),FALSE),FALSE),
IF($Z12=17,_xlfn.IFNA(VLOOKUP($G12,'Data Transfer Tables'!$H$113:$I$125,2,FALSE),FALSE),FALSE),
IF($Z12=18,_xlfn.IFNA(VLOOKUP($G12,'Data Transfer Tables'!$H$113:$I$125,2,FALSE),FALSE),FALSE),
IF($Z12=19,_xlfn.IFNA(VLOOKUP($G12,'Data Transfer Tables'!$H$113:$I$125,2,FALSE),FALSE),FALSE),
IF($Z12=20,_xlfn.IFNA(VLOOKUP($G12,'Data Transfer Tables'!$H$113:$I$125,2,FALSE),FALSE),FALSE),
IF($Z12=21,_xlfn.IFNA(VLOOKUP($G12,'Data Transfer Tables'!$H$113:$I$125,2,FALSE),FALSE),FALSE),
IF($Z12=22,_xlfn.IFNA(VLOOKUP($G12,'Data Transfer Tables'!$H$113:$I$125,2,FALSE),FALSE),FALSE))</f>
        <v>0</v>
      </c>
      <c r="AW12" s="74" t="b">
        <f t="shared" si="4"/>
        <v>1</v>
      </c>
      <c r="AX12" s="74" t="str">
        <f t="shared" si="45"/>
        <v>Data Type/URI Empty</v>
      </c>
      <c r="AY12" s="74" t="str">
        <f t="shared" si="46"/>
        <v>N/A</v>
      </c>
      <c r="AZ12" s="206" t="b">
        <f t="shared" si="5"/>
        <v>1</v>
      </c>
      <c r="BA12" s="206" t="b">
        <f t="shared" si="47"/>
        <v>0</v>
      </c>
      <c r="BB12" s="211" t="b">
        <f t="shared" si="6"/>
        <v>0</v>
      </c>
      <c r="BC12" s="51" t="str">
        <f t="shared" si="48"/>
        <v/>
      </c>
      <c r="BD12" s="51" t="b">
        <f t="shared" si="49"/>
        <v>0</v>
      </c>
      <c r="BE12" s="51" t="b">
        <f t="shared" si="7"/>
        <v>0</v>
      </c>
      <c r="BF12" s="51" t="b">
        <f t="shared" si="8"/>
        <v>0</v>
      </c>
      <c r="BG12" s="51" t="str">
        <f t="shared" si="50"/>
        <v>N/A</v>
      </c>
      <c r="BH12" s="106" t="str">
        <f t="shared" si="9"/>
        <v>N/A</v>
      </c>
      <c r="BI12" s="51" t="str">
        <f t="shared" si="10"/>
        <v>N/A</v>
      </c>
      <c r="BJ12" s="51" t="str">
        <f t="shared" si="11"/>
        <v>N/A</v>
      </c>
      <c r="BK12" s="51" t="str">
        <f t="shared" si="12"/>
        <v>N/A</v>
      </c>
      <c r="BL12" s="51" t="b">
        <f t="shared" si="13"/>
        <v>1</v>
      </c>
      <c r="BM12" s="51" t="b">
        <f t="shared" si="14"/>
        <v>0</v>
      </c>
      <c r="BN12" s="51" t="str">
        <f t="shared" si="51"/>
        <v/>
      </c>
      <c r="BO12" s="51" t="b">
        <f t="shared" si="52"/>
        <v>1</v>
      </c>
      <c r="BP12" s="51" t="str">
        <f t="shared" si="15"/>
        <v>N/A</v>
      </c>
      <c r="BQ12" s="51" t="str">
        <f t="shared" si="16"/>
        <v>N/A</v>
      </c>
      <c r="BR12" s="94" t="b">
        <f t="shared" si="17"/>
        <v>1</v>
      </c>
      <c r="BS12" s="94" t="b">
        <f t="shared" si="18"/>
        <v>1</v>
      </c>
      <c r="BT12" s="94" t="b">
        <f t="shared" si="19"/>
        <v>1</v>
      </c>
      <c r="BU12" s="94" t="b">
        <f t="shared" si="20"/>
        <v>1</v>
      </c>
      <c r="BV12" s="51" t="str">
        <f t="shared" si="53"/>
        <v/>
      </c>
      <c r="BW12" s="51" t="str">
        <f t="shared" si="54"/>
        <v/>
      </c>
      <c r="BX12" s="51" t="b">
        <f t="shared" si="21"/>
        <v>1</v>
      </c>
    </row>
    <row r="13" spans="1:76" s="28" customFormat="1" ht="26.25" thickBot="1" x14ac:dyDescent="0.25">
      <c r="A13" s="63" t="s">
        <v>52</v>
      </c>
      <c r="B13" s="63" t="s">
        <v>44</v>
      </c>
      <c r="C13" s="63" t="s">
        <v>44</v>
      </c>
      <c r="D13" s="63" t="s">
        <v>44</v>
      </c>
      <c r="E13" s="63" t="s">
        <v>44</v>
      </c>
      <c r="F13" s="63" t="s">
        <v>44</v>
      </c>
      <c r="G13" s="63" t="s">
        <v>44</v>
      </c>
      <c r="H13" s="37" t="s">
        <v>53</v>
      </c>
      <c r="I13" s="37" t="s">
        <v>29</v>
      </c>
      <c r="J13" s="37" t="s">
        <v>666</v>
      </c>
      <c r="K13" s="64" t="s">
        <v>20</v>
      </c>
      <c r="L13" s="174" t="b">
        <f t="shared" si="22"/>
        <v>1</v>
      </c>
      <c r="M13" s="174" t="b">
        <f t="shared" si="23"/>
        <v>1</v>
      </c>
      <c r="N13" s="174" t="b">
        <f t="shared" si="24"/>
        <v>1</v>
      </c>
      <c r="S13" s="51" t="b">
        <f t="shared" si="25"/>
        <v>1</v>
      </c>
      <c r="T13" s="94" t="b">
        <f t="shared" si="26"/>
        <v>0</v>
      </c>
      <c r="U13" s="94" t="b">
        <f t="shared" si="27"/>
        <v>0</v>
      </c>
      <c r="V13" s="94" t="b">
        <f t="shared" si="28"/>
        <v>0</v>
      </c>
      <c r="W13" s="94" t="b">
        <f t="shared" si="29"/>
        <v>0</v>
      </c>
      <c r="X13" s="207" t="str">
        <f t="shared" si="30"/>
        <v/>
      </c>
      <c r="Y13" s="51" t="str">
        <f t="shared" si="0"/>
        <v>N/A</v>
      </c>
      <c r="Z13" s="208">
        <f t="shared" si="31"/>
        <v>0</v>
      </c>
      <c r="AA13" s="51" t="b">
        <f t="shared" si="32"/>
        <v>1</v>
      </c>
      <c r="AB13" s="74">
        <f>_xlfn.IFNA(VLOOKUP(B13,'Data Transfer Tables'!$A$111:$B$131,2),0)</f>
        <v>0</v>
      </c>
      <c r="AC13" s="196" t="b">
        <f t="shared" si="33"/>
        <v>0</v>
      </c>
      <c r="AD13" s="74" t="b">
        <f t="shared" si="34"/>
        <v>0</v>
      </c>
      <c r="AE13" s="209" t="b">
        <f t="shared" si="35"/>
        <v>1</v>
      </c>
      <c r="AF13" s="210" t="b">
        <f>OR(IF($Z13=1,_xlfn.IFNA(VLOOKUP($C13,'Data Transfer Tables'!$B$144:$C$153,2,FALSE),FALSE),FALSE),
IF($Z13=2,_xlfn.IFNA(VLOOKUP($C13,'Data Transfer Tables'!$B$158:$C$167,2,FALSE),FALSE),FALSE),
IF($Z13=3,_xlfn.IFNA(VLOOKUP($C13,'Data Transfer Tables'!$B$172:$C$181,2,FALSE),FALSE),FALSE),
IF($Z13=4,_xlfn.IFNA(VLOOKUP($C13,'Data Transfer Tables'!$B$186:$C$195,2,FALSE),FALSE),FALSE),
IF($Z13=5,_xlfn.IFNA(VLOOKUP($C13,'Data Transfer Tables'!$B$200:$C$209,2,FALSE),FALSE),FALSE),
IF($Z13=6,_xlfn.IFNA(VLOOKUP($C13,'Data Transfer Tables'!$B$214:$C$223,2,FALSE),FALSE),FALSE),
IF($Z13=7,_xlfn.IFNA(VLOOKUP($C13,'Data Transfer Tables'!$B$228:$C$237,2,FALSE),FALSE),FALSE),
IF($Z13=8,_xlfn.IFNA(VLOOKUP($C13,'Data Transfer Tables'!$B$242:$C$251,2,FALSE),FALSE),FALSE),
IF($Z13=9,_xlfn.IFNA(VLOOKUP($C13,'Data Transfer Tables'!$B$256:$C$266,2,FALSE),FALSE),FALSE),
IF($Z13=10,_xlfn.IFNA(VLOOKUP($C13,'Data Transfer Tables'!$B$271:$C$281,2,FALSE),FALSE),FALSE),
IF($Z13=11,_xlfn.IFNA(VLOOKUP($C13,'Data Transfer Tables'!$B$286:$C$295,2,FALSE),FALSE),FALSE),
IF($Z13=12,_xlfn.IFNA(VLOOKUP($C13,'Data Transfer Tables'!$B$300:$C$309,2,FALSE),FALSE),FALSE),
IF($Z13=13,_xlfn.IFNA(VLOOKUP($C13,'Data Transfer Tables'!$B$314:$C$323,2,FALSE),FALSE),FALSE),
IF($Z13=14,_xlfn.IFNA(VLOOKUP($C13,'Data Transfer Tables'!$B$328:$C$338,2,FALSE),FALSE),FALSE),
IF($Z13=15,_xlfn.IFNA(VLOOKUP($C13,'Data Transfer Tables'!$B$343:$C$353,2,FALSE),FALSE),FALSE),
IF($Z13=16,_xlfn.IFNA(VLOOKUP($C13,'Data Transfer Tables'!$B$358:$C$369,2,FALSE),FALSE),FALSE),
IF($Z13=17,_xlfn.IFNA(VLOOKUP($C13,'Data Transfer Tables'!$B$374:$C$384,2,FALSE),FALSE),FALSE),
IF($Z13=18,_xlfn.IFNA(VLOOKUP($C13,'Data Transfer Tables'!$B$389:$C$399,2,FALSE),FALSE),FALSE),
IF($Z13=19,_xlfn.IFNA(VLOOKUP($C13,'Data Transfer Tables'!$B$404:$C$414,2,FALSE),FALSE),FALSE),
IF($Z13=20,_xlfn.IFNA(VLOOKUP($C13,'Data Transfer Tables'!$B$419:$C$429,2,FALSE),FALSE),FALSE),
IF($Z13=21,_xlfn.IFNA(VLOOKUP($C13,'Data Transfer Tables'!$B$434:$C$444,2,FALSE),FALSE),FALSE),
IF($Z13=22,_xlfn.IFNA(VLOOKUP($C13,'Data Transfer Tables'!$B$449:$C$459,2,FALSE),FALSE),FALSE))</f>
        <v>0</v>
      </c>
      <c r="AG13" s="210" t="b">
        <f t="shared" si="36"/>
        <v>1</v>
      </c>
      <c r="AH13" s="210" t="str">
        <f t="shared" si="37"/>
        <v>Data Type/Format Empty</v>
      </c>
      <c r="AI13" s="210" t="str">
        <f t="shared" si="38"/>
        <v>N/A</v>
      </c>
      <c r="AJ13" s="146" t="b">
        <f>OR(IF($Z13=1,_xlfn.IFNA(VLOOKUP($D13,'Data Transfer Tables'!$E$144:$G$153,2,FALSE),FALSE),FALSE),
IF($Z13=2,_xlfn.IFNA(VLOOKUP($D13,'Data Transfer Tables'!$E$158:$G$167,2,FALSE),FALSE),FALSE),
IF($Z13=3,_xlfn.IFNA(VLOOKUP($D13,'Data Transfer Tables'!$E$172:$G$181,2,FALSE),FALSE),FALSE),
IF($Z13=4,_xlfn.IFNA(VLOOKUP($D13,'Data Transfer Tables'!$E$186:$G$195,2,FALSE),FALSE),FALSE),
IF($Z13=5,_xlfn.IFNA(VLOOKUP($D13,'Data Transfer Tables'!$E$200:$G$209,2,FALSE),FALSE),FALSE),
IF($Z13=6,_xlfn.IFNA(VLOOKUP($D13,'Data Transfer Tables'!$E$214:$G$223,2,FALSE),FALSE),FALSE),
IF($Z13=7,_xlfn.IFNA(VLOOKUP($D13,'Data Transfer Tables'!$E$228:$G$237,2,FALSE),FALSE),FALSE),
IF($Z13=8,_xlfn.IFNA(VLOOKUP($D13,'Data Transfer Tables'!$E$242:$G$251,2,FALSE),FALSE),FALSE),
IF($Z13=9,_xlfn.IFNA(VLOOKUP($D13,'Data Transfer Tables'!$E$256:$G$266,2,FALSE),FALSE),FALSE),
IF($Z13=10,_xlfn.IFNA(VLOOKUP($D13,'Data Transfer Tables'!$E$271:$G$281,2,FALSE),FALSE),FALSE),
IF($Z13=11,_xlfn.IFNA(VLOOKUP($D13,'Data Transfer Tables'!$E$286:$G$295,2,FALSE),FALSE),FALSE),
IF($Z13=12,_xlfn.IFNA(VLOOKUP($D13,'Data Transfer Tables'!$E$300:$G$309,2,FALSE),FALSE),FALSE),
IF($Z13=13,_xlfn.IFNA(VLOOKUP($D13,'Data Transfer Tables'!$E$314:$G$323,2,FALSE),FALSE),FALSE),
IF($Z13=14,_xlfn.IFNA(VLOOKUP($D13,'Data Transfer Tables'!$E$328:$G$338,2,FALSE),FALSE),FALSE),
IF($Z13=15,_xlfn.IFNA(VLOOKUP($D13,'Data Transfer Tables'!$E$343:$G$353,2,FALSE),FALSE),FALSE),
IF($Z13=16,_xlfn.IFNA(VLOOKUP($D13,'Data Transfer Tables'!$E$358:$G$369,2,FALSE),FALSE),FALSE),
IF($Z13=17,_xlfn.IFNA(VLOOKUP($D13,'Data Transfer Tables'!$E$374:$G$384,2,FALSE),FALSE),FALSE),
IF($Z13=18,_xlfn.IFNA(VLOOKUP($D13,'Data Transfer Tables'!$E$389:$G$399,2,FALSE),FALSE),FALSE),
IF($Z13=19,_xlfn.IFNA(VLOOKUP($D13,'Data Transfer Tables'!$E$404:$G$414,2,FALSE),FALSE),FALSE),
IF($Z13=20,_xlfn.IFNA(VLOOKUP($D13,'Data Transfer Tables'!$E$419:$G$429,2,FALSE),FALSE),FALSE),
IF($Z13=21,_xlfn.IFNA(VLOOKUP($D13,'Data Transfer Tables'!$E$434:$G$444,2,FALSE),FALSE),FALSE),
IF($Z13=22,_xlfn.IFNA(VLOOKUP($D13,'Data Transfer Tables'!$E$449:$G$459,2,FALSE),FALSE),FALSE))</f>
        <v>0</v>
      </c>
      <c r="AK13" s="146" t="b">
        <f t="shared" si="1"/>
        <v>1</v>
      </c>
      <c r="AL13" s="146" t="str">
        <f t="shared" si="39"/>
        <v>Data Type/Exclusive Use Empty</v>
      </c>
      <c r="AM13" s="146" t="str">
        <f t="shared" si="40"/>
        <v>N/A</v>
      </c>
      <c r="AN13" s="145" t="b">
        <f>OR(IF($Z13=1,_xlfn.IFNA(VLOOKUP($E13,'Data Transfer Tables'!$H$144:$I$153,2,FALSE),FALSE),FALSE),
IF($Z13=2,_xlfn.IFNA(VLOOKUP($E13,'Data Transfer Tables'!$H$158:$I$167,2,FALSE),FALSE),FALSE),
IF($Z13=3,_xlfn.IFNA(VLOOKUP($E13,'Data Transfer Tables'!$H$172:$I$181,2,FALSE),FALSE),FALSE),
IF($Z13=4,_xlfn.IFNA(VLOOKUP($E13,'Data Transfer Tables'!$H$186:$I$195,2,FALSE),FALSE),FALSE),
IF($Z13=5,_xlfn.IFNA(VLOOKUP($E13,'Data Transfer Tables'!$H$200:$I$209,2,FALSE),FALSE),FALSE),
IF($Z13=6,_xlfn.IFNA(VLOOKUP($E13,'Data Transfer Tables'!$H$214:$I$223,2,FALSE),FALSE),FALSE),
IF($Z13=7,_xlfn.IFNA(VLOOKUP($E13,'Data Transfer Tables'!$H$228:$I$237,2,FALSE),FALSE),FALSE),
IF($Z13=8,_xlfn.IFNA(VLOOKUP($E13,'Data Transfer Tables'!$H$242:$I$251,2,FALSE),FALSE),FALSE),
IF($Z13=9,_xlfn.IFNA(VLOOKUP($E13,'Data Transfer Tables'!$H$256:$I$266,2,FALSE),FALSE),FALSE),
IF($Z13=10,_xlfn.IFNA(VLOOKUP($E13,'Data Transfer Tables'!$H$271:$I$281,2,FALSE),FALSE),FALSE),
IF($Z13=11,_xlfn.IFNA(VLOOKUP($E13,'Data Transfer Tables'!$H$286:$I$295,2,FALSE),FALSE),FALSE),
IF($Z13=12,_xlfn.IFNA(VLOOKUP($E13,'Data Transfer Tables'!$H$300:$I$309,2,FALSE),FALSE),FALSE),
IF($Z13=13,_xlfn.IFNA(VLOOKUP($E13,'Data Transfer Tables'!$H$314:$I$323,2,FALSE),FALSE),FALSE),
IF($Z13=14,_xlfn.IFNA(VLOOKUP($E13,'Data Transfer Tables'!$H$328:$I$338,2,FALSE),FALSE),FALSE),
IF($Z13=15,_xlfn.IFNA(VLOOKUP($E13,'Data Transfer Tables'!$H$343:$I$353,2,FALSE),FALSE),FALSE),
IF($Z13=16,_xlfn.IFNA(VLOOKUP($E13,'Data Transfer Tables'!$H$358:$I$369,2,FALSE),FALSE),FALSE),
IF($Z13=17,_xlfn.IFNA(VLOOKUP($E13,'Data Transfer Tables'!$H$374:$I$384,2,FALSE),FALSE),FALSE),
IF($Z13=18,_xlfn.IFNA(VLOOKUP($E13,'Data Transfer Tables'!$H$389:$I$399,2,FALSE),FALSE),FALSE),
IF($Z13=19,_xlfn.IFNA(VLOOKUP($E13,'Data Transfer Tables'!$H$404:$I$414,2,FALSE),FALSE),FALSE),
IF($Z13=20,_xlfn.IFNA(VLOOKUP($E13,'Data Transfer Tables'!$H$419:$I$429,2,FALSE),FALSE),FALSE),
IF($Z13=21,_xlfn.IFNA(VLOOKUP($E13,'Data Transfer Tables'!$H$434:$I$444,2,FALSE),FALSE),FALSE),
IF($Z13=22,_xlfn.IFNA(VLOOKUP($E13,'Data Transfer Tables'!$H$449:$I$459,2,FALSE),FALSE),FALSE))</f>
        <v>0</v>
      </c>
      <c r="AO13" s="145" t="b">
        <f t="shared" si="2"/>
        <v>1</v>
      </c>
      <c r="AP13" s="145" t="str">
        <f t="shared" si="41"/>
        <v>Data Type/Shared Read-Only Empty</v>
      </c>
      <c r="AQ13" s="145" t="str">
        <f t="shared" si="42"/>
        <v>N/A</v>
      </c>
      <c r="AR13" s="147" t="b">
        <f>OR(IF($Z13=1,_xlfn.IFNA(VLOOKUP($F13,'Data Transfer Tables'!$K$144:$L$153,2,FALSE),FALSE),FALSE),
IF($Z13=2,_xlfn.IFNA(VLOOKUP($F13,'Data Transfer Tables'!$K$158:$L$167,2,FALSE),FALSE),FALSE),
IF($Z13=3,_xlfn.IFNA(VLOOKUP($F13,'Data Transfer Tables'!$K$172:$L$181,2,FALSE),FALSE),FALSE),
IF($Z13=4,_xlfn.IFNA(VLOOKUP($F13,'Data Transfer Tables'!$K$186:$L$195,2,FALSE),FALSE),FALSE),
IF($Z13=5,_xlfn.IFNA(VLOOKUP($F13,'Data Transfer Tables'!$K$200:$L$209,2,FALSE),FALSE),FALSE),
IF($Z13=6,_xlfn.IFNA(VLOOKUP($F13,'Data Transfer Tables'!$K$214:$L$223,2,FALSE),FALSE),FALSE),
IF($Z13=7,_xlfn.IFNA(VLOOKUP($F13,'Data Transfer Tables'!$K$228:$L$237,2,FALSE),FALSE),FALSE),
IF($Z13=8,_xlfn.IFNA(VLOOKUP($F13,'Data Transfer Tables'!$K$242:$L$251,2,FALSE),FALSE),FALSE),
IF($Z13=9,_xlfn.IFNA(VLOOKUP($F13,'Data Transfer Tables'!$K$256:$L$266,2,FALSE),FALSE),FALSE),
IF($Z13=10,_xlfn.IFNA(VLOOKUP($F13,'Data Transfer Tables'!$K$271:$L$281,2,FALSE),FALSE),FALSE),
IF($Z13=11,_xlfn.IFNA(VLOOKUP($F13,'Data Transfer Tables'!$K$286:$L$295,2,FALSE),FALSE),FALSE),
IF($Z13=12,_xlfn.IFNA(VLOOKUP($F13,'Data Transfer Tables'!$K$300:$L$309,2,FALSE),FALSE),FALSE),
IF($Z13=13,_xlfn.IFNA(VLOOKUP($F13,'Data Transfer Tables'!$K$314:$L$323,2,FALSE),FALSE),FALSE),
IF($Z13=14,_xlfn.IFNA(VLOOKUP($F13,'Data Transfer Tables'!$K$328:$L$338,2,FALSE),FALSE),FALSE),
IF($Z13=15,_xlfn.IFNA(VLOOKUP($F13,'Data Transfer Tables'!$K$343:$L$353,2,FALSE),FALSE),FALSE),
IF($Z13=16,_xlfn.IFNA(VLOOKUP($F13,'Data Transfer Tables'!$K$358:$L$369,2,FALSE),FALSE),FALSE),
IF($Z13=17,_xlfn.IFNA(VLOOKUP($F13,'Data Transfer Tables'!$K$374:$L$384,2,FALSE),FALSE),FALSE),
IF($Z13=18,_xlfn.IFNA(VLOOKUP($F13,'Data Transfer Tables'!$K$389:$L$399,2,FALSE),FALSE),FALSE),
IF($Z13=19,_xlfn.IFNA(VLOOKUP($F13,'Data Transfer Tables'!$K$404:$L$414,2,FALSE),FALSE),FALSE),
IF($Z13=20,_xlfn.IFNA(VLOOKUP($F13,'Data Transfer Tables'!$K$419:$L$429,2,FALSE),FALSE),FALSE),
IF($Z13=21,_xlfn.IFNA(VLOOKUP($F13,'Data Transfer Tables'!$K$434:$L$444,2,FALSE),FALSE),FALSE),
IF($Z13=22,_xlfn.IFNA(VLOOKUP($F13,'Data Transfer Tables'!$K$449:$L$459,2,FALSE),FALSE),FALSE))</f>
        <v>0</v>
      </c>
      <c r="AS13" s="147" t="b">
        <f t="shared" si="3"/>
        <v>1</v>
      </c>
      <c r="AT13" s="147" t="str">
        <f t="shared" si="43"/>
        <v>Data Type/Shared Read/Modify Empty</v>
      </c>
      <c r="AU13" s="147" t="str">
        <f t="shared" si="44"/>
        <v>N/A</v>
      </c>
      <c r="AV13" s="74" t="b">
        <f>OR(IF($Z13=1,_xlfn.IFNA(VLOOKUP($G13,'Data Transfer Tables'!$H$113:$I$125,2,FALSE),FALSE),FALSE),
IF($Z13=2,_xlfn.IFNA(VLOOKUP($G13,'Data Transfer Tables'!$H$113:$I$125,2,FALSE),FALSE),FALSE),
IF($Z13=3,_xlfn.IFNA(VLOOKUP($G13,'Data Transfer Tables'!$H$113:$I$125,2,FALSE),FALSE),FALSE),
IF($Z13=4,_xlfn.IFNA(VLOOKUP($G13,'Data Transfer Tables'!$H$113:$I$125,2,FALSE),FALSE),FALSE),
IF($Z13=5,_xlfn.IFNA(VLOOKUP($G13,'Data Transfer Tables'!$H$113:$I$125,2,FALSE),FALSE),FALSE),
IF($Z13=6,_xlfn.IFNA(VLOOKUP($G13,'Data Transfer Tables'!$H$113:$I$125,2,FALSE),FALSE),FALSE),
IF($Z13=7,_xlfn.IFNA(VLOOKUP($G13,'Data Transfer Tables'!$H$113:$I$125,2,FALSE),FALSE),FALSE),
IF($Z13=8,_xlfn.IFNA(VLOOKUP($G13,'Data Transfer Tables'!$H$113:$I$125,2,FALSE),FALSE),FALSE),
IF($Z13=9,_xlfn.IFNA(VLOOKUP($G13,'Data Transfer Tables'!$H$113:$I$125,2,FALSE),FALSE),FALSE),
IF($Z13=10,_xlfn.IFNA(VLOOKUP($G13,'Data Transfer Tables'!$H$113:$I$125,2,FALSE),FALSE),FALSE),
IF($Z13=11,_xlfn.IFNA(VLOOKUP($G13,'Data Transfer Tables'!$H$113:$I$125,2,FALSE),FALSE),FALSE),
IF($Z13=12,_xlfn.IFNA(VLOOKUP($G13,'Data Transfer Tables'!$H$113:$I$125,2,FALSE),FALSE),FALSE),
IF($Z13=13,_xlfn.IFNA(VLOOKUP($G13,'Data Transfer Tables'!$H$113:$I$125,2,FALSE),FALSE),FALSE),
IF($Z13=14,_xlfn.IFNA(VLOOKUP($G13,'Data Transfer Tables'!$H$113:$I$125,2,FALSE),FALSE),FALSE),
IF($Z13=15,_xlfn.IFNA(VLOOKUP($G13,'Data Transfer Tables'!$H$113:$I$125,2,FALSE),FALSE),FALSE),
IF($Z13=16,_xlfn.IFNA(VLOOKUP($G13,'Data Transfer Tables'!$H$113:$I$125,2,FALSE),FALSE),FALSE),
IF($Z13=17,_xlfn.IFNA(VLOOKUP($G13,'Data Transfer Tables'!$H$113:$I$125,2,FALSE),FALSE),FALSE),
IF($Z13=18,_xlfn.IFNA(VLOOKUP($G13,'Data Transfer Tables'!$H$113:$I$125,2,FALSE),FALSE),FALSE),
IF($Z13=19,_xlfn.IFNA(VLOOKUP($G13,'Data Transfer Tables'!$H$113:$I$125,2,FALSE),FALSE),FALSE),
IF($Z13=20,_xlfn.IFNA(VLOOKUP($G13,'Data Transfer Tables'!$H$113:$I$125,2,FALSE),FALSE),FALSE),
IF($Z13=21,_xlfn.IFNA(VLOOKUP($G13,'Data Transfer Tables'!$H$113:$I$125,2,FALSE),FALSE),FALSE),
IF($Z13=22,_xlfn.IFNA(VLOOKUP($G13,'Data Transfer Tables'!$H$113:$I$125,2,FALSE),FALSE),FALSE))</f>
        <v>0</v>
      </c>
      <c r="AW13" s="74" t="b">
        <f t="shared" si="4"/>
        <v>1</v>
      </c>
      <c r="AX13" s="74" t="str">
        <f t="shared" si="45"/>
        <v>Data Type/URI Empty</v>
      </c>
      <c r="AY13" s="74" t="str">
        <f t="shared" si="46"/>
        <v>N/A</v>
      </c>
      <c r="AZ13" s="206" t="b">
        <f t="shared" si="5"/>
        <v>1</v>
      </c>
      <c r="BA13" s="206" t="b">
        <f t="shared" si="47"/>
        <v>0</v>
      </c>
      <c r="BB13" s="211" t="b">
        <f t="shared" si="6"/>
        <v>0</v>
      </c>
      <c r="BC13" s="51" t="str">
        <f t="shared" si="48"/>
        <v/>
      </c>
      <c r="BD13" s="51" t="b">
        <f t="shared" si="49"/>
        <v>0</v>
      </c>
      <c r="BE13" s="51" t="b">
        <f t="shared" si="7"/>
        <v>0</v>
      </c>
      <c r="BF13" s="51" t="b">
        <f t="shared" si="8"/>
        <v>0</v>
      </c>
      <c r="BG13" s="51" t="str">
        <f t="shared" si="50"/>
        <v>N/A</v>
      </c>
      <c r="BH13" s="106" t="str">
        <f t="shared" si="9"/>
        <v>N/A</v>
      </c>
      <c r="BI13" s="51" t="str">
        <f t="shared" si="10"/>
        <v>N/A</v>
      </c>
      <c r="BJ13" s="51" t="str">
        <f t="shared" si="11"/>
        <v>N/A</v>
      </c>
      <c r="BK13" s="51" t="str">
        <f t="shared" si="12"/>
        <v>N/A</v>
      </c>
      <c r="BL13" s="51" t="b">
        <f t="shared" si="13"/>
        <v>1</v>
      </c>
      <c r="BM13" s="51" t="b">
        <f t="shared" si="14"/>
        <v>0</v>
      </c>
      <c r="BN13" s="51" t="str">
        <f t="shared" si="51"/>
        <v/>
      </c>
      <c r="BO13" s="51" t="b">
        <f t="shared" si="52"/>
        <v>1</v>
      </c>
      <c r="BP13" s="51" t="str">
        <f t="shared" si="15"/>
        <v>N/A</v>
      </c>
      <c r="BQ13" s="51" t="str">
        <f t="shared" si="16"/>
        <v>N/A</v>
      </c>
      <c r="BR13" s="94" t="b">
        <f t="shared" si="17"/>
        <v>1</v>
      </c>
      <c r="BS13" s="94" t="b">
        <f t="shared" si="18"/>
        <v>1</v>
      </c>
      <c r="BT13" s="94" t="b">
        <f t="shared" si="19"/>
        <v>1</v>
      </c>
      <c r="BU13" s="94" t="b">
        <f t="shared" si="20"/>
        <v>1</v>
      </c>
      <c r="BV13" s="51" t="str">
        <f t="shared" si="53"/>
        <v/>
      </c>
      <c r="BW13" s="51" t="str">
        <f t="shared" si="54"/>
        <v/>
      </c>
      <c r="BX13" s="51" t="b">
        <f t="shared" si="21"/>
        <v>1</v>
      </c>
    </row>
    <row r="14" spans="1:76" s="28" customFormat="1" ht="26.25" thickBot="1" x14ac:dyDescent="0.25">
      <c r="A14" s="63" t="s">
        <v>52</v>
      </c>
      <c r="B14" s="63" t="s">
        <v>44</v>
      </c>
      <c r="C14" s="63" t="s">
        <v>44</v>
      </c>
      <c r="D14" s="63" t="s">
        <v>44</v>
      </c>
      <c r="E14" s="63" t="s">
        <v>44</v>
      </c>
      <c r="F14" s="63" t="s">
        <v>44</v>
      </c>
      <c r="G14" s="63" t="s">
        <v>44</v>
      </c>
      <c r="H14" s="37" t="s">
        <v>53</v>
      </c>
      <c r="I14" s="37" t="s">
        <v>29</v>
      </c>
      <c r="J14" s="37" t="s">
        <v>666</v>
      </c>
      <c r="K14" s="64" t="s">
        <v>20</v>
      </c>
      <c r="L14" s="174" t="b">
        <f t="shared" si="22"/>
        <v>1</v>
      </c>
      <c r="M14" s="174" t="b">
        <f t="shared" si="23"/>
        <v>1</v>
      </c>
      <c r="N14" s="174" t="b">
        <f t="shared" si="24"/>
        <v>1</v>
      </c>
      <c r="S14" s="51" t="b">
        <f t="shared" si="25"/>
        <v>1</v>
      </c>
      <c r="T14" s="94" t="b">
        <f t="shared" si="26"/>
        <v>0</v>
      </c>
      <c r="U14" s="94" t="b">
        <f t="shared" si="27"/>
        <v>0</v>
      </c>
      <c r="V14" s="94" t="b">
        <f t="shared" si="28"/>
        <v>0</v>
      </c>
      <c r="W14" s="94" t="b">
        <f t="shared" si="29"/>
        <v>0</v>
      </c>
      <c r="X14" s="207" t="str">
        <f t="shared" si="30"/>
        <v/>
      </c>
      <c r="Y14" s="51" t="str">
        <f t="shared" si="0"/>
        <v>N/A</v>
      </c>
      <c r="Z14" s="208">
        <f t="shared" si="31"/>
        <v>0</v>
      </c>
      <c r="AA14" s="51" t="b">
        <f t="shared" si="32"/>
        <v>1</v>
      </c>
      <c r="AB14" s="74">
        <f>_xlfn.IFNA(VLOOKUP(B14,'Data Transfer Tables'!$A$111:$B$131,2),0)</f>
        <v>0</v>
      </c>
      <c r="AC14" s="196" t="b">
        <f t="shared" si="33"/>
        <v>0</v>
      </c>
      <c r="AD14" s="74" t="b">
        <f t="shared" si="34"/>
        <v>0</v>
      </c>
      <c r="AE14" s="209" t="b">
        <f t="shared" si="35"/>
        <v>1</v>
      </c>
      <c r="AF14" s="210" t="b">
        <f>OR(IF($Z14=1,_xlfn.IFNA(VLOOKUP($C14,'Data Transfer Tables'!$B$144:$C$153,2,FALSE),FALSE),FALSE),
IF($Z14=2,_xlfn.IFNA(VLOOKUP($C14,'Data Transfer Tables'!$B$158:$C$167,2,FALSE),FALSE),FALSE),
IF($Z14=3,_xlfn.IFNA(VLOOKUP($C14,'Data Transfer Tables'!$B$172:$C$181,2,FALSE),FALSE),FALSE),
IF($Z14=4,_xlfn.IFNA(VLOOKUP($C14,'Data Transfer Tables'!$B$186:$C$195,2,FALSE),FALSE),FALSE),
IF($Z14=5,_xlfn.IFNA(VLOOKUP($C14,'Data Transfer Tables'!$B$200:$C$209,2,FALSE),FALSE),FALSE),
IF($Z14=6,_xlfn.IFNA(VLOOKUP($C14,'Data Transfer Tables'!$B$214:$C$223,2,FALSE),FALSE),FALSE),
IF($Z14=7,_xlfn.IFNA(VLOOKUP($C14,'Data Transfer Tables'!$B$228:$C$237,2,FALSE),FALSE),FALSE),
IF($Z14=8,_xlfn.IFNA(VLOOKUP($C14,'Data Transfer Tables'!$B$242:$C$251,2,FALSE),FALSE),FALSE),
IF($Z14=9,_xlfn.IFNA(VLOOKUP($C14,'Data Transfer Tables'!$B$256:$C$266,2,FALSE),FALSE),FALSE),
IF($Z14=10,_xlfn.IFNA(VLOOKUP($C14,'Data Transfer Tables'!$B$271:$C$281,2,FALSE),FALSE),FALSE),
IF($Z14=11,_xlfn.IFNA(VLOOKUP($C14,'Data Transfer Tables'!$B$286:$C$295,2,FALSE),FALSE),FALSE),
IF($Z14=12,_xlfn.IFNA(VLOOKUP($C14,'Data Transfer Tables'!$B$300:$C$309,2,FALSE),FALSE),FALSE),
IF($Z14=13,_xlfn.IFNA(VLOOKUP($C14,'Data Transfer Tables'!$B$314:$C$323,2,FALSE),FALSE),FALSE),
IF($Z14=14,_xlfn.IFNA(VLOOKUP($C14,'Data Transfer Tables'!$B$328:$C$338,2,FALSE),FALSE),FALSE),
IF($Z14=15,_xlfn.IFNA(VLOOKUP($C14,'Data Transfer Tables'!$B$343:$C$353,2,FALSE),FALSE),FALSE),
IF($Z14=16,_xlfn.IFNA(VLOOKUP($C14,'Data Transfer Tables'!$B$358:$C$369,2,FALSE),FALSE),FALSE),
IF($Z14=17,_xlfn.IFNA(VLOOKUP($C14,'Data Transfer Tables'!$B$374:$C$384,2,FALSE),FALSE),FALSE),
IF($Z14=18,_xlfn.IFNA(VLOOKUP($C14,'Data Transfer Tables'!$B$389:$C$399,2,FALSE),FALSE),FALSE),
IF($Z14=19,_xlfn.IFNA(VLOOKUP($C14,'Data Transfer Tables'!$B$404:$C$414,2,FALSE),FALSE),FALSE),
IF($Z14=20,_xlfn.IFNA(VLOOKUP($C14,'Data Transfer Tables'!$B$419:$C$429,2,FALSE),FALSE),FALSE),
IF($Z14=21,_xlfn.IFNA(VLOOKUP($C14,'Data Transfer Tables'!$B$434:$C$444,2,FALSE),FALSE),FALSE),
IF($Z14=22,_xlfn.IFNA(VLOOKUP($C14,'Data Transfer Tables'!$B$449:$C$459,2,FALSE),FALSE),FALSE))</f>
        <v>0</v>
      </c>
      <c r="AG14" s="210" t="b">
        <f t="shared" si="36"/>
        <v>1</v>
      </c>
      <c r="AH14" s="210" t="str">
        <f t="shared" si="37"/>
        <v>Data Type/Format Empty</v>
      </c>
      <c r="AI14" s="210" t="str">
        <f t="shared" si="38"/>
        <v>N/A</v>
      </c>
      <c r="AJ14" s="146" t="b">
        <f>OR(IF($Z14=1,_xlfn.IFNA(VLOOKUP($D14,'Data Transfer Tables'!$E$144:$G$153,2,FALSE),FALSE),FALSE),
IF($Z14=2,_xlfn.IFNA(VLOOKUP($D14,'Data Transfer Tables'!$E$158:$G$167,2,FALSE),FALSE),FALSE),
IF($Z14=3,_xlfn.IFNA(VLOOKUP($D14,'Data Transfer Tables'!$E$172:$G$181,2,FALSE),FALSE),FALSE),
IF($Z14=4,_xlfn.IFNA(VLOOKUP($D14,'Data Transfer Tables'!$E$186:$G$195,2,FALSE),FALSE),FALSE),
IF($Z14=5,_xlfn.IFNA(VLOOKUP($D14,'Data Transfer Tables'!$E$200:$G$209,2,FALSE),FALSE),FALSE),
IF($Z14=6,_xlfn.IFNA(VLOOKUP($D14,'Data Transfer Tables'!$E$214:$G$223,2,FALSE),FALSE),FALSE),
IF($Z14=7,_xlfn.IFNA(VLOOKUP($D14,'Data Transfer Tables'!$E$228:$G$237,2,FALSE),FALSE),FALSE),
IF($Z14=8,_xlfn.IFNA(VLOOKUP($D14,'Data Transfer Tables'!$E$242:$G$251,2,FALSE),FALSE),FALSE),
IF($Z14=9,_xlfn.IFNA(VLOOKUP($D14,'Data Transfer Tables'!$E$256:$G$266,2,FALSE),FALSE),FALSE),
IF($Z14=10,_xlfn.IFNA(VLOOKUP($D14,'Data Transfer Tables'!$E$271:$G$281,2,FALSE),FALSE),FALSE),
IF($Z14=11,_xlfn.IFNA(VLOOKUP($D14,'Data Transfer Tables'!$E$286:$G$295,2,FALSE),FALSE),FALSE),
IF($Z14=12,_xlfn.IFNA(VLOOKUP($D14,'Data Transfer Tables'!$E$300:$G$309,2,FALSE),FALSE),FALSE),
IF($Z14=13,_xlfn.IFNA(VLOOKUP($D14,'Data Transfer Tables'!$E$314:$G$323,2,FALSE),FALSE),FALSE),
IF($Z14=14,_xlfn.IFNA(VLOOKUP($D14,'Data Transfer Tables'!$E$328:$G$338,2,FALSE),FALSE),FALSE),
IF($Z14=15,_xlfn.IFNA(VLOOKUP($D14,'Data Transfer Tables'!$E$343:$G$353,2,FALSE),FALSE),FALSE),
IF($Z14=16,_xlfn.IFNA(VLOOKUP($D14,'Data Transfer Tables'!$E$358:$G$369,2,FALSE),FALSE),FALSE),
IF($Z14=17,_xlfn.IFNA(VLOOKUP($D14,'Data Transfer Tables'!$E$374:$G$384,2,FALSE),FALSE),FALSE),
IF($Z14=18,_xlfn.IFNA(VLOOKUP($D14,'Data Transfer Tables'!$E$389:$G$399,2,FALSE),FALSE),FALSE),
IF($Z14=19,_xlfn.IFNA(VLOOKUP($D14,'Data Transfer Tables'!$E$404:$G$414,2,FALSE),FALSE),FALSE),
IF($Z14=20,_xlfn.IFNA(VLOOKUP($D14,'Data Transfer Tables'!$E$419:$G$429,2,FALSE),FALSE),FALSE),
IF($Z14=21,_xlfn.IFNA(VLOOKUP($D14,'Data Transfer Tables'!$E$434:$G$444,2,FALSE),FALSE),FALSE),
IF($Z14=22,_xlfn.IFNA(VLOOKUP($D14,'Data Transfer Tables'!$E$449:$G$459,2,FALSE),FALSE),FALSE))</f>
        <v>0</v>
      </c>
      <c r="AK14" s="146" t="b">
        <f t="shared" si="1"/>
        <v>1</v>
      </c>
      <c r="AL14" s="146" t="str">
        <f t="shared" si="39"/>
        <v>Data Type/Exclusive Use Empty</v>
      </c>
      <c r="AM14" s="146" t="str">
        <f t="shared" si="40"/>
        <v>N/A</v>
      </c>
      <c r="AN14" s="145" t="b">
        <f>OR(IF($Z14=1,_xlfn.IFNA(VLOOKUP($E14,'Data Transfer Tables'!$H$144:$I$153,2,FALSE),FALSE),FALSE),
IF($Z14=2,_xlfn.IFNA(VLOOKUP($E14,'Data Transfer Tables'!$H$158:$I$167,2,FALSE),FALSE),FALSE),
IF($Z14=3,_xlfn.IFNA(VLOOKUP($E14,'Data Transfer Tables'!$H$172:$I$181,2,FALSE),FALSE),FALSE),
IF($Z14=4,_xlfn.IFNA(VLOOKUP($E14,'Data Transfer Tables'!$H$186:$I$195,2,FALSE),FALSE),FALSE),
IF($Z14=5,_xlfn.IFNA(VLOOKUP($E14,'Data Transfer Tables'!$H$200:$I$209,2,FALSE),FALSE),FALSE),
IF($Z14=6,_xlfn.IFNA(VLOOKUP($E14,'Data Transfer Tables'!$H$214:$I$223,2,FALSE),FALSE),FALSE),
IF($Z14=7,_xlfn.IFNA(VLOOKUP($E14,'Data Transfer Tables'!$H$228:$I$237,2,FALSE),FALSE),FALSE),
IF($Z14=8,_xlfn.IFNA(VLOOKUP($E14,'Data Transfer Tables'!$H$242:$I$251,2,FALSE),FALSE),FALSE),
IF($Z14=9,_xlfn.IFNA(VLOOKUP($E14,'Data Transfer Tables'!$H$256:$I$266,2,FALSE),FALSE),FALSE),
IF($Z14=10,_xlfn.IFNA(VLOOKUP($E14,'Data Transfer Tables'!$H$271:$I$281,2,FALSE),FALSE),FALSE),
IF($Z14=11,_xlfn.IFNA(VLOOKUP($E14,'Data Transfer Tables'!$H$286:$I$295,2,FALSE),FALSE),FALSE),
IF($Z14=12,_xlfn.IFNA(VLOOKUP($E14,'Data Transfer Tables'!$H$300:$I$309,2,FALSE),FALSE),FALSE),
IF($Z14=13,_xlfn.IFNA(VLOOKUP($E14,'Data Transfer Tables'!$H$314:$I$323,2,FALSE),FALSE),FALSE),
IF($Z14=14,_xlfn.IFNA(VLOOKUP($E14,'Data Transfer Tables'!$H$328:$I$338,2,FALSE),FALSE),FALSE),
IF($Z14=15,_xlfn.IFNA(VLOOKUP($E14,'Data Transfer Tables'!$H$343:$I$353,2,FALSE),FALSE),FALSE),
IF($Z14=16,_xlfn.IFNA(VLOOKUP($E14,'Data Transfer Tables'!$H$358:$I$369,2,FALSE),FALSE),FALSE),
IF($Z14=17,_xlfn.IFNA(VLOOKUP($E14,'Data Transfer Tables'!$H$374:$I$384,2,FALSE),FALSE),FALSE),
IF($Z14=18,_xlfn.IFNA(VLOOKUP($E14,'Data Transfer Tables'!$H$389:$I$399,2,FALSE),FALSE),FALSE),
IF($Z14=19,_xlfn.IFNA(VLOOKUP($E14,'Data Transfer Tables'!$H$404:$I$414,2,FALSE),FALSE),FALSE),
IF($Z14=20,_xlfn.IFNA(VLOOKUP($E14,'Data Transfer Tables'!$H$419:$I$429,2,FALSE),FALSE),FALSE),
IF($Z14=21,_xlfn.IFNA(VLOOKUP($E14,'Data Transfer Tables'!$H$434:$I$444,2,FALSE),FALSE),FALSE),
IF($Z14=22,_xlfn.IFNA(VLOOKUP($E14,'Data Transfer Tables'!$H$449:$I$459,2,FALSE),FALSE),FALSE))</f>
        <v>0</v>
      </c>
      <c r="AO14" s="145" t="b">
        <f t="shared" si="2"/>
        <v>1</v>
      </c>
      <c r="AP14" s="145" t="str">
        <f t="shared" si="41"/>
        <v>Data Type/Shared Read-Only Empty</v>
      </c>
      <c r="AQ14" s="145" t="str">
        <f t="shared" si="42"/>
        <v>N/A</v>
      </c>
      <c r="AR14" s="147" t="b">
        <f>OR(IF($Z14=1,_xlfn.IFNA(VLOOKUP($F14,'Data Transfer Tables'!$K$144:$L$153,2,FALSE),FALSE),FALSE),
IF($Z14=2,_xlfn.IFNA(VLOOKUP($F14,'Data Transfer Tables'!$K$158:$L$167,2,FALSE),FALSE),FALSE),
IF($Z14=3,_xlfn.IFNA(VLOOKUP($F14,'Data Transfer Tables'!$K$172:$L$181,2,FALSE),FALSE),FALSE),
IF($Z14=4,_xlfn.IFNA(VLOOKUP($F14,'Data Transfer Tables'!$K$186:$L$195,2,FALSE),FALSE),FALSE),
IF($Z14=5,_xlfn.IFNA(VLOOKUP($F14,'Data Transfer Tables'!$K$200:$L$209,2,FALSE),FALSE),FALSE),
IF($Z14=6,_xlfn.IFNA(VLOOKUP($F14,'Data Transfer Tables'!$K$214:$L$223,2,FALSE),FALSE),FALSE),
IF($Z14=7,_xlfn.IFNA(VLOOKUP($F14,'Data Transfer Tables'!$K$228:$L$237,2,FALSE),FALSE),FALSE),
IF($Z14=8,_xlfn.IFNA(VLOOKUP($F14,'Data Transfer Tables'!$K$242:$L$251,2,FALSE),FALSE),FALSE),
IF($Z14=9,_xlfn.IFNA(VLOOKUP($F14,'Data Transfer Tables'!$K$256:$L$266,2,FALSE),FALSE),FALSE),
IF($Z14=10,_xlfn.IFNA(VLOOKUP($F14,'Data Transfer Tables'!$K$271:$L$281,2,FALSE),FALSE),FALSE),
IF($Z14=11,_xlfn.IFNA(VLOOKUP($F14,'Data Transfer Tables'!$K$286:$L$295,2,FALSE),FALSE),FALSE),
IF($Z14=12,_xlfn.IFNA(VLOOKUP($F14,'Data Transfer Tables'!$K$300:$L$309,2,FALSE),FALSE),FALSE),
IF($Z14=13,_xlfn.IFNA(VLOOKUP($F14,'Data Transfer Tables'!$K$314:$L$323,2,FALSE),FALSE),FALSE),
IF($Z14=14,_xlfn.IFNA(VLOOKUP($F14,'Data Transfer Tables'!$K$328:$L$338,2,FALSE),FALSE),FALSE),
IF($Z14=15,_xlfn.IFNA(VLOOKUP($F14,'Data Transfer Tables'!$K$343:$L$353,2,FALSE),FALSE),FALSE),
IF($Z14=16,_xlfn.IFNA(VLOOKUP($F14,'Data Transfer Tables'!$K$358:$L$369,2,FALSE),FALSE),FALSE),
IF($Z14=17,_xlfn.IFNA(VLOOKUP($F14,'Data Transfer Tables'!$K$374:$L$384,2,FALSE),FALSE),FALSE),
IF($Z14=18,_xlfn.IFNA(VLOOKUP($F14,'Data Transfer Tables'!$K$389:$L$399,2,FALSE),FALSE),FALSE),
IF($Z14=19,_xlfn.IFNA(VLOOKUP($F14,'Data Transfer Tables'!$K$404:$L$414,2,FALSE),FALSE),FALSE),
IF($Z14=20,_xlfn.IFNA(VLOOKUP($F14,'Data Transfer Tables'!$K$419:$L$429,2,FALSE),FALSE),FALSE),
IF($Z14=21,_xlfn.IFNA(VLOOKUP($F14,'Data Transfer Tables'!$K$434:$L$444,2,FALSE),FALSE),FALSE),
IF($Z14=22,_xlfn.IFNA(VLOOKUP($F14,'Data Transfer Tables'!$K$449:$L$459,2,FALSE),FALSE),FALSE))</f>
        <v>0</v>
      </c>
      <c r="AS14" s="147" t="b">
        <f t="shared" si="3"/>
        <v>1</v>
      </c>
      <c r="AT14" s="147" t="str">
        <f t="shared" si="43"/>
        <v>Data Type/Shared Read/Modify Empty</v>
      </c>
      <c r="AU14" s="147" t="str">
        <f t="shared" si="44"/>
        <v>N/A</v>
      </c>
      <c r="AV14" s="74" t="b">
        <f>OR(IF($Z14=1,_xlfn.IFNA(VLOOKUP($G14,'Data Transfer Tables'!$H$113:$I$125,2,FALSE),FALSE),FALSE),
IF($Z14=2,_xlfn.IFNA(VLOOKUP($G14,'Data Transfer Tables'!$H$113:$I$125,2,FALSE),FALSE),FALSE),
IF($Z14=3,_xlfn.IFNA(VLOOKUP($G14,'Data Transfer Tables'!$H$113:$I$125,2,FALSE),FALSE),FALSE),
IF($Z14=4,_xlfn.IFNA(VLOOKUP($G14,'Data Transfer Tables'!$H$113:$I$125,2,FALSE),FALSE),FALSE),
IF($Z14=5,_xlfn.IFNA(VLOOKUP($G14,'Data Transfer Tables'!$H$113:$I$125,2,FALSE),FALSE),FALSE),
IF($Z14=6,_xlfn.IFNA(VLOOKUP($G14,'Data Transfer Tables'!$H$113:$I$125,2,FALSE),FALSE),FALSE),
IF($Z14=7,_xlfn.IFNA(VLOOKUP($G14,'Data Transfer Tables'!$H$113:$I$125,2,FALSE),FALSE),FALSE),
IF($Z14=8,_xlfn.IFNA(VLOOKUP($G14,'Data Transfer Tables'!$H$113:$I$125,2,FALSE),FALSE),FALSE),
IF($Z14=9,_xlfn.IFNA(VLOOKUP($G14,'Data Transfer Tables'!$H$113:$I$125,2,FALSE),FALSE),FALSE),
IF($Z14=10,_xlfn.IFNA(VLOOKUP($G14,'Data Transfer Tables'!$H$113:$I$125,2,FALSE),FALSE),FALSE),
IF($Z14=11,_xlfn.IFNA(VLOOKUP($G14,'Data Transfer Tables'!$H$113:$I$125,2,FALSE),FALSE),FALSE),
IF($Z14=12,_xlfn.IFNA(VLOOKUP($G14,'Data Transfer Tables'!$H$113:$I$125,2,FALSE),FALSE),FALSE),
IF($Z14=13,_xlfn.IFNA(VLOOKUP($G14,'Data Transfer Tables'!$H$113:$I$125,2,FALSE),FALSE),FALSE),
IF($Z14=14,_xlfn.IFNA(VLOOKUP($G14,'Data Transfer Tables'!$H$113:$I$125,2,FALSE),FALSE),FALSE),
IF($Z14=15,_xlfn.IFNA(VLOOKUP($G14,'Data Transfer Tables'!$H$113:$I$125,2,FALSE),FALSE),FALSE),
IF($Z14=16,_xlfn.IFNA(VLOOKUP($G14,'Data Transfer Tables'!$H$113:$I$125,2,FALSE),FALSE),FALSE),
IF($Z14=17,_xlfn.IFNA(VLOOKUP($G14,'Data Transfer Tables'!$H$113:$I$125,2,FALSE),FALSE),FALSE),
IF($Z14=18,_xlfn.IFNA(VLOOKUP($G14,'Data Transfer Tables'!$H$113:$I$125,2,FALSE),FALSE),FALSE),
IF($Z14=19,_xlfn.IFNA(VLOOKUP($G14,'Data Transfer Tables'!$H$113:$I$125,2,FALSE),FALSE),FALSE),
IF($Z14=20,_xlfn.IFNA(VLOOKUP($G14,'Data Transfer Tables'!$H$113:$I$125,2,FALSE),FALSE),FALSE),
IF($Z14=21,_xlfn.IFNA(VLOOKUP($G14,'Data Transfer Tables'!$H$113:$I$125,2,FALSE),FALSE),FALSE),
IF($Z14=22,_xlfn.IFNA(VLOOKUP($G14,'Data Transfer Tables'!$H$113:$I$125,2,FALSE),FALSE),FALSE))</f>
        <v>0</v>
      </c>
      <c r="AW14" s="74" t="b">
        <f t="shared" si="4"/>
        <v>1</v>
      </c>
      <c r="AX14" s="74" t="str">
        <f t="shared" si="45"/>
        <v>Data Type/URI Empty</v>
      </c>
      <c r="AY14" s="74" t="str">
        <f t="shared" si="46"/>
        <v>N/A</v>
      </c>
      <c r="AZ14" s="206" t="b">
        <f t="shared" si="5"/>
        <v>1</v>
      </c>
      <c r="BA14" s="206" t="b">
        <f t="shared" si="47"/>
        <v>0</v>
      </c>
      <c r="BB14" s="211" t="b">
        <f t="shared" si="6"/>
        <v>0</v>
      </c>
      <c r="BC14" s="51" t="str">
        <f t="shared" si="48"/>
        <v/>
      </c>
      <c r="BD14" s="51" t="b">
        <f t="shared" si="49"/>
        <v>0</v>
      </c>
      <c r="BE14" s="51" t="b">
        <f t="shared" si="7"/>
        <v>0</v>
      </c>
      <c r="BF14" s="51" t="b">
        <f t="shared" si="8"/>
        <v>0</v>
      </c>
      <c r="BG14" s="51" t="str">
        <f t="shared" si="50"/>
        <v>N/A</v>
      </c>
      <c r="BH14" s="106" t="str">
        <f t="shared" si="9"/>
        <v>N/A</v>
      </c>
      <c r="BI14" s="51" t="str">
        <f t="shared" si="10"/>
        <v>N/A</v>
      </c>
      <c r="BJ14" s="51" t="str">
        <f t="shared" si="11"/>
        <v>N/A</v>
      </c>
      <c r="BK14" s="51" t="str">
        <f t="shared" si="12"/>
        <v>N/A</v>
      </c>
      <c r="BL14" s="51" t="b">
        <f t="shared" si="13"/>
        <v>1</v>
      </c>
      <c r="BM14" s="51" t="b">
        <f t="shared" si="14"/>
        <v>0</v>
      </c>
      <c r="BN14" s="51" t="str">
        <f t="shared" si="51"/>
        <v/>
      </c>
      <c r="BO14" s="51" t="b">
        <f t="shared" si="52"/>
        <v>1</v>
      </c>
      <c r="BP14" s="51" t="str">
        <f t="shared" si="15"/>
        <v>N/A</v>
      </c>
      <c r="BQ14" s="51" t="str">
        <f t="shared" si="16"/>
        <v>N/A</v>
      </c>
      <c r="BR14" s="94" t="b">
        <f t="shared" si="17"/>
        <v>1</v>
      </c>
      <c r="BS14" s="94" t="b">
        <f t="shared" si="18"/>
        <v>1</v>
      </c>
      <c r="BT14" s="94" t="b">
        <f t="shared" si="19"/>
        <v>1</v>
      </c>
      <c r="BU14" s="94" t="b">
        <f t="shared" si="20"/>
        <v>1</v>
      </c>
      <c r="BV14" s="51" t="str">
        <f t="shared" si="53"/>
        <v/>
      </c>
      <c r="BW14" s="51" t="str">
        <f t="shared" si="54"/>
        <v/>
      </c>
      <c r="BX14" s="51" t="b">
        <f t="shared" si="21"/>
        <v>1</v>
      </c>
    </row>
    <row r="15" spans="1:76" s="28" customFormat="1" ht="26.25" thickBot="1" x14ac:dyDescent="0.25">
      <c r="A15" s="63" t="s">
        <v>52</v>
      </c>
      <c r="B15" s="63" t="s">
        <v>44</v>
      </c>
      <c r="C15" s="63" t="s">
        <v>44</v>
      </c>
      <c r="D15" s="63" t="s">
        <v>44</v>
      </c>
      <c r="E15" s="63" t="s">
        <v>44</v>
      </c>
      <c r="F15" s="63" t="s">
        <v>44</v>
      </c>
      <c r="G15" s="63" t="s">
        <v>44</v>
      </c>
      <c r="H15" s="37" t="s">
        <v>53</v>
      </c>
      <c r="I15" s="37" t="s">
        <v>29</v>
      </c>
      <c r="J15" s="37" t="s">
        <v>666</v>
      </c>
      <c r="K15" s="64" t="s">
        <v>20</v>
      </c>
      <c r="L15" s="174" t="b">
        <f t="shared" si="22"/>
        <v>1</v>
      </c>
      <c r="M15" s="174" t="b">
        <f t="shared" si="23"/>
        <v>1</v>
      </c>
      <c r="N15" s="174" t="b">
        <f t="shared" si="24"/>
        <v>1</v>
      </c>
      <c r="S15" s="51" t="b">
        <f t="shared" si="25"/>
        <v>1</v>
      </c>
      <c r="T15" s="94" t="b">
        <f t="shared" si="26"/>
        <v>0</v>
      </c>
      <c r="U15" s="94" t="b">
        <f t="shared" si="27"/>
        <v>0</v>
      </c>
      <c r="V15" s="94" t="b">
        <f t="shared" si="28"/>
        <v>0</v>
      </c>
      <c r="W15" s="94" t="b">
        <f t="shared" si="29"/>
        <v>0</v>
      </c>
      <c r="X15" s="207" t="str">
        <f t="shared" si="30"/>
        <v/>
      </c>
      <c r="Y15" s="51" t="str">
        <f t="shared" si="0"/>
        <v>N/A</v>
      </c>
      <c r="Z15" s="208">
        <f t="shared" si="31"/>
        <v>0</v>
      </c>
      <c r="AA15" s="51" t="b">
        <f t="shared" si="32"/>
        <v>1</v>
      </c>
      <c r="AB15" s="74">
        <f>_xlfn.IFNA(VLOOKUP(B15,'Data Transfer Tables'!$A$111:$B$131,2),0)</f>
        <v>0</v>
      </c>
      <c r="AC15" s="196" t="b">
        <f t="shared" si="33"/>
        <v>0</v>
      </c>
      <c r="AD15" s="74" t="b">
        <f t="shared" si="34"/>
        <v>0</v>
      </c>
      <c r="AE15" s="209" t="b">
        <f t="shared" si="35"/>
        <v>1</v>
      </c>
      <c r="AF15" s="210" t="b">
        <f>OR(IF($Z15=1,_xlfn.IFNA(VLOOKUP($C15,'Data Transfer Tables'!$B$144:$C$153,2,FALSE),FALSE),FALSE),
IF($Z15=2,_xlfn.IFNA(VLOOKUP($C15,'Data Transfer Tables'!$B$158:$C$167,2,FALSE),FALSE),FALSE),
IF($Z15=3,_xlfn.IFNA(VLOOKUP($C15,'Data Transfer Tables'!$B$172:$C$181,2,FALSE),FALSE),FALSE),
IF($Z15=4,_xlfn.IFNA(VLOOKUP($C15,'Data Transfer Tables'!$B$186:$C$195,2,FALSE),FALSE),FALSE),
IF($Z15=5,_xlfn.IFNA(VLOOKUP($C15,'Data Transfer Tables'!$B$200:$C$209,2,FALSE),FALSE),FALSE),
IF($Z15=6,_xlfn.IFNA(VLOOKUP($C15,'Data Transfer Tables'!$B$214:$C$223,2,FALSE),FALSE),FALSE),
IF($Z15=7,_xlfn.IFNA(VLOOKUP($C15,'Data Transfer Tables'!$B$228:$C$237,2,FALSE),FALSE),FALSE),
IF($Z15=8,_xlfn.IFNA(VLOOKUP($C15,'Data Transfer Tables'!$B$242:$C$251,2,FALSE),FALSE),FALSE),
IF($Z15=9,_xlfn.IFNA(VLOOKUP($C15,'Data Transfer Tables'!$B$256:$C$266,2,FALSE),FALSE),FALSE),
IF($Z15=10,_xlfn.IFNA(VLOOKUP($C15,'Data Transfer Tables'!$B$271:$C$281,2,FALSE),FALSE),FALSE),
IF($Z15=11,_xlfn.IFNA(VLOOKUP($C15,'Data Transfer Tables'!$B$286:$C$295,2,FALSE),FALSE),FALSE),
IF($Z15=12,_xlfn.IFNA(VLOOKUP($C15,'Data Transfer Tables'!$B$300:$C$309,2,FALSE),FALSE),FALSE),
IF($Z15=13,_xlfn.IFNA(VLOOKUP($C15,'Data Transfer Tables'!$B$314:$C$323,2,FALSE),FALSE),FALSE),
IF($Z15=14,_xlfn.IFNA(VLOOKUP($C15,'Data Transfer Tables'!$B$328:$C$338,2,FALSE),FALSE),FALSE),
IF($Z15=15,_xlfn.IFNA(VLOOKUP($C15,'Data Transfer Tables'!$B$343:$C$353,2,FALSE),FALSE),FALSE),
IF($Z15=16,_xlfn.IFNA(VLOOKUP($C15,'Data Transfer Tables'!$B$358:$C$369,2,FALSE),FALSE),FALSE),
IF($Z15=17,_xlfn.IFNA(VLOOKUP($C15,'Data Transfer Tables'!$B$374:$C$384,2,FALSE),FALSE),FALSE),
IF($Z15=18,_xlfn.IFNA(VLOOKUP($C15,'Data Transfer Tables'!$B$389:$C$399,2,FALSE),FALSE),FALSE),
IF($Z15=19,_xlfn.IFNA(VLOOKUP($C15,'Data Transfer Tables'!$B$404:$C$414,2,FALSE),FALSE),FALSE),
IF($Z15=20,_xlfn.IFNA(VLOOKUP($C15,'Data Transfer Tables'!$B$419:$C$429,2,FALSE),FALSE),FALSE),
IF($Z15=21,_xlfn.IFNA(VLOOKUP($C15,'Data Transfer Tables'!$B$434:$C$444,2,FALSE),FALSE),FALSE),
IF($Z15=22,_xlfn.IFNA(VLOOKUP($C15,'Data Transfer Tables'!$B$449:$C$459,2,FALSE),FALSE),FALSE))</f>
        <v>0</v>
      </c>
      <c r="AG15" s="210" t="b">
        <f t="shared" si="36"/>
        <v>1</v>
      </c>
      <c r="AH15" s="210" t="str">
        <f t="shared" si="37"/>
        <v>Data Type/Format Empty</v>
      </c>
      <c r="AI15" s="210" t="str">
        <f t="shared" si="38"/>
        <v>N/A</v>
      </c>
      <c r="AJ15" s="146" t="b">
        <f>OR(IF($Z15=1,_xlfn.IFNA(VLOOKUP($D15,'Data Transfer Tables'!$E$144:$G$153,2,FALSE),FALSE),FALSE),
IF($Z15=2,_xlfn.IFNA(VLOOKUP($D15,'Data Transfer Tables'!$E$158:$G$167,2,FALSE),FALSE),FALSE),
IF($Z15=3,_xlfn.IFNA(VLOOKUP($D15,'Data Transfer Tables'!$E$172:$G$181,2,FALSE),FALSE),FALSE),
IF($Z15=4,_xlfn.IFNA(VLOOKUP($D15,'Data Transfer Tables'!$E$186:$G$195,2,FALSE),FALSE),FALSE),
IF($Z15=5,_xlfn.IFNA(VLOOKUP($D15,'Data Transfer Tables'!$E$200:$G$209,2,FALSE),FALSE),FALSE),
IF($Z15=6,_xlfn.IFNA(VLOOKUP($D15,'Data Transfer Tables'!$E$214:$G$223,2,FALSE),FALSE),FALSE),
IF($Z15=7,_xlfn.IFNA(VLOOKUP($D15,'Data Transfer Tables'!$E$228:$G$237,2,FALSE),FALSE),FALSE),
IF($Z15=8,_xlfn.IFNA(VLOOKUP($D15,'Data Transfer Tables'!$E$242:$G$251,2,FALSE),FALSE),FALSE),
IF($Z15=9,_xlfn.IFNA(VLOOKUP($D15,'Data Transfer Tables'!$E$256:$G$266,2,FALSE),FALSE),FALSE),
IF($Z15=10,_xlfn.IFNA(VLOOKUP($D15,'Data Transfer Tables'!$E$271:$G$281,2,FALSE),FALSE),FALSE),
IF($Z15=11,_xlfn.IFNA(VLOOKUP($D15,'Data Transfer Tables'!$E$286:$G$295,2,FALSE),FALSE),FALSE),
IF($Z15=12,_xlfn.IFNA(VLOOKUP($D15,'Data Transfer Tables'!$E$300:$G$309,2,FALSE),FALSE),FALSE),
IF($Z15=13,_xlfn.IFNA(VLOOKUP($D15,'Data Transfer Tables'!$E$314:$G$323,2,FALSE),FALSE),FALSE),
IF($Z15=14,_xlfn.IFNA(VLOOKUP($D15,'Data Transfer Tables'!$E$328:$G$338,2,FALSE),FALSE),FALSE),
IF($Z15=15,_xlfn.IFNA(VLOOKUP($D15,'Data Transfer Tables'!$E$343:$G$353,2,FALSE),FALSE),FALSE),
IF($Z15=16,_xlfn.IFNA(VLOOKUP($D15,'Data Transfer Tables'!$E$358:$G$369,2,FALSE),FALSE),FALSE),
IF($Z15=17,_xlfn.IFNA(VLOOKUP($D15,'Data Transfer Tables'!$E$374:$G$384,2,FALSE),FALSE),FALSE),
IF($Z15=18,_xlfn.IFNA(VLOOKUP($D15,'Data Transfer Tables'!$E$389:$G$399,2,FALSE),FALSE),FALSE),
IF($Z15=19,_xlfn.IFNA(VLOOKUP($D15,'Data Transfer Tables'!$E$404:$G$414,2,FALSE),FALSE),FALSE),
IF($Z15=20,_xlfn.IFNA(VLOOKUP($D15,'Data Transfer Tables'!$E$419:$G$429,2,FALSE),FALSE),FALSE),
IF($Z15=21,_xlfn.IFNA(VLOOKUP($D15,'Data Transfer Tables'!$E$434:$G$444,2,FALSE),FALSE),FALSE),
IF($Z15=22,_xlfn.IFNA(VLOOKUP($D15,'Data Transfer Tables'!$E$449:$G$459,2,FALSE),FALSE),FALSE))</f>
        <v>0</v>
      </c>
      <c r="AK15" s="146" t="b">
        <f t="shared" si="1"/>
        <v>1</v>
      </c>
      <c r="AL15" s="146" t="str">
        <f t="shared" si="39"/>
        <v>Data Type/Exclusive Use Empty</v>
      </c>
      <c r="AM15" s="146" t="str">
        <f t="shared" si="40"/>
        <v>N/A</v>
      </c>
      <c r="AN15" s="145" t="b">
        <f>OR(IF($Z15=1,_xlfn.IFNA(VLOOKUP($E15,'Data Transfer Tables'!$H$144:$I$153,2,FALSE),FALSE),FALSE),
IF($Z15=2,_xlfn.IFNA(VLOOKUP($E15,'Data Transfer Tables'!$H$158:$I$167,2,FALSE),FALSE),FALSE),
IF($Z15=3,_xlfn.IFNA(VLOOKUP($E15,'Data Transfer Tables'!$H$172:$I$181,2,FALSE),FALSE),FALSE),
IF($Z15=4,_xlfn.IFNA(VLOOKUP($E15,'Data Transfer Tables'!$H$186:$I$195,2,FALSE),FALSE),FALSE),
IF($Z15=5,_xlfn.IFNA(VLOOKUP($E15,'Data Transfer Tables'!$H$200:$I$209,2,FALSE),FALSE),FALSE),
IF($Z15=6,_xlfn.IFNA(VLOOKUP($E15,'Data Transfer Tables'!$H$214:$I$223,2,FALSE),FALSE),FALSE),
IF($Z15=7,_xlfn.IFNA(VLOOKUP($E15,'Data Transfer Tables'!$H$228:$I$237,2,FALSE),FALSE),FALSE),
IF($Z15=8,_xlfn.IFNA(VLOOKUP($E15,'Data Transfer Tables'!$H$242:$I$251,2,FALSE),FALSE),FALSE),
IF($Z15=9,_xlfn.IFNA(VLOOKUP($E15,'Data Transfer Tables'!$H$256:$I$266,2,FALSE),FALSE),FALSE),
IF($Z15=10,_xlfn.IFNA(VLOOKUP($E15,'Data Transfer Tables'!$H$271:$I$281,2,FALSE),FALSE),FALSE),
IF($Z15=11,_xlfn.IFNA(VLOOKUP($E15,'Data Transfer Tables'!$H$286:$I$295,2,FALSE),FALSE),FALSE),
IF($Z15=12,_xlfn.IFNA(VLOOKUP($E15,'Data Transfer Tables'!$H$300:$I$309,2,FALSE),FALSE),FALSE),
IF($Z15=13,_xlfn.IFNA(VLOOKUP($E15,'Data Transfer Tables'!$H$314:$I$323,2,FALSE),FALSE),FALSE),
IF($Z15=14,_xlfn.IFNA(VLOOKUP($E15,'Data Transfer Tables'!$H$328:$I$338,2,FALSE),FALSE),FALSE),
IF($Z15=15,_xlfn.IFNA(VLOOKUP($E15,'Data Transfer Tables'!$H$343:$I$353,2,FALSE),FALSE),FALSE),
IF($Z15=16,_xlfn.IFNA(VLOOKUP($E15,'Data Transfer Tables'!$H$358:$I$369,2,FALSE),FALSE),FALSE),
IF($Z15=17,_xlfn.IFNA(VLOOKUP($E15,'Data Transfer Tables'!$H$374:$I$384,2,FALSE),FALSE),FALSE),
IF($Z15=18,_xlfn.IFNA(VLOOKUP($E15,'Data Transfer Tables'!$H$389:$I$399,2,FALSE),FALSE),FALSE),
IF($Z15=19,_xlfn.IFNA(VLOOKUP($E15,'Data Transfer Tables'!$H$404:$I$414,2,FALSE),FALSE),FALSE),
IF($Z15=20,_xlfn.IFNA(VLOOKUP($E15,'Data Transfer Tables'!$H$419:$I$429,2,FALSE),FALSE),FALSE),
IF($Z15=21,_xlfn.IFNA(VLOOKUP($E15,'Data Transfer Tables'!$H$434:$I$444,2,FALSE),FALSE),FALSE),
IF($Z15=22,_xlfn.IFNA(VLOOKUP($E15,'Data Transfer Tables'!$H$449:$I$459,2,FALSE),FALSE),FALSE))</f>
        <v>0</v>
      </c>
      <c r="AO15" s="145" t="b">
        <f t="shared" si="2"/>
        <v>1</v>
      </c>
      <c r="AP15" s="145" t="str">
        <f t="shared" si="41"/>
        <v>Data Type/Shared Read-Only Empty</v>
      </c>
      <c r="AQ15" s="145" t="str">
        <f t="shared" si="42"/>
        <v>N/A</v>
      </c>
      <c r="AR15" s="147" t="b">
        <f>OR(IF($Z15=1,_xlfn.IFNA(VLOOKUP($F15,'Data Transfer Tables'!$K$144:$L$153,2,FALSE),FALSE),FALSE),
IF($Z15=2,_xlfn.IFNA(VLOOKUP($F15,'Data Transfer Tables'!$K$158:$L$167,2,FALSE),FALSE),FALSE),
IF($Z15=3,_xlfn.IFNA(VLOOKUP($F15,'Data Transfer Tables'!$K$172:$L$181,2,FALSE),FALSE),FALSE),
IF($Z15=4,_xlfn.IFNA(VLOOKUP($F15,'Data Transfer Tables'!$K$186:$L$195,2,FALSE),FALSE),FALSE),
IF($Z15=5,_xlfn.IFNA(VLOOKUP($F15,'Data Transfer Tables'!$K$200:$L$209,2,FALSE),FALSE),FALSE),
IF($Z15=6,_xlfn.IFNA(VLOOKUP($F15,'Data Transfer Tables'!$K$214:$L$223,2,FALSE),FALSE),FALSE),
IF($Z15=7,_xlfn.IFNA(VLOOKUP($F15,'Data Transfer Tables'!$K$228:$L$237,2,FALSE),FALSE),FALSE),
IF($Z15=8,_xlfn.IFNA(VLOOKUP($F15,'Data Transfer Tables'!$K$242:$L$251,2,FALSE),FALSE),FALSE),
IF($Z15=9,_xlfn.IFNA(VLOOKUP($F15,'Data Transfer Tables'!$K$256:$L$266,2,FALSE),FALSE),FALSE),
IF($Z15=10,_xlfn.IFNA(VLOOKUP($F15,'Data Transfer Tables'!$K$271:$L$281,2,FALSE),FALSE),FALSE),
IF($Z15=11,_xlfn.IFNA(VLOOKUP($F15,'Data Transfer Tables'!$K$286:$L$295,2,FALSE),FALSE),FALSE),
IF($Z15=12,_xlfn.IFNA(VLOOKUP($F15,'Data Transfer Tables'!$K$300:$L$309,2,FALSE),FALSE),FALSE),
IF($Z15=13,_xlfn.IFNA(VLOOKUP($F15,'Data Transfer Tables'!$K$314:$L$323,2,FALSE),FALSE),FALSE),
IF($Z15=14,_xlfn.IFNA(VLOOKUP($F15,'Data Transfer Tables'!$K$328:$L$338,2,FALSE),FALSE),FALSE),
IF($Z15=15,_xlfn.IFNA(VLOOKUP($F15,'Data Transfer Tables'!$K$343:$L$353,2,FALSE),FALSE),FALSE),
IF($Z15=16,_xlfn.IFNA(VLOOKUP($F15,'Data Transfer Tables'!$K$358:$L$369,2,FALSE),FALSE),FALSE),
IF($Z15=17,_xlfn.IFNA(VLOOKUP($F15,'Data Transfer Tables'!$K$374:$L$384,2,FALSE),FALSE),FALSE),
IF($Z15=18,_xlfn.IFNA(VLOOKUP($F15,'Data Transfer Tables'!$K$389:$L$399,2,FALSE),FALSE),FALSE),
IF($Z15=19,_xlfn.IFNA(VLOOKUP($F15,'Data Transfer Tables'!$K$404:$L$414,2,FALSE),FALSE),FALSE),
IF($Z15=20,_xlfn.IFNA(VLOOKUP($F15,'Data Transfer Tables'!$K$419:$L$429,2,FALSE),FALSE),FALSE),
IF($Z15=21,_xlfn.IFNA(VLOOKUP($F15,'Data Transfer Tables'!$K$434:$L$444,2,FALSE),FALSE),FALSE),
IF($Z15=22,_xlfn.IFNA(VLOOKUP($F15,'Data Transfer Tables'!$K$449:$L$459,2,FALSE),FALSE),FALSE))</f>
        <v>0</v>
      </c>
      <c r="AS15" s="147" t="b">
        <f t="shared" si="3"/>
        <v>1</v>
      </c>
      <c r="AT15" s="147" t="str">
        <f t="shared" si="43"/>
        <v>Data Type/Shared Read/Modify Empty</v>
      </c>
      <c r="AU15" s="147" t="str">
        <f t="shared" si="44"/>
        <v>N/A</v>
      </c>
      <c r="AV15" s="74" t="b">
        <f>OR(IF($Z15=1,_xlfn.IFNA(VLOOKUP($G15,'Data Transfer Tables'!$H$113:$I$125,2,FALSE),FALSE),FALSE),
IF($Z15=2,_xlfn.IFNA(VLOOKUP($G15,'Data Transfer Tables'!$H$113:$I$125,2,FALSE),FALSE),FALSE),
IF($Z15=3,_xlfn.IFNA(VLOOKUP($G15,'Data Transfer Tables'!$H$113:$I$125,2,FALSE),FALSE),FALSE),
IF($Z15=4,_xlfn.IFNA(VLOOKUP($G15,'Data Transfer Tables'!$H$113:$I$125,2,FALSE),FALSE),FALSE),
IF($Z15=5,_xlfn.IFNA(VLOOKUP($G15,'Data Transfer Tables'!$H$113:$I$125,2,FALSE),FALSE),FALSE),
IF($Z15=6,_xlfn.IFNA(VLOOKUP($G15,'Data Transfer Tables'!$H$113:$I$125,2,FALSE),FALSE),FALSE),
IF($Z15=7,_xlfn.IFNA(VLOOKUP($G15,'Data Transfer Tables'!$H$113:$I$125,2,FALSE),FALSE),FALSE),
IF($Z15=8,_xlfn.IFNA(VLOOKUP($G15,'Data Transfer Tables'!$H$113:$I$125,2,FALSE),FALSE),FALSE),
IF($Z15=9,_xlfn.IFNA(VLOOKUP($G15,'Data Transfer Tables'!$H$113:$I$125,2,FALSE),FALSE),FALSE),
IF($Z15=10,_xlfn.IFNA(VLOOKUP($G15,'Data Transfer Tables'!$H$113:$I$125,2,FALSE),FALSE),FALSE),
IF($Z15=11,_xlfn.IFNA(VLOOKUP($G15,'Data Transfer Tables'!$H$113:$I$125,2,FALSE),FALSE),FALSE),
IF($Z15=12,_xlfn.IFNA(VLOOKUP($G15,'Data Transfer Tables'!$H$113:$I$125,2,FALSE),FALSE),FALSE),
IF($Z15=13,_xlfn.IFNA(VLOOKUP($G15,'Data Transfer Tables'!$H$113:$I$125,2,FALSE),FALSE),FALSE),
IF($Z15=14,_xlfn.IFNA(VLOOKUP($G15,'Data Transfer Tables'!$H$113:$I$125,2,FALSE),FALSE),FALSE),
IF($Z15=15,_xlfn.IFNA(VLOOKUP($G15,'Data Transfer Tables'!$H$113:$I$125,2,FALSE),FALSE),FALSE),
IF($Z15=16,_xlfn.IFNA(VLOOKUP($G15,'Data Transfer Tables'!$H$113:$I$125,2,FALSE),FALSE),FALSE),
IF($Z15=17,_xlfn.IFNA(VLOOKUP($G15,'Data Transfer Tables'!$H$113:$I$125,2,FALSE),FALSE),FALSE),
IF($Z15=18,_xlfn.IFNA(VLOOKUP($G15,'Data Transfer Tables'!$H$113:$I$125,2,FALSE),FALSE),FALSE),
IF($Z15=19,_xlfn.IFNA(VLOOKUP($G15,'Data Transfer Tables'!$H$113:$I$125,2,FALSE),FALSE),FALSE),
IF($Z15=20,_xlfn.IFNA(VLOOKUP($G15,'Data Transfer Tables'!$H$113:$I$125,2,FALSE),FALSE),FALSE),
IF($Z15=21,_xlfn.IFNA(VLOOKUP($G15,'Data Transfer Tables'!$H$113:$I$125,2,FALSE),FALSE),FALSE),
IF($Z15=22,_xlfn.IFNA(VLOOKUP($G15,'Data Transfer Tables'!$H$113:$I$125,2,FALSE),FALSE),FALSE))</f>
        <v>0</v>
      </c>
      <c r="AW15" s="74" t="b">
        <f t="shared" si="4"/>
        <v>1</v>
      </c>
      <c r="AX15" s="74" t="str">
        <f t="shared" si="45"/>
        <v>Data Type/URI Empty</v>
      </c>
      <c r="AY15" s="74" t="str">
        <f t="shared" si="46"/>
        <v>N/A</v>
      </c>
      <c r="AZ15" s="206" t="b">
        <f t="shared" si="5"/>
        <v>1</v>
      </c>
      <c r="BA15" s="206" t="b">
        <f t="shared" si="47"/>
        <v>0</v>
      </c>
      <c r="BB15" s="211" t="b">
        <f t="shared" si="6"/>
        <v>0</v>
      </c>
      <c r="BC15" s="51" t="str">
        <f t="shared" si="48"/>
        <v/>
      </c>
      <c r="BD15" s="51" t="b">
        <f t="shared" si="49"/>
        <v>0</v>
      </c>
      <c r="BE15" s="51" t="b">
        <f t="shared" si="7"/>
        <v>0</v>
      </c>
      <c r="BF15" s="51" t="b">
        <f t="shared" si="8"/>
        <v>0</v>
      </c>
      <c r="BG15" s="51" t="str">
        <f t="shared" si="50"/>
        <v>N/A</v>
      </c>
      <c r="BH15" s="106" t="str">
        <f t="shared" si="9"/>
        <v>N/A</v>
      </c>
      <c r="BI15" s="51" t="str">
        <f t="shared" si="10"/>
        <v>N/A</v>
      </c>
      <c r="BJ15" s="51" t="str">
        <f t="shared" si="11"/>
        <v>N/A</v>
      </c>
      <c r="BK15" s="51" t="str">
        <f t="shared" si="12"/>
        <v>N/A</v>
      </c>
      <c r="BL15" s="51" t="b">
        <f t="shared" si="13"/>
        <v>1</v>
      </c>
      <c r="BM15" s="51" t="b">
        <f t="shared" si="14"/>
        <v>0</v>
      </c>
      <c r="BN15" s="51" t="str">
        <f t="shared" si="51"/>
        <v/>
      </c>
      <c r="BO15" s="51" t="b">
        <f t="shared" si="52"/>
        <v>1</v>
      </c>
      <c r="BP15" s="51" t="str">
        <f t="shared" si="15"/>
        <v>N/A</v>
      </c>
      <c r="BQ15" s="51" t="str">
        <f t="shared" si="16"/>
        <v>N/A</v>
      </c>
      <c r="BR15" s="94" t="b">
        <f t="shared" si="17"/>
        <v>1</v>
      </c>
      <c r="BS15" s="94" t="b">
        <f t="shared" si="18"/>
        <v>1</v>
      </c>
      <c r="BT15" s="94" t="b">
        <f t="shared" si="19"/>
        <v>1</v>
      </c>
      <c r="BU15" s="94" t="b">
        <f t="shared" si="20"/>
        <v>1</v>
      </c>
      <c r="BV15" s="51" t="str">
        <f t="shared" si="53"/>
        <v/>
      </c>
      <c r="BW15" s="51" t="str">
        <f t="shared" si="54"/>
        <v/>
      </c>
      <c r="BX15" s="51" t="b">
        <f t="shared" si="21"/>
        <v>1</v>
      </c>
    </row>
    <row r="16" spans="1:76" s="28" customFormat="1" ht="26.25" thickBot="1" x14ac:dyDescent="0.25">
      <c r="A16" s="63" t="s">
        <v>52</v>
      </c>
      <c r="B16" s="63" t="s">
        <v>44</v>
      </c>
      <c r="C16" s="63" t="s">
        <v>44</v>
      </c>
      <c r="D16" s="63" t="s">
        <v>44</v>
      </c>
      <c r="E16" s="63" t="s">
        <v>44</v>
      </c>
      <c r="F16" s="63" t="s">
        <v>44</v>
      </c>
      <c r="G16" s="63" t="s">
        <v>44</v>
      </c>
      <c r="H16" s="37" t="s">
        <v>53</v>
      </c>
      <c r="I16" s="37" t="s">
        <v>29</v>
      </c>
      <c r="J16" s="37" t="s">
        <v>666</v>
      </c>
      <c r="K16" s="64" t="s">
        <v>20</v>
      </c>
      <c r="L16" s="174" t="b">
        <f t="shared" si="22"/>
        <v>1</v>
      </c>
      <c r="M16" s="174" t="b">
        <f t="shared" si="23"/>
        <v>1</v>
      </c>
      <c r="N16" s="174" t="b">
        <f t="shared" si="24"/>
        <v>1</v>
      </c>
      <c r="S16" s="51" t="b">
        <f t="shared" si="25"/>
        <v>1</v>
      </c>
      <c r="T16" s="94" t="b">
        <f t="shared" si="26"/>
        <v>0</v>
      </c>
      <c r="U16" s="94" t="b">
        <f t="shared" si="27"/>
        <v>0</v>
      </c>
      <c r="V16" s="94" t="b">
        <f t="shared" si="28"/>
        <v>0</v>
      </c>
      <c r="W16" s="94" t="b">
        <f t="shared" si="29"/>
        <v>0</v>
      </c>
      <c r="X16" s="207" t="str">
        <f t="shared" si="30"/>
        <v/>
      </c>
      <c r="Y16" s="51" t="str">
        <f t="shared" si="0"/>
        <v>N/A</v>
      </c>
      <c r="Z16" s="208">
        <f t="shared" si="31"/>
        <v>0</v>
      </c>
      <c r="AA16" s="51" t="b">
        <f t="shared" si="32"/>
        <v>1</v>
      </c>
      <c r="AB16" s="74">
        <f>_xlfn.IFNA(VLOOKUP(B16,'Data Transfer Tables'!$A$111:$B$131,2),0)</f>
        <v>0</v>
      </c>
      <c r="AC16" s="196" t="b">
        <f t="shared" si="33"/>
        <v>0</v>
      </c>
      <c r="AD16" s="74" t="b">
        <f t="shared" si="34"/>
        <v>0</v>
      </c>
      <c r="AE16" s="209" t="b">
        <f t="shared" si="35"/>
        <v>1</v>
      </c>
      <c r="AF16" s="210" t="b">
        <f>OR(IF($Z16=1,_xlfn.IFNA(VLOOKUP($C16,'Data Transfer Tables'!$B$144:$C$153,2,FALSE),FALSE),FALSE),
IF($Z16=2,_xlfn.IFNA(VLOOKUP($C16,'Data Transfer Tables'!$B$158:$C$167,2,FALSE),FALSE),FALSE),
IF($Z16=3,_xlfn.IFNA(VLOOKUP($C16,'Data Transfer Tables'!$B$172:$C$181,2,FALSE),FALSE),FALSE),
IF($Z16=4,_xlfn.IFNA(VLOOKUP($C16,'Data Transfer Tables'!$B$186:$C$195,2,FALSE),FALSE),FALSE),
IF($Z16=5,_xlfn.IFNA(VLOOKUP($C16,'Data Transfer Tables'!$B$200:$C$209,2,FALSE),FALSE),FALSE),
IF($Z16=6,_xlfn.IFNA(VLOOKUP($C16,'Data Transfer Tables'!$B$214:$C$223,2,FALSE),FALSE),FALSE),
IF($Z16=7,_xlfn.IFNA(VLOOKUP($C16,'Data Transfer Tables'!$B$228:$C$237,2,FALSE),FALSE),FALSE),
IF($Z16=8,_xlfn.IFNA(VLOOKUP($C16,'Data Transfer Tables'!$B$242:$C$251,2,FALSE),FALSE),FALSE),
IF($Z16=9,_xlfn.IFNA(VLOOKUP($C16,'Data Transfer Tables'!$B$256:$C$266,2,FALSE),FALSE),FALSE),
IF($Z16=10,_xlfn.IFNA(VLOOKUP($C16,'Data Transfer Tables'!$B$271:$C$281,2,FALSE),FALSE),FALSE),
IF($Z16=11,_xlfn.IFNA(VLOOKUP($C16,'Data Transfer Tables'!$B$286:$C$295,2,FALSE),FALSE),FALSE),
IF($Z16=12,_xlfn.IFNA(VLOOKUP($C16,'Data Transfer Tables'!$B$300:$C$309,2,FALSE),FALSE),FALSE),
IF($Z16=13,_xlfn.IFNA(VLOOKUP($C16,'Data Transfer Tables'!$B$314:$C$323,2,FALSE),FALSE),FALSE),
IF($Z16=14,_xlfn.IFNA(VLOOKUP($C16,'Data Transfer Tables'!$B$328:$C$338,2,FALSE),FALSE),FALSE),
IF($Z16=15,_xlfn.IFNA(VLOOKUP($C16,'Data Transfer Tables'!$B$343:$C$353,2,FALSE),FALSE),FALSE),
IF($Z16=16,_xlfn.IFNA(VLOOKUP($C16,'Data Transfer Tables'!$B$358:$C$369,2,FALSE),FALSE),FALSE),
IF($Z16=17,_xlfn.IFNA(VLOOKUP($C16,'Data Transfer Tables'!$B$374:$C$384,2,FALSE),FALSE),FALSE),
IF($Z16=18,_xlfn.IFNA(VLOOKUP($C16,'Data Transfer Tables'!$B$389:$C$399,2,FALSE),FALSE),FALSE),
IF($Z16=19,_xlfn.IFNA(VLOOKUP($C16,'Data Transfer Tables'!$B$404:$C$414,2,FALSE),FALSE),FALSE),
IF($Z16=20,_xlfn.IFNA(VLOOKUP($C16,'Data Transfer Tables'!$B$419:$C$429,2,FALSE),FALSE),FALSE),
IF($Z16=21,_xlfn.IFNA(VLOOKUP($C16,'Data Transfer Tables'!$B$434:$C$444,2,FALSE),FALSE),FALSE),
IF($Z16=22,_xlfn.IFNA(VLOOKUP($C16,'Data Transfer Tables'!$B$449:$C$459,2,FALSE),FALSE),FALSE))</f>
        <v>0</v>
      </c>
      <c r="AG16" s="210" t="b">
        <f t="shared" si="36"/>
        <v>1</v>
      </c>
      <c r="AH16" s="210" t="str">
        <f t="shared" si="37"/>
        <v>Data Type/Format Empty</v>
      </c>
      <c r="AI16" s="210" t="str">
        <f t="shared" si="38"/>
        <v>N/A</v>
      </c>
      <c r="AJ16" s="146" t="b">
        <f>OR(IF($Z16=1,_xlfn.IFNA(VLOOKUP($D16,'Data Transfer Tables'!$E$144:$G$153,2,FALSE),FALSE),FALSE),
IF($Z16=2,_xlfn.IFNA(VLOOKUP($D16,'Data Transfer Tables'!$E$158:$G$167,2,FALSE),FALSE),FALSE),
IF($Z16=3,_xlfn.IFNA(VLOOKUP($D16,'Data Transfer Tables'!$E$172:$G$181,2,FALSE),FALSE),FALSE),
IF($Z16=4,_xlfn.IFNA(VLOOKUP($D16,'Data Transfer Tables'!$E$186:$G$195,2,FALSE),FALSE),FALSE),
IF($Z16=5,_xlfn.IFNA(VLOOKUP($D16,'Data Transfer Tables'!$E$200:$G$209,2,FALSE),FALSE),FALSE),
IF($Z16=6,_xlfn.IFNA(VLOOKUP($D16,'Data Transfer Tables'!$E$214:$G$223,2,FALSE),FALSE),FALSE),
IF($Z16=7,_xlfn.IFNA(VLOOKUP($D16,'Data Transfer Tables'!$E$228:$G$237,2,FALSE),FALSE),FALSE),
IF($Z16=8,_xlfn.IFNA(VLOOKUP($D16,'Data Transfer Tables'!$E$242:$G$251,2,FALSE),FALSE),FALSE),
IF($Z16=9,_xlfn.IFNA(VLOOKUP($D16,'Data Transfer Tables'!$E$256:$G$266,2,FALSE),FALSE),FALSE),
IF($Z16=10,_xlfn.IFNA(VLOOKUP($D16,'Data Transfer Tables'!$E$271:$G$281,2,FALSE),FALSE),FALSE),
IF($Z16=11,_xlfn.IFNA(VLOOKUP($D16,'Data Transfer Tables'!$E$286:$G$295,2,FALSE),FALSE),FALSE),
IF($Z16=12,_xlfn.IFNA(VLOOKUP($D16,'Data Transfer Tables'!$E$300:$G$309,2,FALSE),FALSE),FALSE),
IF($Z16=13,_xlfn.IFNA(VLOOKUP($D16,'Data Transfer Tables'!$E$314:$G$323,2,FALSE),FALSE),FALSE),
IF($Z16=14,_xlfn.IFNA(VLOOKUP($D16,'Data Transfer Tables'!$E$328:$G$338,2,FALSE),FALSE),FALSE),
IF($Z16=15,_xlfn.IFNA(VLOOKUP($D16,'Data Transfer Tables'!$E$343:$G$353,2,FALSE),FALSE),FALSE),
IF($Z16=16,_xlfn.IFNA(VLOOKUP($D16,'Data Transfer Tables'!$E$358:$G$369,2,FALSE),FALSE),FALSE),
IF($Z16=17,_xlfn.IFNA(VLOOKUP($D16,'Data Transfer Tables'!$E$374:$G$384,2,FALSE),FALSE),FALSE),
IF($Z16=18,_xlfn.IFNA(VLOOKUP($D16,'Data Transfer Tables'!$E$389:$G$399,2,FALSE),FALSE),FALSE),
IF($Z16=19,_xlfn.IFNA(VLOOKUP($D16,'Data Transfer Tables'!$E$404:$G$414,2,FALSE),FALSE),FALSE),
IF($Z16=20,_xlfn.IFNA(VLOOKUP($D16,'Data Transfer Tables'!$E$419:$G$429,2,FALSE),FALSE),FALSE),
IF($Z16=21,_xlfn.IFNA(VLOOKUP($D16,'Data Transfer Tables'!$E$434:$G$444,2,FALSE),FALSE),FALSE),
IF($Z16=22,_xlfn.IFNA(VLOOKUP($D16,'Data Transfer Tables'!$E$449:$G$459,2,FALSE),FALSE),FALSE))</f>
        <v>0</v>
      </c>
      <c r="AK16" s="146" t="b">
        <f t="shared" si="1"/>
        <v>1</v>
      </c>
      <c r="AL16" s="146" t="str">
        <f t="shared" si="39"/>
        <v>Data Type/Exclusive Use Empty</v>
      </c>
      <c r="AM16" s="146" t="str">
        <f t="shared" si="40"/>
        <v>N/A</v>
      </c>
      <c r="AN16" s="145" t="b">
        <f>OR(IF($Z16=1,_xlfn.IFNA(VLOOKUP($E16,'Data Transfer Tables'!$H$144:$I$153,2,FALSE),FALSE),FALSE),
IF($Z16=2,_xlfn.IFNA(VLOOKUP($E16,'Data Transfer Tables'!$H$158:$I$167,2,FALSE),FALSE),FALSE),
IF($Z16=3,_xlfn.IFNA(VLOOKUP($E16,'Data Transfer Tables'!$H$172:$I$181,2,FALSE),FALSE),FALSE),
IF($Z16=4,_xlfn.IFNA(VLOOKUP($E16,'Data Transfer Tables'!$H$186:$I$195,2,FALSE),FALSE),FALSE),
IF($Z16=5,_xlfn.IFNA(VLOOKUP($E16,'Data Transfer Tables'!$H$200:$I$209,2,FALSE),FALSE),FALSE),
IF($Z16=6,_xlfn.IFNA(VLOOKUP($E16,'Data Transfer Tables'!$H$214:$I$223,2,FALSE),FALSE),FALSE),
IF($Z16=7,_xlfn.IFNA(VLOOKUP($E16,'Data Transfer Tables'!$H$228:$I$237,2,FALSE),FALSE),FALSE),
IF($Z16=8,_xlfn.IFNA(VLOOKUP($E16,'Data Transfer Tables'!$H$242:$I$251,2,FALSE),FALSE),FALSE),
IF($Z16=9,_xlfn.IFNA(VLOOKUP($E16,'Data Transfer Tables'!$H$256:$I$266,2,FALSE),FALSE),FALSE),
IF($Z16=10,_xlfn.IFNA(VLOOKUP($E16,'Data Transfer Tables'!$H$271:$I$281,2,FALSE),FALSE),FALSE),
IF($Z16=11,_xlfn.IFNA(VLOOKUP($E16,'Data Transfer Tables'!$H$286:$I$295,2,FALSE),FALSE),FALSE),
IF($Z16=12,_xlfn.IFNA(VLOOKUP($E16,'Data Transfer Tables'!$H$300:$I$309,2,FALSE),FALSE),FALSE),
IF($Z16=13,_xlfn.IFNA(VLOOKUP($E16,'Data Transfer Tables'!$H$314:$I$323,2,FALSE),FALSE),FALSE),
IF($Z16=14,_xlfn.IFNA(VLOOKUP($E16,'Data Transfer Tables'!$H$328:$I$338,2,FALSE),FALSE),FALSE),
IF($Z16=15,_xlfn.IFNA(VLOOKUP($E16,'Data Transfer Tables'!$H$343:$I$353,2,FALSE),FALSE),FALSE),
IF($Z16=16,_xlfn.IFNA(VLOOKUP($E16,'Data Transfer Tables'!$H$358:$I$369,2,FALSE),FALSE),FALSE),
IF($Z16=17,_xlfn.IFNA(VLOOKUP($E16,'Data Transfer Tables'!$H$374:$I$384,2,FALSE),FALSE),FALSE),
IF($Z16=18,_xlfn.IFNA(VLOOKUP($E16,'Data Transfer Tables'!$H$389:$I$399,2,FALSE),FALSE),FALSE),
IF($Z16=19,_xlfn.IFNA(VLOOKUP($E16,'Data Transfer Tables'!$H$404:$I$414,2,FALSE),FALSE),FALSE),
IF($Z16=20,_xlfn.IFNA(VLOOKUP($E16,'Data Transfer Tables'!$H$419:$I$429,2,FALSE),FALSE),FALSE),
IF($Z16=21,_xlfn.IFNA(VLOOKUP($E16,'Data Transfer Tables'!$H$434:$I$444,2,FALSE),FALSE),FALSE),
IF($Z16=22,_xlfn.IFNA(VLOOKUP($E16,'Data Transfer Tables'!$H$449:$I$459,2,FALSE),FALSE),FALSE))</f>
        <v>0</v>
      </c>
      <c r="AO16" s="145" t="b">
        <f t="shared" si="2"/>
        <v>1</v>
      </c>
      <c r="AP16" s="145" t="str">
        <f t="shared" si="41"/>
        <v>Data Type/Shared Read-Only Empty</v>
      </c>
      <c r="AQ16" s="145" t="str">
        <f t="shared" si="42"/>
        <v>N/A</v>
      </c>
      <c r="AR16" s="147" t="b">
        <f>OR(IF($Z16=1,_xlfn.IFNA(VLOOKUP($F16,'Data Transfer Tables'!$K$144:$L$153,2,FALSE),FALSE),FALSE),
IF($Z16=2,_xlfn.IFNA(VLOOKUP($F16,'Data Transfer Tables'!$K$158:$L$167,2,FALSE),FALSE),FALSE),
IF($Z16=3,_xlfn.IFNA(VLOOKUP($F16,'Data Transfer Tables'!$K$172:$L$181,2,FALSE),FALSE),FALSE),
IF($Z16=4,_xlfn.IFNA(VLOOKUP($F16,'Data Transfer Tables'!$K$186:$L$195,2,FALSE),FALSE),FALSE),
IF($Z16=5,_xlfn.IFNA(VLOOKUP($F16,'Data Transfer Tables'!$K$200:$L$209,2,FALSE),FALSE),FALSE),
IF($Z16=6,_xlfn.IFNA(VLOOKUP($F16,'Data Transfer Tables'!$K$214:$L$223,2,FALSE),FALSE),FALSE),
IF($Z16=7,_xlfn.IFNA(VLOOKUP($F16,'Data Transfer Tables'!$K$228:$L$237,2,FALSE),FALSE),FALSE),
IF($Z16=8,_xlfn.IFNA(VLOOKUP($F16,'Data Transfer Tables'!$K$242:$L$251,2,FALSE),FALSE),FALSE),
IF($Z16=9,_xlfn.IFNA(VLOOKUP($F16,'Data Transfer Tables'!$K$256:$L$266,2,FALSE),FALSE),FALSE),
IF($Z16=10,_xlfn.IFNA(VLOOKUP($F16,'Data Transfer Tables'!$K$271:$L$281,2,FALSE),FALSE),FALSE),
IF($Z16=11,_xlfn.IFNA(VLOOKUP($F16,'Data Transfer Tables'!$K$286:$L$295,2,FALSE),FALSE),FALSE),
IF($Z16=12,_xlfn.IFNA(VLOOKUP($F16,'Data Transfer Tables'!$K$300:$L$309,2,FALSE),FALSE),FALSE),
IF($Z16=13,_xlfn.IFNA(VLOOKUP($F16,'Data Transfer Tables'!$K$314:$L$323,2,FALSE),FALSE),FALSE),
IF($Z16=14,_xlfn.IFNA(VLOOKUP($F16,'Data Transfer Tables'!$K$328:$L$338,2,FALSE),FALSE),FALSE),
IF($Z16=15,_xlfn.IFNA(VLOOKUP($F16,'Data Transfer Tables'!$K$343:$L$353,2,FALSE),FALSE),FALSE),
IF($Z16=16,_xlfn.IFNA(VLOOKUP($F16,'Data Transfer Tables'!$K$358:$L$369,2,FALSE),FALSE),FALSE),
IF($Z16=17,_xlfn.IFNA(VLOOKUP($F16,'Data Transfer Tables'!$K$374:$L$384,2,FALSE),FALSE),FALSE),
IF($Z16=18,_xlfn.IFNA(VLOOKUP($F16,'Data Transfer Tables'!$K$389:$L$399,2,FALSE),FALSE),FALSE),
IF($Z16=19,_xlfn.IFNA(VLOOKUP($F16,'Data Transfer Tables'!$K$404:$L$414,2,FALSE),FALSE),FALSE),
IF($Z16=20,_xlfn.IFNA(VLOOKUP($F16,'Data Transfer Tables'!$K$419:$L$429,2,FALSE),FALSE),FALSE),
IF($Z16=21,_xlfn.IFNA(VLOOKUP($F16,'Data Transfer Tables'!$K$434:$L$444,2,FALSE),FALSE),FALSE),
IF($Z16=22,_xlfn.IFNA(VLOOKUP($F16,'Data Transfer Tables'!$K$449:$L$459,2,FALSE),FALSE),FALSE))</f>
        <v>0</v>
      </c>
      <c r="AS16" s="147" t="b">
        <f t="shared" si="3"/>
        <v>1</v>
      </c>
      <c r="AT16" s="147" t="str">
        <f t="shared" si="43"/>
        <v>Data Type/Shared Read/Modify Empty</v>
      </c>
      <c r="AU16" s="147" t="str">
        <f t="shared" si="44"/>
        <v>N/A</v>
      </c>
      <c r="AV16" s="74" t="b">
        <f>OR(IF($Z16=1,_xlfn.IFNA(VLOOKUP($G16,'Data Transfer Tables'!$H$113:$I$125,2,FALSE),FALSE),FALSE),
IF($Z16=2,_xlfn.IFNA(VLOOKUP($G16,'Data Transfer Tables'!$H$113:$I$125,2,FALSE),FALSE),FALSE),
IF($Z16=3,_xlfn.IFNA(VLOOKUP($G16,'Data Transfer Tables'!$H$113:$I$125,2,FALSE),FALSE),FALSE),
IF($Z16=4,_xlfn.IFNA(VLOOKUP($G16,'Data Transfer Tables'!$H$113:$I$125,2,FALSE),FALSE),FALSE),
IF($Z16=5,_xlfn.IFNA(VLOOKUP($G16,'Data Transfer Tables'!$H$113:$I$125,2,FALSE),FALSE),FALSE),
IF($Z16=6,_xlfn.IFNA(VLOOKUP($G16,'Data Transfer Tables'!$H$113:$I$125,2,FALSE),FALSE),FALSE),
IF($Z16=7,_xlfn.IFNA(VLOOKUP($G16,'Data Transfer Tables'!$H$113:$I$125,2,FALSE),FALSE),FALSE),
IF($Z16=8,_xlfn.IFNA(VLOOKUP($G16,'Data Transfer Tables'!$H$113:$I$125,2,FALSE),FALSE),FALSE),
IF($Z16=9,_xlfn.IFNA(VLOOKUP($G16,'Data Transfer Tables'!$H$113:$I$125,2,FALSE),FALSE),FALSE),
IF($Z16=10,_xlfn.IFNA(VLOOKUP($G16,'Data Transfer Tables'!$H$113:$I$125,2,FALSE),FALSE),FALSE),
IF($Z16=11,_xlfn.IFNA(VLOOKUP($G16,'Data Transfer Tables'!$H$113:$I$125,2,FALSE),FALSE),FALSE),
IF($Z16=12,_xlfn.IFNA(VLOOKUP($G16,'Data Transfer Tables'!$H$113:$I$125,2,FALSE),FALSE),FALSE),
IF($Z16=13,_xlfn.IFNA(VLOOKUP($G16,'Data Transfer Tables'!$H$113:$I$125,2,FALSE),FALSE),FALSE),
IF($Z16=14,_xlfn.IFNA(VLOOKUP($G16,'Data Transfer Tables'!$H$113:$I$125,2,FALSE),FALSE),FALSE),
IF($Z16=15,_xlfn.IFNA(VLOOKUP($G16,'Data Transfer Tables'!$H$113:$I$125,2,FALSE),FALSE),FALSE),
IF($Z16=16,_xlfn.IFNA(VLOOKUP($G16,'Data Transfer Tables'!$H$113:$I$125,2,FALSE),FALSE),FALSE),
IF($Z16=17,_xlfn.IFNA(VLOOKUP($G16,'Data Transfer Tables'!$H$113:$I$125,2,FALSE),FALSE),FALSE),
IF($Z16=18,_xlfn.IFNA(VLOOKUP($G16,'Data Transfer Tables'!$H$113:$I$125,2,FALSE),FALSE),FALSE),
IF($Z16=19,_xlfn.IFNA(VLOOKUP($G16,'Data Transfer Tables'!$H$113:$I$125,2,FALSE),FALSE),FALSE),
IF($Z16=20,_xlfn.IFNA(VLOOKUP($G16,'Data Transfer Tables'!$H$113:$I$125,2,FALSE),FALSE),FALSE),
IF($Z16=21,_xlfn.IFNA(VLOOKUP($G16,'Data Transfer Tables'!$H$113:$I$125,2,FALSE),FALSE),FALSE),
IF($Z16=22,_xlfn.IFNA(VLOOKUP($G16,'Data Transfer Tables'!$H$113:$I$125,2,FALSE),FALSE),FALSE))</f>
        <v>0</v>
      </c>
      <c r="AW16" s="74" t="b">
        <f t="shared" si="4"/>
        <v>1</v>
      </c>
      <c r="AX16" s="74" t="str">
        <f t="shared" si="45"/>
        <v>Data Type/URI Empty</v>
      </c>
      <c r="AY16" s="74" t="str">
        <f t="shared" si="46"/>
        <v>N/A</v>
      </c>
      <c r="AZ16" s="206" t="b">
        <f t="shared" si="5"/>
        <v>1</v>
      </c>
      <c r="BA16" s="206" t="b">
        <f t="shared" si="47"/>
        <v>0</v>
      </c>
      <c r="BB16" s="211" t="b">
        <f t="shared" si="6"/>
        <v>0</v>
      </c>
      <c r="BC16" s="51" t="str">
        <f t="shared" si="48"/>
        <v/>
      </c>
      <c r="BD16" s="51" t="b">
        <f t="shared" si="49"/>
        <v>0</v>
      </c>
      <c r="BE16" s="51" t="b">
        <f t="shared" si="7"/>
        <v>0</v>
      </c>
      <c r="BF16" s="51" t="b">
        <f t="shared" si="8"/>
        <v>0</v>
      </c>
      <c r="BG16" s="51" t="str">
        <f t="shared" si="50"/>
        <v>N/A</v>
      </c>
      <c r="BH16" s="106" t="str">
        <f t="shared" si="9"/>
        <v>N/A</v>
      </c>
      <c r="BI16" s="51" t="str">
        <f t="shared" si="10"/>
        <v>N/A</v>
      </c>
      <c r="BJ16" s="51" t="str">
        <f t="shared" si="11"/>
        <v>N/A</v>
      </c>
      <c r="BK16" s="51" t="str">
        <f t="shared" si="12"/>
        <v>N/A</v>
      </c>
      <c r="BL16" s="51" t="b">
        <f t="shared" si="13"/>
        <v>1</v>
      </c>
      <c r="BM16" s="51" t="b">
        <f t="shared" si="14"/>
        <v>0</v>
      </c>
      <c r="BN16" s="51" t="str">
        <f t="shared" si="51"/>
        <v/>
      </c>
      <c r="BO16" s="51" t="b">
        <f t="shared" si="52"/>
        <v>1</v>
      </c>
      <c r="BP16" s="51" t="str">
        <f t="shared" si="15"/>
        <v>N/A</v>
      </c>
      <c r="BQ16" s="51" t="str">
        <f t="shared" si="16"/>
        <v>N/A</v>
      </c>
      <c r="BR16" s="94" t="b">
        <f t="shared" si="17"/>
        <v>1</v>
      </c>
      <c r="BS16" s="94" t="b">
        <f t="shared" si="18"/>
        <v>1</v>
      </c>
      <c r="BT16" s="94" t="b">
        <f t="shared" si="19"/>
        <v>1</v>
      </c>
      <c r="BU16" s="94" t="b">
        <f t="shared" si="20"/>
        <v>1</v>
      </c>
      <c r="BV16" s="51" t="str">
        <f t="shared" si="53"/>
        <v/>
      </c>
      <c r="BW16" s="51" t="str">
        <f t="shared" si="54"/>
        <v/>
      </c>
      <c r="BX16" s="51" t="b">
        <f t="shared" si="21"/>
        <v>1</v>
      </c>
    </row>
    <row r="17" spans="1:76" s="28" customFormat="1" ht="26.25" thickBot="1" x14ac:dyDescent="0.25">
      <c r="A17" s="63" t="s">
        <v>52</v>
      </c>
      <c r="B17" s="63" t="s">
        <v>44</v>
      </c>
      <c r="C17" s="63" t="s">
        <v>44</v>
      </c>
      <c r="D17" s="63" t="s">
        <v>44</v>
      </c>
      <c r="E17" s="63" t="s">
        <v>44</v>
      </c>
      <c r="F17" s="63" t="s">
        <v>44</v>
      </c>
      <c r="G17" s="63" t="s">
        <v>44</v>
      </c>
      <c r="H17" s="37" t="s">
        <v>53</v>
      </c>
      <c r="I17" s="37" t="s">
        <v>29</v>
      </c>
      <c r="J17" s="37" t="s">
        <v>666</v>
      </c>
      <c r="K17" s="64" t="s">
        <v>20</v>
      </c>
      <c r="L17" s="174" t="b">
        <f t="shared" si="22"/>
        <v>1</v>
      </c>
      <c r="M17" s="174" t="b">
        <f t="shared" si="23"/>
        <v>1</v>
      </c>
      <c r="N17" s="174" t="b">
        <f t="shared" si="24"/>
        <v>1</v>
      </c>
      <c r="S17" s="51" t="b">
        <f t="shared" si="25"/>
        <v>1</v>
      </c>
      <c r="T17" s="94" t="b">
        <f t="shared" si="26"/>
        <v>0</v>
      </c>
      <c r="U17" s="94" t="b">
        <f t="shared" si="27"/>
        <v>0</v>
      </c>
      <c r="V17" s="94" t="b">
        <f t="shared" si="28"/>
        <v>0</v>
      </c>
      <c r="W17" s="94" t="b">
        <f t="shared" si="29"/>
        <v>0</v>
      </c>
      <c r="X17" s="207" t="str">
        <f t="shared" si="30"/>
        <v/>
      </c>
      <c r="Y17" s="51" t="str">
        <f t="shared" si="0"/>
        <v>N/A</v>
      </c>
      <c r="Z17" s="208">
        <f t="shared" si="31"/>
        <v>0</v>
      </c>
      <c r="AA17" s="51" t="b">
        <f t="shared" si="32"/>
        <v>1</v>
      </c>
      <c r="AB17" s="74">
        <f>_xlfn.IFNA(VLOOKUP(B17,'Data Transfer Tables'!$A$111:$B$131,2),0)</f>
        <v>0</v>
      </c>
      <c r="AC17" s="196" t="b">
        <f t="shared" si="33"/>
        <v>0</v>
      </c>
      <c r="AD17" s="74" t="b">
        <f t="shared" si="34"/>
        <v>0</v>
      </c>
      <c r="AE17" s="209" t="b">
        <f t="shared" si="35"/>
        <v>1</v>
      </c>
      <c r="AF17" s="210" t="b">
        <f>OR(IF($Z17=1,_xlfn.IFNA(VLOOKUP($C17,'Data Transfer Tables'!$B$144:$C$153,2,FALSE),FALSE),FALSE),
IF($Z17=2,_xlfn.IFNA(VLOOKUP($C17,'Data Transfer Tables'!$B$158:$C$167,2,FALSE),FALSE),FALSE),
IF($Z17=3,_xlfn.IFNA(VLOOKUP($C17,'Data Transfer Tables'!$B$172:$C$181,2,FALSE),FALSE),FALSE),
IF($Z17=4,_xlfn.IFNA(VLOOKUP($C17,'Data Transfer Tables'!$B$186:$C$195,2,FALSE),FALSE),FALSE),
IF($Z17=5,_xlfn.IFNA(VLOOKUP($C17,'Data Transfer Tables'!$B$200:$C$209,2,FALSE),FALSE),FALSE),
IF($Z17=6,_xlfn.IFNA(VLOOKUP($C17,'Data Transfer Tables'!$B$214:$C$223,2,FALSE),FALSE),FALSE),
IF($Z17=7,_xlfn.IFNA(VLOOKUP($C17,'Data Transfer Tables'!$B$228:$C$237,2,FALSE),FALSE),FALSE),
IF($Z17=8,_xlfn.IFNA(VLOOKUP($C17,'Data Transfer Tables'!$B$242:$C$251,2,FALSE),FALSE),FALSE),
IF($Z17=9,_xlfn.IFNA(VLOOKUP($C17,'Data Transfer Tables'!$B$256:$C$266,2,FALSE),FALSE),FALSE),
IF($Z17=10,_xlfn.IFNA(VLOOKUP($C17,'Data Transfer Tables'!$B$271:$C$281,2,FALSE),FALSE),FALSE),
IF($Z17=11,_xlfn.IFNA(VLOOKUP($C17,'Data Transfer Tables'!$B$286:$C$295,2,FALSE),FALSE),FALSE),
IF($Z17=12,_xlfn.IFNA(VLOOKUP($C17,'Data Transfer Tables'!$B$300:$C$309,2,FALSE),FALSE),FALSE),
IF($Z17=13,_xlfn.IFNA(VLOOKUP($C17,'Data Transfer Tables'!$B$314:$C$323,2,FALSE),FALSE),FALSE),
IF($Z17=14,_xlfn.IFNA(VLOOKUP($C17,'Data Transfer Tables'!$B$328:$C$338,2,FALSE),FALSE),FALSE),
IF($Z17=15,_xlfn.IFNA(VLOOKUP($C17,'Data Transfer Tables'!$B$343:$C$353,2,FALSE),FALSE),FALSE),
IF($Z17=16,_xlfn.IFNA(VLOOKUP($C17,'Data Transfer Tables'!$B$358:$C$369,2,FALSE),FALSE),FALSE),
IF($Z17=17,_xlfn.IFNA(VLOOKUP($C17,'Data Transfer Tables'!$B$374:$C$384,2,FALSE),FALSE),FALSE),
IF($Z17=18,_xlfn.IFNA(VLOOKUP($C17,'Data Transfer Tables'!$B$389:$C$399,2,FALSE),FALSE),FALSE),
IF($Z17=19,_xlfn.IFNA(VLOOKUP($C17,'Data Transfer Tables'!$B$404:$C$414,2,FALSE),FALSE),FALSE),
IF($Z17=20,_xlfn.IFNA(VLOOKUP($C17,'Data Transfer Tables'!$B$419:$C$429,2,FALSE),FALSE),FALSE),
IF($Z17=21,_xlfn.IFNA(VLOOKUP($C17,'Data Transfer Tables'!$B$434:$C$444,2,FALSE),FALSE),FALSE),
IF($Z17=22,_xlfn.IFNA(VLOOKUP($C17,'Data Transfer Tables'!$B$449:$C$459,2,FALSE),FALSE),FALSE))</f>
        <v>0</v>
      </c>
      <c r="AG17" s="210" t="b">
        <f t="shared" si="36"/>
        <v>1</v>
      </c>
      <c r="AH17" s="210" t="str">
        <f t="shared" si="37"/>
        <v>Data Type/Format Empty</v>
      </c>
      <c r="AI17" s="210" t="str">
        <f t="shared" si="38"/>
        <v>N/A</v>
      </c>
      <c r="AJ17" s="146" t="b">
        <f>OR(IF($Z17=1,_xlfn.IFNA(VLOOKUP($D17,'Data Transfer Tables'!$E$144:$G$153,2,FALSE),FALSE),FALSE),
IF($Z17=2,_xlfn.IFNA(VLOOKUP($D17,'Data Transfer Tables'!$E$158:$G$167,2,FALSE),FALSE),FALSE),
IF($Z17=3,_xlfn.IFNA(VLOOKUP($D17,'Data Transfer Tables'!$E$172:$G$181,2,FALSE),FALSE),FALSE),
IF($Z17=4,_xlfn.IFNA(VLOOKUP($D17,'Data Transfer Tables'!$E$186:$G$195,2,FALSE),FALSE),FALSE),
IF($Z17=5,_xlfn.IFNA(VLOOKUP($D17,'Data Transfer Tables'!$E$200:$G$209,2,FALSE),FALSE),FALSE),
IF($Z17=6,_xlfn.IFNA(VLOOKUP($D17,'Data Transfer Tables'!$E$214:$G$223,2,FALSE),FALSE),FALSE),
IF($Z17=7,_xlfn.IFNA(VLOOKUP($D17,'Data Transfer Tables'!$E$228:$G$237,2,FALSE),FALSE),FALSE),
IF($Z17=8,_xlfn.IFNA(VLOOKUP($D17,'Data Transfer Tables'!$E$242:$G$251,2,FALSE),FALSE),FALSE),
IF($Z17=9,_xlfn.IFNA(VLOOKUP($D17,'Data Transfer Tables'!$E$256:$G$266,2,FALSE),FALSE),FALSE),
IF($Z17=10,_xlfn.IFNA(VLOOKUP($D17,'Data Transfer Tables'!$E$271:$G$281,2,FALSE),FALSE),FALSE),
IF($Z17=11,_xlfn.IFNA(VLOOKUP($D17,'Data Transfer Tables'!$E$286:$G$295,2,FALSE),FALSE),FALSE),
IF($Z17=12,_xlfn.IFNA(VLOOKUP($D17,'Data Transfer Tables'!$E$300:$G$309,2,FALSE),FALSE),FALSE),
IF($Z17=13,_xlfn.IFNA(VLOOKUP($D17,'Data Transfer Tables'!$E$314:$G$323,2,FALSE),FALSE),FALSE),
IF($Z17=14,_xlfn.IFNA(VLOOKUP($D17,'Data Transfer Tables'!$E$328:$G$338,2,FALSE),FALSE),FALSE),
IF($Z17=15,_xlfn.IFNA(VLOOKUP($D17,'Data Transfer Tables'!$E$343:$G$353,2,FALSE),FALSE),FALSE),
IF($Z17=16,_xlfn.IFNA(VLOOKUP($D17,'Data Transfer Tables'!$E$358:$G$369,2,FALSE),FALSE),FALSE),
IF($Z17=17,_xlfn.IFNA(VLOOKUP($D17,'Data Transfer Tables'!$E$374:$G$384,2,FALSE),FALSE),FALSE),
IF($Z17=18,_xlfn.IFNA(VLOOKUP($D17,'Data Transfer Tables'!$E$389:$G$399,2,FALSE),FALSE),FALSE),
IF($Z17=19,_xlfn.IFNA(VLOOKUP($D17,'Data Transfer Tables'!$E$404:$G$414,2,FALSE),FALSE),FALSE),
IF($Z17=20,_xlfn.IFNA(VLOOKUP($D17,'Data Transfer Tables'!$E$419:$G$429,2,FALSE),FALSE),FALSE),
IF($Z17=21,_xlfn.IFNA(VLOOKUP($D17,'Data Transfer Tables'!$E$434:$G$444,2,FALSE),FALSE),FALSE),
IF($Z17=22,_xlfn.IFNA(VLOOKUP($D17,'Data Transfer Tables'!$E$449:$G$459,2,FALSE),FALSE),FALSE))</f>
        <v>0</v>
      </c>
      <c r="AK17" s="146" t="b">
        <f t="shared" si="1"/>
        <v>1</v>
      </c>
      <c r="AL17" s="146" t="str">
        <f t="shared" si="39"/>
        <v>Data Type/Exclusive Use Empty</v>
      </c>
      <c r="AM17" s="146" t="str">
        <f t="shared" si="40"/>
        <v>N/A</v>
      </c>
      <c r="AN17" s="145" t="b">
        <f>OR(IF($Z17=1,_xlfn.IFNA(VLOOKUP($E17,'Data Transfer Tables'!$H$144:$I$153,2,FALSE),FALSE),FALSE),
IF($Z17=2,_xlfn.IFNA(VLOOKUP($E17,'Data Transfer Tables'!$H$158:$I$167,2,FALSE),FALSE),FALSE),
IF($Z17=3,_xlfn.IFNA(VLOOKUP($E17,'Data Transfer Tables'!$H$172:$I$181,2,FALSE),FALSE),FALSE),
IF($Z17=4,_xlfn.IFNA(VLOOKUP($E17,'Data Transfer Tables'!$H$186:$I$195,2,FALSE),FALSE),FALSE),
IF($Z17=5,_xlfn.IFNA(VLOOKUP($E17,'Data Transfer Tables'!$H$200:$I$209,2,FALSE),FALSE),FALSE),
IF($Z17=6,_xlfn.IFNA(VLOOKUP($E17,'Data Transfer Tables'!$H$214:$I$223,2,FALSE),FALSE),FALSE),
IF($Z17=7,_xlfn.IFNA(VLOOKUP($E17,'Data Transfer Tables'!$H$228:$I$237,2,FALSE),FALSE),FALSE),
IF($Z17=8,_xlfn.IFNA(VLOOKUP($E17,'Data Transfer Tables'!$H$242:$I$251,2,FALSE),FALSE),FALSE),
IF($Z17=9,_xlfn.IFNA(VLOOKUP($E17,'Data Transfer Tables'!$H$256:$I$266,2,FALSE),FALSE),FALSE),
IF($Z17=10,_xlfn.IFNA(VLOOKUP($E17,'Data Transfer Tables'!$H$271:$I$281,2,FALSE),FALSE),FALSE),
IF($Z17=11,_xlfn.IFNA(VLOOKUP($E17,'Data Transfer Tables'!$H$286:$I$295,2,FALSE),FALSE),FALSE),
IF($Z17=12,_xlfn.IFNA(VLOOKUP($E17,'Data Transfer Tables'!$H$300:$I$309,2,FALSE),FALSE),FALSE),
IF($Z17=13,_xlfn.IFNA(VLOOKUP($E17,'Data Transfer Tables'!$H$314:$I$323,2,FALSE),FALSE),FALSE),
IF($Z17=14,_xlfn.IFNA(VLOOKUP($E17,'Data Transfer Tables'!$H$328:$I$338,2,FALSE),FALSE),FALSE),
IF($Z17=15,_xlfn.IFNA(VLOOKUP($E17,'Data Transfer Tables'!$H$343:$I$353,2,FALSE),FALSE),FALSE),
IF($Z17=16,_xlfn.IFNA(VLOOKUP($E17,'Data Transfer Tables'!$H$358:$I$369,2,FALSE),FALSE),FALSE),
IF($Z17=17,_xlfn.IFNA(VLOOKUP($E17,'Data Transfer Tables'!$H$374:$I$384,2,FALSE),FALSE),FALSE),
IF($Z17=18,_xlfn.IFNA(VLOOKUP($E17,'Data Transfer Tables'!$H$389:$I$399,2,FALSE),FALSE),FALSE),
IF($Z17=19,_xlfn.IFNA(VLOOKUP($E17,'Data Transfer Tables'!$H$404:$I$414,2,FALSE),FALSE),FALSE),
IF($Z17=20,_xlfn.IFNA(VLOOKUP($E17,'Data Transfer Tables'!$H$419:$I$429,2,FALSE),FALSE),FALSE),
IF($Z17=21,_xlfn.IFNA(VLOOKUP($E17,'Data Transfer Tables'!$H$434:$I$444,2,FALSE),FALSE),FALSE),
IF($Z17=22,_xlfn.IFNA(VLOOKUP($E17,'Data Transfer Tables'!$H$449:$I$459,2,FALSE),FALSE),FALSE))</f>
        <v>0</v>
      </c>
      <c r="AO17" s="145" t="b">
        <f t="shared" si="2"/>
        <v>1</v>
      </c>
      <c r="AP17" s="145" t="str">
        <f t="shared" si="41"/>
        <v>Data Type/Shared Read-Only Empty</v>
      </c>
      <c r="AQ17" s="145" t="str">
        <f t="shared" si="42"/>
        <v>N/A</v>
      </c>
      <c r="AR17" s="147" t="b">
        <f>OR(IF($Z17=1,_xlfn.IFNA(VLOOKUP($F17,'Data Transfer Tables'!$K$144:$L$153,2,FALSE),FALSE),FALSE),
IF($Z17=2,_xlfn.IFNA(VLOOKUP($F17,'Data Transfer Tables'!$K$158:$L$167,2,FALSE),FALSE),FALSE),
IF($Z17=3,_xlfn.IFNA(VLOOKUP($F17,'Data Transfer Tables'!$K$172:$L$181,2,FALSE),FALSE),FALSE),
IF($Z17=4,_xlfn.IFNA(VLOOKUP($F17,'Data Transfer Tables'!$K$186:$L$195,2,FALSE),FALSE),FALSE),
IF($Z17=5,_xlfn.IFNA(VLOOKUP($F17,'Data Transfer Tables'!$K$200:$L$209,2,FALSE),FALSE),FALSE),
IF($Z17=6,_xlfn.IFNA(VLOOKUP($F17,'Data Transfer Tables'!$K$214:$L$223,2,FALSE),FALSE),FALSE),
IF($Z17=7,_xlfn.IFNA(VLOOKUP($F17,'Data Transfer Tables'!$K$228:$L$237,2,FALSE),FALSE),FALSE),
IF($Z17=8,_xlfn.IFNA(VLOOKUP($F17,'Data Transfer Tables'!$K$242:$L$251,2,FALSE),FALSE),FALSE),
IF($Z17=9,_xlfn.IFNA(VLOOKUP($F17,'Data Transfer Tables'!$K$256:$L$266,2,FALSE),FALSE),FALSE),
IF($Z17=10,_xlfn.IFNA(VLOOKUP($F17,'Data Transfer Tables'!$K$271:$L$281,2,FALSE),FALSE),FALSE),
IF($Z17=11,_xlfn.IFNA(VLOOKUP($F17,'Data Transfer Tables'!$K$286:$L$295,2,FALSE),FALSE),FALSE),
IF($Z17=12,_xlfn.IFNA(VLOOKUP($F17,'Data Transfer Tables'!$K$300:$L$309,2,FALSE),FALSE),FALSE),
IF($Z17=13,_xlfn.IFNA(VLOOKUP($F17,'Data Transfer Tables'!$K$314:$L$323,2,FALSE),FALSE),FALSE),
IF($Z17=14,_xlfn.IFNA(VLOOKUP($F17,'Data Transfer Tables'!$K$328:$L$338,2,FALSE),FALSE),FALSE),
IF($Z17=15,_xlfn.IFNA(VLOOKUP($F17,'Data Transfer Tables'!$K$343:$L$353,2,FALSE),FALSE),FALSE),
IF($Z17=16,_xlfn.IFNA(VLOOKUP($F17,'Data Transfer Tables'!$K$358:$L$369,2,FALSE),FALSE),FALSE),
IF($Z17=17,_xlfn.IFNA(VLOOKUP($F17,'Data Transfer Tables'!$K$374:$L$384,2,FALSE),FALSE),FALSE),
IF($Z17=18,_xlfn.IFNA(VLOOKUP($F17,'Data Transfer Tables'!$K$389:$L$399,2,FALSE),FALSE),FALSE),
IF($Z17=19,_xlfn.IFNA(VLOOKUP($F17,'Data Transfer Tables'!$K$404:$L$414,2,FALSE),FALSE),FALSE),
IF($Z17=20,_xlfn.IFNA(VLOOKUP($F17,'Data Transfer Tables'!$K$419:$L$429,2,FALSE),FALSE),FALSE),
IF($Z17=21,_xlfn.IFNA(VLOOKUP($F17,'Data Transfer Tables'!$K$434:$L$444,2,FALSE),FALSE),FALSE),
IF($Z17=22,_xlfn.IFNA(VLOOKUP($F17,'Data Transfer Tables'!$K$449:$L$459,2,FALSE),FALSE),FALSE))</f>
        <v>0</v>
      </c>
      <c r="AS17" s="147" t="b">
        <f t="shared" si="3"/>
        <v>1</v>
      </c>
      <c r="AT17" s="147" t="str">
        <f t="shared" si="43"/>
        <v>Data Type/Shared Read/Modify Empty</v>
      </c>
      <c r="AU17" s="147" t="str">
        <f t="shared" si="44"/>
        <v>N/A</v>
      </c>
      <c r="AV17" s="74" t="b">
        <f>OR(IF($Z17=1,_xlfn.IFNA(VLOOKUP($G17,'Data Transfer Tables'!$H$113:$I$125,2,FALSE),FALSE),FALSE),
IF($Z17=2,_xlfn.IFNA(VLOOKUP($G17,'Data Transfer Tables'!$H$113:$I$125,2,FALSE),FALSE),FALSE),
IF($Z17=3,_xlfn.IFNA(VLOOKUP($G17,'Data Transfer Tables'!$H$113:$I$125,2,FALSE),FALSE),FALSE),
IF($Z17=4,_xlfn.IFNA(VLOOKUP($G17,'Data Transfer Tables'!$H$113:$I$125,2,FALSE),FALSE),FALSE),
IF($Z17=5,_xlfn.IFNA(VLOOKUP($G17,'Data Transfer Tables'!$H$113:$I$125,2,FALSE),FALSE),FALSE),
IF($Z17=6,_xlfn.IFNA(VLOOKUP($G17,'Data Transfer Tables'!$H$113:$I$125,2,FALSE),FALSE),FALSE),
IF($Z17=7,_xlfn.IFNA(VLOOKUP($G17,'Data Transfer Tables'!$H$113:$I$125,2,FALSE),FALSE),FALSE),
IF($Z17=8,_xlfn.IFNA(VLOOKUP($G17,'Data Transfer Tables'!$H$113:$I$125,2,FALSE),FALSE),FALSE),
IF($Z17=9,_xlfn.IFNA(VLOOKUP($G17,'Data Transfer Tables'!$H$113:$I$125,2,FALSE),FALSE),FALSE),
IF($Z17=10,_xlfn.IFNA(VLOOKUP($G17,'Data Transfer Tables'!$H$113:$I$125,2,FALSE),FALSE),FALSE),
IF($Z17=11,_xlfn.IFNA(VLOOKUP($G17,'Data Transfer Tables'!$H$113:$I$125,2,FALSE),FALSE),FALSE),
IF($Z17=12,_xlfn.IFNA(VLOOKUP($G17,'Data Transfer Tables'!$H$113:$I$125,2,FALSE),FALSE),FALSE),
IF($Z17=13,_xlfn.IFNA(VLOOKUP($G17,'Data Transfer Tables'!$H$113:$I$125,2,FALSE),FALSE),FALSE),
IF($Z17=14,_xlfn.IFNA(VLOOKUP($G17,'Data Transfer Tables'!$H$113:$I$125,2,FALSE),FALSE),FALSE),
IF($Z17=15,_xlfn.IFNA(VLOOKUP($G17,'Data Transfer Tables'!$H$113:$I$125,2,FALSE),FALSE),FALSE),
IF($Z17=16,_xlfn.IFNA(VLOOKUP($G17,'Data Transfer Tables'!$H$113:$I$125,2,FALSE),FALSE),FALSE),
IF($Z17=17,_xlfn.IFNA(VLOOKUP($G17,'Data Transfer Tables'!$H$113:$I$125,2,FALSE),FALSE),FALSE),
IF($Z17=18,_xlfn.IFNA(VLOOKUP($G17,'Data Transfer Tables'!$H$113:$I$125,2,FALSE),FALSE),FALSE),
IF($Z17=19,_xlfn.IFNA(VLOOKUP($G17,'Data Transfer Tables'!$H$113:$I$125,2,FALSE),FALSE),FALSE),
IF($Z17=20,_xlfn.IFNA(VLOOKUP($G17,'Data Transfer Tables'!$H$113:$I$125,2,FALSE),FALSE),FALSE),
IF($Z17=21,_xlfn.IFNA(VLOOKUP($G17,'Data Transfer Tables'!$H$113:$I$125,2,FALSE),FALSE),FALSE),
IF($Z17=22,_xlfn.IFNA(VLOOKUP($G17,'Data Transfer Tables'!$H$113:$I$125,2,FALSE),FALSE),FALSE))</f>
        <v>0</v>
      </c>
      <c r="AW17" s="74" t="b">
        <f t="shared" si="4"/>
        <v>1</v>
      </c>
      <c r="AX17" s="74" t="str">
        <f t="shared" si="45"/>
        <v>Data Type/URI Empty</v>
      </c>
      <c r="AY17" s="74" t="str">
        <f t="shared" si="46"/>
        <v>N/A</v>
      </c>
      <c r="AZ17" s="206" t="b">
        <f t="shared" si="5"/>
        <v>1</v>
      </c>
      <c r="BA17" s="206" t="b">
        <f t="shared" si="47"/>
        <v>0</v>
      </c>
      <c r="BB17" s="211" t="b">
        <f t="shared" si="6"/>
        <v>0</v>
      </c>
      <c r="BC17" s="51" t="str">
        <f t="shared" si="48"/>
        <v/>
      </c>
      <c r="BD17" s="51" t="b">
        <f t="shared" si="49"/>
        <v>0</v>
      </c>
      <c r="BE17" s="51" t="b">
        <f t="shared" si="7"/>
        <v>0</v>
      </c>
      <c r="BF17" s="51" t="b">
        <f t="shared" si="8"/>
        <v>0</v>
      </c>
      <c r="BG17" s="51" t="str">
        <f t="shared" si="50"/>
        <v>N/A</v>
      </c>
      <c r="BH17" s="106" t="str">
        <f t="shared" si="9"/>
        <v>N/A</v>
      </c>
      <c r="BI17" s="51" t="str">
        <f t="shared" si="10"/>
        <v>N/A</v>
      </c>
      <c r="BJ17" s="51" t="str">
        <f t="shared" si="11"/>
        <v>N/A</v>
      </c>
      <c r="BK17" s="51" t="str">
        <f t="shared" si="12"/>
        <v>N/A</v>
      </c>
      <c r="BL17" s="51" t="b">
        <f t="shared" si="13"/>
        <v>1</v>
      </c>
      <c r="BM17" s="51" t="b">
        <f t="shared" si="14"/>
        <v>0</v>
      </c>
      <c r="BN17" s="51" t="str">
        <f t="shared" si="51"/>
        <v/>
      </c>
      <c r="BO17" s="51" t="b">
        <f t="shared" si="52"/>
        <v>1</v>
      </c>
      <c r="BP17" s="51" t="str">
        <f t="shared" si="15"/>
        <v>N/A</v>
      </c>
      <c r="BQ17" s="51" t="str">
        <f t="shared" si="16"/>
        <v>N/A</v>
      </c>
      <c r="BR17" s="94" t="b">
        <f t="shared" si="17"/>
        <v>1</v>
      </c>
      <c r="BS17" s="94" t="b">
        <f t="shared" si="18"/>
        <v>1</v>
      </c>
      <c r="BT17" s="94" t="b">
        <f t="shared" si="19"/>
        <v>1</v>
      </c>
      <c r="BU17" s="94" t="b">
        <f t="shared" si="20"/>
        <v>1</v>
      </c>
      <c r="BV17" s="51" t="str">
        <f t="shared" si="53"/>
        <v/>
      </c>
      <c r="BW17" s="51" t="str">
        <f t="shared" si="54"/>
        <v/>
      </c>
      <c r="BX17" s="51" t="b">
        <f t="shared" si="21"/>
        <v>1</v>
      </c>
    </row>
    <row r="18" spans="1:76" s="28" customFormat="1" ht="26.25" thickBot="1" x14ac:dyDescent="0.25">
      <c r="A18" s="63" t="s">
        <v>52</v>
      </c>
      <c r="B18" s="63" t="s">
        <v>44</v>
      </c>
      <c r="C18" s="63" t="s">
        <v>44</v>
      </c>
      <c r="D18" s="63" t="s">
        <v>44</v>
      </c>
      <c r="E18" s="63" t="s">
        <v>44</v>
      </c>
      <c r="F18" s="63" t="s">
        <v>44</v>
      </c>
      <c r="G18" s="63" t="s">
        <v>44</v>
      </c>
      <c r="H18" s="37" t="s">
        <v>53</v>
      </c>
      <c r="I18" s="37" t="s">
        <v>29</v>
      </c>
      <c r="J18" s="37" t="s">
        <v>666</v>
      </c>
      <c r="K18" s="64" t="s">
        <v>20</v>
      </c>
      <c r="L18" s="174" t="b">
        <f t="shared" si="22"/>
        <v>1</v>
      </c>
      <c r="M18" s="174" t="b">
        <f t="shared" si="23"/>
        <v>1</v>
      </c>
      <c r="N18" s="174" t="b">
        <f t="shared" si="24"/>
        <v>1</v>
      </c>
      <c r="S18" s="51" t="b">
        <f t="shared" si="25"/>
        <v>1</v>
      </c>
      <c r="T18" s="94" t="b">
        <f t="shared" si="26"/>
        <v>0</v>
      </c>
      <c r="U18" s="94" t="b">
        <f t="shared" si="27"/>
        <v>0</v>
      </c>
      <c r="V18" s="94" t="b">
        <f t="shared" si="28"/>
        <v>0</v>
      </c>
      <c r="W18" s="94" t="b">
        <f t="shared" si="29"/>
        <v>0</v>
      </c>
      <c r="X18" s="207" t="str">
        <f t="shared" si="30"/>
        <v/>
      </c>
      <c r="Y18" s="51" t="str">
        <f t="shared" si="0"/>
        <v>N/A</v>
      </c>
      <c r="Z18" s="208">
        <f t="shared" si="31"/>
        <v>0</v>
      </c>
      <c r="AA18" s="51" t="b">
        <f t="shared" si="32"/>
        <v>1</v>
      </c>
      <c r="AB18" s="74">
        <f>_xlfn.IFNA(VLOOKUP(B18,'Data Transfer Tables'!$A$111:$B$131,2),0)</f>
        <v>0</v>
      </c>
      <c r="AC18" s="196" t="b">
        <f t="shared" si="33"/>
        <v>0</v>
      </c>
      <c r="AD18" s="74" t="b">
        <f t="shared" si="34"/>
        <v>0</v>
      </c>
      <c r="AE18" s="209" t="b">
        <f t="shared" si="35"/>
        <v>1</v>
      </c>
      <c r="AF18" s="210" t="b">
        <f>OR(IF($Z18=1,_xlfn.IFNA(VLOOKUP($C18,'Data Transfer Tables'!$B$144:$C$153,2,FALSE),FALSE),FALSE),
IF($Z18=2,_xlfn.IFNA(VLOOKUP($C18,'Data Transfer Tables'!$B$158:$C$167,2,FALSE),FALSE),FALSE),
IF($Z18=3,_xlfn.IFNA(VLOOKUP($C18,'Data Transfer Tables'!$B$172:$C$181,2,FALSE),FALSE),FALSE),
IF($Z18=4,_xlfn.IFNA(VLOOKUP($C18,'Data Transfer Tables'!$B$186:$C$195,2,FALSE),FALSE),FALSE),
IF($Z18=5,_xlfn.IFNA(VLOOKUP($C18,'Data Transfer Tables'!$B$200:$C$209,2,FALSE),FALSE),FALSE),
IF($Z18=6,_xlfn.IFNA(VLOOKUP($C18,'Data Transfer Tables'!$B$214:$C$223,2,FALSE),FALSE),FALSE),
IF($Z18=7,_xlfn.IFNA(VLOOKUP($C18,'Data Transfer Tables'!$B$228:$C$237,2,FALSE),FALSE),FALSE),
IF($Z18=8,_xlfn.IFNA(VLOOKUP($C18,'Data Transfer Tables'!$B$242:$C$251,2,FALSE),FALSE),FALSE),
IF($Z18=9,_xlfn.IFNA(VLOOKUP($C18,'Data Transfer Tables'!$B$256:$C$266,2,FALSE),FALSE),FALSE),
IF($Z18=10,_xlfn.IFNA(VLOOKUP($C18,'Data Transfer Tables'!$B$271:$C$281,2,FALSE),FALSE),FALSE),
IF($Z18=11,_xlfn.IFNA(VLOOKUP($C18,'Data Transfer Tables'!$B$286:$C$295,2,FALSE),FALSE),FALSE),
IF($Z18=12,_xlfn.IFNA(VLOOKUP($C18,'Data Transfer Tables'!$B$300:$C$309,2,FALSE),FALSE),FALSE),
IF($Z18=13,_xlfn.IFNA(VLOOKUP($C18,'Data Transfer Tables'!$B$314:$C$323,2,FALSE),FALSE),FALSE),
IF($Z18=14,_xlfn.IFNA(VLOOKUP($C18,'Data Transfer Tables'!$B$328:$C$338,2,FALSE),FALSE),FALSE),
IF($Z18=15,_xlfn.IFNA(VLOOKUP($C18,'Data Transfer Tables'!$B$343:$C$353,2,FALSE),FALSE),FALSE),
IF($Z18=16,_xlfn.IFNA(VLOOKUP($C18,'Data Transfer Tables'!$B$358:$C$369,2,FALSE),FALSE),FALSE),
IF($Z18=17,_xlfn.IFNA(VLOOKUP($C18,'Data Transfer Tables'!$B$374:$C$384,2,FALSE),FALSE),FALSE),
IF($Z18=18,_xlfn.IFNA(VLOOKUP($C18,'Data Transfer Tables'!$B$389:$C$399,2,FALSE),FALSE),FALSE),
IF($Z18=19,_xlfn.IFNA(VLOOKUP($C18,'Data Transfer Tables'!$B$404:$C$414,2,FALSE),FALSE),FALSE),
IF($Z18=20,_xlfn.IFNA(VLOOKUP($C18,'Data Transfer Tables'!$B$419:$C$429,2,FALSE),FALSE),FALSE),
IF($Z18=21,_xlfn.IFNA(VLOOKUP($C18,'Data Transfer Tables'!$B$434:$C$444,2,FALSE),FALSE),FALSE),
IF($Z18=22,_xlfn.IFNA(VLOOKUP($C18,'Data Transfer Tables'!$B$449:$C$459,2,FALSE),FALSE),FALSE))</f>
        <v>0</v>
      </c>
      <c r="AG18" s="210" t="b">
        <f t="shared" si="36"/>
        <v>1</v>
      </c>
      <c r="AH18" s="210" t="str">
        <f t="shared" si="37"/>
        <v>Data Type/Format Empty</v>
      </c>
      <c r="AI18" s="210" t="str">
        <f t="shared" si="38"/>
        <v>N/A</v>
      </c>
      <c r="AJ18" s="146" t="b">
        <f>OR(IF($Z18=1,_xlfn.IFNA(VLOOKUP($D18,'Data Transfer Tables'!$E$144:$G$153,2,FALSE),FALSE),FALSE),
IF($Z18=2,_xlfn.IFNA(VLOOKUP($D18,'Data Transfer Tables'!$E$158:$G$167,2,FALSE),FALSE),FALSE),
IF($Z18=3,_xlfn.IFNA(VLOOKUP($D18,'Data Transfer Tables'!$E$172:$G$181,2,FALSE),FALSE),FALSE),
IF($Z18=4,_xlfn.IFNA(VLOOKUP($D18,'Data Transfer Tables'!$E$186:$G$195,2,FALSE),FALSE),FALSE),
IF($Z18=5,_xlfn.IFNA(VLOOKUP($D18,'Data Transfer Tables'!$E$200:$G$209,2,FALSE),FALSE),FALSE),
IF($Z18=6,_xlfn.IFNA(VLOOKUP($D18,'Data Transfer Tables'!$E$214:$G$223,2,FALSE),FALSE),FALSE),
IF($Z18=7,_xlfn.IFNA(VLOOKUP($D18,'Data Transfer Tables'!$E$228:$G$237,2,FALSE),FALSE),FALSE),
IF($Z18=8,_xlfn.IFNA(VLOOKUP($D18,'Data Transfer Tables'!$E$242:$G$251,2,FALSE),FALSE),FALSE),
IF($Z18=9,_xlfn.IFNA(VLOOKUP($D18,'Data Transfer Tables'!$E$256:$G$266,2,FALSE),FALSE),FALSE),
IF($Z18=10,_xlfn.IFNA(VLOOKUP($D18,'Data Transfer Tables'!$E$271:$G$281,2,FALSE),FALSE),FALSE),
IF($Z18=11,_xlfn.IFNA(VLOOKUP($D18,'Data Transfer Tables'!$E$286:$G$295,2,FALSE),FALSE),FALSE),
IF($Z18=12,_xlfn.IFNA(VLOOKUP($D18,'Data Transfer Tables'!$E$300:$G$309,2,FALSE),FALSE),FALSE),
IF($Z18=13,_xlfn.IFNA(VLOOKUP($D18,'Data Transfer Tables'!$E$314:$G$323,2,FALSE),FALSE),FALSE),
IF($Z18=14,_xlfn.IFNA(VLOOKUP($D18,'Data Transfer Tables'!$E$328:$G$338,2,FALSE),FALSE),FALSE),
IF($Z18=15,_xlfn.IFNA(VLOOKUP($D18,'Data Transfer Tables'!$E$343:$G$353,2,FALSE),FALSE),FALSE),
IF($Z18=16,_xlfn.IFNA(VLOOKUP($D18,'Data Transfer Tables'!$E$358:$G$369,2,FALSE),FALSE),FALSE),
IF($Z18=17,_xlfn.IFNA(VLOOKUP($D18,'Data Transfer Tables'!$E$374:$G$384,2,FALSE),FALSE),FALSE),
IF($Z18=18,_xlfn.IFNA(VLOOKUP($D18,'Data Transfer Tables'!$E$389:$G$399,2,FALSE),FALSE),FALSE),
IF($Z18=19,_xlfn.IFNA(VLOOKUP($D18,'Data Transfer Tables'!$E$404:$G$414,2,FALSE),FALSE),FALSE),
IF($Z18=20,_xlfn.IFNA(VLOOKUP($D18,'Data Transfer Tables'!$E$419:$G$429,2,FALSE),FALSE),FALSE),
IF($Z18=21,_xlfn.IFNA(VLOOKUP($D18,'Data Transfer Tables'!$E$434:$G$444,2,FALSE),FALSE),FALSE),
IF($Z18=22,_xlfn.IFNA(VLOOKUP($D18,'Data Transfer Tables'!$E$449:$G$459,2,FALSE),FALSE),FALSE))</f>
        <v>0</v>
      </c>
      <c r="AK18" s="146" t="b">
        <f t="shared" si="1"/>
        <v>1</v>
      </c>
      <c r="AL18" s="146" t="str">
        <f t="shared" si="39"/>
        <v>Data Type/Exclusive Use Empty</v>
      </c>
      <c r="AM18" s="146" t="str">
        <f t="shared" si="40"/>
        <v>N/A</v>
      </c>
      <c r="AN18" s="145" t="b">
        <f>OR(IF($Z18=1,_xlfn.IFNA(VLOOKUP($E18,'Data Transfer Tables'!$H$144:$I$153,2,FALSE),FALSE),FALSE),
IF($Z18=2,_xlfn.IFNA(VLOOKUP($E18,'Data Transfer Tables'!$H$158:$I$167,2,FALSE),FALSE),FALSE),
IF($Z18=3,_xlfn.IFNA(VLOOKUP($E18,'Data Transfer Tables'!$H$172:$I$181,2,FALSE),FALSE),FALSE),
IF($Z18=4,_xlfn.IFNA(VLOOKUP($E18,'Data Transfer Tables'!$H$186:$I$195,2,FALSE),FALSE),FALSE),
IF($Z18=5,_xlfn.IFNA(VLOOKUP($E18,'Data Transfer Tables'!$H$200:$I$209,2,FALSE),FALSE),FALSE),
IF($Z18=6,_xlfn.IFNA(VLOOKUP($E18,'Data Transfer Tables'!$H$214:$I$223,2,FALSE),FALSE),FALSE),
IF($Z18=7,_xlfn.IFNA(VLOOKUP($E18,'Data Transfer Tables'!$H$228:$I$237,2,FALSE),FALSE),FALSE),
IF($Z18=8,_xlfn.IFNA(VLOOKUP($E18,'Data Transfer Tables'!$H$242:$I$251,2,FALSE),FALSE),FALSE),
IF($Z18=9,_xlfn.IFNA(VLOOKUP($E18,'Data Transfer Tables'!$H$256:$I$266,2,FALSE),FALSE),FALSE),
IF($Z18=10,_xlfn.IFNA(VLOOKUP($E18,'Data Transfer Tables'!$H$271:$I$281,2,FALSE),FALSE),FALSE),
IF($Z18=11,_xlfn.IFNA(VLOOKUP($E18,'Data Transfer Tables'!$H$286:$I$295,2,FALSE),FALSE),FALSE),
IF($Z18=12,_xlfn.IFNA(VLOOKUP($E18,'Data Transfer Tables'!$H$300:$I$309,2,FALSE),FALSE),FALSE),
IF($Z18=13,_xlfn.IFNA(VLOOKUP($E18,'Data Transfer Tables'!$H$314:$I$323,2,FALSE),FALSE),FALSE),
IF($Z18=14,_xlfn.IFNA(VLOOKUP($E18,'Data Transfer Tables'!$H$328:$I$338,2,FALSE),FALSE),FALSE),
IF($Z18=15,_xlfn.IFNA(VLOOKUP($E18,'Data Transfer Tables'!$H$343:$I$353,2,FALSE),FALSE),FALSE),
IF($Z18=16,_xlfn.IFNA(VLOOKUP($E18,'Data Transfer Tables'!$H$358:$I$369,2,FALSE),FALSE),FALSE),
IF($Z18=17,_xlfn.IFNA(VLOOKUP($E18,'Data Transfer Tables'!$H$374:$I$384,2,FALSE),FALSE),FALSE),
IF($Z18=18,_xlfn.IFNA(VLOOKUP($E18,'Data Transfer Tables'!$H$389:$I$399,2,FALSE),FALSE),FALSE),
IF($Z18=19,_xlfn.IFNA(VLOOKUP($E18,'Data Transfer Tables'!$H$404:$I$414,2,FALSE),FALSE),FALSE),
IF($Z18=20,_xlfn.IFNA(VLOOKUP($E18,'Data Transfer Tables'!$H$419:$I$429,2,FALSE),FALSE),FALSE),
IF($Z18=21,_xlfn.IFNA(VLOOKUP($E18,'Data Transfer Tables'!$H$434:$I$444,2,FALSE),FALSE),FALSE),
IF($Z18=22,_xlfn.IFNA(VLOOKUP($E18,'Data Transfer Tables'!$H$449:$I$459,2,FALSE),FALSE),FALSE))</f>
        <v>0</v>
      </c>
      <c r="AO18" s="145" t="b">
        <f t="shared" si="2"/>
        <v>1</v>
      </c>
      <c r="AP18" s="145" t="str">
        <f t="shared" si="41"/>
        <v>Data Type/Shared Read-Only Empty</v>
      </c>
      <c r="AQ18" s="145" t="str">
        <f t="shared" si="42"/>
        <v>N/A</v>
      </c>
      <c r="AR18" s="147" t="b">
        <f>OR(IF($Z18=1,_xlfn.IFNA(VLOOKUP($F18,'Data Transfer Tables'!$K$144:$L$153,2,FALSE),FALSE),FALSE),
IF($Z18=2,_xlfn.IFNA(VLOOKUP($F18,'Data Transfer Tables'!$K$158:$L$167,2,FALSE),FALSE),FALSE),
IF($Z18=3,_xlfn.IFNA(VLOOKUP($F18,'Data Transfer Tables'!$K$172:$L$181,2,FALSE),FALSE),FALSE),
IF($Z18=4,_xlfn.IFNA(VLOOKUP($F18,'Data Transfer Tables'!$K$186:$L$195,2,FALSE),FALSE),FALSE),
IF($Z18=5,_xlfn.IFNA(VLOOKUP($F18,'Data Transfer Tables'!$K$200:$L$209,2,FALSE),FALSE),FALSE),
IF($Z18=6,_xlfn.IFNA(VLOOKUP($F18,'Data Transfer Tables'!$K$214:$L$223,2,FALSE),FALSE),FALSE),
IF($Z18=7,_xlfn.IFNA(VLOOKUP($F18,'Data Transfer Tables'!$K$228:$L$237,2,FALSE),FALSE),FALSE),
IF($Z18=8,_xlfn.IFNA(VLOOKUP($F18,'Data Transfer Tables'!$K$242:$L$251,2,FALSE),FALSE),FALSE),
IF($Z18=9,_xlfn.IFNA(VLOOKUP($F18,'Data Transfer Tables'!$K$256:$L$266,2,FALSE),FALSE),FALSE),
IF($Z18=10,_xlfn.IFNA(VLOOKUP($F18,'Data Transfer Tables'!$K$271:$L$281,2,FALSE),FALSE),FALSE),
IF($Z18=11,_xlfn.IFNA(VLOOKUP($F18,'Data Transfer Tables'!$K$286:$L$295,2,FALSE),FALSE),FALSE),
IF($Z18=12,_xlfn.IFNA(VLOOKUP($F18,'Data Transfer Tables'!$K$300:$L$309,2,FALSE),FALSE),FALSE),
IF($Z18=13,_xlfn.IFNA(VLOOKUP($F18,'Data Transfer Tables'!$K$314:$L$323,2,FALSE),FALSE),FALSE),
IF($Z18=14,_xlfn.IFNA(VLOOKUP($F18,'Data Transfer Tables'!$K$328:$L$338,2,FALSE),FALSE),FALSE),
IF($Z18=15,_xlfn.IFNA(VLOOKUP($F18,'Data Transfer Tables'!$K$343:$L$353,2,FALSE),FALSE),FALSE),
IF($Z18=16,_xlfn.IFNA(VLOOKUP($F18,'Data Transfer Tables'!$K$358:$L$369,2,FALSE),FALSE),FALSE),
IF($Z18=17,_xlfn.IFNA(VLOOKUP($F18,'Data Transfer Tables'!$K$374:$L$384,2,FALSE),FALSE),FALSE),
IF($Z18=18,_xlfn.IFNA(VLOOKUP($F18,'Data Transfer Tables'!$K$389:$L$399,2,FALSE),FALSE),FALSE),
IF($Z18=19,_xlfn.IFNA(VLOOKUP($F18,'Data Transfer Tables'!$K$404:$L$414,2,FALSE),FALSE),FALSE),
IF($Z18=20,_xlfn.IFNA(VLOOKUP($F18,'Data Transfer Tables'!$K$419:$L$429,2,FALSE),FALSE),FALSE),
IF($Z18=21,_xlfn.IFNA(VLOOKUP($F18,'Data Transfer Tables'!$K$434:$L$444,2,FALSE),FALSE),FALSE),
IF($Z18=22,_xlfn.IFNA(VLOOKUP($F18,'Data Transfer Tables'!$K$449:$L$459,2,FALSE),FALSE),FALSE))</f>
        <v>0</v>
      </c>
      <c r="AS18" s="147" t="b">
        <f t="shared" si="3"/>
        <v>1</v>
      </c>
      <c r="AT18" s="147" t="str">
        <f t="shared" si="43"/>
        <v>Data Type/Shared Read/Modify Empty</v>
      </c>
      <c r="AU18" s="147" t="str">
        <f t="shared" si="44"/>
        <v>N/A</v>
      </c>
      <c r="AV18" s="74" t="b">
        <f>OR(IF($Z18=1,_xlfn.IFNA(VLOOKUP($G18,'Data Transfer Tables'!$H$113:$I$125,2,FALSE),FALSE),FALSE),
IF($Z18=2,_xlfn.IFNA(VLOOKUP($G18,'Data Transfer Tables'!$H$113:$I$125,2,FALSE),FALSE),FALSE),
IF($Z18=3,_xlfn.IFNA(VLOOKUP($G18,'Data Transfer Tables'!$H$113:$I$125,2,FALSE),FALSE),FALSE),
IF($Z18=4,_xlfn.IFNA(VLOOKUP($G18,'Data Transfer Tables'!$H$113:$I$125,2,FALSE),FALSE),FALSE),
IF($Z18=5,_xlfn.IFNA(VLOOKUP($G18,'Data Transfer Tables'!$H$113:$I$125,2,FALSE),FALSE),FALSE),
IF($Z18=6,_xlfn.IFNA(VLOOKUP($G18,'Data Transfer Tables'!$H$113:$I$125,2,FALSE),FALSE),FALSE),
IF($Z18=7,_xlfn.IFNA(VLOOKUP($G18,'Data Transfer Tables'!$H$113:$I$125,2,FALSE),FALSE),FALSE),
IF($Z18=8,_xlfn.IFNA(VLOOKUP($G18,'Data Transfer Tables'!$H$113:$I$125,2,FALSE),FALSE),FALSE),
IF($Z18=9,_xlfn.IFNA(VLOOKUP($G18,'Data Transfer Tables'!$H$113:$I$125,2,FALSE),FALSE),FALSE),
IF($Z18=10,_xlfn.IFNA(VLOOKUP($G18,'Data Transfer Tables'!$H$113:$I$125,2,FALSE),FALSE),FALSE),
IF($Z18=11,_xlfn.IFNA(VLOOKUP($G18,'Data Transfer Tables'!$H$113:$I$125,2,FALSE),FALSE),FALSE),
IF($Z18=12,_xlfn.IFNA(VLOOKUP($G18,'Data Transfer Tables'!$H$113:$I$125,2,FALSE),FALSE),FALSE),
IF($Z18=13,_xlfn.IFNA(VLOOKUP($G18,'Data Transfer Tables'!$H$113:$I$125,2,FALSE),FALSE),FALSE),
IF($Z18=14,_xlfn.IFNA(VLOOKUP($G18,'Data Transfer Tables'!$H$113:$I$125,2,FALSE),FALSE),FALSE),
IF($Z18=15,_xlfn.IFNA(VLOOKUP($G18,'Data Transfer Tables'!$H$113:$I$125,2,FALSE),FALSE),FALSE),
IF($Z18=16,_xlfn.IFNA(VLOOKUP($G18,'Data Transfer Tables'!$H$113:$I$125,2,FALSE),FALSE),FALSE),
IF($Z18=17,_xlfn.IFNA(VLOOKUP($G18,'Data Transfer Tables'!$H$113:$I$125,2,FALSE),FALSE),FALSE),
IF($Z18=18,_xlfn.IFNA(VLOOKUP($G18,'Data Transfer Tables'!$H$113:$I$125,2,FALSE),FALSE),FALSE),
IF($Z18=19,_xlfn.IFNA(VLOOKUP($G18,'Data Transfer Tables'!$H$113:$I$125,2,FALSE),FALSE),FALSE),
IF($Z18=20,_xlfn.IFNA(VLOOKUP($G18,'Data Transfer Tables'!$H$113:$I$125,2,FALSE),FALSE),FALSE),
IF($Z18=21,_xlfn.IFNA(VLOOKUP($G18,'Data Transfer Tables'!$H$113:$I$125,2,FALSE),FALSE),FALSE),
IF($Z18=22,_xlfn.IFNA(VLOOKUP($G18,'Data Transfer Tables'!$H$113:$I$125,2,FALSE),FALSE),FALSE))</f>
        <v>0</v>
      </c>
      <c r="AW18" s="74" t="b">
        <f t="shared" si="4"/>
        <v>1</v>
      </c>
      <c r="AX18" s="74" t="str">
        <f t="shared" si="45"/>
        <v>Data Type/URI Empty</v>
      </c>
      <c r="AY18" s="74" t="str">
        <f t="shared" si="46"/>
        <v>N/A</v>
      </c>
      <c r="AZ18" s="206" t="b">
        <f t="shared" si="5"/>
        <v>1</v>
      </c>
      <c r="BA18" s="206" t="b">
        <f t="shared" si="47"/>
        <v>0</v>
      </c>
      <c r="BB18" s="211" t="b">
        <f t="shared" si="6"/>
        <v>0</v>
      </c>
      <c r="BC18" s="51" t="str">
        <f t="shared" si="48"/>
        <v/>
      </c>
      <c r="BD18" s="51" t="b">
        <f t="shared" si="49"/>
        <v>0</v>
      </c>
      <c r="BE18" s="51" t="b">
        <f t="shared" si="7"/>
        <v>0</v>
      </c>
      <c r="BF18" s="51" t="b">
        <f t="shared" si="8"/>
        <v>0</v>
      </c>
      <c r="BG18" s="51" t="str">
        <f t="shared" si="50"/>
        <v>N/A</v>
      </c>
      <c r="BH18" s="106" t="str">
        <f t="shared" si="9"/>
        <v>N/A</v>
      </c>
      <c r="BI18" s="51" t="str">
        <f t="shared" si="10"/>
        <v>N/A</v>
      </c>
      <c r="BJ18" s="51" t="str">
        <f t="shared" si="11"/>
        <v>N/A</v>
      </c>
      <c r="BK18" s="51" t="str">
        <f t="shared" si="12"/>
        <v>N/A</v>
      </c>
      <c r="BL18" s="51" t="b">
        <f t="shared" si="13"/>
        <v>1</v>
      </c>
      <c r="BM18" s="51" t="b">
        <f t="shared" si="14"/>
        <v>0</v>
      </c>
      <c r="BN18" s="51" t="str">
        <f t="shared" si="51"/>
        <v/>
      </c>
      <c r="BO18" s="51" t="b">
        <f t="shared" si="52"/>
        <v>1</v>
      </c>
      <c r="BP18" s="51" t="str">
        <f t="shared" si="15"/>
        <v>N/A</v>
      </c>
      <c r="BQ18" s="51" t="str">
        <f t="shared" si="16"/>
        <v>N/A</v>
      </c>
      <c r="BR18" s="94" t="b">
        <f t="shared" si="17"/>
        <v>1</v>
      </c>
      <c r="BS18" s="94" t="b">
        <f t="shared" si="18"/>
        <v>1</v>
      </c>
      <c r="BT18" s="94" t="b">
        <f t="shared" si="19"/>
        <v>1</v>
      </c>
      <c r="BU18" s="94" t="b">
        <f t="shared" si="20"/>
        <v>1</v>
      </c>
      <c r="BV18" s="51" t="str">
        <f t="shared" ref="BV18:BW18" si="55">IF(BI18=TRUE,TRUE, IF(BI18="N/A", "", FALSE))</f>
        <v/>
      </c>
      <c r="BW18" s="51" t="str">
        <f t="shared" si="55"/>
        <v/>
      </c>
      <c r="BX18" s="51" t="b">
        <f t="shared" si="21"/>
        <v>1</v>
      </c>
    </row>
    <row r="19" spans="1:76" x14ac:dyDescent="0.2">
      <c r="H19" s="48"/>
      <c r="I19" s="48"/>
      <c r="J19" s="48"/>
      <c r="K19" s="48"/>
      <c r="Z19" s="148"/>
    </row>
    <row r="20" spans="1:76" x14ac:dyDescent="0.2">
      <c r="H20" s="75"/>
      <c r="I20" s="75"/>
      <c r="J20" s="75"/>
      <c r="K20" s="75"/>
      <c r="Z20" s="148"/>
      <c r="AH20" s="148"/>
      <c r="AI20" s="148"/>
      <c r="AJ20" s="148"/>
      <c r="AK20" s="148"/>
    </row>
    <row r="21" spans="1:76" s="52" customFormat="1" x14ac:dyDescent="0.2">
      <c r="A21" s="75" t="s">
        <v>207</v>
      </c>
      <c r="B21" s="75"/>
      <c r="C21" s="75"/>
      <c r="D21" s="75"/>
      <c r="E21" s="75"/>
      <c r="F21" s="75"/>
      <c r="H21" s="61"/>
      <c r="I21" s="61"/>
      <c r="J21" s="61"/>
      <c r="K21" s="61"/>
      <c r="P21" s="51"/>
      <c r="Q21" s="51"/>
      <c r="R21" s="51"/>
      <c r="S21" s="51"/>
      <c r="T21" s="51"/>
      <c r="U21" s="51"/>
      <c r="V21" s="51"/>
      <c r="W21" s="51"/>
      <c r="X21" s="148"/>
      <c r="Y21" s="148"/>
      <c r="Z21" s="148"/>
      <c r="AA21" s="148"/>
      <c r="AB21" s="148"/>
      <c r="AC21" s="148"/>
      <c r="AD21" s="148"/>
      <c r="AE21" s="148"/>
      <c r="AF21" s="148"/>
      <c r="AG21" s="148"/>
      <c r="AH21" s="148"/>
      <c r="AI21" s="148"/>
      <c r="AJ21" s="148"/>
      <c r="AK21" s="148"/>
      <c r="AL21" s="148"/>
      <c r="AM21" s="148"/>
      <c r="AN21" s="148"/>
      <c r="AO21" s="148"/>
      <c r="AP21" s="148"/>
      <c r="AQ21" s="148"/>
      <c r="AR21" s="148"/>
      <c r="AS21" s="148"/>
      <c r="AT21" s="148"/>
      <c r="AU21" s="148"/>
      <c r="AV21" s="148"/>
      <c r="AW21" s="148"/>
      <c r="AX21" s="148"/>
      <c r="AY21" s="148"/>
      <c r="AZ21" s="148"/>
      <c r="BA21" s="148"/>
      <c r="BB21" s="148"/>
      <c r="BC21" s="148"/>
      <c r="BD21" s="148"/>
      <c r="BE21" s="148"/>
      <c r="BF21" s="148"/>
      <c r="BG21" s="148"/>
      <c r="BH21" s="148"/>
      <c r="BI21" s="148"/>
      <c r="BJ21" s="148"/>
      <c r="BK21" s="148"/>
      <c r="BL21" s="148"/>
      <c r="BM21" s="148"/>
      <c r="BN21" s="148"/>
      <c r="BO21" s="148"/>
      <c r="BP21" s="148"/>
      <c r="BQ21" s="148"/>
      <c r="BR21" s="148"/>
      <c r="BS21" s="148"/>
      <c r="BT21" s="148"/>
      <c r="BU21" s="148"/>
      <c r="BV21" s="148"/>
      <c r="BW21" s="148"/>
      <c r="BX21" s="148"/>
    </row>
    <row r="22" spans="1:76" s="52" customFormat="1" x14ac:dyDescent="0.2">
      <c r="A22" s="75" t="s">
        <v>208</v>
      </c>
      <c r="B22" s="75"/>
      <c r="C22" s="75"/>
      <c r="D22" s="75"/>
      <c r="E22" s="75"/>
      <c r="F22" s="75"/>
      <c r="H22" s="61"/>
      <c r="P22" s="51"/>
      <c r="Q22" s="51"/>
      <c r="R22" s="51"/>
      <c r="S22" s="51"/>
      <c r="T22" s="51"/>
      <c r="U22" s="51"/>
      <c r="V22" s="51"/>
      <c r="W22" s="51"/>
      <c r="X22" s="148"/>
      <c r="Y22" s="148"/>
      <c r="Z22" s="148"/>
      <c r="AA22" s="148"/>
      <c r="AB22" s="148"/>
      <c r="AC22" s="148"/>
      <c r="AD22" s="148"/>
      <c r="AE22" s="148"/>
      <c r="AF22" s="148"/>
      <c r="AG22" s="148"/>
      <c r="AH22" s="148"/>
      <c r="AI22" s="148"/>
      <c r="AJ22" s="148"/>
      <c r="AK22" s="148"/>
      <c r="AL22" s="148"/>
      <c r="AM22" s="148"/>
      <c r="AN22" s="148"/>
      <c r="AO22" s="148"/>
      <c r="AP22" s="148"/>
      <c r="AQ22" s="148"/>
      <c r="AR22" s="148"/>
      <c r="AS22" s="148"/>
      <c r="AT22" s="148"/>
      <c r="AU22" s="148"/>
      <c r="AV22" s="148"/>
      <c r="AW22" s="148"/>
      <c r="AX22" s="148"/>
      <c r="AY22" s="148"/>
      <c r="AZ22" s="148"/>
      <c r="BA22" s="148"/>
      <c r="BB22" s="148"/>
      <c r="BC22" s="148"/>
      <c r="BD22" s="148"/>
      <c r="BE22" s="148"/>
      <c r="BF22" s="148"/>
      <c r="BG22" s="148"/>
      <c r="BH22" s="148"/>
      <c r="BI22" s="148"/>
      <c r="BJ22" s="148"/>
      <c r="BK22" s="148"/>
      <c r="BL22" s="148"/>
      <c r="BM22" s="148"/>
      <c r="BN22" s="148"/>
      <c r="BO22" s="148"/>
      <c r="BP22" s="148"/>
      <c r="BQ22" s="148"/>
      <c r="BR22" s="148"/>
      <c r="BS22" s="148"/>
      <c r="BT22" s="148"/>
      <c r="BU22" s="148"/>
      <c r="BV22" s="148"/>
      <c r="BW22" s="148"/>
      <c r="BX22" s="148"/>
    </row>
    <row r="23" spans="1:76" s="52" customFormat="1" ht="13.5" thickBot="1" x14ac:dyDescent="0.25">
      <c r="A23" s="75" t="s">
        <v>217</v>
      </c>
      <c r="B23" s="75"/>
      <c r="C23" s="75"/>
      <c r="D23" s="75"/>
      <c r="E23" s="75"/>
      <c r="F23" s="75"/>
      <c r="S23" s="148"/>
      <c r="T23" s="148"/>
      <c r="U23" s="148"/>
      <c r="V23" s="51"/>
      <c r="W23" s="51"/>
      <c r="X23" s="148"/>
      <c r="Y23" s="148"/>
      <c r="Z23" s="148"/>
      <c r="AA23" s="148"/>
      <c r="AB23" s="148"/>
      <c r="AC23" s="148"/>
      <c r="AD23" s="148"/>
      <c r="AE23" s="148"/>
      <c r="AF23" s="148"/>
      <c r="AG23" s="148"/>
      <c r="AH23" s="148"/>
      <c r="AI23" s="148"/>
      <c r="AJ23" s="148"/>
      <c r="AK23" s="148"/>
      <c r="AL23" s="148"/>
      <c r="AM23" s="148"/>
      <c r="AN23" s="148"/>
      <c r="AO23" s="148"/>
      <c r="AP23" s="148"/>
      <c r="AQ23" s="148"/>
      <c r="AR23" s="148"/>
      <c r="AS23" s="148"/>
      <c r="AT23" s="148"/>
      <c r="AU23" s="148"/>
      <c r="AV23" s="148"/>
      <c r="AW23" s="148"/>
      <c r="AX23" s="148"/>
      <c r="AY23" s="148"/>
      <c r="AZ23" s="148"/>
      <c r="BA23" s="148"/>
      <c r="BB23" s="148"/>
      <c r="BC23" s="148"/>
      <c r="BD23" s="148"/>
      <c r="BE23" s="148"/>
      <c r="BF23" s="148"/>
      <c r="BG23" s="148"/>
      <c r="BH23" s="148"/>
      <c r="BI23" s="148"/>
      <c r="BJ23" s="148"/>
      <c r="BK23" s="148"/>
      <c r="BL23" s="148"/>
      <c r="BM23" s="148"/>
      <c r="BN23" s="148"/>
      <c r="BO23" s="148"/>
      <c r="BP23" s="148"/>
      <c r="BQ23" s="148"/>
      <c r="BR23" s="148"/>
      <c r="BS23" s="148"/>
      <c r="BT23" s="148"/>
      <c r="BU23" s="148"/>
      <c r="BV23" s="148"/>
      <c r="BW23" s="148"/>
      <c r="BX23" s="148"/>
    </row>
    <row r="24" spans="1:76" s="52" customFormat="1" ht="13.5" thickBot="1" x14ac:dyDescent="0.25">
      <c r="A24" s="75" t="s">
        <v>209</v>
      </c>
      <c r="B24" s="75"/>
      <c r="C24" s="75"/>
      <c r="D24" s="75"/>
      <c r="E24" s="75"/>
      <c r="F24" s="75"/>
      <c r="I24" s="61"/>
      <c r="J24" s="61"/>
      <c r="K24" s="61"/>
      <c r="S24" s="148"/>
      <c r="T24" s="57" t="s">
        <v>373</v>
      </c>
      <c r="U24" s="73" t="s">
        <v>374</v>
      </c>
      <c r="V24" s="73" t="s">
        <v>375</v>
      </c>
      <c r="W24" s="73" t="s">
        <v>23</v>
      </c>
      <c r="X24" s="148"/>
      <c r="Y24" s="148"/>
      <c r="Z24" s="73" t="s">
        <v>547</v>
      </c>
      <c r="AA24" s="73" t="s">
        <v>456</v>
      </c>
      <c r="AB24" s="73" t="s">
        <v>458</v>
      </c>
      <c r="AC24" s="148"/>
      <c r="AD24" s="148"/>
      <c r="AE24" s="148"/>
      <c r="AF24" s="148"/>
      <c r="AG24" s="148"/>
      <c r="AH24" s="148"/>
      <c r="AI24" s="148"/>
      <c r="AJ24" s="148"/>
      <c r="AK24" s="148"/>
      <c r="AL24" s="148"/>
      <c r="AM24" s="148"/>
      <c r="AN24" s="148"/>
      <c r="AO24" s="148"/>
      <c r="AP24" s="148"/>
      <c r="AQ24" s="148"/>
      <c r="AR24" s="148"/>
      <c r="AS24" s="148"/>
      <c r="AT24" s="148"/>
      <c r="AU24" s="148"/>
      <c r="AV24" s="148"/>
      <c r="AW24" s="148"/>
      <c r="AX24" s="148"/>
      <c r="AY24" s="148"/>
      <c r="AZ24" s="148"/>
      <c r="BA24" s="148"/>
      <c r="BB24" s="148"/>
      <c r="BC24" s="148"/>
      <c r="BD24" s="148"/>
      <c r="BE24" s="148"/>
      <c r="BF24" s="148"/>
      <c r="BG24" s="148"/>
      <c r="BH24" s="148"/>
      <c r="BI24" s="148"/>
      <c r="BJ24" s="148"/>
      <c r="BK24" s="148"/>
      <c r="BL24" s="148"/>
      <c r="BM24" s="148"/>
      <c r="BN24" s="148"/>
      <c r="BO24" s="148"/>
      <c r="BP24" s="148"/>
      <c r="BQ24" s="148"/>
      <c r="BR24" s="148"/>
      <c r="BS24" s="148"/>
      <c r="BT24" s="148"/>
      <c r="BU24" s="148"/>
      <c r="BV24" s="148"/>
      <c r="BW24" s="148"/>
      <c r="BX24" s="148"/>
    </row>
    <row r="25" spans="1:76" s="148" customFormat="1" ht="13.5" thickBot="1" x14ac:dyDescent="0.25">
      <c r="A25" s="75" t="s">
        <v>210</v>
      </c>
      <c r="B25" s="75"/>
      <c r="C25" s="75"/>
      <c r="D25" s="75"/>
      <c r="E25" s="75"/>
      <c r="F25" s="75"/>
      <c r="H25" s="149"/>
      <c r="I25" s="149"/>
      <c r="J25" s="149"/>
      <c r="K25" s="149"/>
      <c r="N25" s="51"/>
      <c r="O25" s="51"/>
      <c r="S25" s="51"/>
      <c r="T25" s="215" t="s">
        <v>659</v>
      </c>
      <c r="U25" s="150" t="str">
        <f>IF(AND(AB2=Z2,AB2=AC2),"N/A",IF(AND(AI5:AI18),TRUE,FALSE))</f>
        <v>N/A</v>
      </c>
      <c r="V25" s="151" t="str">
        <f>IF(ISERROR(U25),"N/A", IF(U25="N/A","N/A",IF(U25=TRUE, TRUE)))</f>
        <v>N/A</v>
      </c>
      <c r="W25" s="152" t="str">
        <f>IF(V25="N/A", "Invalid or No Non-OMS Combination for Data Type and Formats", IF(V25=TRUE, "Auto Calculated", IF(V25=FALSE, "Auto Calculated")))</f>
        <v>Invalid or No Non-OMS Combination for Data Type and Formats</v>
      </c>
      <c r="Z25" s="57">
        <f>COUNTIF(AC5:AC18,TRUE)</f>
        <v>0</v>
      </c>
      <c r="AA25" s="57">
        <f>COUNTIF(BM5:BM18,TRUE)</f>
        <v>0</v>
      </c>
      <c r="AB25" s="57" t="str">
        <f>IF(Z25=0,"N/A", IF(AA25=Z25, TRUE,FALSE))</f>
        <v>N/A</v>
      </c>
    </row>
    <row r="26" spans="1:76" x14ac:dyDescent="0.2">
      <c r="H26" s="149"/>
      <c r="I26" s="149"/>
      <c r="J26" s="149"/>
      <c r="K26" s="149"/>
      <c r="P26" s="148"/>
      <c r="Q26" s="148"/>
      <c r="R26" s="148"/>
      <c r="T26" s="153" t="s">
        <v>660</v>
      </c>
      <c r="U26" s="152" t="str">
        <f>IF(AND(AB2=Z2,AB2=AD2),"N/A",IF(AND(AM5:AM18),TRUE,FALSE))</f>
        <v>N/A</v>
      </c>
      <c r="V26" s="151" t="str">
        <f t="shared" ref="V26:V29" si="56">IF(ISERROR(U26),"N/A", IF(U26="N/A","N/A",IF(U26=TRUE, TRUE)))</f>
        <v>N/A</v>
      </c>
      <c r="W26" s="152" t="str">
        <f t="shared" ref="W26:W36" si="57">IF(V26="N/A", "Invalid or No Non-OMS Combination for Data Type and Formats", IF(V26=TRUE, "Auto Calculated", IF(V26=FALSE, "Auto Calculated")))</f>
        <v>Invalid or No Non-OMS Combination for Data Type and Formats</v>
      </c>
      <c r="AA26" s="148"/>
      <c r="AB26" s="148"/>
      <c r="AC26" s="148"/>
    </row>
    <row r="27" spans="1:76" x14ac:dyDescent="0.2">
      <c r="A27" s="76" t="s">
        <v>45</v>
      </c>
      <c r="B27" s="50"/>
      <c r="C27" s="50"/>
      <c r="D27" s="50"/>
      <c r="H27" s="149"/>
      <c r="I27" s="149"/>
      <c r="J27" s="149"/>
      <c r="K27" s="149"/>
      <c r="T27" s="153" t="s">
        <v>661</v>
      </c>
      <c r="U27" s="152" t="str">
        <f>IF(AND(AB2=Z2,AB2=AE2),"N/A",IF(AND(AQ5:AQ18),TRUE,FALSE))</f>
        <v>N/A</v>
      </c>
      <c r="V27" s="151" t="str">
        <f t="shared" si="56"/>
        <v>N/A</v>
      </c>
      <c r="W27" s="152" t="str">
        <f t="shared" si="57"/>
        <v>Invalid or No Non-OMS Combination for Data Type and Formats</v>
      </c>
      <c r="AA27" s="148"/>
      <c r="AB27" s="148"/>
      <c r="AC27" s="148"/>
    </row>
    <row r="28" spans="1:76" x14ac:dyDescent="0.2">
      <c r="A28" s="148" t="s">
        <v>386</v>
      </c>
      <c r="B28" s="50"/>
      <c r="C28" s="50"/>
      <c r="D28" s="50"/>
      <c r="H28" s="149"/>
      <c r="I28" s="149"/>
      <c r="J28" s="149"/>
      <c r="K28" s="149"/>
      <c r="T28" s="153" t="s">
        <v>662</v>
      </c>
      <c r="U28" s="152" t="str">
        <f>IF(AND(AB2=Z2,AB2=AF2),"N/A",IF(AND(AU5:AU18),TRUE,FALSE))</f>
        <v>N/A</v>
      </c>
      <c r="V28" s="151" t="str">
        <f t="shared" si="56"/>
        <v>N/A</v>
      </c>
      <c r="W28" s="152" t="str">
        <f t="shared" si="57"/>
        <v>Invalid or No Non-OMS Combination for Data Type and Formats</v>
      </c>
    </row>
    <row r="29" spans="1:76" x14ac:dyDescent="0.2">
      <c r="A29" s="75" t="s">
        <v>387</v>
      </c>
      <c r="B29" s="50"/>
      <c r="C29" s="50"/>
      <c r="D29" s="50"/>
      <c r="H29" s="149"/>
      <c r="I29" s="149"/>
      <c r="J29" s="149"/>
      <c r="K29" s="149"/>
      <c r="T29" s="153" t="s">
        <v>663</v>
      </c>
      <c r="U29" s="152" t="str">
        <f>IF(AND(AB2=Z2,AB2=AG2),"N/A",IF(AND(AY5:AY18),TRUE,FALSE))</f>
        <v>N/A</v>
      </c>
      <c r="V29" s="151" t="str">
        <f t="shared" si="56"/>
        <v>N/A</v>
      </c>
      <c r="W29" s="152" t="str">
        <f t="shared" si="57"/>
        <v>Invalid or No Non-OMS Combination for Data Type and Formats</v>
      </c>
    </row>
    <row r="30" spans="1:76" x14ac:dyDescent="0.2">
      <c r="A30" s="75" t="s">
        <v>388</v>
      </c>
      <c r="B30" s="50"/>
      <c r="C30" s="50"/>
      <c r="D30" s="50"/>
      <c r="H30" s="149"/>
      <c r="I30" s="149"/>
      <c r="J30" s="149"/>
      <c r="K30" s="149"/>
      <c r="T30" s="153" t="s">
        <v>462</v>
      </c>
      <c r="U30" s="153" t="str">
        <f>IF(AB2=Z2,"N/A",IF(AND(BV5:BV18),TRUE,FALSE))</f>
        <v>N/A</v>
      </c>
      <c r="V30" s="151" t="str">
        <f>IF(ISERROR(U30),FALSE, IF(U30="N/A","N/A",IF(U30=TRUE, TRUE)))</f>
        <v>N/A</v>
      </c>
      <c r="W30" s="152" t="str">
        <f t="shared" si="57"/>
        <v>Invalid or No Non-OMS Combination for Data Type and Formats</v>
      </c>
    </row>
    <row r="31" spans="1:76" x14ac:dyDescent="0.2">
      <c r="A31" s="50" t="s">
        <v>389</v>
      </c>
      <c r="B31" s="50"/>
      <c r="C31" s="50"/>
      <c r="D31" s="50"/>
      <c r="H31" s="149"/>
      <c r="I31" s="149"/>
      <c r="J31" s="149"/>
      <c r="K31" s="149"/>
      <c r="S31" s="51" t="s">
        <v>563</v>
      </c>
      <c r="T31" s="153" t="s">
        <v>463</v>
      </c>
      <c r="U31" s="153" t="str">
        <f>IF(AB2=Z2,"N/A",IF(AND(BW5:BW18),TRUE,FALSE))</f>
        <v>N/A</v>
      </c>
      <c r="V31" s="151" t="str">
        <f>IF(ISERROR(U31),FALSE, IF(U31="N/A","N/A",IF(U31=TRUE, TRUE)))</f>
        <v>N/A</v>
      </c>
      <c r="W31" s="152" t="str">
        <f t="shared" si="57"/>
        <v>Invalid or No Non-OMS Combination for Data Type and Formats</v>
      </c>
    </row>
    <row r="32" spans="1:76" ht="106.5" customHeight="1" x14ac:dyDescent="0.2">
      <c r="A32" s="148" t="s">
        <v>390</v>
      </c>
      <c r="B32" s="50"/>
      <c r="C32" s="50"/>
      <c r="D32" s="50"/>
      <c r="H32" s="149"/>
      <c r="I32" s="149"/>
      <c r="J32" s="149"/>
      <c r="K32" s="149"/>
      <c r="T32" s="153" t="s">
        <v>464</v>
      </c>
      <c r="U32" s="153" t="s">
        <v>427</v>
      </c>
      <c r="V32" s="151" t="str">
        <f>AB25</f>
        <v>N/A</v>
      </c>
      <c r="W32" s="152" t="str">
        <f t="shared" si="57"/>
        <v>Invalid or No Non-OMS Combination for Data Type and Formats</v>
      </c>
    </row>
    <row r="33" spans="1:23" x14ac:dyDescent="0.2">
      <c r="A33" s="149" t="s">
        <v>667</v>
      </c>
      <c r="B33" s="50"/>
      <c r="C33" s="50"/>
      <c r="D33" s="50"/>
      <c r="H33" s="149"/>
      <c r="I33" s="149"/>
      <c r="J33" s="149"/>
      <c r="K33" s="149"/>
      <c r="T33" s="153" t="s">
        <v>465</v>
      </c>
      <c r="U33" s="153" t="s">
        <v>427</v>
      </c>
      <c r="V33" s="151" t="b">
        <f>IF(AND(BO5:BO18), TRUE, "N/A")</f>
        <v>1</v>
      </c>
      <c r="W33" s="154"/>
    </row>
    <row r="34" spans="1:23" x14ac:dyDescent="0.2">
      <c r="A34" s="68" t="s">
        <v>391</v>
      </c>
      <c r="B34" s="50"/>
      <c r="C34" s="50"/>
      <c r="D34" s="50"/>
      <c r="H34" s="149"/>
      <c r="I34" s="149"/>
      <c r="J34" s="149"/>
      <c r="K34" s="149"/>
      <c r="T34" s="153" t="s">
        <v>675</v>
      </c>
      <c r="U34" s="153" t="s">
        <v>427</v>
      </c>
      <c r="V34" s="151" t="str">
        <f>IF(N2=TRUE, IF(AND(BO5:BO18),"N/A",IF(AND(BP5:BP18), TRUE, FALSE)), FALSE)</f>
        <v>N/A</v>
      </c>
      <c r="W34" s="152" t="str">
        <f>IF(V34="N/A", "Invalid or No Non-OMS Combination for Data Type and Formats", IF(V34=TRUE, "Auto Calculated", IF(V34=FALSE, "Auto Calculated")))</f>
        <v>Invalid or No Non-OMS Combination for Data Type and Formats</v>
      </c>
    </row>
    <row r="35" spans="1:23" x14ac:dyDescent="0.2">
      <c r="A35" s="75"/>
      <c r="B35" s="50"/>
      <c r="C35" s="50"/>
      <c r="D35" s="50"/>
      <c r="H35" s="149"/>
      <c r="I35" s="149"/>
      <c r="J35" s="149"/>
      <c r="K35" s="149"/>
      <c r="T35" s="216" t="s">
        <v>674</v>
      </c>
      <c r="U35" s="153" t="s">
        <v>427</v>
      </c>
      <c r="V35" s="159" t="str">
        <f>IF(AND(BO5:BO18),"N/A",IF(AND(BP5:BP18),TRUE,FALSE))</f>
        <v>N/A</v>
      </c>
      <c r="W35" s="152" t="str">
        <f t="shared" si="57"/>
        <v>Invalid or No Non-OMS Combination for Data Type and Formats</v>
      </c>
    </row>
    <row r="36" spans="1:23" x14ac:dyDescent="0.2">
      <c r="B36" s="50"/>
      <c r="C36" s="50"/>
      <c r="D36" s="50"/>
      <c r="H36" s="61"/>
      <c r="T36" s="153" t="s">
        <v>564</v>
      </c>
      <c r="U36" s="153" t="s">
        <v>427</v>
      </c>
      <c r="V36" s="151" t="str">
        <f>IF(AND(BO5:BO18),"N/A",IF(AND(BQ5:BQ18), TRUE, FALSE))</f>
        <v>N/A</v>
      </c>
      <c r="W36" s="152" t="str">
        <f t="shared" si="57"/>
        <v>Invalid or No Non-OMS Combination for Data Type and Formats</v>
      </c>
    </row>
    <row r="37" spans="1:23" x14ac:dyDescent="0.2">
      <c r="B37" s="50"/>
      <c r="C37" s="50"/>
      <c r="D37" s="50"/>
    </row>
    <row r="38" spans="1:23" x14ac:dyDescent="0.2">
      <c r="B38" s="50"/>
      <c r="C38" s="50"/>
      <c r="D38" s="50"/>
    </row>
    <row r="39" spans="1:23" x14ac:dyDescent="0.2">
      <c r="B39" s="50"/>
      <c r="C39" s="50"/>
      <c r="D39" s="50"/>
    </row>
    <row r="40" spans="1:23" x14ac:dyDescent="0.2">
      <c r="B40" s="50"/>
      <c r="C40" s="50"/>
      <c r="D40" s="50"/>
    </row>
    <row r="41" spans="1:23" x14ac:dyDescent="0.2">
      <c r="B41" s="50"/>
      <c r="C41" s="50"/>
      <c r="D41" s="50"/>
    </row>
    <row r="42" spans="1:23" x14ac:dyDescent="0.2">
      <c r="B42" s="50"/>
      <c r="C42" s="50"/>
      <c r="D42" s="50"/>
    </row>
    <row r="43" spans="1:23" x14ac:dyDescent="0.2">
      <c r="A43" s="52"/>
      <c r="B43" s="50"/>
      <c r="C43" s="50"/>
      <c r="D43" s="50"/>
    </row>
    <row r="44" spans="1:23" x14ac:dyDescent="0.2">
      <c r="A44" s="50"/>
    </row>
    <row r="45" spans="1:23" x14ac:dyDescent="0.2">
      <c r="A45" s="50"/>
    </row>
    <row r="46" spans="1:23" x14ac:dyDescent="0.2">
      <c r="A46" s="68"/>
    </row>
    <row r="47" spans="1:23" x14ac:dyDescent="0.2">
      <c r="A47" s="50"/>
    </row>
  </sheetData>
  <sheetProtection algorithmName="SHA-512" hashValue="JdJYZJyXVwa+YWM4MBGtwIfHhfw8JQmqNB0uBup6YMSUeRY2GrgYF9028P403Gz7Ul32nz4+zG0ZnbtxFKmAtw==" saltValue="awvxvFcsSztBKv0DFREvEw==" spinCount="100000" sheet="1" objects="1" scenarios="1"/>
  <mergeCells count="3">
    <mergeCell ref="B1:G1"/>
    <mergeCell ref="B3:F3"/>
    <mergeCell ref="L3:N3"/>
  </mergeCells>
  <conditionalFormatting sqref="A5:A18">
    <cfRule type="notContainsText" dxfId="50" priority="13" operator="notContains" text="&lt;Enter Non-OMS Data Transfer&gt;">
      <formula>ISERROR(SEARCH("&lt;Enter Non-OMS Data Transfer&gt;",A5))</formula>
    </cfRule>
    <cfRule type="containsText" dxfId="49" priority="14" operator="containsText" text="&lt;Enter Non-OMS Data Transfer&gt;">
      <formula>NOT(ISERROR(SEARCH("&lt;Enter Non-OMS Data Transfer&gt;",A5)))</formula>
    </cfRule>
  </conditionalFormatting>
  <conditionalFormatting sqref="B5:G18">
    <cfRule type="notContainsText" dxfId="48" priority="1" operator="notContains" text="&lt;select&gt;">
      <formula>ISERROR(SEARCH("&lt;select&gt;",B5))</formula>
    </cfRule>
    <cfRule type="containsText" dxfId="47" priority="2" operator="containsText" text="&lt;select&gt;">
      <formula>NOT(ISERROR(SEARCH("&lt;select&gt;",B5)))</formula>
    </cfRule>
  </conditionalFormatting>
  <conditionalFormatting sqref="H5:H18">
    <cfRule type="notContainsText" dxfId="46" priority="12" operator="notContains" text="&lt;Enter Description Here&gt;">
      <formula>ISERROR(SEARCH("&lt;Enter Description Here&gt;",H5))</formula>
    </cfRule>
  </conditionalFormatting>
  <conditionalFormatting sqref="I5:I18">
    <cfRule type="notContainsText" dxfId="45" priority="11" operator="notContains" text="&lt;Enter Rationale Here&gt;">
      <formula>ISERROR(SEARCH("&lt;Enter Rationale Here&gt;",I5))</formula>
    </cfRule>
  </conditionalFormatting>
  <conditionalFormatting sqref="J5:J18">
    <cfRule type="notContainsText" dxfId="44" priority="25" operator="notContains" text="&lt;Enter Change Request ID Here&gt;">
      <formula>ISERROR(SEARCH("&lt;Enter Change Request ID Here&gt;",J5))</formula>
    </cfRule>
  </conditionalFormatting>
  <conditionalFormatting sqref="K5:K18">
    <cfRule type="containsText" dxfId="43" priority="6" operator="containsText" text="&lt;Select&gt;">
      <formula>NOT(ISERROR(SEARCH("&lt;Select&gt;",K5)))</formula>
    </cfRule>
    <cfRule type="containsText" dxfId="42" priority="7" operator="containsText" text="1">
      <formula>NOT(ISERROR(SEARCH("1",K5)))</formula>
    </cfRule>
    <cfRule type="containsText" dxfId="41" priority="8" operator="containsText" text="2">
      <formula>NOT(ISERROR(SEARCH("2",K5)))</formula>
    </cfRule>
    <cfRule type="containsText" dxfId="40" priority="9" operator="containsText" text="3">
      <formula>NOT(ISERROR(SEARCH("3",K5)))</formula>
    </cfRule>
    <cfRule type="notContainsText" dxfId="39" priority="10" operator="notContains" text="&lt;Enter OAM Request ID Here&gt;">
      <formula>ISERROR(SEARCH("&lt;Enter OAM Request ID Here&gt;",K5))</formula>
    </cfRule>
  </conditionalFormatting>
  <conditionalFormatting sqref="L5:N18">
    <cfRule type="containsText" dxfId="38" priority="42" operator="containsText" text="This is an OMS Data Transfer">
      <formula>NOT(ISERROR(SEARCH("This is an OMS Data Transfer",L5)))</formula>
    </cfRule>
    <cfRule type="containsText" dxfId="37" priority="54" operator="containsText" text="N/A">
      <formula>NOT(ISERROR(SEARCH("N/A",L5)))</formula>
    </cfRule>
    <cfRule type="containsText" dxfId="36" priority="55" operator="containsText" text="FALSE">
      <formula>NOT(ISERROR(SEARCH("FALSE",L5)))</formula>
    </cfRule>
    <cfRule type="containsText" dxfId="35" priority="56" operator="containsText" text="TRUE">
      <formula>NOT(ISERROR(SEARCH("TRUE",L5)))</formula>
    </cfRule>
  </conditionalFormatting>
  <conditionalFormatting sqref="L2:U2">
    <cfRule type="containsText" dxfId="34" priority="51" operator="containsText" text="N/A">
      <formula>NOT(ISERROR(SEARCH("N/A",L2)))</formula>
    </cfRule>
    <cfRule type="containsText" dxfId="33" priority="52" operator="containsText" text="FALSE">
      <formula>NOT(ISERROR(SEARCH("FALSE",L2)))</formula>
    </cfRule>
    <cfRule type="containsText" dxfId="32" priority="53" operator="containsText" text="TRUE">
      <formula>NOT(ISERROR(SEARCH("TRUE",L2)))</formula>
    </cfRule>
  </conditionalFormatting>
  <dataValidations disablePrompts="1" count="3">
    <dataValidation showInputMessage="1" showErrorMessage="1" sqref="H5:J18" xr:uid="{6C37DD47-4B41-4D11-A8E8-0F88E9BEEC84}"/>
    <dataValidation type="list" allowBlank="1" showInputMessage="1" showErrorMessage="1" sqref="K5:K18" xr:uid="{3A6DBAB7-2A06-46EB-8F39-8BE21AB58932}">
      <formula1>"&lt;Select&gt;, 1, 2, 3,N/A"</formula1>
    </dataValidation>
    <dataValidation type="list" showInputMessage="1" showErrorMessage="1" sqref="K5:K18" xr:uid="{C6504BBE-6473-405C-BE59-F87E3A0BC98B}">
      <formula1>"&lt;Select&gt;, 1, 2, 3"</formula1>
    </dataValidation>
  </dataValidations>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disablePrompts="1" count="6">
        <x14:dataValidation type="list" allowBlank="1" showInputMessage="1" showErrorMessage="1" xr:uid="{4BA50DAD-E094-4A33-A5E5-A0DFB7CC420E}">
          <x14:formula1>
            <xm:f>'Data Transfer Tables'!$A$58:$A$77</xm:f>
          </x14:formula1>
          <xm:sqref>B5:B18</xm:sqref>
        </x14:dataValidation>
        <x14:dataValidation type="list" allowBlank="1" showInputMessage="1" showErrorMessage="1" xr:uid="{5C765438-6B29-474D-A34B-9B27088917F7}">
          <x14:formula1>
            <xm:f>'Data Transfer Tables'!$G$58:$G$72</xm:f>
          </x14:formula1>
          <xm:sqref>G5:G18</xm:sqref>
        </x14:dataValidation>
        <x14:dataValidation type="list" allowBlank="1" showInputMessage="1" showErrorMessage="1" xr:uid="{570BAE60-39FC-4704-BF91-E4553DA6B5BF}">
          <x14:formula1>
            <xm:f>'Data Transfer Tables'!$C$58:$C$70</xm:f>
          </x14:formula1>
          <xm:sqref>D5:D18</xm:sqref>
        </x14:dataValidation>
        <x14:dataValidation type="list" allowBlank="1" showInputMessage="1" showErrorMessage="1" xr:uid="{A6BACE0A-1F4F-4615-90C3-D8702783C2BF}">
          <x14:formula1>
            <xm:f>'Data Transfer Tables'!$D$58:$D$75</xm:f>
          </x14:formula1>
          <xm:sqref>E5:E18</xm:sqref>
        </x14:dataValidation>
        <x14:dataValidation type="list" allowBlank="1" showInputMessage="1" showErrorMessage="1" xr:uid="{FE9E088D-D9CE-4401-80F8-DACC4B965C3C}">
          <x14:formula1>
            <xm:f>'Data Transfer Tables'!$E$58:$E$73</xm:f>
          </x14:formula1>
          <xm:sqref>F5:F18</xm:sqref>
        </x14:dataValidation>
        <x14:dataValidation type="list" allowBlank="1" showInputMessage="1" showErrorMessage="1" xr:uid="{2C29F0AD-BF67-4259-A259-53ABEA55A74B}">
          <x14:formula1>
            <xm:f>'Data Transfer Tables'!$B$58:$B$109</xm:f>
          </x14:formula1>
          <xm:sqref>C5:C18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tabColor theme="4"/>
  </sheetPr>
  <dimension ref="A1:Q45"/>
  <sheetViews>
    <sheetView workbookViewId="0"/>
  </sheetViews>
  <sheetFormatPr defaultColWidth="9.140625" defaultRowHeight="12.75" x14ac:dyDescent="0.2"/>
  <cols>
    <col min="1" max="1" width="32.42578125" style="78" customWidth="1"/>
    <col min="2" max="2" width="46.28515625" style="78" customWidth="1"/>
    <col min="3" max="3" width="13.28515625" style="78" bestFit="1" customWidth="1"/>
    <col min="4" max="4" width="10.42578125" style="78" customWidth="1"/>
    <col min="5" max="5" width="10.7109375" style="78" customWidth="1"/>
    <col min="6" max="6" width="9.140625" style="78"/>
    <col min="7" max="7" width="24" style="148" hidden="1" customWidth="1"/>
    <col min="8" max="8" width="26" style="148" hidden="1" customWidth="1"/>
    <col min="9" max="9" width="23.28515625" style="148" hidden="1" customWidth="1"/>
    <col min="10" max="10" width="43.5703125" style="148" hidden="1" customWidth="1"/>
    <col min="11" max="11" width="23.28515625" style="148" hidden="1" customWidth="1"/>
    <col min="12" max="12" width="43.140625" style="148" hidden="1" customWidth="1"/>
    <col min="13" max="14" width="14.42578125" style="148" hidden="1" customWidth="1"/>
    <col min="15" max="15" width="19.28515625" style="51" hidden="1" customWidth="1"/>
    <col min="16" max="16" width="14.42578125" style="51" hidden="1" customWidth="1"/>
    <col min="17" max="17" width="10.28515625" style="51" hidden="1" customWidth="1"/>
    <col min="18" max="16384" width="9.140625" style="78"/>
  </cols>
  <sheetData>
    <row r="1" spans="1:17" ht="15" thickBot="1" x14ac:dyDescent="0.25">
      <c r="A1" s="77" t="s">
        <v>212</v>
      </c>
      <c r="L1" s="198"/>
      <c r="M1" s="198" t="s">
        <v>445</v>
      </c>
      <c r="N1" s="198" t="s">
        <v>446</v>
      </c>
      <c r="O1" s="198" t="s">
        <v>348</v>
      </c>
      <c r="P1" s="51" t="s">
        <v>23</v>
      </c>
    </row>
    <row r="2" spans="1:17" ht="13.5" thickBot="1" x14ac:dyDescent="0.25">
      <c r="L2" s="57" t="s">
        <v>447</v>
      </c>
      <c r="M2" s="57" t="b">
        <f>IF(AND(H5=0, H27=0, H37=0),TRUE, "N/A")</f>
        <v>1</v>
      </c>
      <c r="N2" s="73" t="b">
        <f>'Non-OMS Special Signals'!S2</f>
        <v>1</v>
      </c>
      <c r="O2" s="57" t="b">
        <f>IF(AND(M2=TRUE,N2=TRUE),TRUE,"N/A")</f>
        <v>1</v>
      </c>
    </row>
    <row r="3" spans="1:17" ht="26.25" thickBot="1" x14ac:dyDescent="0.25">
      <c r="A3" s="79" t="s">
        <v>145</v>
      </c>
      <c r="B3" s="80"/>
      <c r="C3" s="28"/>
      <c r="L3" s="57" t="s">
        <v>448</v>
      </c>
      <c r="M3" s="57" t="str">
        <f>IF(OR(J5=TRUE,J27=TRUE,J37=TRUE),TRUE, "N/A")</f>
        <v>N/A</v>
      </c>
      <c r="N3" s="73" t="str">
        <f>'Non-OMS Special Signals'!S3</f>
        <v>N/A</v>
      </c>
      <c r="O3" s="57" t="str">
        <f>IF(O2=TRUE,"N/A", IF(OR(M3=TRUE,N3=TRUE),TRUE,"N/A"))</f>
        <v>N/A</v>
      </c>
      <c r="P3" s="51" t="str">
        <f>IF(O3="N/A", "No OMS Special Signals", "Auto Calculated")</f>
        <v>No OMS Special Signals</v>
      </c>
    </row>
    <row r="4" spans="1:17" ht="13.5" thickBot="1" x14ac:dyDescent="0.25">
      <c r="A4" s="60" t="s">
        <v>54</v>
      </c>
      <c r="B4" s="60" t="s">
        <v>49</v>
      </c>
      <c r="C4" s="60" t="s">
        <v>55</v>
      </c>
      <c r="G4" s="198" t="s">
        <v>449</v>
      </c>
      <c r="H4" s="57" t="s">
        <v>450</v>
      </c>
      <c r="I4" s="198" t="s">
        <v>451</v>
      </c>
      <c r="J4" s="57" t="s">
        <v>452</v>
      </c>
      <c r="L4" s="57" t="s">
        <v>485</v>
      </c>
      <c r="M4" s="57" t="s">
        <v>427</v>
      </c>
      <c r="N4" s="57" t="s">
        <v>427</v>
      </c>
      <c r="O4" s="57" t="str">
        <f>IF(OR(J5=TRUE,J27=TRUE,J37=TRUE),TRUE, "N/A")</f>
        <v>N/A</v>
      </c>
      <c r="P4" s="51" t="str">
        <f>IF(O4="N/A", "No OMS Special Signals", "Auto Calculated")</f>
        <v>No OMS Special Signals</v>
      </c>
    </row>
    <row r="5" spans="1:17" ht="26.25" thickBot="1" x14ac:dyDescent="0.25">
      <c r="A5" s="81" t="s">
        <v>57</v>
      </c>
      <c r="B5" s="82" t="str">
        <f>IFERROR(VLOOKUP($A5,'Special Signals Tables'!$A$2:$D$17,4,FALSE),"")</f>
        <v>This discrete is used to tell the vehicle management software that the Subsystem is installed.</v>
      </c>
      <c r="C5" s="83" t="b">
        <f>IFERROR(VLOOKUP($A5,'Special Signals Tables'!$A$2:$D$17,2,FALSE),"")</f>
        <v>1</v>
      </c>
      <c r="D5" s="84"/>
      <c r="G5" s="51" t="s">
        <v>427</v>
      </c>
      <c r="H5" s="51">
        <f>COUNTIF(G6:G20, TRUE)</f>
        <v>0</v>
      </c>
      <c r="I5" s="51" t="s">
        <v>427</v>
      </c>
      <c r="J5" s="51" t="str">
        <f>IF(H5=0,"N/A",IF(AND(I6:I20),TRUE,"N/A"))</f>
        <v>N/A</v>
      </c>
      <c r="K5" s="51"/>
      <c r="L5" s="51"/>
      <c r="M5" s="51"/>
      <c r="O5" s="148"/>
      <c r="P5" s="148"/>
      <c r="Q5" s="148"/>
    </row>
    <row r="6" spans="1:17" ht="13.5" thickBot="1" x14ac:dyDescent="0.25">
      <c r="A6" s="45" t="s">
        <v>59</v>
      </c>
      <c r="B6" s="85" t="str">
        <f>IFERROR(VLOOKUP($A6,'Special Signals Tables'!$A$2:$D$17,4,FALSE),"")</f>
        <v>Select special signal from the drop down list.</v>
      </c>
      <c r="C6" s="69" t="b">
        <f>IFERROR(VLOOKUP($A6,'Special Signals Tables'!$A$2:$D$17,2,FALSE),"")</f>
        <v>1</v>
      </c>
      <c r="G6" s="148" t="b">
        <f>IF(OR(ISBLANK(A6), A6="&lt;Select Special Signal&gt;"), FALSE, TRUE)</f>
        <v>0</v>
      </c>
      <c r="I6" s="148" t="str">
        <f>IF(OR(ISBLANK(A6), A6="&lt;Select Special Signal&gt;"), "", TRUE)</f>
        <v/>
      </c>
    </row>
    <row r="7" spans="1:17" ht="13.5" thickBot="1" x14ac:dyDescent="0.25">
      <c r="A7" s="45" t="s">
        <v>59</v>
      </c>
      <c r="B7" s="85" t="str">
        <f>IFERROR(VLOOKUP($A7,'Special Signals Tables'!$A$2:$D$17,4,FALSE),"")</f>
        <v>Select special signal from the drop down list.</v>
      </c>
      <c r="C7" s="69" t="b">
        <f>IFERROR(VLOOKUP($A7,'Special Signals Tables'!$A$2:$D$17,2,FALSE),"")</f>
        <v>1</v>
      </c>
      <c r="G7" s="148" t="b">
        <f t="shared" ref="G7:G20" si="0">IF(OR(ISBLANK(A7), A7="&lt;Select Special Signal&gt;"), FALSE, TRUE)</f>
        <v>0</v>
      </c>
      <c r="I7" s="148" t="str">
        <f t="shared" ref="I7:I20" si="1">IF(OR(ISBLANK(A7), A7="&lt;Select Special Signal&gt;"), "", TRUE)</f>
        <v/>
      </c>
    </row>
    <row r="8" spans="1:17" ht="13.5" thickBot="1" x14ac:dyDescent="0.25">
      <c r="A8" s="45" t="s">
        <v>59</v>
      </c>
      <c r="B8" s="85" t="str">
        <f>IFERROR(VLOOKUP($A8,'Special Signals Tables'!$A$2:$D$17,4,FALSE),"")</f>
        <v>Select special signal from the drop down list.</v>
      </c>
      <c r="C8" s="69" t="b">
        <f>IFERROR(VLOOKUP($A8,'Special Signals Tables'!$A$2:$D$17,2,FALSE),"")</f>
        <v>1</v>
      </c>
      <c r="G8" s="148" t="b">
        <f t="shared" si="0"/>
        <v>0</v>
      </c>
      <c r="I8" s="148" t="str">
        <f t="shared" si="1"/>
        <v/>
      </c>
    </row>
    <row r="9" spans="1:17" ht="13.5" thickBot="1" x14ac:dyDescent="0.25">
      <c r="A9" s="45" t="s">
        <v>59</v>
      </c>
      <c r="B9" s="85" t="str">
        <f>IFERROR(VLOOKUP($A9,'Special Signals Tables'!$A$2:$D$17,4,FALSE),"")</f>
        <v>Select special signal from the drop down list.</v>
      </c>
      <c r="C9" s="69" t="b">
        <f>IFERROR(VLOOKUP($A9,'Special Signals Tables'!$A$2:$D$17,2,FALSE),"")</f>
        <v>1</v>
      </c>
      <c r="G9" s="148" t="b">
        <f t="shared" si="0"/>
        <v>0</v>
      </c>
      <c r="I9" s="148" t="str">
        <f t="shared" si="1"/>
        <v/>
      </c>
    </row>
    <row r="10" spans="1:17" ht="13.5" thickBot="1" x14ac:dyDescent="0.25">
      <c r="A10" s="45" t="s">
        <v>59</v>
      </c>
      <c r="B10" s="85" t="str">
        <f>IFERROR(VLOOKUP($A10,'Special Signals Tables'!$A$2:$D$17,4,FALSE),"")</f>
        <v>Select special signal from the drop down list.</v>
      </c>
      <c r="C10" s="69" t="b">
        <f>IFERROR(VLOOKUP($A10,'Special Signals Tables'!$A$2:$D$17,2,FALSE),"")</f>
        <v>1</v>
      </c>
      <c r="G10" s="148" t="b">
        <f t="shared" si="0"/>
        <v>0</v>
      </c>
      <c r="I10" s="148" t="str">
        <f t="shared" si="1"/>
        <v/>
      </c>
    </row>
    <row r="11" spans="1:17" ht="13.5" thickBot="1" x14ac:dyDescent="0.25">
      <c r="A11" s="45" t="s">
        <v>59</v>
      </c>
      <c r="B11" s="85" t="str">
        <f>IFERROR(VLOOKUP($A11,'Special Signals Tables'!$A$2:$D$17,4,FALSE),"")</f>
        <v>Select special signal from the drop down list.</v>
      </c>
      <c r="C11" s="69" t="b">
        <f>IFERROR(VLOOKUP($A11,'Special Signals Tables'!$A$2:$D$17,2,FALSE),"")</f>
        <v>1</v>
      </c>
      <c r="G11" s="148" t="b">
        <f t="shared" si="0"/>
        <v>0</v>
      </c>
      <c r="I11" s="148" t="str">
        <f t="shared" si="1"/>
        <v/>
      </c>
    </row>
    <row r="12" spans="1:17" ht="13.5" thickBot="1" x14ac:dyDescent="0.25">
      <c r="A12" s="45" t="s">
        <v>59</v>
      </c>
      <c r="B12" s="85" t="str">
        <f>IFERROR(VLOOKUP($A12,'Special Signals Tables'!$A$2:$D$17,4,FALSE),"")</f>
        <v>Select special signal from the drop down list.</v>
      </c>
      <c r="C12" s="69" t="b">
        <f>IFERROR(VLOOKUP($A12,'Special Signals Tables'!$A$2:$D$17,2,FALSE),"")</f>
        <v>1</v>
      </c>
      <c r="G12" s="148" t="b">
        <f t="shared" si="0"/>
        <v>0</v>
      </c>
      <c r="I12" s="148" t="str">
        <f t="shared" si="1"/>
        <v/>
      </c>
    </row>
    <row r="13" spans="1:17" ht="13.5" thickBot="1" x14ac:dyDescent="0.25">
      <c r="A13" s="45" t="s">
        <v>59</v>
      </c>
      <c r="B13" s="85" t="str">
        <f>IFERROR(VLOOKUP($A13,'Special Signals Tables'!$A$2:$D$17,4,FALSE),"")</f>
        <v>Select special signal from the drop down list.</v>
      </c>
      <c r="C13" s="69" t="b">
        <f>IFERROR(VLOOKUP($A13,'Special Signals Tables'!$A$2:$D$17,2,FALSE),"")</f>
        <v>1</v>
      </c>
      <c r="G13" s="148" t="b">
        <f t="shared" si="0"/>
        <v>0</v>
      </c>
      <c r="I13" s="148" t="str">
        <f t="shared" si="1"/>
        <v/>
      </c>
    </row>
    <row r="14" spans="1:17" ht="13.5" thickBot="1" x14ac:dyDescent="0.25">
      <c r="A14" s="45" t="s">
        <v>59</v>
      </c>
      <c r="B14" s="85" t="str">
        <f>IFERROR(VLOOKUP($A14,'Special Signals Tables'!$A$2:$D$17,4,FALSE),"")</f>
        <v>Select special signal from the drop down list.</v>
      </c>
      <c r="C14" s="69" t="b">
        <f>IFERROR(VLOOKUP($A14,'Special Signals Tables'!$A$2:$D$17,2,FALSE),"")</f>
        <v>1</v>
      </c>
      <c r="G14" s="148" t="b">
        <f t="shared" si="0"/>
        <v>0</v>
      </c>
      <c r="I14" s="148" t="str">
        <f t="shared" si="1"/>
        <v/>
      </c>
    </row>
    <row r="15" spans="1:17" ht="13.5" thickBot="1" x14ac:dyDescent="0.25">
      <c r="A15" s="45" t="s">
        <v>59</v>
      </c>
      <c r="B15" s="85" t="str">
        <f>IFERROR(VLOOKUP($A15,'Special Signals Tables'!$A$2:$D$17,4,FALSE),"")</f>
        <v>Select special signal from the drop down list.</v>
      </c>
      <c r="C15" s="69" t="b">
        <f>IFERROR(VLOOKUP($A15,'Special Signals Tables'!$A$2:$D$17,2,FALSE),"")</f>
        <v>1</v>
      </c>
      <c r="G15" s="148" t="b">
        <f t="shared" si="0"/>
        <v>0</v>
      </c>
      <c r="I15" s="148" t="str">
        <f t="shared" si="1"/>
        <v/>
      </c>
    </row>
    <row r="16" spans="1:17" ht="13.5" thickBot="1" x14ac:dyDescent="0.25">
      <c r="A16" s="45" t="s">
        <v>59</v>
      </c>
      <c r="B16" s="85" t="str">
        <f>IFERROR(VLOOKUP($A16,'Special Signals Tables'!$A$2:$D$17,4,FALSE),"")</f>
        <v>Select special signal from the drop down list.</v>
      </c>
      <c r="C16" s="69" t="b">
        <f>IFERROR(VLOOKUP($A16,'Special Signals Tables'!$A$2:$D$17,2,FALSE),"")</f>
        <v>1</v>
      </c>
      <c r="G16" s="148" t="b">
        <f t="shared" si="0"/>
        <v>0</v>
      </c>
      <c r="I16" s="148" t="str">
        <f t="shared" si="1"/>
        <v/>
      </c>
    </row>
    <row r="17" spans="1:17" ht="13.5" thickBot="1" x14ac:dyDescent="0.25">
      <c r="A17" s="45" t="s">
        <v>59</v>
      </c>
      <c r="B17" s="85" t="str">
        <f>IFERROR(VLOOKUP($A17,'Special Signals Tables'!$A$2:$D$17,4,FALSE),"")</f>
        <v>Select special signal from the drop down list.</v>
      </c>
      <c r="C17" s="69" t="b">
        <f>IFERROR(VLOOKUP($A17,'Special Signals Tables'!$A$2:$D$17,2,FALSE),"")</f>
        <v>1</v>
      </c>
      <c r="G17" s="148" t="b">
        <f t="shared" si="0"/>
        <v>0</v>
      </c>
      <c r="I17" s="148" t="str">
        <f t="shared" si="1"/>
        <v/>
      </c>
    </row>
    <row r="18" spans="1:17" ht="13.5" thickBot="1" x14ac:dyDescent="0.25">
      <c r="A18" s="45" t="s">
        <v>59</v>
      </c>
      <c r="B18" s="85" t="str">
        <f>IFERROR(VLOOKUP($A18,'Special Signals Tables'!$A$2:$D$17,4,FALSE),"")</f>
        <v>Select special signal from the drop down list.</v>
      </c>
      <c r="C18" s="69" t="b">
        <f>IFERROR(VLOOKUP($A18,'Special Signals Tables'!$A$2:$D$17,2,FALSE),"")</f>
        <v>1</v>
      </c>
      <c r="G18" s="148" t="b">
        <f t="shared" si="0"/>
        <v>0</v>
      </c>
      <c r="I18" s="148" t="str">
        <f t="shared" si="1"/>
        <v/>
      </c>
    </row>
    <row r="19" spans="1:17" ht="13.5" thickBot="1" x14ac:dyDescent="0.25">
      <c r="A19" s="45" t="s">
        <v>59</v>
      </c>
      <c r="B19" s="85" t="str">
        <f>IFERROR(VLOOKUP($A19,'Special Signals Tables'!$A$2:$D$17,4,FALSE),"")</f>
        <v>Select special signal from the drop down list.</v>
      </c>
      <c r="C19" s="69" t="b">
        <f>IFERROR(VLOOKUP($A19,'Special Signals Tables'!$A$2:$D$17,2,FALSE),"")</f>
        <v>1</v>
      </c>
      <c r="G19" s="148" t="b">
        <f t="shared" si="0"/>
        <v>0</v>
      </c>
      <c r="I19" s="148" t="str">
        <f t="shared" si="1"/>
        <v/>
      </c>
    </row>
    <row r="20" spans="1:17" ht="13.5" thickBot="1" x14ac:dyDescent="0.25">
      <c r="A20" s="45" t="s">
        <v>59</v>
      </c>
      <c r="B20" s="85" t="str">
        <f>IFERROR(VLOOKUP($A20,'Special Signals Tables'!$A$2:$D$17,4,FALSE),"")</f>
        <v>Select special signal from the drop down list.</v>
      </c>
      <c r="C20" s="69" t="b">
        <f>IFERROR(VLOOKUP($A20,'Special Signals Tables'!$A$2:$D$17,2,FALSE),"")</f>
        <v>1</v>
      </c>
      <c r="G20" s="148" t="b">
        <f t="shared" si="0"/>
        <v>0</v>
      </c>
      <c r="I20" s="148" t="str">
        <f t="shared" si="1"/>
        <v/>
      </c>
    </row>
    <row r="25" spans="1:17" ht="26.25" thickBot="1" x14ac:dyDescent="0.25">
      <c r="A25" s="79" t="s">
        <v>177</v>
      </c>
    </row>
    <row r="26" spans="1:17" ht="13.5" thickBot="1" x14ac:dyDescent="0.25">
      <c r="A26" s="60" t="s">
        <v>54</v>
      </c>
      <c r="B26" s="60" t="s">
        <v>49</v>
      </c>
      <c r="C26" s="60" t="s">
        <v>55</v>
      </c>
      <c r="G26" s="198" t="s">
        <v>453</v>
      </c>
      <c r="H26" s="57" t="s">
        <v>450</v>
      </c>
      <c r="I26" s="198" t="s">
        <v>451</v>
      </c>
      <c r="J26" s="57" t="s">
        <v>452</v>
      </c>
      <c r="L26" s="51"/>
      <c r="M26" s="51"/>
      <c r="N26" s="51"/>
      <c r="O26" s="148"/>
      <c r="P26" s="148"/>
      <c r="Q26" s="148"/>
    </row>
    <row r="27" spans="1:17" ht="13.5" thickBot="1" x14ac:dyDescent="0.25">
      <c r="A27" s="81" t="s">
        <v>345</v>
      </c>
      <c r="B27" s="86" t="str">
        <f>IFERROR(VLOOKUP($A27,'Special Signals Tables'!$A$21:$D$24,4,FALSE),"")</f>
        <v/>
      </c>
      <c r="C27" s="83" t="str">
        <f>IFERROR(VLOOKUP($A27,'Special Signals Tables'!$A$21:$D$24,2,FALSE),"")</f>
        <v/>
      </c>
      <c r="G27" s="51" t="s">
        <v>427</v>
      </c>
      <c r="H27" s="51">
        <f>COUNTIF(G28:G30, TRUE)</f>
        <v>0</v>
      </c>
      <c r="I27" s="51" t="s">
        <v>427</v>
      </c>
      <c r="J27" s="51" t="str">
        <f>IF(H27=0,"N/A",IF(AND(I28:I30),TRUE,"N/A"))</f>
        <v>N/A</v>
      </c>
      <c r="L27" s="51"/>
      <c r="M27" s="51"/>
      <c r="N27" s="51"/>
      <c r="O27" s="148"/>
      <c r="P27" s="148"/>
      <c r="Q27" s="148"/>
    </row>
    <row r="28" spans="1:17" ht="13.5" thickBot="1" x14ac:dyDescent="0.25">
      <c r="A28" s="45" t="s">
        <v>59</v>
      </c>
      <c r="B28" s="87" t="str">
        <f>IFERROR(VLOOKUP($A28,'Special Signals Tables'!$A$21:$D$24,4,FALSE),"")</f>
        <v>Select special signal from the drop down list.</v>
      </c>
      <c r="C28" s="83" t="b">
        <f>IFERROR(VLOOKUP($A28,'Special Signals Tables'!$A$21:$D$24,2,FALSE),"")</f>
        <v>1</v>
      </c>
      <c r="G28" s="148" t="b">
        <f t="shared" ref="G28:G30" si="2">IF(OR(ISBLANK(A28), A28="&lt;Select Special Signal&gt;"), FALSE, TRUE)</f>
        <v>0</v>
      </c>
      <c r="I28" s="148" t="str">
        <f t="shared" ref="I28:I30" si="3">IF(OR(ISBLANK(A28), A28="&lt;Select Special Signal&gt;"), "", TRUE)</f>
        <v/>
      </c>
      <c r="L28" s="51"/>
      <c r="M28" s="51"/>
      <c r="N28" s="51"/>
      <c r="O28" s="148"/>
      <c r="P28" s="148"/>
      <c r="Q28" s="148"/>
    </row>
    <row r="29" spans="1:17" ht="13.5" thickBot="1" x14ac:dyDescent="0.25">
      <c r="A29" s="45" t="s">
        <v>59</v>
      </c>
      <c r="B29" s="87" t="str">
        <f>IFERROR(VLOOKUP($A29,'Special Signals Tables'!$A$21:$D$24,4,FALSE),"")</f>
        <v>Select special signal from the drop down list.</v>
      </c>
      <c r="C29" s="83" t="b">
        <f>IFERROR(VLOOKUP($A29,'Special Signals Tables'!$A$21:$D$24,2,FALSE),"")</f>
        <v>1</v>
      </c>
      <c r="G29" s="148" t="b">
        <f t="shared" si="2"/>
        <v>0</v>
      </c>
      <c r="I29" s="148" t="str">
        <f t="shared" si="3"/>
        <v/>
      </c>
      <c r="L29" s="51"/>
      <c r="M29" s="51"/>
      <c r="N29" s="51"/>
      <c r="O29" s="148"/>
      <c r="P29" s="148"/>
      <c r="Q29" s="148"/>
    </row>
    <row r="30" spans="1:17" ht="13.5" thickBot="1" x14ac:dyDescent="0.25">
      <c r="A30" s="45" t="s">
        <v>59</v>
      </c>
      <c r="B30" s="87" t="str">
        <f>IFERROR(VLOOKUP($A30,'Special Signals Tables'!$A$21:$D$24,4,FALSE),"")</f>
        <v>Select special signal from the drop down list.</v>
      </c>
      <c r="C30" s="83" t="b">
        <f>IFERROR(VLOOKUP($A30,'Special Signals Tables'!$A$21:$D$24,2,FALSE),"")</f>
        <v>1</v>
      </c>
      <c r="G30" s="148" t="b">
        <f t="shared" si="2"/>
        <v>0</v>
      </c>
      <c r="I30" s="148" t="str">
        <f t="shared" si="3"/>
        <v/>
      </c>
      <c r="L30" s="51"/>
      <c r="M30" s="51"/>
      <c r="N30" s="51"/>
      <c r="O30" s="148"/>
      <c r="P30" s="148"/>
      <c r="Q30" s="148"/>
    </row>
    <row r="31" spans="1:17" x14ac:dyDescent="0.2">
      <c r="L31" s="51"/>
      <c r="M31" s="51"/>
      <c r="N31" s="51"/>
      <c r="O31" s="148"/>
      <c r="P31" s="148"/>
      <c r="Q31" s="148"/>
    </row>
    <row r="32" spans="1:17" x14ac:dyDescent="0.2">
      <c r="L32" s="51"/>
      <c r="M32" s="51"/>
      <c r="N32" s="51"/>
      <c r="O32" s="148"/>
      <c r="P32" s="148"/>
      <c r="Q32" s="148"/>
    </row>
    <row r="33" spans="1:17" x14ac:dyDescent="0.2">
      <c r="L33" s="51"/>
      <c r="M33" s="51"/>
      <c r="N33" s="51"/>
      <c r="O33" s="148"/>
      <c r="P33" s="148"/>
      <c r="Q33" s="148"/>
    </row>
    <row r="34" spans="1:17" x14ac:dyDescent="0.2">
      <c r="L34" s="51"/>
      <c r="M34" s="51"/>
      <c r="N34" s="51"/>
      <c r="O34" s="148"/>
      <c r="P34" s="148"/>
      <c r="Q34" s="148"/>
    </row>
    <row r="35" spans="1:17" ht="13.5" thickBot="1" x14ac:dyDescent="0.25">
      <c r="A35" s="79" t="s">
        <v>213</v>
      </c>
      <c r="L35" s="51"/>
      <c r="M35" s="51"/>
      <c r="N35" s="51"/>
      <c r="O35" s="148"/>
      <c r="P35" s="148"/>
      <c r="Q35" s="148"/>
    </row>
    <row r="36" spans="1:17" ht="13.5" thickBot="1" x14ac:dyDescent="0.25">
      <c r="A36" s="60" t="s">
        <v>56</v>
      </c>
      <c r="B36" s="60" t="s">
        <v>49</v>
      </c>
      <c r="C36" s="60" t="s">
        <v>55</v>
      </c>
      <c r="G36" s="198" t="s">
        <v>454</v>
      </c>
      <c r="H36" s="57" t="s">
        <v>450</v>
      </c>
      <c r="I36" s="198" t="s">
        <v>451</v>
      </c>
      <c r="J36" s="57" t="s">
        <v>452</v>
      </c>
      <c r="L36" s="51"/>
      <c r="M36" s="51"/>
      <c r="N36" s="51"/>
      <c r="O36" s="148"/>
      <c r="P36" s="148"/>
      <c r="Q36" s="148"/>
    </row>
    <row r="37" spans="1:17" ht="13.5" thickBot="1" x14ac:dyDescent="0.25">
      <c r="A37" s="81" t="s">
        <v>58</v>
      </c>
      <c r="B37" s="82" t="str">
        <f>IFERROR(VLOOKUP($A37,'Special Signals Tables'!$A$27:$D$28,4,FALSE),"")</f>
        <v>Standard Key Fill</v>
      </c>
      <c r="C37" s="70" t="b">
        <f>IFERROR(VLOOKUP($A37,'Special Signals Tables'!$A$27:$D$28,2,FALSE),"")</f>
        <v>1</v>
      </c>
      <c r="G37" s="51" t="s">
        <v>427</v>
      </c>
      <c r="H37" s="51">
        <f>COUNTIF(A38, TRUE)</f>
        <v>0</v>
      </c>
      <c r="I37" s="51" t="s">
        <v>427</v>
      </c>
      <c r="J37" s="51" t="str">
        <f>IF(H37=0,"N/A",IF(AND(I38:I39),TRUE,"N/A"))</f>
        <v>N/A</v>
      </c>
      <c r="L37" s="51"/>
      <c r="M37" s="51"/>
      <c r="N37" s="51"/>
      <c r="O37" s="148"/>
      <c r="P37" s="148"/>
      <c r="Q37" s="148"/>
    </row>
    <row r="38" spans="1:17" ht="13.5" thickBot="1" x14ac:dyDescent="0.25">
      <c r="A38" s="45" t="s">
        <v>59</v>
      </c>
      <c r="B38" s="85" t="str">
        <f>IFERROR(VLOOKUP($A38,'Special Signals Tables'!$A$27:$D$28,4,FALSE),"")</f>
        <v>Select special signal from the drop down list.</v>
      </c>
      <c r="C38" s="70" t="b">
        <f>IFERROR(VLOOKUP($A38,'Special Signals Tables'!$A$27:$D$28,2,FALSE),"")</f>
        <v>1</v>
      </c>
      <c r="G38" s="148" t="b">
        <f t="shared" ref="G38:G39" si="4">IF(OR(ISBLANK(A38), A38="&lt;Select Special Signal&gt;"), FALSE, TRUE)</f>
        <v>0</v>
      </c>
      <c r="I38" s="148" t="str">
        <f t="shared" ref="I38:I39" si="5">IF(OR(ISBLANK(A38), A38="&lt;Select Special Signal&gt;"), "", TRUE)</f>
        <v/>
      </c>
      <c r="L38" s="51"/>
      <c r="M38" s="51"/>
      <c r="N38" s="51"/>
      <c r="O38" s="148"/>
      <c r="P38" s="148"/>
      <c r="Q38" s="148"/>
    </row>
    <row r="39" spans="1:17" ht="13.5" thickBot="1" x14ac:dyDescent="0.25">
      <c r="A39" s="45" t="s">
        <v>59</v>
      </c>
      <c r="B39" s="85" t="str">
        <f>IFERROR(VLOOKUP($A39,'Special Signals Tables'!$A$27:$D$28,4,FALSE),"")</f>
        <v>Select special signal from the drop down list.</v>
      </c>
      <c r="C39" s="70" t="b">
        <f>IFERROR(VLOOKUP($A39,'Special Signals Tables'!$A$27:$D$28,2,FALSE),"")</f>
        <v>1</v>
      </c>
      <c r="G39" s="148" t="b">
        <f t="shared" si="4"/>
        <v>0</v>
      </c>
      <c r="I39" s="148" t="str">
        <f t="shared" si="5"/>
        <v/>
      </c>
      <c r="L39" s="51"/>
      <c r="M39" s="51"/>
      <c r="N39" s="51"/>
      <c r="O39" s="148"/>
      <c r="P39" s="148"/>
      <c r="Q39" s="148"/>
    </row>
    <row r="40" spans="1:17" x14ac:dyDescent="0.2">
      <c r="L40" s="51"/>
      <c r="M40" s="51"/>
      <c r="N40" s="51"/>
      <c r="O40" s="148"/>
      <c r="P40" s="148"/>
      <c r="Q40" s="148"/>
    </row>
    <row r="42" spans="1:17" x14ac:dyDescent="0.2">
      <c r="A42" s="75" t="s">
        <v>211</v>
      </c>
      <c r="B42" s="48"/>
      <c r="C42" s="48"/>
      <c r="D42" s="48"/>
    </row>
    <row r="43" spans="1:17" x14ac:dyDescent="0.2">
      <c r="A43" s="75" t="s">
        <v>216</v>
      </c>
      <c r="B43" s="48"/>
      <c r="C43" s="48"/>
      <c r="D43" s="48"/>
    </row>
    <row r="44" spans="1:17" x14ac:dyDescent="0.2">
      <c r="A44" s="75" t="s">
        <v>214</v>
      </c>
      <c r="B44" s="48"/>
      <c r="C44" s="48"/>
      <c r="D44" s="48"/>
    </row>
    <row r="45" spans="1:17" x14ac:dyDescent="0.2">
      <c r="A45" s="75" t="s">
        <v>215</v>
      </c>
      <c r="B45" s="48"/>
      <c r="C45" s="48"/>
      <c r="D45" s="48"/>
    </row>
  </sheetData>
  <sheetProtection algorithmName="SHA-512" hashValue="v1ExY9oskaydAO83Cm07XfobwMbkDP00ZOCY+3BDWPKICsvQogk/ZIrTJsIXTq/TQMG4piryS9zUXUJAXCI+Lw==" saltValue="r6h3ditxgiTmAb3TpldWHw==" spinCount="100000" sheet="1" objects="1" scenarios="1"/>
  <conditionalFormatting sqref="A5:A20 A27:A30 A37:A39">
    <cfRule type="containsBlanks" dxfId="31" priority="17">
      <formula>LEN(TRIM(A5))=0</formula>
    </cfRule>
    <cfRule type="containsText" dxfId="30" priority="18" operator="containsText" text="&lt;Select Special Signal&gt;">
      <formula>NOT(ISERROR(SEARCH("&lt;Select Special Signal&gt;",A5)))</formula>
    </cfRule>
    <cfRule type="notContainsText" dxfId="29" priority="21" operator="notContains" text="&lt;Select Special Signal&gt;">
      <formula>ISERROR(SEARCH("&lt;Select Special Signal&gt;",A5))</formula>
    </cfRule>
  </conditionalFormatting>
  <conditionalFormatting sqref="C5:C20">
    <cfRule type="containsText" dxfId="28" priority="1" operator="containsText" text="FALSE">
      <formula>NOT(ISERROR(SEARCH("FALSE",C5)))</formula>
    </cfRule>
    <cfRule type="containsText" dxfId="27" priority="2" operator="containsText" text="TRUE">
      <formula>NOT(ISERROR(SEARCH("TRUE",C5)))</formula>
    </cfRule>
  </conditionalFormatting>
  <conditionalFormatting sqref="C27:C30 C37:C39">
    <cfRule type="containsText" dxfId="26" priority="19" operator="containsText" text="FALSE">
      <formula>NOT(ISERROR(SEARCH("FALSE",C27)))</formula>
    </cfRule>
    <cfRule type="containsText" dxfId="25" priority="20" operator="containsText" text="TRUE">
      <formula>NOT(ISERROR(SEARCH("TRUE",C27)))</formula>
    </cfRule>
  </conditionalFormatting>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BC6E228-3FE5-438C-AB00-DB5FFC4FF219}">
          <x14:formula1>
            <xm:f>'Special Signals Tables'!$A$2:$A$17</xm:f>
          </x14:formula1>
          <xm:sqref>A6:A20</xm:sqref>
        </x14:dataValidation>
        <x14:dataValidation type="list" allowBlank="1" showInputMessage="1" showErrorMessage="1" xr:uid="{F87D6282-1AFE-4F7F-A75E-484D8078A502}">
          <x14:formula1>
            <xm:f>'Special Signals Tables'!$A$20:$A$24</xm:f>
          </x14:formula1>
          <xm:sqref>A28:A30</xm:sqref>
        </x14:dataValidation>
        <x14:dataValidation type="list" allowBlank="1" showInputMessage="1" showErrorMessage="1" xr:uid="{C539B098-C95C-4F42-BCDC-A3C2BD567887}">
          <x14:formula1>
            <xm:f>'Special Signals Tables'!$A$27:$A$28</xm:f>
          </x14:formula1>
          <xm:sqref>A38:A39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tabColor theme="4"/>
  </sheetPr>
  <dimension ref="A1:X52"/>
  <sheetViews>
    <sheetView workbookViewId="0"/>
  </sheetViews>
  <sheetFormatPr defaultColWidth="9.140625" defaultRowHeight="12.75" x14ac:dyDescent="0.25"/>
  <cols>
    <col min="1" max="1" width="38.7109375" style="51" customWidth="1"/>
    <col min="2" max="2" width="40.28515625" style="51" customWidth="1"/>
    <col min="3" max="3" width="32.7109375" style="51" customWidth="1"/>
    <col min="4" max="4" width="33.140625" style="51" customWidth="1"/>
    <col min="5" max="5" width="23.5703125" style="51" customWidth="1"/>
    <col min="6" max="6" width="35" style="51" customWidth="1"/>
    <col min="7" max="7" width="20.7109375" style="51" customWidth="1"/>
    <col min="8" max="8" width="20" style="51" hidden="1" customWidth="1"/>
    <col min="9" max="9" width="15.85546875" style="51" hidden="1" customWidth="1"/>
    <col min="10" max="10" width="20.7109375" style="51" hidden="1" customWidth="1"/>
    <col min="11" max="11" width="10.85546875" style="51" hidden="1" customWidth="1"/>
    <col min="12" max="12" width="26" style="51" hidden="1" customWidth="1"/>
    <col min="13" max="13" width="14" style="51" hidden="1" customWidth="1"/>
    <col min="14" max="14" width="18.42578125" style="51" hidden="1" customWidth="1"/>
    <col min="15" max="15" width="19" style="51" hidden="1" customWidth="1"/>
    <col min="16" max="16" width="18.5703125" style="51" hidden="1" customWidth="1"/>
    <col min="17" max="17" width="26.85546875" style="51" hidden="1" customWidth="1"/>
    <col min="18" max="18" width="49.5703125" style="51" hidden="1" customWidth="1"/>
    <col min="19" max="19" width="20.5703125" style="51" hidden="1" customWidth="1"/>
    <col min="20" max="20" width="40.85546875" style="51" hidden="1" customWidth="1"/>
    <col min="21" max="21" width="27.28515625" style="51" hidden="1" customWidth="1"/>
    <col min="22" max="22" width="18.28515625" style="51" customWidth="1"/>
    <col min="23" max="23" width="9.140625" style="51"/>
    <col min="24" max="24" width="65" style="51" customWidth="1"/>
    <col min="25" max="16384" width="9.140625" style="51"/>
  </cols>
  <sheetData>
    <row r="1" spans="1:24" s="74" customFormat="1" ht="26.25" thickBot="1" x14ac:dyDescent="0.3">
      <c r="A1" s="88" t="s">
        <v>60</v>
      </c>
      <c r="B1" s="88"/>
      <c r="C1" s="53" t="s">
        <v>346</v>
      </c>
      <c r="D1" s="53" t="s">
        <v>347</v>
      </c>
      <c r="F1" s="14"/>
      <c r="R1" s="73"/>
      <c r="S1" s="73" t="s">
        <v>428</v>
      </c>
      <c r="T1" s="73" t="s">
        <v>348</v>
      </c>
      <c r="U1" s="74" t="s">
        <v>23</v>
      </c>
    </row>
    <row r="2" spans="1:24" s="74" customFormat="1" ht="13.5" thickBot="1" x14ac:dyDescent="0.3">
      <c r="A2" s="275" t="s">
        <v>61</v>
      </c>
      <c r="B2" s="275"/>
      <c r="C2" s="89" t="b">
        <f>AND(O6,P14,R25)</f>
        <v>1</v>
      </c>
      <c r="D2" s="89" t="b">
        <f>AND(P6,Q14,S25)</f>
        <v>1</v>
      </c>
      <c r="F2" s="14"/>
      <c r="R2" s="57" t="s">
        <v>429</v>
      </c>
      <c r="S2" s="57" t="b">
        <f>IF(AND(L6=0, L14=0, L25=0), TRUE, "N/A")</f>
        <v>1</v>
      </c>
      <c r="T2" s="73" t="s">
        <v>430</v>
      </c>
      <c r="U2" s="196"/>
    </row>
    <row r="3" spans="1:24" s="74" customFormat="1" ht="13.5" thickBot="1" x14ac:dyDescent="0.3">
      <c r="F3" s="14"/>
      <c r="R3" s="57" t="s">
        <v>431</v>
      </c>
      <c r="S3" s="73" t="str">
        <f>IF(OR(N6=TRUE,O14=TRUE,O25=TRUE),TRUE, "N/A")</f>
        <v>N/A</v>
      </c>
      <c r="T3" s="73" t="s">
        <v>432</v>
      </c>
      <c r="U3" s="196"/>
    </row>
    <row r="4" spans="1:24" s="74" customFormat="1" ht="13.5" thickBot="1" x14ac:dyDescent="0.3">
      <c r="R4" s="57" t="s">
        <v>433</v>
      </c>
      <c r="S4" s="73" t="s">
        <v>427</v>
      </c>
      <c r="T4" s="57" t="str">
        <f>N6</f>
        <v>N/A</v>
      </c>
      <c r="U4" s="196" t="str">
        <f t="shared" ref="U4:U9" si="0">IF(T4="N/A", "Auto Calculated", "Auto Calculated")</f>
        <v>Auto Calculated</v>
      </c>
    </row>
    <row r="5" spans="1:24" s="74" customFormat="1" ht="26.25" thickBot="1" x14ac:dyDescent="0.25">
      <c r="A5" s="59" t="s">
        <v>349</v>
      </c>
      <c r="B5" s="59" t="s">
        <v>350</v>
      </c>
      <c r="F5" s="28"/>
      <c r="G5" s="28"/>
      <c r="H5" s="197" t="s">
        <v>351</v>
      </c>
      <c r="I5" s="197" t="s">
        <v>352</v>
      </c>
      <c r="J5" s="197" t="s">
        <v>353</v>
      </c>
      <c r="K5" s="73" t="s">
        <v>354</v>
      </c>
      <c r="L5" s="73" t="s">
        <v>355</v>
      </c>
      <c r="M5" s="198" t="s">
        <v>434</v>
      </c>
      <c r="N5" s="198" t="s">
        <v>435</v>
      </c>
      <c r="O5" s="73" t="s">
        <v>356</v>
      </c>
      <c r="P5" s="73" t="s">
        <v>357</v>
      </c>
      <c r="R5" s="57" t="s">
        <v>436</v>
      </c>
      <c r="S5" s="73" t="s">
        <v>427</v>
      </c>
      <c r="T5" s="57" t="str">
        <f>O14</f>
        <v>N/A</v>
      </c>
      <c r="U5" s="196" t="str">
        <f t="shared" si="0"/>
        <v>Auto Calculated</v>
      </c>
    </row>
    <row r="6" spans="1:24" s="93" customFormat="1" ht="13.5" thickBot="1" x14ac:dyDescent="0.3">
      <c r="A6" s="91" t="s">
        <v>62</v>
      </c>
      <c r="B6" s="92" t="b">
        <f>I6</f>
        <v>0</v>
      </c>
      <c r="G6" s="74"/>
      <c r="H6" s="196" t="b">
        <f>IF(VLOOKUP($A6,'Special Signals Tables'!$A$31:$D$34,2,FALSE),IF($A6="&lt;Select Special Signal&gt;",FALSE,TRUE),FALSE)</f>
        <v>1</v>
      </c>
      <c r="I6" s="94" t="b">
        <f>IF(H6=TRUE,FALSE,TRUE)</f>
        <v>0</v>
      </c>
      <c r="J6" s="51" t="b">
        <f>IF(A6="&lt;Select Special Signal&gt;", FALSE, TRUE)</f>
        <v>1</v>
      </c>
      <c r="K6" s="93" t="b">
        <f>IF(AND(NOT(A6="&lt;Select Special Signal&gt;"), H6=TRUE), TRUE, FALSE)</f>
        <v>1</v>
      </c>
      <c r="L6" s="74">
        <f>COUNTIF(K7:K10, TRUE)</f>
        <v>0</v>
      </c>
      <c r="M6" s="74" t="s">
        <v>427</v>
      </c>
      <c r="N6" s="74" t="str">
        <f>IF(L6=0,"N/A",IF(AND(M7:M10),TRUE,"N/A"))</f>
        <v>N/A</v>
      </c>
      <c r="O6" s="93" t="b">
        <f>OR(B6:B10)</f>
        <v>1</v>
      </c>
      <c r="P6" s="93" t="b">
        <f>AND(B7:B10)</f>
        <v>1</v>
      </c>
      <c r="R6" s="57" t="s">
        <v>437</v>
      </c>
      <c r="S6" s="73" t="s">
        <v>427</v>
      </c>
      <c r="T6" s="57" t="str">
        <f>O25</f>
        <v>N/A</v>
      </c>
      <c r="U6" s="196" t="str">
        <f t="shared" si="0"/>
        <v>Auto Calculated</v>
      </c>
      <c r="V6" s="74"/>
    </row>
    <row r="7" spans="1:24" s="74" customFormat="1" ht="13.5" thickBot="1" x14ac:dyDescent="0.3">
      <c r="A7" s="47" t="s">
        <v>59</v>
      </c>
      <c r="B7" s="92" t="b">
        <f>I7</f>
        <v>1</v>
      </c>
      <c r="D7" s="14"/>
      <c r="E7" s="14"/>
      <c r="F7" s="14"/>
      <c r="H7" s="196" t="b">
        <f>IF(VLOOKUP($A7,'Special Signals Tables'!$A$31:$D$34,2,FALSE),IF($A7="&lt;Select Special Signal&gt;",FALSE,TRUE),FALSE)</f>
        <v>0</v>
      </c>
      <c r="I7" s="94" t="b">
        <f>IF(H7=TRUE,FALSE,TRUE)</f>
        <v>1</v>
      </c>
      <c r="J7" s="51" t="b">
        <f>IF(A7="&lt;Select Special Signal&gt;", FALSE, TRUE)</f>
        <v>0</v>
      </c>
      <c r="K7" s="93" t="b">
        <f>IF(AND(NOT(A7="&lt;Select Special Signal&gt;"), H7=TRUE), TRUE, FALSE)</f>
        <v>0</v>
      </c>
      <c r="M7" s="74" t="str">
        <f>IF(AND(NOT(A7="&lt;Select Special Signal&gt;"), H7=TRUE), TRUE, "")</f>
        <v/>
      </c>
      <c r="R7" s="57" t="s">
        <v>438</v>
      </c>
      <c r="S7" s="73" t="s">
        <v>427</v>
      </c>
      <c r="T7" s="57" t="b">
        <f>IF(AND(L6=0,L14=0,L25=0),TRUE,IF(AND(L25&gt;0,L6=0,L14=0,T8=TRUE,T9=TRUE),TRUE,IF(OR(L6&gt;0,L14&gt;0),FALSE,"N/A")))</f>
        <v>1</v>
      </c>
      <c r="U7" s="196" t="str">
        <f t="shared" si="0"/>
        <v>Auto Calculated</v>
      </c>
    </row>
    <row r="8" spans="1:24" s="74" customFormat="1" ht="13.5" thickBot="1" x14ac:dyDescent="0.3">
      <c r="A8" s="47" t="s">
        <v>59</v>
      </c>
      <c r="B8" s="92" t="b">
        <f>I8</f>
        <v>1</v>
      </c>
      <c r="D8" s="28"/>
      <c r="F8" s="14"/>
      <c r="H8" s="196" t="b">
        <f>IF(VLOOKUP($A8,'Special Signals Tables'!$A$31:$D$34,2,FALSE),IF($A8="&lt;Select Special Signal&gt;",FALSE,TRUE),FALSE)</f>
        <v>0</v>
      </c>
      <c r="I8" s="94" t="b">
        <f>IF(H8=TRUE,FALSE,TRUE)</f>
        <v>1</v>
      </c>
      <c r="J8" s="51" t="b">
        <f>IF(A8="&lt;Select Special Signal&gt;", FALSE, TRUE)</f>
        <v>0</v>
      </c>
      <c r="K8" s="93" t="b">
        <f>IF(AND(NOT(A8="&lt;Select Special Signal&gt;"), H8=TRUE), TRUE, FALSE)</f>
        <v>0</v>
      </c>
      <c r="M8" s="74" t="str">
        <f>IF(AND(NOT(A8="&lt;Select Special Signal&gt;"), H8=TRUE), TRUE, "")</f>
        <v/>
      </c>
      <c r="R8" s="57" t="s">
        <v>439</v>
      </c>
      <c r="S8" s="73" t="s">
        <v>427</v>
      </c>
      <c r="T8" s="57" t="str">
        <f>IF(AND(L25&gt;0,P25&gt;0), TRUE, IF(AND(L25&gt;0,P25&lt;1),"Change Request Number not identified", "N/A"))</f>
        <v>N/A</v>
      </c>
      <c r="U8" s="196" t="str">
        <f t="shared" si="0"/>
        <v>Auto Calculated</v>
      </c>
      <c r="X8" s="14"/>
    </row>
    <row r="9" spans="1:24" s="74" customFormat="1" ht="13.5" thickBot="1" x14ac:dyDescent="0.3">
      <c r="A9" s="47" t="s">
        <v>59</v>
      </c>
      <c r="B9" s="92" t="b">
        <f>I9</f>
        <v>1</v>
      </c>
      <c r="H9" s="196" t="b">
        <f>IF(VLOOKUP($A9,'Special Signals Tables'!$A$31:$D$34,2,FALSE),IF($A9="&lt;Select Special Signal&gt;",FALSE,TRUE),FALSE)</f>
        <v>0</v>
      </c>
      <c r="I9" s="94" t="b">
        <f>IF(H9=TRUE,FALSE,TRUE)</f>
        <v>1</v>
      </c>
      <c r="J9" s="51" t="b">
        <f>IF(A9="&lt;Select Special Signal&gt;", FALSE, TRUE)</f>
        <v>0</v>
      </c>
      <c r="K9" s="93" t="b">
        <f>IF(AND(NOT(A9="&lt;Select Special Signal&gt;"), H9=TRUE), TRUE, FALSE)</f>
        <v>0</v>
      </c>
      <c r="M9" s="74" t="str">
        <f>IF(AND(NOT(A9="&lt;Select Special Signal&gt;"), H9=TRUE), TRUE, "")</f>
        <v/>
      </c>
      <c r="R9" s="57" t="s">
        <v>440</v>
      </c>
      <c r="S9" s="73" t="s">
        <v>427</v>
      </c>
      <c r="T9" s="57" t="str">
        <f>IF(AND(L25&gt;0,P25&gt;0), TRUE, IF(AND(L25&gt;0,P25&lt;1),"Change Request Number not identified", "N/A"))</f>
        <v>N/A</v>
      </c>
      <c r="U9" s="196" t="str">
        <f t="shared" si="0"/>
        <v>Auto Calculated</v>
      </c>
    </row>
    <row r="10" spans="1:24" s="74" customFormat="1" ht="13.5" thickBot="1" x14ac:dyDescent="0.3">
      <c r="A10" s="47" t="s">
        <v>59</v>
      </c>
      <c r="B10" s="92" t="b">
        <f>I10</f>
        <v>1</v>
      </c>
      <c r="H10" s="196" t="b">
        <f>IF(VLOOKUP($A10,'Special Signals Tables'!$A$31:$D$34,2,FALSE),IF($A10="&lt;Select Special Signal&gt;",FALSE,TRUE),FALSE)</f>
        <v>0</v>
      </c>
      <c r="I10" s="94" t="b">
        <f>IF(H10=TRUE,FALSE,TRUE)</f>
        <v>1</v>
      </c>
      <c r="J10" s="51" t="b">
        <f>IF(A10="&lt;Select Special Signal&gt;", FALSE, TRUE)</f>
        <v>0</v>
      </c>
      <c r="K10" s="93" t="b">
        <f>IF(AND(NOT(A10="&lt;Select Special Signal&gt;"), H10=TRUE), TRUE, FALSE)</f>
        <v>0</v>
      </c>
      <c r="M10" s="74" t="str">
        <f>IF(AND(NOT(A10="&lt;Select Special Signal&gt;"), H10=TRUE), TRUE, "")</f>
        <v/>
      </c>
      <c r="R10" s="73" t="s">
        <v>441</v>
      </c>
      <c r="S10" s="73" t="s">
        <v>427</v>
      </c>
      <c r="T10" s="57" t="b">
        <f>IF(AND(L14=N14,L25=N25),TRUE,FALSE)</f>
        <v>1</v>
      </c>
      <c r="U10" s="196" t="str">
        <f>IF(T10="N/A", "Auto Calculated", "Auto Calculated")</f>
        <v>Auto Calculated</v>
      </c>
      <c r="X10" s="14"/>
    </row>
    <row r="11" spans="1:24" s="74" customFormat="1" x14ac:dyDescent="0.25">
      <c r="C11" s="289"/>
      <c r="D11" s="289"/>
      <c r="E11" s="51"/>
      <c r="F11" s="51"/>
      <c r="G11" s="80"/>
      <c r="H11" s="199"/>
      <c r="I11" s="199"/>
      <c r="J11" s="199"/>
      <c r="K11" s="199"/>
    </row>
    <row r="12" spans="1:24" s="74" customFormat="1" ht="13.5" thickBot="1" x14ac:dyDescent="0.3"/>
    <row r="13" spans="1:24" ht="39" thickBot="1" x14ac:dyDescent="0.25">
      <c r="A13" s="59" t="s">
        <v>358</v>
      </c>
      <c r="B13" s="59" t="s">
        <v>359</v>
      </c>
      <c r="C13" s="59" t="s">
        <v>23</v>
      </c>
      <c r="D13" s="59" t="s">
        <v>350</v>
      </c>
      <c r="G13" s="90"/>
      <c r="H13" s="197" t="s">
        <v>63</v>
      </c>
      <c r="I13" s="197" t="s">
        <v>64</v>
      </c>
      <c r="J13" s="197" t="s">
        <v>26</v>
      </c>
      <c r="K13" s="57" t="s">
        <v>354</v>
      </c>
      <c r="L13" s="73" t="s">
        <v>355</v>
      </c>
      <c r="M13" s="198" t="s">
        <v>434</v>
      </c>
      <c r="N13" s="198" t="s">
        <v>442</v>
      </c>
      <c r="O13" s="198" t="s">
        <v>443</v>
      </c>
      <c r="P13" s="73" t="s">
        <v>356</v>
      </c>
      <c r="Q13" s="197" t="s">
        <v>357</v>
      </c>
    </row>
    <row r="14" spans="1:24" ht="26.25" thickBot="1" x14ac:dyDescent="0.3">
      <c r="A14" s="91" t="s">
        <v>65</v>
      </c>
      <c r="B14" s="91" t="s">
        <v>66</v>
      </c>
      <c r="C14" s="91" t="s">
        <v>67</v>
      </c>
      <c r="D14" s="57" t="b">
        <f>IF(A14="&lt;Select Special Signal&gt;", TRUE,AND(NOT(H14),I14:J14))</f>
        <v>0</v>
      </c>
      <c r="G14" s="95"/>
      <c r="H14" s="196" t="b">
        <f>IF(VLOOKUP($A14,'Special Signals Tables'!$A$37:$D$45,2,FALSE),TRUE,FALSE)</f>
        <v>1</v>
      </c>
      <c r="I14" s="94" t="b">
        <f>IF(OR(B14="&lt;Enter Other Non-OMS Special Signal Here&gt;",B14=""),FALSE,TRUE)</f>
        <v>1</v>
      </c>
      <c r="J14" s="94" t="b">
        <f>IF(OR(C14="&lt;Enter Rationale Here&gt;",C14=""),FALSE,TRUE)</f>
        <v>1</v>
      </c>
      <c r="K14" s="93" t="b">
        <f>IF(AND(NOT(A14="&lt;Select Special Signal&gt;"),H14=TRUE,I14=TRUE, J14=TRUE), TRUE,FALSE)</f>
        <v>1</v>
      </c>
      <c r="L14" s="51">
        <f>COUNTIF(H15:H21, TRUE)</f>
        <v>0</v>
      </c>
      <c r="M14" s="51" t="s">
        <v>427</v>
      </c>
      <c r="N14" s="51">
        <f>COUNTIF(K15:K21, TRUE)</f>
        <v>0</v>
      </c>
      <c r="O14" s="51" t="str">
        <f>IF(L14=0,"N/A", IF(AND(L14&gt;0, N14=0), FALSE, IF(AND(M15:M21),TRUE,"N/A")))</f>
        <v>N/A</v>
      </c>
      <c r="P14" s="93" t="b">
        <f>OR(D15:D21)</f>
        <v>1</v>
      </c>
      <c r="Q14" s="93" t="b">
        <f>AND(D15:D21)</f>
        <v>1</v>
      </c>
    </row>
    <row r="15" spans="1:24" ht="13.5" thickBot="1" x14ac:dyDescent="0.3">
      <c r="A15" s="47" t="s">
        <v>59</v>
      </c>
      <c r="B15" s="47" t="s">
        <v>71</v>
      </c>
      <c r="C15" s="47" t="s">
        <v>29</v>
      </c>
      <c r="D15" s="57" t="b">
        <f t="shared" ref="D15:D21" si="1">IF(A15="&lt;Select Special Signal&gt;", TRUE,AND(NOT(H15),I15:J15))</f>
        <v>1</v>
      </c>
      <c r="G15" s="96"/>
      <c r="H15" s="196" t="b">
        <f>IF(VLOOKUP($A15,'Special Signals Tables'!$A$37:$D$45,2,FALSE),TRUE,FALSE)</f>
        <v>0</v>
      </c>
      <c r="I15" s="94" t="b">
        <f t="shared" ref="I15:I21" si="2">IF(OR(B15="&lt;Enter Other Non-OMS Special Signal Here&gt;",B15=""),FALSE,TRUE)</f>
        <v>0</v>
      </c>
      <c r="J15" s="94" t="b">
        <f t="shared" ref="J15:J21" si="3">IF(OR(C15="&lt;Enter Rationale Here&gt;",C15=""),FALSE,TRUE)</f>
        <v>0</v>
      </c>
      <c r="K15" s="93" t="b">
        <f>IF(AND(NOT(A15="&lt;Select Special Signal&gt;"),H15=TRUE,I15=TRUE, J15=TRUE), TRUE,FALSE)</f>
        <v>0</v>
      </c>
      <c r="M15" s="51" t="str">
        <f>IF(K15=TRUE, TRUE, "")</f>
        <v/>
      </c>
    </row>
    <row r="16" spans="1:24" ht="13.5" thickBot="1" x14ac:dyDescent="0.3">
      <c r="A16" s="47" t="s">
        <v>59</v>
      </c>
      <c r="B16" s="47" t="s">
        <v>71</v>
      </c>
      <c r="C16" s="47" t="s">
        <v>29</v>
      </c>
      <c r="D16" s="57" t="b">
        <f t="shared" si="1"/>
        <v>1</v>
      </c>
      <c r="G16" s="96"/>
      <c r="H16" s="196" t="b">
        <f>IF(VLOOKUP($A16,'Special Signals Tables'!$A$37:$D$45,2,FALSE),TRUE,FALSE)</f>
        <v>0</v>
      </c>
      <c r="I16" s="94" t="b">
        <f t="shared" si="2"/>
        <v>0</v>
      </c>
      <c r="J16" s="94" t="b">
        <f t="shared" si="3"/>
        <v>0</v>
      </c>
      <c r="K16" s="93" t="b">
        <f t="shared" ref="K16:K21" si="4">IF(AND(NOT(A16="&lt;Select Special Signal&gt;"),H16=TRUE,I16=TRUE, J16=TRUE), TRUE,FALSE)</f>
        <v>0</v>
      </c>
      <c r="M16" s="51" t="str">
        <f t="shared" ref="M16:M21" si="5">IF(K16=TRUE, TRUE, "")</f>
        <v/>
      </c>
    </row>
    <row r="17" spans="1:22" ht="13.5" thickBot="1" x14ac:dyDescent="0.3">
      <c r="A17" s="47" t="s">
        <v>59</v>
      </c>
      <c r="B17" s="47" t="s">
        <v>71</v>
      </c>
      <c r="C17" s="47" t="s">
        <v>29</v>
      </c>
      <c r="D17" s="57" t="b">
        <f t="shared" si="1"/>
        <v>1</v>
      </c>
      <c r="G17" s="96"/>
      <c r="H17" s="196" t="b">
        <f>IF(VLOOKUP($A17,'Special Signals Tables'!$A$37:$D$45,2,FALSE),TRUE,FALSE)</f>
        <v>0</v>
      </c>
      <c r="I17" s="94" t="b">
        <f t="shared" si="2"/>
        <v>0</v>
      </c>
      <c r="J17" s="94" t="b">
        <f t="shared" si="3"/>
        <v>0</v>
      </c>
      <c r="K17" s="93" t="b">
        <f t="shared" si="4"/>
        <v>0</v>
      </c>
      <c r="M17" s="51" t="str">
        <f t="shared" si="5"/>
        <v/>
      </c>
    </row>
    <row r="18" spans="1:22" ht="13.5" thickBot="1" x14ac:dyDescent="0.3">
      <c r="A18" s="47" t="s">
        <v>59</v>
      </c>
      <c r="B18" s="47" t="s">
        <v>71</v>
      </c>
      <c r="C18" s="47" t="s">
        <v>29</v>
      </c>
      <c r="D18" s="57" t="b">
        <f t="shared" si="1"/>
        <v>1</v>
      </c>
      <c r="G18" s="96"/>
      <c r="H18" s="196" t="b">
        <f>IF(VLOOKUP($A18,'Special Signals Tables'!$A$37:$D$45,2,FALSE),TRUE,FALSE)</f>
        <v>0</v>
      </c>
      <c r="I18" s="94" t="b">
        <f t="shared" si="2"/>
        <v>0</v>
      </c>
      <c r="J18" s="94" t="b">
        <f t="shared" si="3"/>
        <v>0</v>
      </c>
      <c r="K18" s="93" t="b">
        <f t="shared" si="4"/>
        <v>0</v>
      </c>
      <c r="M18" s="51" t="str">
        <f t="shared" si="5"/>
        <v/>
      </c>
    </row>
    <row r="19" spans="1:22" ht="13.5" thickBot="1" x14ac:dyDescent="0.3">
      <c r="A19" s="47" t="s">
        <v>59</v>
      </c>
      <c r="B19" s="47" t="s">
        <v>71</v>
      </c>
      <c r="C19" s="47" t="s">
        <v>29</v>
      </c>
      <c r="D19" s="57" t="b">
        <f t="shared" si="1"/>
        <v>1</v>
      </c>
      <c r="G19" s="96"/>
      <c r="H19" s="196" t="b">
        <f>IF(VLOOKUP($A19,'Special Signals Tables'!$A$37:$D$45,2,FALSE),TRUE,FALSE)</f>
        <v>0</v>
      </c>
      <c r="I19" s="94" t="b">
        <f t="shared" si="2"/>
        <v>0</v>
      </c>
      <c r="J19" s="94" t="b">
        <f t="shared" si="3"/>
        <v>0</v>
      </c>
      <c r="K19" s="93" t="b">
        <f t="shared" si="4"/>
        <v>0</v>
      </c>
      <c r="M19" s="51" t="str">
        <f t="shared" si="5"/>
        <v/>
      </c>
    </row>
    <row r="20" spans="1:22" ht="13.5" thickBot="1" x14ac:dyDescent="0.3">
      <c r="A20" s="47" t="s">
        <v>59</v>
      </c>
      <c r="B20" s="47" t="s">
        <v>71</v>
      </c>
      <c r="C20" s="47" t="s">
        <v>29</v>
      </c>
      <c r="D20" s="57" t="b">
        <f t="shared" si="1"/>
        <v>1</v>
      </c>
      <c r="G20" s="96"/>
      <c r="H20" s="196" t="b">
        <f>IF(VLOOKUP($A20,'Special Signals Tables'!$A$37:$D$45,2,FALSE),TRUE,FALSE)</f>
        <v>0</v>
      </c>
      <c r="I20" s="94" t="b">
        <f t="shared" si="2"/>
        <v>0</v>
      </c>
      <c r="J20" s="94" t="b">
        <f t="shared" si="3"/>
        <v>0</v>
      </c>
      <c r="K20" s="93" t="b">
        <f t="shared" si="4"/>
        <v>0</v>
      </c>
      <c r="M20" s="51" t="str">
        <f t="shared" si="5"/>
        <v/>
      </c>
    </row>
    <row r="21" spans="1:22" ht="13.5" thickBot="1" x14ac:dyDescent="0.3">
      <c r="A21" s="47" t="s">
        <v>59</v>
      </c>
      <c r="B21" s="47" t="s">
        <v>71</v>
      </c>
      <c r="C21" s="47" t="s">
        <v>29</v>
      </c>
      <c r="D21" s="57" t="b">
        <f t="shared" si="1"/>
        <v>1</v>
      </c>
      <c r="G21" s="96"/>
      <c r="H21" s="196" t="b">
        <f>IF(VLOOKUP($A21,'Special Signals Tables'!$A$37:$D$45,2,FALSE),TRUE,FALSE)</f>
        <v>0</v>
      </c>
      <c r="I21" s="94" t="b">
        <f t="shared" si="2"/>
        <v>0</v>
      </c>
      <c r="J21" s="94" t="b">
        <f t="shared" si="3"/>
        <v>0</v>
      </c>
      <c r="K21" s="93" t="b">
        <f t="shared" si="4"/>
        <v>0</v>
      </c>
      <c r="M21" s="51" t="str">
        <f t="shared" si="5"/>
        <v/>
      </c>
    </row>
    <row r="22" spans="1:22" x14ac:dyDescent="0.25">
      <c r="A22" s="96"/>
      <c r="B22" s="96"/>
      <c r="C22" s="96"/>
      <c r="D22" s="96"/>
      <c r="E22" s="96"/>
      <c r="F22" s="96"/>
      <c r="G22" s="96"/>
      <c r="H22" s="94"/>
      <c r="I22" s="94"/>
      <c r="J22" s="94"/>
      <c r="V22" s="28"/>
    </row>
    <row r="23" spans="1:22" ht="13.5" thickBot="1" x14ac:dyDescent="0.3">
      <c r="A23" s="96"/>
      <c r="B23" s="96"/>
      <c r="C23" s="96"/>
      <c r="D23" s="96"/>
      <c r="E23" s="96"/>
      <c r="F23" s="96"/>
      <c r="G23" s="96"/>
      <c r="H23" s="94"/>
      <c r="I23" s="94"/>
      <c r="J23" s="94"/>
    </row>
    <row r="24" spans="1:22" ht="39" thickBot="1" x14ac:dyDescent="0.25">
      <c r="A24" s="59" t="s">
        <v>68</v>
      </c>
      <c r="B24" s="59" t="s">
        <v>23</v>
      </c>
      <c r="C24" s="59" t="s">
        <v>668</v>
      </c>
      <c r="D24" s="59" t="s">
        <v>350</v>
      </c>
      <c r="G24" s="96"/>
      <c r="H24" s="197" t="s">
        <v>360</v>
      </c>
      <c r="I24" s="197" t="s">
        <v>26</v>
      </c>
      <c r="J24" s="197" t="s">
        <v>670</v>
      </c>
      <c r="K24" s="57" t="s">
        <v>354</v>
      </c>
      <c r="L24" s="73" t="s">
        <v>361</v>
      </c>
      <c r="M24" s="198" t="s">
        <v>434</v>
      </c>
      <c r="N24" s="198" t="s">
        <v>442</v>
      </c>
      <c r="O24" s="198" t="s">
        <v>444</v>
      </c>
      <c r="P24" s="57" t="s">
        <v>671</v>
      </c>
      <c r="Q24" s="57" t="s">
        <v>669</v>
      </c>
      <c r="R24" s="73" t="s">
        <v>356</v>
      </c>
      <c r="S24" s="197" t="s">
        <v>357</v>
      </c>
      <c r="T24" s="196"/>
      <c r="V24" s="28"/>
    </row>
    <row r="25" spans="1:22" ht="39" thickBot="1" x14ac:dyDescent="0.3">
      <c r="A25" s="91" t="s">
        <v>69</v>
      </c>
      <c r="B25" s="91" t="s">
        <v>70</v>
      </c>
      <c r="C25" s="91" t="s">
        <v>1883</v>
      </c>
      <c r="D25" s="57" t="b">
        <f t="shared" ref="D25:D31" si="6">AND(H25=I25, H25=J25)</f>
        <v>1</v>
      </c>
      <c r="G25" s="96"/>
      <c r="H25" s="94" t="b">
        <f t="shared" ref="H25:H31" si="7">IF(OR(A25="&lt;Enter Other Non-OMS Special Signal Here&gt;",A25=""),FALSE,TRUE)</f>
        <v>1</v>
      </c>
      <c r="I25" s="94" t="b">
        <f t="shared" ref="I25:I31" si="8">IF(OR(B25="&lt;Enter Rationale Here&gt;",B25=""),FALSE,TRUE)</f>
        <v>1</v>
      </c>
      <c r="J25" s="94" t="b">
        <f t="shared" ref="J25:J31" si="9">IF(OR(C25="&lt;Enter Change Request ID Here&gt;",C25=""),FALSE,TRUE)</f>
        <v>1</v>
      </c>
      <c r="K25" s="93" t="b">
        <f t="shared" ref="K25:K31" si="10">IF(AND(NOT(A25="&lt;Select Special Signal&gt;"), H25=TRUE, I25=TRUE, J25=TRUE), TRUE, FALSE)</f>
        <v>1</v>
      </c>
      <c r="L25" s="74">
        <f>COUNTIF(H26:H31, TRUE)</f>
        <v>0</v>
      </c>
      <c r="M25" s="74" t="s">
        <v>427</v>
      </c>
      <c r="N25" s="74">
        <f>COUNTIF(K26:K31, TRUE)</f>
        <v>0</v>
      </c>
      <c r="O25" s="74" t="str">
        <f>IF(L25=0,"N/A", IF(AND(L25&gt;0, N25=0), FALSE, IF(AND(M26:M31),TRUE,"N/A")))</f>
        <v>N/A</v>
      </c>
      <c r="P25" s="51">
        <f>COUNTIF(J26:J31, TRUE)</f>
        <v>0</v>
      </c>
      <c r="Q25" s="51" t="str">
        <f t="shared" ref="Q25:Q31" si="11">IF(AND(H25=TRUE,J25=TRUE),"Change Request and Change Request Identifier has been entered", "Not enter")</f>
        <v>Change Request and Change Request Identifier has been entered</v>
      </c>
      <c r="R25" s="93" t="b">
        <f>OR(D26:D31)</f>
        <v>1</v>
      </c>
      <c r="S25" s="93" t="b">
        <f>AND(D26:D31)</f>
        <v>1</v>
      </c>
    </row>
    <row r="26" spans="1:22" ht="13.5" thickBot="1" x14ac:dyDescent="0.3">
      <c r="A26" s="47" t="s">
        <v>71</v>
      </c>
      <c r="B26" s="47" t="s">
        <v>29</v>
      </c>
      <c r="C26" s="47" t="s">
        <v>666</v>
      </c>
      <c r="D26" s="57" t="b">
        <f t="shared" si="6"/>
        <v>1</v>
      </c>
      <c r="G26" s="96"/>
      <c r="H26" s="94" t="b">
        <f t="shared" si="7"/>
        <v>0</v>
      </c>
      <c r="I26" s="94" t="b">
        <f t="shared" si="8"/>
        <v>0</v>
      </c>
      <c r="J26" s="94" t="b">
        <f t="shared" si="9"/>
        <v>0</v>
      </c>
      <c r="K26" s="93" t="b">
        <f t="shared" si="10"/>
        <v>0</v>
      </c>
      <c r="M26" s="51" t="str">
        <f>IF(K26=TRUE, TRUE, "")</f>
        <v/>
      </c>
      <c r="Q26" s="51" t="str">
        <f t="shared" si="11"/>
        <v>Not enter</v>
      </c>
      <c r="V26" s="28"/>
    </row>
    <row r="27" spans="1:22" ht="13.5" thickBot="1" x14ac:dyDescent="0.3">
      <c r="A27" s="47" t="s">
        <v>71</v>
      </c>
      <c r="B27" s="47" t="s">
        <v>29</v>
      </c>
      <c r="C27" s="47" t="s">
        <v>666</v>
      </c>
      <c r="D27" s="57" t="b">
        <f t="shared" si="6"/>
        <v>1</v>
      </c>
      <c r="G27" s="96"/>
      <c r="H27" s="94" t="b">
        <f t="shared" si="7"/>
        <v>0</v>
      </c>
      <c r="I27" s="94" t="b">
        <f t="shared" si="8"/>
        <v>0</v>
      </c>
      <c r="J27" s="94" t="b">
        <f t="shared" si="9"/>
        <v>0</v>
      </c>
      <c r="K27" s="93" t="b">
        <f t="shared" si="10"/>
        <v>0</v>
      </c>
      <c r="M27" s="51" t="str">
        <f>IF(AND(NOT(A27="&lt;Select Special Signal&gt;"), H27=TRUE), TRUE, "")</f>
        <v/>
      </c>
      <c r="Q27" s="51" t="str">
        <f t="shared" si="11"/>
        <v>Not enter</v>
      </c>
      <c r="V27" s="28"/>
    </row>
    <row r="28" spans="1:22" ht="13.5" thickBot="1" x14ac:dyDescent="0.3">
      <c r="A28" s="47" t="s">
        <v>71</v>
      </c>
      <c r="B28" s="47" t="s">
        <v>29</v>
      </c>
      <c r="C28" s="47" t="s">
        <v>666</v>
      </c>
      <c r="D28" s="57" t="b">
        <f t="shared" si="6"/>
        <v>1</v>
      </c>
      <c r="G28" s="96"/>
      <c r="H28" s="94" t="b">
        <f t="shared" si="7"/>
        <v>0</v>
      </c>
      <c r="I28" s="94" t="b">
        <f t="shared" si="8"/>
        <v>0</v>
      </c>
      <c r="J28" s="94" t="b">
        <f t="shared" si="9"/>
        <v>0</v>
      </c>
      <c r="K28" s="93" t="b">
        <f t="shared" si="10"/>
        <v>0</v>
      </c>
      <c r="M28" s="51" t="str">
        <f>IF(AND(NOT(A28="&lt;Select Special Signal&gt;"), H28=TRUE), TRUE, "")</f>
        <v/>
      </c>
      <c r="Q28" s="51" t="str">
        <f t="shared" si="11"/>
        <v>Not enter</v>
      </c>
      <c r="V28" s="28"/>
    </row>
    <row r="29" spans="1:22" ht="13.5" thickBot="1" x14ac:dyDescent="0.3">
      <c r="A29" s="47" t="s">
        <v>71</v>
      </c>
      <c r="B29" s="47" t="s">
        <v>29</v>
      </c>
      <c r="C29" s="47" t="s">
        <v>666</v>
      </c>
      <c r="D29" s="57" t="b">
        <f t="shared" si="6"/>
        <v>1</v>
      </c>
      <c r="G29" s="96"/>
      <c r="H29" s="94" t="b">
        <f t="shared" si="7"/>
        <v>0</v>
      </c>
      <c r="I29" s="94" t="b">
        <f t="shared" si="8"/>
        <v>0</v>
      </c>
      <c r="J29" s="94" t="b">
        <f t="shared" si="9"/>
        <v>0</v>
      </c>
      <c r="K29" s="93" t="b">
        <f t="shared" si="10"/>
        <v>0</v>
      </c>
      <c r="M29" s="51" t="str">
        <f>IF(AND(NOT(A29="&lt;Select Special Signal&gt;"), H29=TRUE), TRUE, "")</f>
        <v/>
      </c>
      <c r="Q29" s="51" t="str">
        <f t="shared" si="11"/>
        <v>Not enter</v>
      </c>
      <c r="V29" s="28"/>
    </row>
    <row r="30" spans="1:22" ht="13.5" thickBot="1" x14ac:dyDescent="0.3">
      <c r="A30" s="47" t="s">
        <v>71</v>
      </c>
      <c r="B30" s="47" t="s">
        <v>29</v>
      </c>
      <c r="C30" s="47" t="s">
        <v>666</v>
      </c>
      <c r="D30" s="57" t="b">
        <f t="shared" si="6"/>
        <v>1</v>
      </c>
      <c r="G30" s="96"/>
      <c r="H30" s="94" t="b">
        <f t="shared" si="7"/>
        <v>0</v>
      </c>
      <c r="I30" s="94" t="b">
        <f t="shared" si="8"/>
        <v>0</v>
      </c>
      <c r="J30" s="94" t="b">
        <f t="shared" si="9"/>
        <v>0</v>
      </c>
      <c r="K30" s="93" t="b">
        <f t="shared" si="10"/>
        <v>0</v>
      </c>
      <c r="M30" s="51" t="str">
        <f>IF(AND(NOT(A30="&lt;Select Special Signal&gt;"), H30=TRUE), TRUE, "")</f>
        <v/>
      </c>
      <c r="Q30" s="51" t="str">
        <f t="shared" si="11"/>
        <v>Not enter</v>
      </c>
      <c r="V30" s="28"/>
    </row>
    <row r="31" spans="1:22" ht="13.5" thickBot="1" x14ac:dyDescent="0.3">
      <c r="A31" s="47" t="s">
        <v>71</v>
      </c>
      <c r="B31" s="47" t="s">
        <v>29</v>
      </c>
      <c r="C31" s="47" t="s">
        <v>666</v>
      </c>
      <c r="D31" s="57" t="b">
        <f t="shared" si="6"/>
        <v>1</v>
      </c>
      <c r="G31" s="96"/>
      <c r="H31" s="94" t="b">
        <f t="shared" si="7"/>
        <v>0</v>
      </c>
      <c r="I31" s="94" t="b">
        <f t="shared" si="8"/>
        <v>0</v>
      </c>
      <c r="J31" s="94" t="b">
        <f t="shared" si="9"/>
        <v>0</v>
      </c>
      <c r="K31" s="93" t="b">
        <f t="shared" si="10"/>
        <v>0</v>
      </c>
      <c r="M31" s="51" t="str">
        <f>IF(AND(NOT(A31="&lt;Select Special Signal&gt;"), H31=TRUE), TRUE, "")</f>
        <v/>
      </c>
      <c r="Q31" s="51" t="str">
        <f t="shared" si="11"/>
        <v>Not enter</v>
      </c>
      <c r="V31" s="28"/>
    </row>
    <row r="32" spans="1:22" x14ac:dyDescent="0.25">
      <c r="A32" s="96"/>
      <c r="B32" s="96"/>
      <c r="C32" s="96"/>
      <c r="D32" s="96"/>
      <c r="E32" s="96"/>
      <c r="G32" s="96"/>
      <c r="H32" s="94"/>
      <c r="I32" s="94"/>
    </row>
    <row r="33" spans="1:21" x14ac:dyDescent="0.25">
      <c r="A33" s="96"/>
      <c r="B33" s="96"/>
      <c r="C33" s="96"/>
      <c r="D33" s="96"/>
      <c r="E33" s="96"/>
      <c r="G33" s="96"/>
      <c r="H33" s="94"/>
      <c r="I33" s="94"/>
      <c r="J33" s="94"/>
    </row>
    <row r="34" spans="1:21" s="52" customFormat="1" x14ac:dyDescent="0.2">
      <c r="A34" s="75" t="s">
        <v>207</v>
      </c>
      <c r="B34" s="48"/>
      <c r="C34" s="48"/>
      <c r="D34" s="48"/>
      <c r="E34" s="48"/>
      <c r="G34" s="48"/>
      <c r="H34" s="75"/>
      <c r="I34" s="75"/>
      <c r="J34" s="148"/>
      <c r="K34" s="148"/>
      <c r="L34" s="148"/>
      <c r="M34" s="148"/>
      <c r="N34" s="148"/>
      <c r="O34" s="148"/>
      <c r="P34" s="148"/>
      <c r="Q34" s="148"/>
      <c r="R34" s="148"/>
      <c r="S34" s="148"/>
      <c r="T34" s="148"/>
      <c r="U34" s="148"/>
    </row>
    <row r="35" spans="1:21" s="52" customFormat="1" x14ac:dyDescent="0.2">
      <c r="A35" s="75" t="s">
        <v>208</v>
      </c>
      <c r="B35" s="48"/>
      <c r="C35" s="48"/>
      <c r="D35" s="48"/>
      <c r="E35" s="48"/>
      <c r="F35" s="48"/>
      <c r="G35" s="48"/>
      <c r="H35" s="75"/>
      <c r="I35" s="75"/>
      <c r="J35" s="148"/>
      <c r="K35" s="148"/>
      <c r="L35" s="148"/>
      <c r="M35" s="148"/>
      <c r="N35" s="148"/>
      <c r="O35" s="148"/>
      <c r="P35" s="148"/>
      <c r="Q35" s="148"/>
      <c r="R35" s="148"/>
      <c r="S35" s="148"/>
      <c r="T35" s="148"/>
      <c r="U35" s="148"/>
    </row>
    <row r="36" spans="1:21" s="52" customFormat="1" x14ac:dyDescent="0.2">
      <c r="A36" s="75" t="s">
        <v>217</v>
      </c>
      <c r="B36" s="48"/>
      <c r="C36" s="48"/>
      <c r="D36" s="48"/>
      <c r="E36" s="48"/>
      <c r="F36" s="48"/>
      <c r="G36" s="48"/>
      <c r="H36" s="75"/>
      <c r="I36" s="75"/>
      <c r="J36" s="148"/>
      <c r="K36" s="148"/>
      <c r="L36" s="148"/>
      <c r="M36" s="148"/>
      <c r="N36" s="148"/>
      <c r="O36" s="148"/>
      <c r="P36" s="148"/>
      <c r="Q36" s="148"/>
      <c r="R36" s="148"/>
      <c r="S36" s="148"/>
      <c r="T36" s="148"/>
      <c r="U36" s="148"/>
    </row>
    <row r="37" spans="1:21" s="52" customFormat="1" x14ac:dyDescent="0.2">
      <c r="A37" s="75" t="s">
        <v>209</v>
      </c>
      <c r="B37" s="48"/>
      <c r="C37" s="48"/>
      <c r="D37" s="48"/>
      <c r="E37" s="48"/>
      <c r="F37" s="48"/>
      <c r="G37" s="48"/>
      <c r="H37" s="75"/>
      <c r="I37" s="75"/>
      <c r="J37" s="148"/>
      <c r="K37" s="148"/>
      <c r="L37" s="148"/>
      <c r="M37" s="148"/>
      <c r="N37" s="148"/>
      <c r="O37" s="148"/>
      <c r="P37" s="148"/>
      <c r="Q37" s="148"/>
      <c r="R37" s="148"/>
      <c r="S37" s="148"/>
      <c r="T37" s="148"/>
      <c r="U37" s="148"/>
    </row>
    <row r="38" spans="1:21" s="52" customFormat="1" x14ac:dyDescent="0.2">
      <c r="A38" s="75" t="s">
        <v>218</v>
      </c>
      <c r="B38" s="48"/>
      <c r="C38" s="48"/>
      <c r="D38" s="48"/>
      <c r="E38" s="48"/>
      <c r="F38" s="48"/>
      <c r="G38" s="48"/>
      <c r="H38" s="75"/>
      <c r="I38" s="75"/>
      <c r="J38" s="148"/>
      <c r="K38" s="148"/>
      <c r="L38" s="148"/>
      <c r="M38" s="148"/>
      <c r="N38" s="148"/>
      <c r="O38" s="148"/>
      <c r="P38" s="148"/>
      <c r="Q38" s="148"/>
      <c r="R38" s="148"/>
      <c r="S38" s="148"/>
      <c r="T38" s="148"/>
      <c r="U38" s="148"/>
    </row>
    <row r="39" spans="1:21" x14ac:dyDescent="0.25">
      <c r="A39" s="96"/>
      <c r="B39" s="96"/>
      <c r="C39" s="96"/>
      <c r="D39" s="96"/>
      <c r="E39" s="96"/>
      <c r="F39" s="96"/>
      <c r="G39" s="96"/>
      <c r="H39" s="94"/>
      <c r="I39" s="94"/>
      <c r="J39" s="94"/>
    </row>
    <row r="40" spans="1:21" x14ac:dyDescent="0.25">
      <c r="A40" s="290" t="s">
        <v>30</v>
      </c>
      <c r="B40" s="290"/>
      <c r="C40" s="290"/>
    </row>
    <row r="41" spans="1:21" s="68" customFormat="1" x14ac:dyDescent="0.25">
      <c r="A41" s="68" t="s">
        <v>72</v>
      </c>
    </row>
    <row r="42" spans="1:21" s="68" customFormat="1" x14ac:dyDescent="0.25">
      <c r="A42" s="68" t="s">
        <v>73</v>
      </c>
      <c r="C42" s="97"/>
      <c r="D42" s="97"/>
      <c r="E42" s="97"/>
      <c r="F42" s="97"/>
      <c r="G42" s="97"/>
      <c r="H42" s="200"/>
      <c r="I42" s="200"/>
      <c r="J42" s="200"/>
    </row>
    <row r="43" spans="1:21" s="68" customFormat="1" x14ac:dyDescent="0.25">
      <c r="A43" s="68" t="s">
        <v>672</v>
      </c>
      <c r="B43" s="97"/>
      <c r="C43" s="97"/>
      <c r="D43" s="97"/>
      <c r="E43" s="97"/>
      <c r="F43" s="97"/>
      <c r="G43" s="97"/>
      <c r="H43" s="200"/>
      <c r="I43" s="200"/>
      <c r="J43" s="200"/>
    </row>
    <row r="44" spans="1:21" x14ac:dyDescent="0.25">
      <c r="A44" s="75" t="s">
        <v>219</v>
      </c>
      <c r="B44" s="96"/>
      <c r="C44" s="96"/>
      <c r="D44" s="96"/>
      <c r="E44" s="96"/>
      <c r="F44" s="96"/>
      <c r="G44" s="96"/>
      <c r="H44" s="94"/>
      <c r="I44" s="94"/>
      <c r="J44" s="94"/>
    </row>
    <row r="45" spans="1:21" x14ac:dyDescent="0.25">
      <c r="A45" s="96"/>
      <c r="B45" s="96"/>
      <c r="C45" s="96"/>
      <c r="D45" s="96"/>
      <c r="E45" s="96"/>
      <c r="F45" s="96"/>
      <c r="G45" s="96"/>
      <c r="H45" s="94"/>
      <c r="I45" s="94"/>
      <c r="J45" s="94"/>
    </row>
    <row r="46" spans="1:21" x14ac:dyDescent="0.25">
      <c r="A46" s="96"/>
      <c r="B46" s="96"/>
      <c r="C46" s="96"/>
      <c r="D46" s="96"/>
      <c r="E46" s="96"/>
      <c r="F46" s="96"/>
      <c r="G46" s="96"/>
      <c r="H46" s="94"/>
      <c r="I46" s="94"/>
      <c r="J46" s="94"/>
    </row>
    <row r="47" spans="1:21" x14ac:dyDescent="0.25">
      <c r="A47" s="96"/>
      <c r="B47" s="96"/>
      <c r="C47" s="96"/>
      <c r="D47" s="96"/>
      <c r="E47" s="96"/>
      <c r="F47" s="96"/>
      <c r="G47" s="96"/>
      <c r="H47" s="94"/>
      <c r="I47" s="94"/>
      <c r="J47" s="94"/>
    </row>
    <row r="48" spans="1:21" x14ac:dyDescent="0.25">
      <c r="A48" s="96"/>
      <c r="B48" s="96"/>
      <c r="C48" s="96"/>
      <c r="D48" s="96"/>
      <c r="E48" s="96"/>
      <c r="F48" s="96"/>
      <c r="G48" s="96"/>
      <c r="H48" s="94"/>
      <c r="I48" s="94"/>
      <c r="J48" s="94"/>
    </row>
    <row r="49" spans="1:10" x14ac:dyDescent="0.25">
      <c r="A49" s="96"/>
      <c r="B49" s="96"/>
      <c r="C49" s="96"/>
      <c r="D49" s="96"/>
      <c r="E49" s="96"/>
      <c r="F49" s="96"/>
      <c r="G49" s="96"/>
      <c r="H49" s="94"/>
      <c r="I49" s="94"/>
      <c r="J49" s="94"/>
    </row>
    <row r="50" spans="1:10" x14ac:dyDescent="0.25">
      <c r="A50" s="96"/>
      <c r="B50" s="96"/>
      <c r="C50" s="96"/>
      <c r="D50" s="96"/>
      <c r="E50" s="96"/>
      <c r="F50" s="96"/>
      <c r="G50" s="96"/>
      <c r="H50" s="94"/>
      <c r="I50" s="94"/>
      <c r="J50" s="94"/>
    </row>
    <row r="51" spans="1:10" x14ac:dyDescent="0.25">
      <c r="A51" s="96"/>
      <c r="B51" s="96"/>
      <c r="C51" s="96"/>
      <c r="H51" s="94"/>
      <c r="I51" s="94"/>
      <c r="J51" s="94"/>
    </row>
    <row r="52" spans="1:10" x14ac:dyDescent="0.25">
      <c r="A52" s="96"/>
      <c r="B52" s="96"/>
    </row>
  </sheetData>
  <sheetProtection algorithmName="SHA-512" hashValue="ItLVq36ML55SNMS14Fm1NrSkoOuUe9OEYaAc2P+CY+KJJfPhEV9gFzu0AOSLrQ/c2VeLefs2TcB1otKM6p3tKg==" saltValue="01788pF4xRd6ioEFqsBUjQ==" spinCount="100000" sheet="1" objects="1" scenarios="1"/>
  <mergeCells count="3">
    <mergeCell ref="A2:B2"/>
    <mergeCell ref="C11:D11"/>
    <mergeCell ref="A40:C40"/>
  </mergeCells>
  <conditionalFormatting sqref="A6:A10 A14:A21">
    <cfRule type="notContainsText" dxfId="24" priority="33" operator="notContains" text="&lt;Select Special Signal&gt;">
      <formula>ISERROR(SEARCH("&lt;Select Special Signal&gt;",A6))</formula>
    </cfRule>
    <cfRule type="containsText" dxfId="23" priority="34" operator="containsText" text="&lt;Select Special Signal&gt;">
      <formula>NOT(ISERROR(SEARCH("&lt;Select Special Signal&gt;",A6)))</formula>
    </cfRule>
  </conditionalFormatting>
  <conditionalFormatting sqref="A25:A31">
    <cfRule type="notContainsText" dxfId="22" priority="15" operator="notContains" text="&lt;Enter Other Non-OMS Special Signal Here&gt;">
      <formula>ISERROR(SEARCH("&lt;Enter Other Non-OMS Special Signal Here&gt;",A25))</formula>
    </cfRule>
    <cfRule type="containsText" dxfId="21" priority="16" operator="containsText" text="&lt;Enter Other Non-OMS Special Signal Here&gt;">
      <formula>NOT(ISERROR(SEARCH("&lt;Enter Other Non-OMS Special Signal Here&gt;",A25)))</formula>
    </cfRule>
  </conditionalFormatting>
  <conditionalFormatting sqref="B14:B21">
    <cfRule type="notContainsText" dxfId="20" priority="31" operator="notContains" text="&lt;Enter Other Non-OMS Special Signal Here&gt;">
      <formula>ISERROR(SEARCH("&lt;Enter Other Non-OMS Special Signal Here&gt;",B14))</formula>
    </cfRule>
    <cfRule type="containsText" dxfId="19" priority="32" operator="containsText" text="&lt;Enter Other Non-OMS Special Signal Here&gt;">
      <formula>NOT(ISERROR(SEARCH("&lt;Enter Other Non-OMS Special Signal Here&gt;",B14)))</formula>
    </cfRule>
  </conditionalFormatting>
  <conditionalFormatting sqref="B25:B31">
    <cfRule type="notContainsText" dxfId="18" priority="13" operator="notContains" text="&lt;Enter Rationale Here&gt;">
      <formula>ISERROR(SEARCH("&lt;Enter Rationale Here&gt;",B25))</formula>
    </cfRule>
    <cfRule type="containsText" dxfId="17" priority="14" operator="containsText" text="&lt;Enter Rationale Here&gt;">
      <formula>NOT(ISERROR(SEARCH("&lt;Enter Rationale Here&gt;",B25)))</formula>
    </cfRule>
  </conditionalFormatting>
  <conditionalFormatting sqref="C14:C21">
    <cfRule type="notContainsText" dxfId="16" priority="29" operator="notContains" text="&lt;Enter Rationale Here&gt;">
      <formula>ISERROR(SEARCH("&lt;Enter Rationale Here&gt;",C14))</formula>
    </cfRule>
    <cfRule type="containsText" dxfId="15" priority="30" operator="containsText" text="&lt;Enter Rationale Here&gt;">
      <formula>NOT(ISERROR(SEARCH("&lt;Enter Rationale Here&gt;",C14)))</formula>
    </cfRule>
  </conditionalFormatting>
  <conditionalFormatting sqref="C25">
    <cfRule type="notContainsText" dxfId="14" priority="27" operator="notContains" text="&lt;Enter OAM Request ID Here&gt;">
      <formula>ISERROR(SEARCH("&lt;Enter OAM Request ID Here&gt;",C25))</formula>
    </cfRule>
    <cfRule type="containsText" dxfId="13" priority="28" operator="containsText" text="&lt;Enter OAM Request ID Here&gt;">
      <formula>NOT(ISERROR(SEARCH("&lt;Enter OAM Request ID Here&gt;",C25)))</formula>
    </cfRule>
  </conditionalFormatting>
  <conditionalFormatting sqref="C26:C31">
    <cfRule type="notContainsText" dxfId="12" priority="11" operator="notContains" text="&lt;Enter Change Request ID Here&gt;">
      <formula>ISERROR(SEARCH("&lt;Enter Change Request ID Here&gt;",C26))</formula>
    </cfRule>
    <cfRule type="containsText" dxfId="11" priority="12" operator="containsText" text="&lt;Enter Change Request ID Here&gt;">
      <formula>NOT(ISERROR(SEARCH("&lt;Enter Change Request ID Here&gt;",C26)))</formula>
    </cfRule>
  </conditionalFormatting>
  <conditionalFormatting sqref="C2:D2">
    <cfRule type="containsText" dxfId="10" priority="5" operator="containsText" text="N/A">
      <formula>NOT(ISERROR(SEARCH("N/A",C2)))</formula>
    </cfRule>
    <cfRule type="containsText" dxfId="9" priority="6" operator="containsText" text="TRUE">
      <formula>NOT(ISERROR(SEARCH("TRUE",C2)))</formula>
    </cfRule>
    <cfRule type="containsText" dxfId="8" priority="7" operator="containsText" text="FALSE">
      <formula>NOT(ISERROR(SEARCH("FALSE",C2)))</formula>
    </cfRule>
  </conditionalFormatting>
  <conditionalFormatting sqref="D25:D31">
    <cfRule type="containsText" dxfId="7" priority="17" operator="containsText" text="FALSE">
      <formula>NOT(ISERROR(SEARCH("FALSE",D25)))</formula>
    </cfRule>
    <cfRule type="containsText" dxfId="6" priority="18" operator="containsText" text="TRUE">
      <formula>NOT(ISERROR(SEARCH("TRUE",D25)))</formula>
    </cfRule>
  </conditionalFormatting>
  <conditionalFormatting sqref="F2">
    <cfRule type="containsText" dxfId="5" priority="1" operator="containsText" text="&lt;Select&gt;">
      <formula>NOT(ISERROR(SEARCH("&lt;Select&gt;",F2)))</formula>
    </cfRule>
    <cfRule type="notContainsBlanks" dxfId="4" priority="2">
      <formula>LEN(TRIM(F2))&gt;0</formula>
    </cfRule>
  </conditionalFormatting>
  <conditionalFormatting sqref="J6:J10">
    <cfRule type="containsText" dxfId="3" priority="3" operator="containsText" text="FALSE">
      <formula>NOT(ISERROR(SEARCH("FALSE",J6)))</formula>
    </cfRule>
    <cfRule type="containsText" dxfId="2" priority="4" operator="containsText" text="TRUE">
      <formula>NOT(ISERROR(SEARCH("TRUE",J6)))</formula>
    </cfRule>
  </conditionalFormatting>
  <conditionalFormatting sqref="S2 T4:T10 B6:B10 D14:D21">
    <cfRule type="containsText" dxfId="1" priority="25" operator="containsText" text="FALSE">
      <formula>NOT(ISERROR(SEARCH("FALSE",B2)))</formula>
    </cfRule>
    <cfRule type="containsText" dxfId="0" priority="26" operator="containsText" text="TRUE">
      <formula>NOT(ISERROR(SEARCH("TRUE",B2)))</formula>
    </cfRule>
  </conditionalFormatting>
  <pageMargins left="0.45" right="0.45" top="0.75" bottom="0.75" header="0.3" footer="0.3"/>
  <pageSetup fitToHeight="0"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960D0B4F-98E0-443A-959E-6993BACDE6BB}">
          <x14:formula1>
            <xm:f>'Special Signals Tables'!$A$31:$A$34</xm:f>
          </x14:formula1>
          <xm:sqref>A7:A10</xm:sqref>
        </x14:dataValidation>
        <x14:dataValidation type="list" allowBlank="1" showInputMessage="1" showErrorMessage="1" xr:uid="{9781D054-5028-40EA-BE12-714D0EDB0B2C}">
          <x14:formula1>
            <xm:f>'Special Signals Tables'!$A$37:$A$45</xm:f>
          </x14:formula1>
          <xm:sqref>A15:A21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5" tint="-0.499984740745262"/>
  </sheetPr>
  <dimension ref="A1:O459"/>
  <sheetViews>
    <sheetView workbookViewId="0">
      <selection sqref="A1:F1"/>
    </sheetView>
  </sheetViews>
  <sheetFormatPr defaultColWidth="8.85546875" defaultRowHeight="12.75" x14ac:dyDescent="0.25"/>
  <cols>
    <col min="1" max="2" width="20.7109375" style="105" customWidth="1"/>
    <col min="3" max="3" width="15.85546875" style="105" bestFit="1" customWidth="1"/>
    <col min="4" max="4" width="10.85546875" style="105" customWidth="1"/>
    <col min="5" max="5" width="20.7109375" style="105" customWidth="1"/>
    <col min="6" max="6" width="8.5703125" style="105" bestFit="1" customWidth="1"/>
    <col min="7" max="7" width="26.42578125" style="105" customWidth="1"/>
    <col min="8" max="8" width="20.7109375" style="105" customWidth="1"/>
    <col min="9" max="9" width="16.140625" style="105" customWidth="1"/>
    <col min="10" max="10" width="18.42578125" style="105" customWidth="1"/>
    <col min="11" max="11" width="20.7109375" style="105" customWidth="1"/>
    <col min="12" max="12" width="6.7109375" style="105" customWidth="1"/>
    <col min="13" max="23" width="10.7109375" style="105" customWidth="1"/>
    <col min="24" max="16384" width="8.85546875" style="105"/>
  </cols>
  <sheetData>
    <row r="1" spans="1:15" ht="25.5" x14ac:dyDescent="0.2">
      <c r="A1" s="291" t="s">
        <v>339</v>
      </c>
      <c r="B1" s="291"/>
      <c r="C1" s="291"/>
      <c r="D1" s="291"/>
      <c r="E1" s="291"/>
      <c r="F1" s="291"/>
      <c r="G1" s="104" t="s">
        <v>74</v>
      </c>
    </row>
    <row r="2" spans="1:15" ht="51" x14ac:dyDescent="0.25">
      <c r="A2" s="106" t="s">
        <v>34</v>
      </c>
      <c r="B2" s="106" t="s">
        <v>35</v>
      </c>
      <c r="C2" s="104" t="s">
        <v>271</v>
      </c>
      <c r="D2" s="104" t="s">
        <v>274</v>
      </c>
      <c r="E2" s="104" t="s">
        <v>276</v>
      </c>
      <c r="F2" s="104" t="s">
        <v>237</v>
      </c>
      <c r="G2" s="104" t="s">
        <v>75</v>
      </c>
    </row>
    <row r="3" spans="1:15" x14ac:dyDescent="0.25">
      <c r="A3" s="107" t="s">
        <v>44</v>
      </c>
      <c r="B3" s="107" t="s">
        <v>44</v>
      </c>
      <c r="C3" s="107" t="s">
        <v>44</v>
      </c>
      <c r="D3" s="107" t="s">
        <v>44</v>
      </c>
      <c r="E3" s="107" t="s">
        <v>44</v>
      </c>
      <c r="F3" s="107" t="s">
        <v>44</v>
      </c>
      <c r="G3" s="107" t="s">
        <v>44</v>
      </c>
    </row>
    <row r="4" spans="1:15" ht="25.5" x14ac:dyDescent="0.2">
      <c r="A4" s="108" t="s">
        <v>196</v>
      </c>
      <c r="B4" s="104" t="s">
        <v>494</v>
      </c>
      <c r="C4" s="107" t="s">
        <v>565</v>
      </c>
      <c r="D4" s="107" t="s">
        <v>565</v>
      </c>
      <c r="E4" s="107" t="s">
        <v>565</v>
      </c>
      <c r="F4" s="109">
        <v>1</v>
      </c>
      <c r="G4" s="104" t="s">
        <v>79</v>
      </c>
    </row>
    <row r="5" spans="1:15" ht="51" x14ac:dyDescent="0.2">
      <c r="A5" s="108" t="s">
        <v>76</v>
      </c>
      <c r="B5" s="104" t="s">
        <v>1494</v>
      </c>
      <c r="C5" s="104" t="s">
        <v>340</v>
      </c>
      <c r="D5" s="104" t="s">
        <v>340</v>
      </c>
      <c r="E5" s="104" t="s">
        <v>340</v>
      </c>
      <c r="F5" s="109">
        <v>2</v>
      </c>
      <c r="G5" s="104" t="s">
        <v>489</v>
      </c>
    </row>
    <row r="6" spans="1:15" ht="38.25" x14ac:dyDescent="0.2">
      <c r="A6" s="108" t="s">
        <v>80</v>
      </c>
      <c r="B6" s="104" t="s">
        <v>1867</v>
      </c>
      <c r="C6" s="104" t="s">
        <v>78</v>
      </c>
      <c r="D6" s="104" t="s">
        <v>78</v>
      </c>
      <c r="E6" s="104" t="s">
        <v>78</v>
      </c>
      <c r="F6" s="109">
        <v>3</v>
      </c>
      <c r="G6" s="104" t="s">
        <v>82</v>
      </c>
    </row>
    <row r="7" spans="1:15" ht="63.75" x14ac:dyDescent="0.2">
      <c r="A7" s="108" t="s">
        <v>224</v>
      </c>
      <c r="B7" s="104" t="s">
        <v>504</v>
      </c>
      <c r="C7" s="104" t="s">
        <v>341</v>
      </c>
      <c r="D7" s="104" t="s">
        <v>81</v>
      </c>
      <c r="E7" s="104" t="s">
        <v>81</v>
      </c>
      <c r="F7" s="109"/>
      <c r="G7" s="104" t="s">
        <v>490</v>
      </c>
    </row>
    <row r="8" spans="1:15" ht="38.25" x14ac:dyDescent="0.2">
      <c r="A8" s="108" t="s">
        <v>266</v>
      </c>
      <c r="B8" s="104" t="s">
        <v>515</v>
      </c>
      <c r="C8" s="104" t="s">
        <v>81</v>
      </c>
      <c r="D8" s="104" t="s">
        <v>342</v>
      </c>
      <c r="E8" s="104" t="s">
        <v>342</v>
      </c>
      <c r="F8" s="110"/>
      <c r="G8" s="104" t="s">
        <v>83</v>
      </c>
    </row>
    <row r="9" spans="1:15" ht="25.5" x14ac:dyDescent="0.2">
      <c r="A9" s="108" t="s">
        <v>267</v>
      </c>
      <c r="B9" s="104" t="s">
        <v>498</v>
      </c>
      <c r="C9" s="104" t="s">
        <v>342</v>
      </c>
      <c r="D9" s="104" t="s">
        <v>77</v>
      </c>
      <c r="E9" s="104" t="s">
        <v>77</v>
      </c>
      <c r="F9" s="110"/>
      <c r="G9" s="104" t="s">
        <v>86</v>
      </c>
    </row>
    <row r="10" spans="1:15" ht="25.5" x14ac:dyDescent="0.2">
      <c r="A10" s="108" t="s">
        <v>87</v>
      </c>
      <c r="B10" s="104" t="s">
        <v>499</v>
      </c>
      <c r="C10" s="104" t="s">
        <v>77</v>
      </c>
      <c r="D10" s="104" t="s">
        <v>197</v>
      </c>
      <c r="E10" s="104" t="s">
        <v>236</v>
      </c>
      <c r="F10" s="110"/>
      <c r="G10" s="104" t="s">
        <v>90</v>
      </c>
    </row>
    <row r="11" spans="1:15" ht="38.25" x14ac:dyDescent="0.2">
      <c r="A11" s="108" t="s">
        <v>262</v>
      </c>
      <c r="B11" s="104" t="s">
        <v>493</v>
      </c>
      <c r="C11" s="104" t="s">
        <v>272</v>
      </c>
      <c r="D11" s="104" t="s">
        <v>236</v>
      </c>
      <c r="E11" s="104" t="s">
        <v>272</v>
      </c>
      <c r="F11" s="110"/>
      <c r="G11" s="104" t="s">
        <v>491</v>
      </c>
      <c r="N11" s="111"/>
      <c r="O11" s="111"/>
    </row>
    <row r="12" spans="1:15" ht="38.25" x14ac:dyDescent="0.2">
      <c r="A12" s="108" t="s">
        <v>92</v>
      </c>
      <c r="B12" s="104" t="s">
        <v>534</v>
      </c>
      <c r="C12" s="104" t="s">
        <v>85</v>
      </c>
      <c r="D12" s="104" t="s">
        <v>272</v>
      </c>
      <c r="E12" s="104" t="s">
        <v>85</v>
      </c>
      <c r="F12" s="110"/>
      <c r="G12" s="104" t="s">
        <v>492</v>
      </c>
      <c r="N12" s="111"/>
      <c r="O12" s="111"/>
    </row>
    <row r="13" spans="1:15" ht="25.5" x14ac:dyDescent="0.2">
      <c r="A13" s="108" t="s">
        <v>94</v>
      </c>
      <c r="B13" s="104" t="s">
        <v>528</v>
      </c>
      <c r="C13" s="104" t="s">
        <v>89</v>
      </c>
      <c r="D13" s="104" t="s">
        <v>85</v>
      </c>
      <c r="E13" s="104" t="s">
        <v>487</v>
      </c>
      <c r="F13" s="110"/>
      <c r="G13" s="104" t="s">
        <v>91</v>
      </c>
      <c r="N13" s="111"/>
      <c r="O13" s="111"/>
    </row>
    <row r="14" spans="1:15" ht="38.25" x14ac:dyDescent="0.2">
      <c r="A14" s="108" t="s">
        <v>264</v>
      </c>
      <c r="B14" s="104" t="s">
        <v>529</v>
      </c>
      <c r="C14" s="104"/>
      <c r="D14" s="104" t="s">
        <v>275</v>
      </c>
      <c r="E14" s="104" t="s">
        <v>488</v>
      </c>
      <c r="F14" s="110"/>
      <c r="G14" s="104" t="s">
        <v>93</v>
      </c>
    </row>
    <row r="15" spans="1:15" ht="25.5" x14ac:dyDescent="0.2">
      <c r="A15" s="108" t="s">
        <v>97</v>
      </c>
      <c r="B15" s="104" t="s">
        <v>296</v>
      </c>
      <c r="C15" s="110"/>
      <c r="D15" s="104" t="s">
        <v>84</v>
      </c>
      <c r="E15" s="104" t="s">
        <v>84</v>
      </c>
      <c r="F15" s="110"/>
      <c r="G15" s="104" t="s">
        <v>95</v>
      </c>
    </row>
    <row r="16" spans="1:15" ht="63.75" x14ac:dyDescent="0.2">
      <c r="A16" s="108" t="s">
        <v>277</v>
      </c>
      <c r="B16" s="104" t="s">
        <v>268</v>
      </c>
      <c r="C16" s="110"/>
      <c r="D16" s="104" t="s">
        <v>198</v>
      </c>
      <c r="E16" s="104" t="s">
        <v>88</v>
      </c>
      <c r="F16" s="110"/>
      <c r="G16" s="104" t="s">
        <v>96</v>
      </c>
    </row>
    <row r="17" spans="1:7" ht="25.5" x14ac:dyDescent="0.2">
      <c r="A17" s="108" t="s">
        <v>323</v>
      </c>
      <c r="B17" s="104" t="s">
        <v>263</v>
      </c>
      <c r="C17" s="110"/>
      <c r="D17" s="104" t="s">
        <v>88</v>
      </c>
      <c r="E17" s="104" t="s">
        <v>325</v>
      </c>
      <c r="F17" s="110"/>
      <c r="G17" s="110"/>
    </row>
    <row r="18" spans="1:7" ht="63.75" x14ac:dyDescent="0.2">
      <c r="A18" s="108" t="s">
        <v>238</v>
      </c>
      <c r="B18" s="104" t="s">
        <v>269</v>
      </c>
      <c r="C18" s="110"/>
      <c r="D18" s="104" t="s">
        <v>199</v>
      </c>
      <c r="E18" s="104"/>
      <c r="F18" s="110"/>
      <c r="G18" s="110"/>
    </row>
    <row r="19" spans="1:7" ht="25.5" x14ac:dyDescent="0.2">
      <c r="A19" s="108" t="s">
        <v>324</v>
      </c>
      <c r="B19" s="104" t="s">
        <v>525</v>
      </c>
      <c r="C19" s="110"/>
      <c r="D19" s="104" t="s">
        <v>325</v>
      </c>
      <c r="E19" s="104"/>
      <c r="F19" s="110"/>
      <c r="G19" s="110"/>
    </row>
    <row r="20" spans="1:7" ht="38.25" x14ac:dyDescent="0.2">
      <c r="A20" s="108" t="s">
        <v>234</v>
      </c>
      <c r="B20" s="104" t="s">
        <v>235</v>
      </c>
      <c r="C20" s="110"/>
      <c r="D20" s="104"/>
      <c r="E20" s="104"/>
      <c r="F20" s="110"/>
      <c r="G20" s="110"/>
    </row>
    <row r="21" spans="1:7" ht="25.5" x14ac:dyDescent="0.2">
      <c r="A21" s="108" t="s">
        <v>98</v>
      </c>
      <c r="B21" s="104" t="s">
        <v>526</v>
      </c>
      <c r="C21" s="110"/>
      <c r="D21" s="104"/>
      <c r="E21" s="104"/>
      <c r="F21" s="110"/>
      <c r="G21" s="110"/>
    </row>
    <row r="22" spans="1:7" ht="25.5" x14ac:dyDescent="0.2">
      <c r="B22" s="104" t="s">
        <v>524</v>
      </c>
      <c r="C22" s="110"/>
      <c r="D22" s="104"/>
      <c r="E22" s="104"/>
      <c r="F22" s="110"/>
      <c r="G22" s="110"/>
    </row>
    <row r="23" spans="1:7" ht="38.25" x14ac:dyDescent="0.2">
      <c r="B23" s="104" t="s">
        <v>512</v>
      </c>
      <c r="C23" s="110"/>
      <c r="D23" s="104"/>
      <c r="E23" s="104"/>
      <c r="F23" s="110"/>
      <c r="G23" s="110"/>
    </row>
    <row r="24" spans="1:7" ht="38.25" x14ac:dyDescent="0.2">
      <c r="B24" s="104" t="s">
        <v>532</v>
      </c>
      <c r="C24" s="110"/>
      <c r="D24" s="104"/>
      <c r="E24" s="104"/>
      <c r="F24" s="110"/>
      <c r="G24" s="110"/>
    </row>
    <row r="25" spans="1:7" ht="38.25" x14ac:dyDescent="0.2">
      <c r="A25" s="108"/>
      <c r="B25" s="104" t="s">
        <v>522</v>
      </c>
      <c r="C25" s="110"/>
      <c r="D25" s="104"/>
      <c r="E25" s="104"/>
      <c r="F25" s="110"/>
      <c r="G25" s="110"/>
    </row>
    <row r="26" spans="1:7" ht="38.25" x14ac:dyDescent="0.2">
      <c r="B26" s="104" t="s">
        <v>533</v>
      </c>
      <c r="C26" s="110"/>
      <c r="D26" s="104"/>
      <c r="E26" s="104"/>
      <c r="F26" s="110"/>
      <c r="G26" s="110"/>
    </row>
    <row r="27" spans="1:7" ht="25.5" x14ac:dyDescent="0.2">
      <c r="A27" s="108"/>
      <c r="B27" s="104" t="s">
        <v>501</v>
      </c>
      <c r="C27" s="110"/>
      <c r="D27" s="104"/>
      <c r="E27" s="104"/>
      <c r="F27" s="110"/>
      <c r="G27" s="110"/>
    </row>
    <row r="28" spans="1:7" ht="25.5" x14ac:dyDescent="0.2">
      <c r="A28" s="108"/>
      <c r="B28" s="104" t="s">
        <v>502</v>
      </c>
      <c r="C28" s="110"/>
      <c r="D28" s="104"/>
      <c r="E28" s="104"/>
      <c r="F28" s="110"/>
      <c r="G28" s="110"/>
    </row>
    <row r="29" spans="1:7" ht="25.5" x14ac:dyDescent="0.2">
      <c r="A29" s="110"/>
      <c r="B29" s="104" t="s">
        <v>495</v>
      </c>
      <c r="C29" s="110"/>
      <c r="D29" s="104"/>
      <c r="E29" s="104"/>
      <c r="F29" s="110"/>
      <c r="G29" s="110"/>
    </row>
    <row r="30" spans="1:7" x14ac:dyDescent="0.2">
      <c r="A30" s="110"/>
      <c r="B30" s="104" t="s">
        <v>520</v>
      </c>
      <c r="C30" s="110"/>
      <c r="D30" s="104"/>
      <c r="E30" s="104"/>
      <c r="F30" s="110"/>
      <c r="G30" s="110"/>
    </row>
    <row r="31" spans="1:7" ht="25.5" x14ac:dyDescent="0.2">
      <c r="A31" s="110"/>
      <c r="B31" s="104" t="s">
        <v>496</v>
      </c>
      <c r="C31" s="110"/>
      <c r="D31" s="104"/>
      <c r="E31" s="104"/>
      <c r="F31" s="110"/>
      <c r="G31" s="110"/>
    </row>
    <row r="32" spans="1:7" ht="25.5" x14ac:dyDescent="0.2">
      <c r="A32" s="110"/>
      <c r="B32" s="104" t="s">
        <v>500</v>
      </c>
      <c r="C32" s="110"/>
      <c r="D32" s="104"/>
      <c r="E32" s="104"/>
      <c r="F32" s="110"/>
      <c r="G32" s="110"/>
    </row>
    <row r="33" spans="1:7" ht="38.25" x14ac:dyDescent="0.2">
      <c r="A33" s="110"/>
      <c r="B33" s="104" t="s">
        <v>513</v>
      </c>
      <c r="C33" s="110"/>
      <c r="D33" s="104"/>
      <c r="E33" s="104"/>
      <c r="F33" s="110"/>
      <c r="G33" s="110"/>
    </row>
    <row r="34" spans="1:7" ht="51" x14ac:dyDescent="0.2">
      <c r="A34" s="110"/>
      <c r="B34" s="104" t="s">
        <v>505</v>
      </c>
      <c r="C34" s="110"/>
      <c r="D34" s="104"/>
      <c r="E34" s="104"/>
      <c r="F34" s="110"/>
      <c r="G34" s="110"/>
    </row>
    <row r="35" spans="1:7" ht="25.5" x14ac:dyDescent="0.2">
      <c r="A35" s="110"/>
      <c r="B35" s="104" t="s">
        <v>517</v>
      </c>
      <c r="C35" s="110"/>
      <c r="D35" s="104"/>
      <c r="E35" s="104"/>
      <c r="F35" s="110"/>
      <c r="G35" s="110"/>
    </row>
    <row r="36" spans="1:7" ht="25.5" x14ac:dyDescent="0.2">
      <c r="A36" s="110"/>
      <c r="B36" s="104" t="s">
        <v>519</v>
      </c>
      <c r="C36" s="110"/>
      <c r="D36" s="104"/>
      <c r="E36" s="104"/>
      <c r="F36" s="110"/>
      <c r="G36" s="110"/>
    </row>
    <row r="37" spans="1:7" ht="25.5" x14ac:dyDescent="0.2">
      <c r="A37" s="110"/>
      <c r="B37" s="104" t="s">
        <v>503</v>
      </c>
      <c r="C37" s="110"/>
      <c r="D37" s="104"/>
      <c r="E37" s="104"/>
      <c r="F37" s="110"/>
      <c r="G37" s="110"/>
    </row>
    <row r="38" spans="1:7" ht="38.25" x14ac:dyDescent="0.2">
      <c r="A38" s="110"/>
      <c r="B38" s="104" t="s">
        <v>521</v>
      </c>
      <c r="C38" s="110"/>
      <c r="D38" s="104"/>
      <c r="E38" s="104"/>
      <c r="F38" s="110"/>
      <c r="G38" s="110"/>
    </row>
    <row r="39" spans="1:7" ht="25.5" x14ac:dyDescent="0.2">
      <c r="A39" s="110"/>
      <c r="B39" s="104" t="s">
        <v>507</v>
      </c>
      <c r="C39" s="110"/>
      <c r="D39" s="104"/>
      <c r="E39" s="104"/>
      <c r="F39" s="110"/>
      <c r="G39" s="110"/>
    </row>
    <row r="40" spans="1:7" ht="25.5" x14ac:dyDescent="0.2">
      <c r="A40" s="110"/>
      <c r="B40" s="104" t="s">
        <v>527</v>
      </c>
      <c r="C40" s="110"/>
      <c r="D40" s="104"/>
      <c r="E40" s="104"/>
      <c r="F40" s="110"/>
      <c r="G40" s="110"/>
    </row>
    <row r="41" spans="1:7" ht="25.5" x14ac:dyDescent="0.2">
      <c r="A41" s="110"/>
      <c r="B41" s="104" t="s">
        <v>509</v>
      </c>
      <c r="C41" s="110"/>
      <c r="D41" s="104"/>
      <c r="E41" s="104"/>
      <c r="F41" s="110"/>
      <c r="G41" s="110"/>
    </row>
    <row r="42" spans="1:7" ht="25.5" x14ac:dyDescent="0.2">
      <c r="A42" s="110"/>
      <c r="B42" s="104" t="s">
        <v>516</v>
      </c>
      <c r="C42" s="110"/>
      <c r="D42" s="104"/>
      <c r="E42" s="104"/>
      <c r="F42" s="110"/>
      <c r="G42" s="110"/>
    </row>
    <row r="43" spans="1:7" x14ac:dyDescent="0.2">
      <c r="A43" s="110"/>
      <c r="B43" s="104" t="s">
        <v>531</v>
      </c>
      <c r="C43" s="110"/>
      <c r="D43" s="104"/>
      <c r="E43" s="104"/>
    </row>
    <row r="44" spans="1:7" ht="51" x14ac:dyDescent="0.2">
      <c r="A44" s="110"/>
      <c r="B44" s="104" t="s">
        <v>506</v>
      </c>
      <c r="C44" s="110"/>
      <c r="D44" s="104"/>
      <c r="E44" s="104"/>
    </row>
    <row r="45" spans="1:7" ht="38.25" x14ac:dyDescent="0.2">
      <c r="A45" s="110"/>
      <c r="B45" s="104" t="s">
        <v>523</v>
      </c>
      <c r="C45" s="110"/>
      <c r="D45" s="104"/>
      <c r="E45" s="104"/>
    </row>
    <row r="46" spans="1:7" ht="38.25" x14ac:dyDescent="0.2">
      <c r="A46" s="110"/>
      <c r="B46" s="104" t="s">
        <v>265</v>
      </c>
      <c r="C46" s="110"/>
      <c r="D46" s="104"/>
      <c r="E46" s="104"/>
    </row>
    <row r="47" spans="1:7" ht="25.5" x14ac:dyDescent="0.2">
      <c r="A47" s="110"/>
      <c r="B47" s="104" t="s">
        <v>225</v>
      </c>
      <c r="D47" s="104"/>
      <c r="E47" s="104"/>
    </row>
    <row r="48" spans="1:7" ht="25.5" x14ac:dyDescent="0.2">
      <c r="A48" s="110"/>
      <c r="B48" s="104" t="s">
        <v>508</v>
      </c>
      <c r="D48" s="104"/>
      <c r="E48" s="104"/>
    </row>
    <row r="49" spans="1:7" x14ac:dyDescent="0.2">
      <c r="A49" s="110"/>
      <c r="B49" s="104" t="s">
        <v>99</v>
      </c>
      <c r="D49" s="104"/>
      <c r="E49" s="104"/>
    </row>
    <row r="50" spans="1:7" ht="25.5" x14ac:dyDescent="0.2">
      <c r="A50" s="110"/>
      <c r="B50" s="104" t="s">
        <v>530</v>
      </c>
      <c r="D50" s="104"/>
      <c r="E50" s="104"/>
    </row>
    <row r="51" spans="1:7" ht="25.5" x14ac:dyDescent="0.2">
      <c r="A51" s="110"/>
      <c r="B51" s="104" t="s">
        <v>514</v>
      </c>
      <c r="D51" s="104"/>
      <c r="E51" s="104"/>
    </row>
    <row r="52" spans="1:7" ht="25.5" x14ac:dyDescent="0.2">
      <c r="A52" s="110"/>
      <c r="B52" s="104" t="s">
        <v>497</v>
      </c>
      <c r="D52" s="104"/>
      <c r="E52" s="104"/>
    </row>
    <row r="53" spans="1:7" ht="25.5" x14ac:dyDescent="0.25">
      <c r="B53" s="104" t="s">
        <v>518</v>
      </c>
      <c r="D53" s="104"/>
      <c r="E53" s="104"/>
    </row>
    <row r="54" spans="1:7" x14ac:dyDescent="0.25">
      <c r="B54" s="104"/>
      <c r="D54" s="112"/>
      <c r="E54" s="104"/>
    </row>
    <row r="55" spans="1:7" x14ac:dyDescent="0.25">
      <c r="B55" s="104"/>
      <c r="D55" s="112"/>
      <c r="E55" s="104"/>
    </row>
    <row r="56" spans="1:7" ht="25.5" x14ac:dyDescent="0.2">
      <c r="A56" s="113" t="s">
        <v>343</v>
      </c>
      <c r="B56" s="113"/>
      <c r="C56" s="113"/>
      <c r="D56" s="113"/>
      <c r="E56" s="113"/>
      <c r="F56" s="113"/>
      <c r="G56" s="104" t="s">
        <v>74</v>
      </c>
    </row>
    <row r="57" spans="1:7" ht="51" x14ac:dyDescent="0.25">
      <c r="A57" s="106" t="s">
        <v>34</v>
      </c>
      <c r="B57" s="106" t="s">
        <v>35</v>
      </c>
      <c r="C57" s="104" t="s">
        <v>271</v>
      </c>
      <c r="D57" s="104" t="s">
        <v>274</v>
      </c>
      <c r="E57" s="104" t="s">
        <v>276</v>
      </c>
      <c r="F57" s="104" t="s">
        <v>237</v>
      </c>
      <c r="G57" s="104" t="s">
        <v>75</v>
      </c>
    </row>
    <row r="58" spans="1:7" x14ac:dyDescent="0.25">
      <c r="A58" s="107" t="s">
        <v>44</v>
      </c>
      <c r="B58" s="107" t="s">
        <v>44</v>
      </c>
      <c r="C58" s="107" t="s">
        <v>44</v>
      </c>
      <c r="D58" s="107" t="s">
        <v>44</v>
      </c>
      <c r="E58" s="107" t="s">
        <v>44</v>
      </c>
      <c r="F58" s="107" t="s">
        <v>44</v>
      </c>
      <c r="G58" s="107" t="s">
        <v>44</v>
      </c>
    </row>
    <row r="59" spans="1:7" ht="25.5" x14ac:dyDescent="0.2">
      <c r="A59" s="108" t="s">
        <v>196</v>
      </c>
      <c r="B59" s="104" t="s">
        <v>494</v>
      </c>
      <c r="C59" s="107" t="s">
        <v>565</v>
      </c>
      <c r="D59" s="107" t="s">
        <v>565</v>
      </c>
      <c r="E59" s="107" t="s">
        <v>565</v>
      </c>
      <c r="F59" s="109">
        <v>1</v>
      </c>
      <c r="G59" s="104" t="s">
        <v>79</v>
      </c>
    </row>
    <row r="60" spans="1:7" ht="51" x14ac:dyDescent="0.2">
      <c r="A60" s="108" t="s">
        <v>76</v>
      </c>
      <c r="B60" s="104" t="s">
        <v>1494</v>
      </c>
      <c r="C60" s="104" t="s">
        <v>340</v>
      </c>
      <c r="D60" s="104" t="s">
        <v>340</v>
      </c>
      <c r="E60" s="104" t="s">
        <v>340</v>
      </c>
      <c r="F60" s="109">
        <v>2</v>
      </c>
      <c r="G60" s="104" t="s">
        <v>489</v>
      </c>
    </row>
    <row r="61" spans="1:7" ht="38.25" x14ac:dyDescent="0.2">
      <c r="A61" s="108" t="s">
        <v>80</v>
      </c>
      <c r="B61" s="104" t="s">
        <v>1867</v>
      </c>
      <c r="C61" s="104" t="s">
        <v>78</v>
      </c>
      <c r="D61" s="104" t="s">
        <v>78</v>
      </c>
      <c r="E61" s="104" t="s">
        <v>78</v>
      </c>
      <c r="F61" s="109">
        <v>3</v>
      </c>
      <c r="G61" s="104" t="s">
        <v>82</v>
      </c>
    </row>
    <row r="62" spans="1:7" ht="63.75" x14ac:dyDescent="0.2">
      <c r="A62" s="108" t="s">
        <v>224</v>
      </c>
      <c r="B62" s="104" t="s">
        <v>504</v>
      </c>
      <c r="C62" s="104" t="s">
        <v>341</v>
      </c>
      <c r="D62" s="104" t="s">
        <v>81</v>
      </c>
      <c r="E62" s="104" t="s">
        <v>81</v>
      </c>
      <c r="F62" s="109"/>
      <c r="G62" s="104" t="s">
        <v>490</v>
      </c>
    </row>
    <row r="63" spans="1:7" ht="38.25" x14ac:dyDescent="0.2">
      <c r="A63" s="108" t="s">
        <v>266</v>
      </c>
      <c r="B63" s="104" t="s">
        <v>515</v>
      </c>
      <c r="C63" s="104" t="s">
        <v>81</v>
      </c>
      <c r="D63" s="104" t="s">
        <v>342</v>
      </c>
      <c r="E63" s="104" t="s">
        <v>342</v>
      </c>
      <c r="F63" s="110"/>
      <c r="G63" s="104" t="s">
        <v>83</v>
      </c>
    </row>
    <row r="64" spans="1:7" ht="25.5" x14ac:dyDescent="0.2">
      <c r="A64" s="108" t="s">
        <v>267</v>
      </c>
      <c r="B64" s="104" t="s">
        <v>498</v>
      </c>
      <c r="C64" s="104" t="s">
        <v>342</v>
      </c>
      <c r="D64" s="104" t="s">
        <v>77</v>
      </c>
      <c r="E64" s="104" t="s">
        <v>77</v>
      </c>
      <c r="F64" s="110"/>
      <c r="G64" s="104" t="s">
        <v>86</v>
      </c>
    </row>
    <row r="65" spans="1:14" ht="25.5" x14ac:dyDescent="0.2">
      <c r="A65" s="108" t="s">
        <v>87</v>
      </c>
      <c r="B65" s="104" t="s">
        <v>499</v>
      </c>
      <c r="C65" s="104" t="s">
        <v>77</v>
      </c>
      <c r="D65" s="104" t="s">
        <v>197</v>
      </c>
      <c r="E65" s="104" t="s">
        <v>236</v>
      </c>
      <c r="F65" s="110"/>
      <c r="G65" s="104" t="s">
        <v>344</v>
      </c>
    </row>
    <row r="66" spans="1:14" ht="38.25" x14ac:dyDescent="0.2">
      <c r="A66" s="108" t="s">
        <v>262</v>
      </c>
      <c r="B66" s="104" t="s">
        <v>493</v>
      </c>
      <c r="C66" s="104" t="s">
        <v>272</v>
      </c>
      <c r="D66" s="104" t="s">
        <v>236</v>
      </c>
      <c r="E66" s="104" t="s">
        <v>272</v>
      </c>
      <c r="F66" s="110"/>
      <c r="G66" s="104" t="s">
        <v>90</v>
      </c>
      <c r="M66" s="111"/>
      <c r="N66" s="111"/>
    </row>
    <row r="67" spans="1:14" ht="38.25" x14ac:dyDescent="0.2">
      <c r="A67" s="108" t="s">
        <v>92</v>
      </c>
      <c r="B67" s="104" t="s">
        <v>534</v>
      </c>
      <c r="C67" s="104" t="s">
        <v>85</v>
      </c>
      <c r="D67" s="104" t="s">
        <v>272</v>
      </c>
      <c r="E67" s="104" t="s">
        <v>85</v>
      </c>
      <c r="F67" s="110"/>
      <c r="G67" s="104" t="s">
        <v>491</v>
      </c>
      <c r="M67" s="111"/>
      <c r="N67" s="111"/>
    </row>
    <row r="68" spans="1:14" ht="38.25" x14ac:dyDescent="0.2">
      <c r="A68" s="108" t="s">
        <v>94</v>
      </c>
      <c r="B68" s="104" t="s">
        <v>528</v>
      </c>
      <c r="C68" s="104" t="s">
        <v>344</v>
      </c>
      <c r="D68" s="104" t="s">
        <v>85</v>
      </c>
      <c r="E68" s="104" t="s">
        <v>344</v>
      </c>
      <c r="F68" s="110"/>
      <c r="G68" s="104" t="s">
        <v>492</v>
      </c>
      <c r="M68" s="111"/>
      <c r="N68" s="111"/>
    </row>
    <row r="69" spans="1:14" ht="25.5" x14ac:dyDescent="0.2">
      <c r="A69" s="108" t="s">
        <v>48</v>
      </c>
      <c r="B69" s="104" t="s">
        <v>529</v>
      </c>
      <c r="C69" s="104" t="s">
        <v>89</v>
      </c>
      <c r="D69" s="104" t="s">
        <v>344</v>
      </c>
      <c r="E69" s="104" t="s">
        <v>487</v>
      </c>
      <c r="F69" s="110"/>
      <c r="G69" s="104" t="s">
        <v>91</v>
      </c>
    </row>
    <row r="70" spans="1:14" ht="38.25" x14ac:dyDescent="0.2">
      <c r="A70" s="108" t="s">
        <v>264</v>
      </c>
      <c r="B70" s="104" t="s">
        <v>296</v>
      </c>
      <c r="C70" s="104"/>
      <c r="D70" s="104" t="s">
        <v>275</v>
      </c>
      <c r="E70" s="104" t="s">
        <v>488</v>
      </c>
      <c r="F70" s="110"/>
      <c r="G70" s="104" t="s">
        <v>93</v>
      </c>
    </row>
    <row r="71" spans="1:14" ht="25.5" x14ac:dyDescent="0.2">
      <c r="A71" s="108" t="s">
        <v>97</v>
      </c>
      <c r="B71" s="104" t="s">
        <v>268</v>
      </c>
      <c r="C71" s="110"/>
      <c r="D71" s="104" t="s">
        <v>84</v>
      </c>
      <c r="E71" s="104" t="s">
        <v>84</v>
      </c>
      <c r="F71" s="110"/>
      <c r="G71" s="104" t="s">
        <v>95</v>
      </c>
    </row>
    <row r="72" spans="1:14" ht="63.75" x14ac:dyDescent="0.2">
      <c r="A72" s="108" t="s">
        <v>277</v>
      </c>
      <c r="B72" s="104" t="s">
        <v>263</v>
      </c>
      <c r="C72" s="110"/>
      <c r="D72" s="104" t="s">
        <v>198</v>
      </c>
      <c r="E72" s="104" t="s">
        <v>88</v>
      </c>
      <c r="F72" s="110"/>
      <c r="G72" s="104" t="s">
        <v>96</v>
      </c>
    </row>
    <row r="73" spans="1:14" ht="38.25" x14ac:dyDescent="0.2">
      <c r="A73" s="108" t="s">
        <v>323</v>
      </c>
      <c r="B73" s="104" t="s">
        <v>269</v>
      </c>
      <c r="C73" s="110"/>
      <c r="D73" s="104" t="s">
        <v>88</v>
      </c>
      <c r="E73" s="104" t="s">
        <v>325</v>
      </c>
      <c r="F73" s="110"/>
      <c r="G73" s="110"/>
    </row>
    <row r="74" spans="1:14" ht="63.75" x14ac:dyDescent="0.2">
      <c r="A74" s="108" t="s">
        <v>238</v>
      </c>
      <c r="B74" s="104" t="s">
        <v>525</v>
      </c>
      <c r="C74" s="110"/>
      <c r="D74" s="104" t="s">
        <v>199</v>
      </c>
      <c r="E74" s="104"/>
      <c r="F74" s="110"/>
      <c r="G74" s="110"/>
    </row>
    <row r="75" spans="1:14" ht="38.25" x14ac:dyDescent="0.2">
      <c r="A75" s="108" t="s">
        <v>324</v>
      </c>
      <c r="B75" s="104" t="s">
        <v>235</v>
      </c>
      <c r="C75" s="110"/>
      <c r="D75" s="104" t="s">
        <v>325</v>
      </c>
      <c r="E75" s="104"/>
      <c r="F75" s="110"/>
      <c r="G75" s="110"/>
    </row>
    <row r="76" spans="1:14" ht="25.5" x14ac:dyDescent="0.2">
      <c r="A76" s="108" t="s">
        <v>234</v>
      </c>
      <c r="B76" s="104" t="s">
        <v>526</v>
      </c>
      <c r="C76" s="110"/>
      <c r="D76" s="104"/>
      <c r="E76" s="104"/>
      <c r="F76" s="110"/>
      <c r="G76" s="110"/>
    </row>
    <row r="77" spans="1:14" ht="25.5" x14ac:dyDescent="0.2">
      <c r="A77" s="108" t="s">
        <v>98</v>
      </c>
      <c r="B77" s="104" t="s">
        <v>524</v>
      </c>
      <c r="C77" s="110"/>
      <c r="D77" s="104"/>
      <c r="E77" s="104"/>
      <c r="F77" s="110"/>
      <c r="G77" s="110"/>
    </row>
    <row r="78" spans="1:14" ht="38.25" x14ac:dyDescent="0.2">
      <c r="B78" s="104" t="s">
        <v>512</v>
      </c>
      <c r="C78" s="110"/>
      <c r="D78" s="104"/>
      <c r="E78" s="104"/>
      <c r="F78" s="110"/>
      <c r="G78" s="110"/>
    </row>
    <row r="79" spans="1:14" ht="38.25" x14ac:dyDescent="0.2">
      <c r="B79" s="104" t="s">
        <v>532</v>
      </c>
      <c r="C79" s="110"/>
      <c r="D79" s="104"/>
      <c r="E79" s="104"/>
      <c r="F79" s="110"/>
      <c r="G79" s="110"/>
    </row>
    <row r="80" spans="1:14" ht="38.25" x14ac:dyDescent="0.2">
      <c r="B80" s="104" t="s">
        <v>522</v>
      </c>
      <c r="C80" s="110"/>
      <c r="D80" s="104"/>
      <c r="E80" s="104"/>
      <c r="F80" s="110"/>
      <c r="G80" s="110"/>
    </row>
    <row r="81" spans="1:7" ht="38.25" x14ac:dyDescent="0.2">
      <c r="A81" s="108"/>
      <c r="B81" s="104" t="s">
        <v>533</v>
      </c>
      <c r="C81" s="110"/>
      <c r="D81" s="104"/>
      <c r="E81" s="104"/>
      <c r="F81" s="110"/>
      <c r="G81" s="110"/>
    </row>
    <row r="82" spans="1:7" ht="25.5" x14ac:dyDescent="0.2">
      <c r="B82" s="104" t="s">
        <v>501</v>
      </c>
      <c r="C82" s="110"/>
      <c r="D82" s="104"/>
      <c r="E82" s="104"/>
      <c r="F82" s="110"/>
      <c r="G82" s="110"/>
    </row>
    <row r="83" spans="1:7" ht="25.5" x14ac:dyDescent="0.2">
      <c r="A83" s="108"/>
      <c r="B83" s="104" t="s">
        <v>502</v>
      </c>
      <c r="C83" s="110"/>
      <c r="D83" s="104"/>
      <c r="E83" s="104"/>
      <c r="F83" s="110"/>
      <c r="G83" s="110"/>
    </row>
    <row r="84" spans="1:7" ht="25.5" x14ac:dyDescent="0.2">
      <c r="A84" s="108"/>
      <c r="B84" s="104" t="s">
        <v>495</v>
      </c>
      <c r="C84" s="110"/>
      <c r="D84" s="104"/>
      <c r="E84" s="104"/>
      <c r="F84" s="110"/>
      <c r="G84" s="110"/>
    </row>
    <row r="85" spans="1:7" x14ac:dyDescent="0.2">
      <c r="A85" s="110"/>
      <c r="B85" s="104" t="s">
        <v>520</v>
      </c>
      <c r="C85" s="110"/>
      <c r="D85" s="104"/>
      <c r="E85" s="104"/>
      <c r="F85" s="110"/>
      <c r="G85" s="110"/>
    </row>
    <row r="86" spans="1:7" ht="25.5" x14ac:dyDescent="0.2">
      <c r="A86" s="110"/>
      <c r="B86" s="104" t="s">
        <v>496</v>
      </c>
      <c r="C86" s="110"/>
      <c r="D86" s="104"/>
      <c r="E86" s="104"/>
      <c r="F86" s="110"/>
      <c r="G86" s="110"/>
    </row>
    <row r="87" spans="1:7" ht="25.5" x14ac:dyDescent="0.2">
      <c r="A87" s="110"/>
      <c r="B87" s="104" t="s">
        <v>500</v>
      </c>
      <c r="C87" s="110"/>
      <c r="D87" s="104"/>
      <c r="E87" s="104"/>
      <c r="F87" s="110"/>
      <c r="G87" s="110"/>
    </row>
    <row r="88" spans="1:7" ht="38.25" x14ac:dyDescent="0.2">
      <c r="A88" s="110"/>
      <c r="B88" s="104" t="s">
        <v>513</v>
      </c>
      <c r="C88" s="110"/>
      <c r="D88" s="104"/>
      <c r="E88" s="104"/>
      <c r="F88" s="110"/>
      <c r="G88" s="110"/>
    </row>
    <row r="89" spans="1:7" ht="51" x14ac:dyDescent="0.2">
      <c r="A89" s="110"/>
      <c r="B89" s="104" t="s">
        <v>505</v>
      </c>
      <c r="C89" s="110"/>
      <c r="D89" s="104"/>
      <c r="E89" s="104"/>
      <c r="F89" s="110"/>
      <c r="G89" s="110"/>
    </row>
    <row r="90" spans="1:7" ht="25.5" x14ac:dyDescent="0.2">
      <c r="A90" s="110"/>
      <c r="B90" s="104" t="s">
        <v>517</v>
      </c>
      <c r="C90" s="110"/>
      <c r="D90" s="104"/>
      <c r="E90" s="104"/>
      <c r="F90" s="110"/>
      <c r="G90" s="110"/>
    </row>
    <row r="91" spans="1:7" ht="25.5" x14ac:dyDescent="0.2">
      <c r="A91" s="110"/>
      <c r="B91" s="104" t="s">
        <v>519</v>
      </c>
      <c r="C91" s="110"/>
      <c r="D91" s="104"/>
      <c r="E91" s="104"/>
      <c r="F91" s="110"/>
      <c r="G91" s="110"/>
    </row>
    <row r="92" spans="1:7" ht="25.5" x14ac:dyDescent="0.2">
      <c r="A92" s="110"/>
      <c r="B92" s="104" t="s">
        <v>503</v>
      </c>
      <c r="C92" s="110"/>
      <c r="D92" s="104"/>
      <c r="E92" s="104"/>
      <c r="F92" s="110"/>
      <c r="G92" s="110"/>
    </row>
    <row r="93" spans="1:7" ht="38.25" x14ac:dyDescent="0.2">
      <c r="A93" s="110"/>
      <c r="B93" s="104" t="s">
        <v>521</v>
      </c>
      <c r="C93" s="110"/>
      <c r="D93" s="104"/>
      <c r="E93" s="104"/>
      <c r="F93" s="110"/>
      <c r="G93" s="110"/>
    </row>
    <row r="94" spans="1:7" ht="25.5" x14ac:dyDescent="0.2">
      <c r="A94" s="110"/>
      <c r="B94" s="104" t="s">
        <v>507</v>
      </c>
      <c r="C94" s="110"/>
      <c r="D94" s="104"/>
      <c r="E94" s="104"/>
      <c r="F94" s="110"/>
      <c r="G94" s="110"/>
    </row>
    <row r="95" spans="1:7" ht="25.5" x14ac:dyDescent="0.2">
      <c r="A95" s="110"/>
      <c r="B95" s="104" t="s">
        <v>527</v>
      </c>
      <c r="C95" s="110"/>
      <c r="D95" s="104"/>
      <c r="E95" s="104"/>
      <c r="F95" s="110"/>
      <c r="G95" s="110"/>
    </row>
    <row r="96" spans="1:7" x14ac:dyDescent="0.2">
      <c r="A96" s="110"/>
      <c r="B96" s="104" t="s">
        <v>344</v>
      </c>
      <c r="C96" s="110"/>
      <c r="D96" s="104"/>
      <c r="E96" s="104"/>
      <c r="F96" s="110"/>
      <c r="G96" s="110"/>
    </row>
    <row r="97" spans="1:8" x14ac:dyDescent="0.2">
      <c r="A97" s="110"/>
      <c r="B97" s="106" t="s">
        <v>509</v>
      </c>
      <c r="C97" s="110"/>
      <c r="D97" s="104"/>
      <c r="E97" s="104"/>
      <c r="F97" s="110"/>
      <c r="G97" s="110"/>
    </row>
    <row r="98" spans="1:8" ht="25.5" x14ac:dyDescent="0.2">
      <c r="A98" s="110"/>
      <c r="B98" s="104" t="s">
        <v>516</v>
      </c>
      <c r="C98" s="110"/>
      <c r="D98" s="104"/>
      <c r="E98" s="104"/>
    </row>
    <row r="99" spans="1:8" x14ac:dyDescent="0.2">
      <c r="A99" s="110"/>
      <c r="B99" s="104" t="s">
        <v>531</v>
      </c>
      <c r="C99" s="110"/>
      <c r="D99" s="104"/>
      <c r="E99" s="104"/>
    </row>
    <row r="100" spans="1:8" ht="51" x14ac:dyDescent="0.2">
      <c r="A100" s="110"/>
      <c r="B100" s="104" t="s">
        <v>506</v>
      </c>
      <c r="C100" s="110"/>
      <c r="D100" s="104"/>
      <c r="E100" s="104"/>
    </row>
    <row r="101" spans="1:8" ht="38.25" x14ac:dyDescent="0.2">
      <c r="A101" s="110"/>
      <c r="B101" s="104" t="s">
        <v>523</v>
      </c>
      <c r="C101" s="110"/>
      <c r="D101" s="104"/>
      <c r="E101" s="104"/>
    </row>
    <row r="102" spans="1:8" ht="38.25" x14ac:dyDescent="0.2">
      <c r="A102" s="110"/>
      <c r="B102" s="104" t="s">
        <v>265</v>
      </c>
      <c r="D102" s="104"/>
      <c r="E102" s="104"/>
    </row>
    <row r="103" spans="1:8" ht="25.5" x14ac:dyDescent="0.2">
      <c r="A103" s="110"/>
      <c r="B103" s="104" t="s">
        <v>225</v>
      </c>
      <c r="D103" s="104"/>
      <c r="E103" s="104"/>
    </row>
    <row r="104" spans="1:8" ht="25.5" x14ac:dyDescent="0.2">
      <c r="A104" s="110"/>
      <c r="B104" s="104" t="s">
        <v>508</v>
      </c>
      <c r="D104" s="104"/>
      <c r="E104" s="104"/>
    </row>
    <row r="105" spans="1:8" x14ac:dyDescent="0.2">
      <c r="A105" s="110"/>
      <c r="B105" s="104" t="s">
        <v>99</v>
      </c>
      <c r="D105" s="104"/>
      <c r="E105" s="104"/>
    </row>
    <row r="106" spans="1:8" x14ac:dyDescent="0.2">
      <c r="A106" s="110"/>
      <c r="B106" s="106" t="s">
        <v>530</v>
      </c>
      <c r="D106" s="104"/>
      <c r="E106" s="104"/>
    </row>
    <row r="107" spans="1:8" ht="25.5" x14ac:dyDescent="0.2">
      <c r="A107" s="110"/>
      <c r="B107" s="104" t="s">
        <v>514</v>
      </c>
      <c r="D107" s="104"/>
      <c r="E107" s="104"/>
    </row>
    <row r="108" spans="1:8" ht="25.5" x14ac:dyDescent="0.25">
      <c r="B108" s="104" t="s">
        <v>497</v>
      </c>
      <c r="D108" s="104"/>
      <c r="E108" s="104"/>
    </row>
    <row r="109" spans="1:8" ht="25.5" x14ac:dyDescent="0.25">
      <c r="B109" s="104" t="s">
        <v>518</v>
      </c>
      <c r="D109" s="104"/>
      <c r="E109" s="104"/>
    </row>
    <row r="110" spans="1:8" x14ac:dyDescent="0.25">
      <c r="B110" s="104"/>
      <c r="D110" s="112"/>
      <c r="E110" s="104"/>
    </row>
    <row r="111" spans="1:8" x14ac:dyDescent="0.25">
      <c r="B111" s="104"/>
      <c r="D111" s="112"/>
      <c r="E111" s="105" t="s">
        <v>557</v>
      </c>
      <c r="H111" s="105" t="s">
        <v>558</v>
      </c>
    </row>
    <row r="112" spans="1:8" x14ac:dyDescent="0.25">
      <c r="A112" s="114" t="s">
        <v>34</v>
      </c>
      <c r="B112" s="114" t="s">
        <v>100</v>
      </c>
      <c r="C112" s="112"/>
      <c r="D112" s="112"/>
      <c r="E112" s="105" t="s">
        <v>75</v>
      </c>
      <c r="H112" s="105" t="s">
        <v>75</v>
      </c>
    </row>
    <row r="113" spans="1:9" ht="25.5" x14ac:dyDescent="0.25">
      <c r="A113" s="114" t="s">
        <v>196</v>
      </c>
      <c r="B113" s="114">
        <v>14</v>
      </c>
      <c r="C113" s="112"/>
      <c r="D113" s="112"/>
      <c r="E113" s="112" t="s">
        <v>79</v>
      </c>
      <c r="F113" s="112" t="b">
        <v>1</v>
      </c>
      <c r="H113" s="112" t="s">
        <v>79</v>
      </c>
      <c r="I113" s="112" t="b">
        <v>1</v>
      </c>
    </row>
    <row r="114" spans="1:9" ht="25.5" x14ac:dyDescent="0.25">
      <c r="A114" s="114" t="s">
        <v>76</v>
      </c>
      <c r="B114" s="114">
        <v>2</v>
      </c>
      <c r="C114" s="112"/>
      <c r="D114" s="112"/>
      <c r="E114" s="104" t="s">
        <v>489</v>
      </c>
      <c r="F114" s="112" t="b">
        <v>1</v>
      </c>
      <c r="H114" s="104" t="s">
        <v>489</v>
      </c>
      <c r="I114" s="112" t="b">
        <v>1</v>
      </c>
    </row>
    <row r="115" spans="1:9" ht="25.5" x14ac:dyDescent="0.25">
      <c r="A115" s="114" t="s">
        <v>80</v>
      </c>
      <c r="B115" s="114">
        <v>11</v>
      </c>
      <c r="C115" s="112"/>
      <c r="D115" s="112"/>
      <c r="E115" s="112" t="s">
        <v>82</v>
      </c>
      <c r="F115" s="112" t="b">
        <v>1</v>
      </c>
      <c r="H115" s="112" t="s">
        <v>82</v>
      </c>
      <c r="I115" s="112" t="b">
        <v>1</v>
      </c>
    </row>
    <row r="116" spans="1:9" ht="25.5" x14ac:dyDescent="0.25">
      <c r="A116" s="114" t="s">
        <v>224</v>
      </c>
      <c r="B116" s="114">
        <v>16</v>
      </c>
      <c r="C116" s="112"/>
      <c r="E116" s="104" t="s">
        <v>490</v>
      </c>
      <c r="F116" s="112" t="b">
        <v>1</v>
      </c>
      <c r="H116" s="104" t="s">
        <v>490</v>
      </c>
      <c r="I116" s="112" t="b">
        <v>1</v>
      </c>
    </row>
    <row r="117" spans="1:9" ht="38.25" x14ac:dyDescent="0.25">
      <c r="A117" s="114" t="s">
        <v>266</v>
      </c>
      <c r="B117" s="114">
        <v>9</v>
      </c>
      <c r="C117" s="112"/>
      <c r="E117" s="112" t="s">
        <v>83</v>
      </c>
      <c r="F117" s="112" t="b">
        <v>1</v>
      </c>
      <c r="H117" s="112" t="s">
        <v>83</v>
      </c>
      <c r="I117" s="112" t="b">
        <v>1</v>
      </c>
    </row>
    <row r="118" spans="1:9" ht="25.5" x14ac:dyDescent="0.25">
      <c r="A118" s="114" t="s">
        <v>267</v>
      </c>
      <c r="B118" s="114">
        <v>21</v>
      </c>
      <c r="C118" s="112"/>
      <c r="E118" s="112" t="s">
        <v>86</v>
      </c>
      <c r="F118" s="112" t="b">
        <v>1</v>
      </c>
      <c r="H118" s="112" t="s">
        <v>86</v>
      </c>
      <c r="I118" s="112" t="b">
        <v>1</v>
      </c>
    </row>
    <row r="119" spans="1:9" ht="36" customHeight="1" x14ac:dyDescent="0.25">
      <c r="A119" s="114" t="s">
        <v>87</v>
      </c>
      <c r="B119" s="114">
        <v>3</v>
      </c>
      <c r="C119" s="112"/>
      <c r="E119" s="112" t="s">
        <v>90</v>
      </c>
      <c r="F119" s="112" t="b">
        <v>1</v>
      </c>
      <c r="H119" s="112" t="s">
        <v>90</v>
      </c>
      <c r="I119" s="112" t="b">
        <v>1</v>
      </c>
    </row>
    <row r="120" spans="1:9" ht="25.5" x14ac:dyDescent="0.25">
      <c r="A120" s="114" t="s">
        <v>262</v>
      </c>
      <c r="B120" s="114">
        <v>10</v>
      </c>
      <c r="C120" s="112"/>
      <c r="E120" s="104" t="s">
        <v>491</v>
      </c>
      <c r="F120" s="112" t="b">
        <v>1</v>
      </c>
      <c r="H120" s="104" t="s">
        <v>491</v>
      </c>
      <c r="I120" s="112" t="b">
        <v>1</v>
      </c>
    </row>
    <row r="121" spans="1:9" ht="51" x14ac:dyDescent="0.25">
      <c r="A121" s="108" t="s">
        <v>92</v>
      </c>
      <c r="B121" s="114">
        <v>6</v>
      </c>
      <c r="C121" s="112"/>
      <c r="D121" s="112"/>
      <c r="E121" s="104" t="s">
        <v>492</v>
      </c>
      <c r="F121" s="112" t="b">
        <v>1</v>
      </c>
      <c r="H121" s="104" t="s">
        <v>492</v>
      </c>
      <c r="I121" s="112" t="b">
        <v>1</v>
      </c>
    </row>
    <row r="122" spans="1:9" ht="25.5" x14ac:dyDescent="0.25">
      <c r="A122" s="114" t="s">
        <v>94</v>
      </c>
      <c r="B122" s="114">
        <v>4</v>
      </c>
      <c r="C122" s="115"/>
      <c r="E122" s="112" t="s">
        <v>91</v>
      </c>
      <c r="F122" s="112" t="b">
        <v>1</v>
      </c>
      <c r="H122" s="112" t="s">
        <v>91</v>
      </c>
      <c r="I122" s="112" t="b">
        <v>1</v>
      </c>
    </row>
    <row r="123" spans="1:9" ht="25.5" x14ac:dyDescent="0.25">
      <c r="A123" s="114" t="s">
        <v>48</v>
      </c>
      <c r="B123" s="114">
        <v>22</v>
      </c>
      <c r="C123" s="112"/>
      <c r="E123" s="112" t="s">
        <v>93</v>
      </c>
      <c r="F123" s="112" t="b">
        <v>1</v>
      </c>
      <c r="H123" s="112" t="s">
        <v>93</v>
      </c>
      <c r="I123" s="112" t="b">
        <v>1</v>
      </c>
    </row>
    <row r="124" spans="1:9" ht="25.5" x14ac:dyDescent="0.25">
      <c r="A124" s="114" t="s">
        <v>264</v>
      </c>
      <c r="B124" s="114">
        <v>15</v>
      </c>
      <c r="C124" s="112"/>
      <c r="E124" s="112" t="s">
        <v>95</v>
      </c>
      <c r="F124" s="112" t="b">
        <v>1</v>
      </c>
      <c r="H124" s="112" t="s">
        <v>95</v>
      </c>
      <c r="I124" s="112" t="b">
        <v>1</v>
      </c>
    </row>
    <row r="125" spans="1:9" ht="25.5" x14ac:dyDescent="0.25">
      <c r="A125" s="114" t="s">
        <v>97</v>
      </c>
      <c r="B125" s="114">
        <v>5</v>
      </c>
      <c r="C125" s="112"/>
      <c r="E125" s="112" t="s">
        <v>96</v>
      </c>
      <c r="F125" s="112" t="b">
        <v>0</v>
      </c>
      <c r="H125" s="112" t="s">
        <v>96</v>
      </c>
      <c r="I125" s="112" t="b">
        <v>1</v>
      </c>
    </row>
    <row r="126" spans="1:9" ht="25.5" x14ac:dyDescent="0.25">
      <c r="A126" s="114" t="s">
        <v>277</v>
      </c>
      <c r="B126" s="114">
        <v>13</v>
      </c>
      <c r="C126" s="112"/>
    </row>
    <row r="127" spans="1:9" ht="25.5" x14ac:dyDescent="0.25">
      <c r="A127" s="116" t="s">
        <v>323</v>
      </c>
      <c r="B127" s="116">
        <v>19</v>
      </c>
      <c r="C127" s="112"/>
    </row>
    <row r="128" spans="1:9" ht="25.5" x14ac:dyDescent="0.25">
      <c r="A128" s="114" t="s">
        <v>238</v>
      </c>
      <c r="B128" s="114">
        <v>18</v>
      </c>
      <c r="C128" s="112"/>
    </row>
    <row r="129" spans="1:15" ht="25.5" x14ac:dyDescent="0.25">
      <c r="A129" s="116" t="s">
        <v>324</v>
      </c>
      <c r="B129" s="116">
        <v>20</v>
      </c>
      <c r="C129" s="112"/>
    </row>
    <row r="130" spans="1:15" x14ac:dyDescent="0.25">
      <c r="A130" s="114" t="s">
        <v>234</v>
      </c>
      <c r="B130" s="114">
        <v>17</v>
      </c>
      <c r="C130" s="112"/>
    </row>
    <row r="131" spans="1:15" ht="25.5" x14ac:dyDescent="0.25">
      <c r="A131" s="114" t="s">
        <v>98</v>
      </c>
      <c r="B131" s="114">
        <v>1</v>
      </c>
      <c r="C131" s="112"/>
    </row>
    <row r="132" spans="1:15" x14ac:dyDescent="0.25">
      <c r="B132" s="112"/>
      <c r="C132" s="112"/>
    </row>
    <row r="133" spans="1:15" x14ac:dyDescent="0.25">
      <c r="A133" s="112"/>
      <c r="C133" s="112"/>
    </row>
    <row r="134" spans="1:15" x14ac:dyDescent="0.25">
      <c r="A134" s="112"/>
    </row>
    <row r="135" spans="1:15" x14ac:dyDescent="0.25">
      <c r="A135" s="112"/>
    </row>
    <row r="136" spans="1:15" x14ac:dyDescent="0.25">
      <c r="A136" s="112"/>
    </row>
    <row r="137" spans="1:15" x14ac:dyDescent="0.25">
      <c r="A137" s="112"/>
    </row>
    <row r="138" spans="1:15" x14ac:dyDescent="0.25">
      <c r="A138" s="112"/>
    </row>
    <row r="139" spans="1:15" x14ac:dyDescent="0.25">
      <c r="A139" s="112"/>
    </row>
    <row r="142" spans="1:15" x14ac:dyDescent="0.25">
      <c r="A142" s="105" t="s">
        <v>101</v>
      </c>
    </row>
    <row r="143" spans="1:15" x14ac:dyDescent="0.25">
      <c r="A143" s="105" t="s">
        <v>102</v>
      </c>
      <c r="B143" s="105" t="s">
        <v>103</v>
      </c>
      <c r="E143" s="105" t="s">
        <v>104</v>
      </c>
      <c r="H143" s="105" t="s">
        <v>105</v>
      </c>
      <c r="K143" s="105" t="s">
        <v>106</v>
      </c>
      <c r="N143" s="105" t="s">
        <v>249</v>
      </c>
    </row>
    <row r="144" spans="1:15" ht="38.25" x14ac:dyDescent="0.25">
      <c r="A144" s="108" t="s">
        <v>98</v>
      </c>
      <c r="B144" s="114" t="s">
        <v>513</v>
      </c>
      <c r="C144" s="117" t="b">
        <v>1</v>
      </c>
      <c r="E144" s="117" t="s">
        <v>340</v>
      </c>
      <c r="F144" s="117" t="b">
        <v>1</v>
      </c>
      <c r="H144" s="117" t="s">
        <v>340</v>
      </c>
      <c r="I144" s="117" t="b">
        <v>1</v>
      </c>
      <c r="K144" s="117" t="s">
        <v>340</v>
      </c>
      <c r="L144" s="117" t="b">
        <v>1</v>
      </c>
      <c r="N144" s="117">
        <v>3</v>
      </c>
      <c r="O144" s="117" t="b">
        <v>1</v>
      </c>
    </row>
    <row r="145" spans="1:15" x14ac:dyDescent="0.25">
      <c r="B145" s="117"/>
      <c r="C145" s="117"/>
      <c r="E145" s="117" t="s">
        <v>78</v>
      </c>
      <c r="F145" s="117" t="b">
        <v>1</v>
      </c>
      <c r="H145" s="117" t="s">
        <v>78</v>
      </c>
      <c r="I145" s="117" t="b">
        <v>1</v>
      </c>
      <c r="K145" s="117" t="s">
        <v>78</v>
      </c>
      <c r="L145" s="117" t="b">
        <v>1</v>
      </c>
      <c r="N145" s="117"/>
      <c r="O145" s="117"/>
    </row>
    <row r="146" spans="1:15" x14ac:dyDescent="0.25">
      <c r="B146" s="117"/>
      <c r="C146" s="117"/>
      <c r="E146" s="117" t="s">
        <v>81</v>
      </c>
      <c r="F146" s="117" t="b">
        <v>1</v>
      </c>
      <c r="H146" s="117" t="s">
        <v>81</v>
      </c>
      <c r="I146" s="117" t="b">
        <v>1</v>
      </c>
      <c r="K146" s="117" t="s">
        <v>81</v>
      </c>
      <c r="L146" s="117" t="b">
        <v>1</v>
      </c>
      <c r="N146" s="117"/>
      <c r="O146" s="117"/>
    </row>
    <row r="147" spans="1:15" x14ac:dyDescent="0.25">
      <c r="B147" s="117"/>
      <c r="C147" s="117"/>
      <c r="E147" s="117" t="s">
        <v>342</v>
      </c>
      <c r="F147" s="117" t="b">
        <v>1</v>
      </c>
      <c r="H147" s="117" t="s">
        <v>342</v>
      </c>
      <c r="I147" s="117" t="b">
        <v>1</v>
      </c>
      <c r="K147" s="117" t="s">
        <v>342</v>
      </c>
      <c r="L147" s="117" t="b">
        <v>1</v>
      </c>
      <c r="N147" s="117"/>
      <c r="O147" s="117"/>
    </row>
    <row r="148" spans="1:15" x14ac:dyDescent="0.25">
      <c r="B148" s="117"/>
      <c r="C148" s="117"/>
      <c r="E148" s="117" t="s">
        <v>272</v>
      </c>
      <c r="F148" s="117" t="b">
        <v>1</v>
      </c>
      <c r="H148" s="117" t="s">
        <v>272</v>
      </c>
      <c r="I148" s="117" t="b">
        <v>1</v>
      </c>
      <c r="K148" s="117" t="s">
        <v>236</v>
      </c>
      <c r="L148" s="117" t="b">
        <v>1</v>
      </c>
      <c r="N148" s="117"/>
      <c r="O148" s="117"/>
    </row>
    <row r="149" spans="1:15" x14ac:dyDescent="0.25">
      <c r="B149" s="117"/>
      <c r="C149" s="117"/>
      <c r="E149" s="117" t="s">
        <v>85</v>
      </c>
      <c r="F149" s="117" t="b">
        <v>1</v>
      </c>
      <c r="H149" s="117" t="s">
        <v>85</v>
      </c>
      <c r="I149" s="117" t="b">
        <v>1</v>
      </c>
      <c r="K149" s="117" t="s">
        <v>272</v>
      </c>
      <c r="L149" s="117" t="b">
        <v>1</v>
      </c>
      <c r="N149" s="117"/>
      <c r="O149" s="117"/>
    </row>
    <row r="150" spans="1:15" x14ac:dyDescent="0.25">
      <c r="B150" s="117"/>
      <c r="C150" s="117"/>
      <c r="E150" s="117" t="s">
        <v>565</v>
      </c>
      <c r="F150" s="117" t="b">
        <v>1</v>
      </c>
      <c r="H150" s="117" t="s">
        <v>565</v>
      </c>
      <c r="I150" s="117" t="b">
        <v>1</v>
      </c>
      <c r="K150" s="117" t="s">
        <v>85</v>
      </c>
      <c r="L150" s="117" t="b">
        <v>1</v>
      </c>
      <c r="N150" s="117"/>
      <c r="O150" s="117"/>
    </row>
    <row r="151" spans="1:15" x14ac:dyDescent="0.25">
      <c r="B151" s="117"/>
      <c r="C151" s="117"/>
      <c r="E151" s="117"/>
      <c r="F151" s="117"/>
      <c r="H151" s="117"/>
      <c r="I151" s="117"/>
      <c r="K151" s="117" t="s">
        <v>565</v>
      </c>
      <c r="L151" s="117" t="b">
        <v>1</v>
      </c>
      <c r="N151" s="117"/>
      <c r="O151" s="117"/>
    </row>
    <row r="152" spans="1:15" x14ac:dyDescent="0.25">
      <c r="B152" s="117"/>
      <c r="C152" s="117"/>
      <c r="E152" s="117"/>
      <c r="F152" s="117"/>
      <c r="H152" s="117"/>
      <c r="I152" s="117"/>
      <c r="K152" s="117"/>
      <c r="L152" s="117"/>
      <c r="N152" s="117"/>
      <c r="O152" s="117"/>
    </row>
    <row r="153" spans="1:15" x14ac:dyDescent="0.25">
      <c r="B153" s="117"/>
      <c r="C153" s="117"/>
      <c r="E153" s="117"/>
      <c r="F153" s="117"/>
      <c r="H153" s="117"/>
      <c r="I153" s="117"/>
      <c r="K153" s="117"/>
      <c r="L153" s="117"/>
      <c r="N153" s="117"/>
      <c r="O153" s="117"/>
    </row>
    <row r="157" spans="1:15" x14ac:dyDescent="0.25">
      <c r="A157" s="105" t="s">
        <v>107</v>
      </c>
      <c r="B157" s="105" t="s">
        <v>108</v>
      </c>
      <c r="E157" s="105" t="s">
        <v>109</v>
      </c>
      <c r="H157" s="105" t="s">
        <v>110</v>
      </c>
      <c r="K157" s="105" t="s">
        <v>111</v>
      </c>
      <c r="N157" s="105" t="s">
        <v>261</v>
      </c>
    </row>
    <row r="158" spans="1:15" x14ac:dyDescent="0.25">
      <c r="A158" s="108" t="s">
        <v>76</v>
      </c>
      <c r="B158" s="114" t="s">
        <v>515</v>
      </c>
      <c r="C158" s="117" t="b">
        <v>1</v>
      </c>
      <c r="E158" s="117" t="s">
        <v>340</v>
      </c>
      <c r="F158" s="117" t="b">
        <v>1</v>
      </c>
      <c r="H158" s="117" t="s">
        <v>340</v>
      </c>
      <c r="I158" s="117" t="b">
        <v>1</v>
      </c>
      <c r="K158" s="117" t="s">
        <v>340</v>
      </c>
      <c r="L158" s="117" t="b">
        <v>1</v>
      </c>
      <c r="N158" s="117">
        <v>3</v>
      </c>
      <c r="O158" s="117" t="b">
        <v>1</v>
      </c>
    </row>
    <row r="159" spans="1:15" x14ac:dyDescent="0.25">
      <c r="A159" s="112"/>
      <c r="B159" s="114" t="s">
        <v>520</v>
      </c>
      <c r="C159" s="117" t="b">
        <v>1</v>
      </c>
      <c r="E159" s="117" t="s">
        <v>78</v>
      </c>
      <c r="F159" s="117" t="b">
        <v>1</v>
      </c>
      <c r="H159" s="117" t="s">
        <v>78</v>
      </c>
      <c r="I159" s="117" t="b">
        <v>1</v>
      </c>
      <c r="J159" s="112"/>
      <c r="K159" s="117" t="s">
        <v>78</v>
      </c>
      <c r="L159" s="117" t="b">
        <v>1</v>
      </c>
      <c r="N159" s="117"/>
      <c r="O159" s="117"/>
    </row>
    <row r="160" spans="1:15" ht="25.5" x14ac:dyDescent="0.25">
      <c r="A160" s="112"/>
      <c r="B160" s="114" t="s">
        <v>517</v>
      </c>
      <c r="C160" s="117" t="b">
        <v>1</v>
      </c>
      <c r="E160" s="117" t="s">
        <v>81</v>
      </c>
      <c r="F160" s="117" t="b">
        <v>1</v>
      </c>
      <c r="G160" s="112"/>
      <c r="H160" s="117" t="s">
        <v>81</v>
      </c>
      <c r="I160" s="117" t="b">
        <v>1</v>
      </c>
      <c r="J160" s="112"/>
      <c r="K160" s="117" t="s">
        <v>81</v>
      </c>
      <c r="L160" s="117" t="b">
        <v>1</v>
      </c>
      <c r="N160" s="117"/>
      <c r="O160" s="117"/>
    </row>
    <row r="161" spans="1:15" ht="25.5" x14ac:dyDescent="0.25">
      <c r="A161" s="112"/>
      <c r="B161" s="114" t="s">
        <v>519</v>
      </c>
      <c r="C161" s="117" t="b">
        <v>1</v>
      </c>
      <c r="E161" s="117" t="s">
        <v>342</v>
      </c>
      <c r="F161" s="117" t="b">
        <v>1</v>
      </c>
      <c r="G161" s="112"/>
      <c r="H161" s="117" t="s">
        <v>342</v>
      </c>
      <c r="I161" s="117" t="b">
        <v>1</v>
      </c>
      <c r="J161" s="112"/>
      <c r="K161" s="117" t="s">
        <v>342</v>
      </c>
      <c r="L161" s="117" t="b">
        <v>1</v>
      </c>
      <c r="N161" s="117"/>
      <c r="O161" s="117"/>
    </row>
    <row r="162" spans="1:15" ht="25.5" x14ac:dyDescent="0.25">
      <c r="A162" s="112"/>
      <c r="B162" s="114" t="s">
        <v>516</v>
      </c>
      <c r="C162" s="117" t="b">
        <v>1</v>
      </c>
      <c r="E162" s="117" t="s">
        <v>85</v>
      </c>
      <c r="F162" s="117" t="b">
        <v>1</v>
      </c>
      <c r="G162" s="112"/>
      <c r="H162" s="117" t="s">
        <v>85</v>
      </c>
      <c r="I162" s="117" t="b">
        <v>1</v>
      </c>
      <c r="J162" s="112"/>
      <c r="K162" s="114" t="s">
        <v>236</v>
      </c>
      <c r="L162" s="117" t="b">
        <v>1</v>
      </c>
      <c r="N162" s="117"/>
      <c r="O162" s="117"/>
    </row>
    <row r="163" spans="1:15" ht="25.5" x14ac:dyDescent="0.25">
      <c r="A163" s="112"/>
      <c r="B163" s="114" t="s">
        <v>514</v>
      </c>
      <c r="C163" s="117" t="b">
        <v>1</v>
      </c>
      <c r="E163" s="117" t="s">
        <v>565</v>
      </c>
      <c r="F163" s="117" t="b">
        <v>1</v>
      </c>
      <c r="G163" s="112"/>
      <c r="H163" s="114" t="s">
        <v>275</v>
      </c>
      <c r="I163" s="117" t="b">
        <v>1</v>
      </c>
      <c r="J163" s="112"/>
      <c r="K163" s="117" t="s">
        <v>85</v>
      </c>
      <c r="L163" s="117" t="b">
        <v>1</v>
      </c>
      <c r="N163" s="117"/>
      <c r="O163" s="117"/>
    </row>
    <row r="164" spans="1:15" ht="25.5" x14ac:dyDescent="0.25">
      <c r="A164" s="112"/>
      <c r="B164" s="114" t="s">
        <v>518</v>
      </c>
      <c r="C164" s="117" t="b">
        <v>1</v>
      </c>
      <c r="E164" s="114"/>
      <c r="F164" s="114"/>
      <c r="G164" s="112"/>
      <c r="H164" s="117" t="s">
        <v>565</v>
      </c>
      <c r="I164" s="117" t="b">
        <v>1</v>
      </c>
      <c r="J164" s="112"/>
      <c r="K164" s="114" t="s">
        <v>487</v>
      </c>
      <c r="L164" s="117" t="b">
        <v>1</v>
      </c>
      <c r="N164" s="117"/>
      <c r="O164" s="117"/>
    </row>
    <row r="165" spans="1:15" x14ac:dyDescent="0.25">
      <c r="A165" s="112"/>
      <c r="B165" s="114"/>
      <c r="C165" s="117"/>
      <c r="E165" s="114"/>
      <c r="F165" s="114"/>
      <c r="G165" s="112"/>
      <c r="H165" s="114"/>
      <c r="I165" s="114"/>
      <c r="J165" s="112"/>
      <c r="K165" s="114" t="s">
        <v>488</v>
      </c>
      <c r="L165" s="117" t="b">
        <v>1</v>
      </c>
      <c r="N165" s="117"/>
      <c r="O165" s="117"/>
    </row>
    <row r="166" spans="1:15" x14ac:dyDescent="0.25">
      <c r="A166" s="112"/>
      <c r="B166" s="114"/>
      <c r="C166" s="117"/>
      <c r="E166" s="114"/>
      <c r="F166" s="114"/>
      <c r="G166" s="112"/>
      <c r="H166" s="114"/>
      <c r="I166" s="114"/>
      <c r="J166" s="112"/>
      <c r="K166" s="114" t="s">
        <v>88</v>
      </c>
      <c r="L166" s="117" t="b">
        <v>1</v>
      </c>
      <c r="N166" s="117"/>
      <c r="O166" s="117"/>
    </row>
    <row r="167" spans="1:15" x14ac:dyDescent="0.25">
      <c r="A167" s="112"/>
      <c r="B167" s="114"/>
      <c r="C167" s="117"/>
      <c r="E167" s="114"/>
      <c r="F167" s="114"/>
      <c r="G167" s="112"/>
      <c r="H167" s="114"/>
      <c r="I167" s="114"/>
      <c r="J167" s="112"/>
      <c r="K167" s="117" t="s">
        <v>565</v>
      </c>
      <c r="L167" s="117" t="b">
        <v>1</v>
      </c>
      <c r="N167" s="117"/>
      <c r="O167" s="117"/>
    </row>
    <row r="168" spans="1:15" x14ac:dyDescent="0.25">
      <c r="A168" s="112"/>
      <c r="B168" s="112"/>
      <c r="E168" s="112"/>
      <c r="F168" s="112"/>
      <c r="G168" s="112"/>
      <c r="H168" s="112"/>
      <c r="I168" s="112"/>
      <c r="J168" s="112"/>
      <c r="K168" s="112"/>
    </row>
    <row r="169" spans="1:15" x14ac:dyDescent="0.25">
      <c r="A169" s="112"/>
      <c r="B169" s="112"/>
      <c r="E169" s="112"/>
      <c r="F169" s="112"/>
      <c r="G169" s="112"/>
      <c r="H169" s="112"/>
      <c r="I169" s="112"/>
      <c r="J169" s="112"/>
      <c r="K169" s="112"/>
    </row>
    <row r="170" spans="1:15" x14ac:dyDescent="0.25">
      <c r="A170" s="112"/>
      <c r="B170" s="112"/>
      <c r="C170" s="112"/>
      <c r="E170" s="112"/>
      <c r="F170" s="112"/>
      <c r="G170" s="112"/>
      <c r="H170" s="112"/>
      <c r="I170" s="112"/>
      <c r="J170" s="112"/>
      <c r="K170" s="112"/>
    </row>
    <row r="171" spans="1:15" x14ac:dyDescent="0.25">
      <c r="A171" s="105" t="s">
        <v>112</v>
      </c>
      <c r="B171" s="105" t="s">
        <v>113</v>
      </c>
      <c r="E171" s="105" t="s">
        <v>114</v>
      </c>
      <c r="H171" s="105" t="s">
        <v>115</v>
      </c>
      <c r="K171" s="105" t="s">
        <v>116</v>
      </c>
      <c r="N171" s="105" t="s">
        <v>260</v>
      </c>
    </row>
    <row r="172" spans="1:15" ht="38.25" x14ac:dyDescent="0.25">
      <c r="A172" s="108" t="s">
        <v>87</v>
      </c>
      <c r="B172" s="114" t="s">
        <v>522</v>
      </c>
      <c r="C172" s="117" t="b">
        <v>1</v>
      </c>
      <c r="E172" s="114" t="s">
        <v>340</v>
      </c>
      <c r="F172" s="117" t="b">
        <v>1</v>
      </c>
      <c r="H172" s="114" t="s">
        <v>340</v>
      </c>
      <c r="I172" s="117" t="b">
        <v>1</v>
      </c>
      <c r="K172" s="117" t="s">
        <v>340</v>
      </c>
      <c r="L172" s="117" t="b">
        <v>1</v>
      </c>
      <c r="N172" s="117">
        <v>3</v>
      </c>
      <c r="O172" s="117" t="b">
        <v>1</v>
      </c>
    </row>
    <row r="173" spans="1:15" ht="38.25" x14ac:dyDescent="0.25">
      <c r="A173" s="112"/>
      <c r="B173" s="114" t="s">
        <v>521</v>
      </c>
      <c r="C173" s="117" t="b">
        <v>1</v>
      </c>
      <c r="E173" s="114" t="s">
        <v>78</v>
      </c>
      <c r="F173" s="117" t="b">
        <v>1</v>
      </c>
      <c r="H173" s="114" t="s">
        <v>78</v>
      </c>
      <c r="I173" s="117" t="b">
        <v>1</v>
      </c>
      <c r="J173" s="112"/>
      <c r="K173" s="117" t="s">
        <v>78</v>
      </c>
      <c r="L173" s="117" t="b">
        <v>1</v>
      </c>
      <c r="N173" s="117"/>
      <c r="O173" s="117"/>
    </row>
    <row r="174" spans="1:15" x14ac:dyDescent="0.25">
      <c r="A174" s="112"/>
      <c r="B174" s="114"/>
      <c r="C174" s="114"/>
      <c r="E174" s="117" t="s">
        <v>81</v>
      </c>
      <c r="F174" s="117" t="b">
        <v>1</v>
      </c>
      <c r="H174" s="117" t="s">
        <v>81</v>
      </c>
      <c r="I174" s="117" t="b">
        <v>1</v>
      </c>
      <c r="J174" s="112"/>
      <c r="K174" s="117" t="s">
        <v>81</v>
      </c>
      <c r="L174" s="117" t="b">
        <v>1</v>
      </c>
      <c r="N174" s="117"/>
      <c r="O174" s="117"/>
    </row>
    <row r="175" spans="1:15" x14ac:dyDescent="0.25">
      <c r="A175" s="112"/>
      <c r="B175" s="114"/>
      <c r="C175" s="114"/>
      <c r="E175" s="117" t="s">
        <v>342</v>
      </c>
      <c r="F175" s="117" t="b">
        <v>1</v>
      </c>
      <c r="G175" s="112"/>
      <c r="H175" s="117" t="s">
        <v>342</v>
      </c>
      <c r="I175" s="117" t="b">
        <v>1</v>
      </c>
      <c r="J175" s="112"/>
      <c r="K175" s="117" t="s">
        <v>342</v>
      </c>
      <c r="L175" s="117" t="b">
        <v>1</v>
      </c>
      <c r="N175" s="117"/>
      <c r="O175" s="117"/>
    </row>
    <row r="176" spans="1:15" x14ac:dyDescent="0.25">
      <c r="A176" s="112"/>
      <c r="B176" s="114"/>
      <c r="C176" s="114"/>
      <c r="E176" s="114" t="s">
        <v>77</v>
      </c>
      <c r="F176" s="117" t="b">
        <v>1</v>
      </c>
      <c r="G176" s="112"/>
      <c r="H176" s="114" t="s">
        <v>77</v>
      </c>
      <c r="I176" s="117" t="b">
        <v>1</v>
      </c>
      <c r="J176" s="112"/>
      <c r="K176" s="114" t="s">
        <v>77</v>
      </c>
      <c r="L176" s="117" t="b">
        <v>1</v>
      </c>
      <c r="N176" s="117"/>
      <c r="O176" s="117"/>
    </row>
    <row r="177" spans="1:15" x14ac:dyDescent="0.25">
      <c r="A177" s="112"/>
      <c r="B177" s="114"/>
      <c r="C177" s="114"/>
      <c r="D177" s="112"/>
      <c r="E177" s="114" t="s">
        <v>85</v>
      </c>
      <c r="F177" s="117" t="b">
        <v>1</v>
      </c>
      <c r="G177" s="112"/>
      <c r="H177" s="114" t="s">
        <v>85</v>
      </c>
      <c r="I177" s="117" t="b">
        <v>1</v>
      </c>
      <c r="J177" s="112"/>
      <c r="K177" s="114" t="s">
        <v>236</v>
      </c>
      <c r="L177" s="117" t="b">
        <v>1</v>
      </c>
      <c r="N177" s="117"/>
      <c r="O177" s="117"/>
    </row>
    <row r="178" spans="1:15" x14ac:dyDescent="0.25">
      <c r="A178" s="112"/>
      <c r="B178" s="114"/>
      <c r="C178" s="114"/>
      <c r="E178" s="117" t="s">
        <v>565</v>
      </c>
      <c r="F178" s="117" t="b">
        <v>1</v>
      </c>
      <c r="G178" s="112"/>
      <c r="H178" s="117" t="s">
        <v>565</v>
      </c>
      <c r="I178" s="117" t="b">
        <v>1</v>
      </c>
      <c r="J178" s="112"/>
      <c r="K178" s="117" t="s">
        <v>85</v>
      </c>
      <c r="L178" s="117" t="b">
        <v>1</v>
      </c>
      <c r="N178" s="117"/>
      <c r="O178" s="117"/>
    </row>
    <row r="179" spans="1:15" x14ac:dyDescent="0.25">
      <c r="A179" s="112"/>
      <c r="B179" s="114"/>
      <c r="C179" s="114"/>
      <c r="E179" s="114"/>
      <c r="F179" s="114"/>
      <c r="G179" s="112"/>
      <c r="H179" s="114"/>
      <c r="I179" s="114"/>
      <c r="J179" s="112"/>
      <c r="K179" s="114" t="s">
        <v>84</v>
      </c>
      <c r="L179" s="117" t="b">
        <v>1</v>
      </c>
      <c r="N179" s="117"/>
      <c r="O179" s="117"/>
    </row>
    <row r="180" spans="1:15" x14ac:dyDescent="0.25">
      <c r="A180" s="112"/>
      <c r="B180" s="114"/>
      <c r="C180" s="114"/>
      <c r="E180" s="114"/>
      <c r="F180" s="114"/>
      <c r="G180" s="112"/>
      <c r="H180" s="114"/>
      <c r="I180" s="114"/>
      <c r="J180" s="112"/>
      <c r="K180" s="114" t="s">
        <v>88</v>
      </c>
      <c r="L180" s="117" t="b">
        <v>1</v>
      </c>
      <c r="N180" s="117"/>
      <c r="O180" s="117"/>
    </row>
    <row r="181" spans="1:15" x14ac:dyDescent="0.25">
      <c r="A181" s="112"/>
      <c r="B181" s="114"/>
      <c r="C181" s="114"/>
      <c r="D181" s="112"/>
      <c r="E181" s="114"/>
      <c r="F181" s="114"/>
      <c r="G181" s="112"/>
      <c r="H181" s="114"/>
      <c r="I181" s="114"/>
      <c r="J181" s="112"/>
      <c r="K181" s="117" t="s">
        <v>565</v>
      </c>
      <c r="L181" s="117" t="b">
        <v>1</v>
      </c>
      <c r="N181" s="117"/>
      <c r="O181" s="117"/>
    </row>
    <row r="182" spans="1:15" x14ac:dyDescent="0.25">
      <c r="A182" s="112"/>
      <c r="B182" s="112"/>
      <c r="C182" s="112"/>
      <c r="D182" s="112"/>
      <c r="E182" s="112"/>
      <c r="F182" s="112"/>
      <c r="G182" s="112"/>
      <c r="H182" s="112"/>
      <c r="I182" s="112"/>
      <c r="J182" s="112"/>
    </row>
    <row r="183" spans="1:15" x14ac:dyDescent="0.25">
      <c r="A183" s="112"/>
      <c r="B183" s="112"/>
      <c r="C183" s="112"/>
      <c r="D183" s="112"/>
      <c r="E183" s="112"/>
      <c r="F183" s="112"/>
      <c r="G183" s="112"/>
      <c r="H183" s="112"/>
      <c r="I183" s="112"/>
      <c r="J183" s="112"/>
    </row>
    <row r="184" spans="1:15" x14ac:dyDescent="0.25">
      <c r="A184" s="112"/>
      <c r="B184" s="112"/>
      <c r="C184" s="112"/>
      <c r="D184" s="112"/>
      <c r="E184" s="112"/>
      <c r="F184" s="112"/>
      <c r="G184" s="112"/>
      <c r="H184" s="112"/>
      <c r="I184" s="112"/>
      <c r="J184" s="112"/>
    </row>
    <row r="185" spans="1:15" x14ac:dyDescent="0.25">
      <c r="A185" s="105" t="s">
        <v>117</v>
      </c>
      <c r="B185" s="105" t="s">
        <v>118</v>
      </c>
      <c r="D185" s="112"/>
      <c r="E185" s="105" t="s">
        <v>119</v>
      </c>
      <c r="H185" s="105" t="s">
        <v>120</v>
      </c>
      <c r="K185" s="105" t="s">
        <v>121</v>
      </c>
      <c r="N185" s="105" t="s">
        <v>259</v>
      </c>
    </row>
    <row r="186" spans="1:15" ht="38.25" x14ac:dyDescent="0.25">
      <c r="A186" s="112" t="s">
        <v>94</v>
      </c>
      <c r="B186" s="114" t="s">
        <v>523</v>
      </c>
      <c r="C186" s="117" t="b">
        <v>1</v>
      </c>
      <c r="D186" s="112"/>
      <c r="E186" s="117" t="s">
        <v>340</v>
      </c>
      <c r="F186" s="117" t="b">
        <v>1</v>
      </c>
      <c r="G186" s="112"/>
      <c r="H186" s="117" t="s">
        <v>340</v>
      </c>
      <c r="I186" s="117" t="b">
        <v>1</v>
      </c>
      <c r="K186" s="117" t="s">
        <v>340</v>
      </c>
      <c r="L186" s="117" t="b">
        <v>1</v>
      </c>
      <c r="N186" s="117">
        <v>3</v>
      </c>
      <c r="O186" s="117" t="b">
        <v>1</v>
      </c>
    </row>
    <row r="187" spans="1:15" x14ac:dyDescent="0.25">
      <c r="A187" s="112"/>
      <c r="B187" s="114"/>
      <c r="C187" s="114"/>
      <c r="D187" s="112"/>
      <c r="E187" s="117" t="s">
        <v>78</v>
      </c>
      <c r="F187" s="117" t="b">
        <v>1</v>
      </c>
      <c r="G187" s="112"/>
      <c r="H187" s="117" t="s">
        <v>78</v>
      </c>
      <c r="I187" s="117" t="b">
        <v>1</v>
      </c>
      <c r="J187" s="112"/>
      <c r="K187" s="117" t="s">
        <v>78</v>
      </c>
      <c r="L187" s="117" t="b">
        <v>1</v>
      </c>
      <c r="N187" s="117"/>
      <c r="O187" s="117"/>
    </row>
    <row r="188" spans="1:15" x14ac:dyDescent="0.25">
      <c r="A188" s="112"/>
      <c r="B188" s="114"/>
      <c r="C188" s="114"/>
      <c r="D188" s="112"/>
      <c r="E188" s="117" t="s">
        <v>81</v>
      </c>
      <c r="F188" s="117" t="b">
        <v>1</v>
      </c>
      <c r="G188" s="112"/>
      <c r="H188" s="117" t="s">
        <v>81</v>
      </c>
      <c r="I188" s="117" t="b">
        <v>1</v>
      </c>
      <c r="J188" s="112"/>
      <c r="K188" s="117" t="s">
        <v>81</v>
      </c>
      <c r="L188" s="117" t="b">
        <v>1</v>
      </c>
      <c r="N188" s="117"/>
      <c r="O188" s="117"/>
    </row>
    <row r="189" spans="1:15" x14ac:dyDescent="0.25">
      <c r="A189" s="112"/>
      <c r="B189" s="114"/>
      <c r="C189" s="114"/>
      <c r="D189" s="112"/>
      <c r="E189" s="117" t="s">
        <v>342</v>
      </c>
      <c r="F189" s="117" t="b">
        <v>1</v>
      </c>
      <c r="G189" s="112"/>
      <c r="H189" s="117" t="s">
        <v>342</v>
      </c>
      <c r="I189" s="117" t="b">
        <v>1</v>
      </c>
      <c r="J189" s="112"/>
      <c r="K189" s="117" t="s">
        <v>342</v>
      </c>
      <c r="L189" s="117" t="b">
        <v>1</v>
      </c>
      <c r="N189" s="117"/>
      <c r="O189" s="117"/>
    </row>
    <row r="190" spans="1:15" x14ac:dyDescent="0.25">
      <c r="A190" s="112"/>
      <c r="B190" s="114"/>
      <c r="C190" s="114"/>
      <c r="D190" s="112"/>
      <c r="E190" s="117" t="s">
        <v>85</v>
      </c>
      <c r="F190" s="117" t="b">
        <v>1</v>
      </c>
      <c r="G190" s="112"/>
      <c r="H190" s="117" t="s">
        <v>85</v>
      </c>
      <c r="I190" s="117" t="b">
        <v>1</v>
      </c>
      <c r="J190" s="112"/>
      <c r="K190" s="114" t="s">
        <v>236</v>
      </c>
      <c r="L190" s="117" t="b">
        <v>1</v>
      </c>
      <c r="N190" s="117"/>
      <c r="O190" s="117"/>
    </row>
    <row r="191" spans="1:15" x14ac:dyDescent="0.25">
      <c r="A191" s="112"/>
      <c r="B191" s="114"/>
      <c r="C191" s="114"/>
      <c r="D191" s="112"/>
      <c r="E191" s="117" t="s">
        <v>565</v>
      </c>
      <c r="F191" s="117" t="b">
        <v>1</v>
      </c>
      <c r="G191" s="112"/>
      <c r="H191" s="117" t="s">
        <v>565</v>
      </c>
      <c r="I191" s="117" t="b">
        <v>1</v>
      </c>
      <c r="J191" s="112"/>
      <c r="K191" s="117" t="s">
        <v>85</v>
      </c>
      <c r="L191" s="117" t="b">
        <v>1</v>
      </c>
      <c r="N191" s="117"/>
      <c r="O191" s="117"/>
    </row>
    <row r="192" spans="1:15" x14ac:dyDescent="0.25">
      <c r="A192" s="112"/>
      <c r="B192" s="114"/>
      <c r="C192" s="114"/>
      <c r="E192" s="114"/>
      <c r="F192" s="114"/>
      <c r="G192" s="112"/>
      <c r="H192" s="114"/>
      <c r="I192" s="114"/>
      <c r="J192" s="112"/>
      <c r="K192" s="114" t="s">
        <v>84</v>
      </c>
      <c r="L192" s="117" t="b">
        <v>1</v>
      </c>
      <c r="N192" s="117"/>
      <c r="O192" s="117"/>
    </row>
    <row r="193" spans="1:15" x14ac:dyDescent="0.25">
      <c r="A193" s="112"/>
      <c r="B193" s="114"/>
      <c r="C193" s="114"/>
      <c r="E193" s="114"/>
      <c r="F193" s="114"/>
      <c r="G193" s="112"/>
      <c r="H193" s="114"/>
      <c r="I193" s="114"/>
      <c r="J193" s="112"/>
      <c r="K193" s="114" t="s">
        <v>88</v>
      </c>
      <c r="L193" s="117" t="b">
        <v>1</v>
      </c>
      <c r="N193" s="117"/>
      <c r="O193" s="117"/>
    </row>
    <row r="194" spans="1:15" x14ac:dyDescent="0.25">
      <c r="A194" s="112"/>
      <c r="B194" s="114"/>
      <c r="C194" s="114"/>
      <c r="D194" s="112"/>
      <c r="E194" s="114"/>
      <c r="F194" s="114"/>
      <c r="G194" s="112"/>
      <c r="H194" s="114"/>
      <c r="I194" s="114"/>
      <c r="J194" s="112"/>
      <c r="K194" s="117" t="s">
        <v>565</v>
      </c>
      <c r="L194" s="117" t="b">
        <v>1</v>
      </c>
      <c r="N194" s="117"/>
      <c r="O194" s="117"/>
    </row>
    <row r="195" spans="1:15" x14ac:dyDescent="0.25">
      <c r="A195" s="112"/>
      <c r="B195" s="114"/>
      <c r="C195" s="114"/>
      <c r="D195" s="112"/>
      <c r="E195" s="114"/>
      <c r="F195" s="114"/>
      <c r="G195" s="112"/>
      <c r="H195" s="114"/>
      <c r="I195" s="114"/>
      <c r="J195" s="112"/>
      <c r="K195" s="117"/>
      <c r="L195" s="117"/>
      <c r="N195" s="117"/>
      <c r="O195" s="117"/>
    </row>
    <row r="196" spans="1:15" x14ac:dyDescent="0.25">
      <c r="A196" s="112"/>
      <c r="B196" s="112"/>
      <c r="C196" s="112"/>
      <c r="D196" s="112"/>
      <c r="E196" s="112"/>
      <c r="F196" s="112"/>
      <c r="G196" s="112"/>
      <c r="H196" s="112"/>
      <c r="I196" s="112"/>
      <c r="J196" s="112"/>
    </row>
    <row r="197" spans="1:15" x14ac:dyDescent="0.25">
      <c r="A197" s="112"/>
      <c r="B197" s="112"/>
      <c r="C197" s="112"/>
      <c r="D197" s="112"/>
      <c r="E197" s="112"/>
      <c r="F197" s="112"/>
      <c r="G197" s="112"/>
      <c r="H197" s="112"/>
      <c r="I197" s="112"/>
      <c r="J197" s="112"/>
    </row>
    <row r="198" spans="1:15" x14ac:dyDescent="0.25">
      <c r="A198" s="112"/>
      <c r="B198" s="112"/>
      <c r="C198" s="112"/>
      <c r="D198" s="112"/>
      <c r="E198" s="112"/>
      <c r="F198" s="112"/>
      <c r="G198" s="112"/>
      <c r="H198" s="112"/>
      <c r="I198" s="112"/>
      <c r="J198" s="112"/>
    </row>
    <row r="199" spans="1:15" x14ac:dyDescent="0.25">
      <c r="A199" s="105" t="s">
        <v>122</v>
      </c>
      <c r="B199" s="105" t="s">
        <v>123</v>
      </c>
      <c r="D199" s="112"/>
      <c r="E199" s="105" t="s">
        <v>124</v>
      </c>
      <c r="H199" s="105" t="s">
        <v>125</v>
      </c>
      <c r="K199" s="105" t="s">
        <v>126</v>
      </c>
      <c r="N199" s="105" t="s">
        <v>258</v>
      </c>
    </row>
    <row r="200" spans="1:15" ht="25.5" x14ac:dyDescent="0.25">
      <c r="A200" s="112" t="s">
        <v>97</v>
      </c>
      <c r="B200" s="114" t="s">
        <v>268</v>
      </c>
      <c r="C200" s="117" t="b">
        <v>1</v>
      </c>
      <c r="D200" s="112"/>
      <c r="E200" s="114" t="s">
        <v>340</v>
      </c>
      <c r="F200" s="114" t="b">
        <v>1</v>
      </c>
      <c r="G200" s="112"/>
      <c r="H200" s="117" t="s">
        <v>565</v>
      </c>
      <c r="I200" s="117" t="b">
        <v>1</v>
      </c>
      <c r="K200" s="117" t="s">
        <v>565</v>
      </c>
      <c r="L200" s="117" t="b">
        <v>1</v>
      </c>
      <c r="N200" s="117">
        <v>3</v>
      </c>
      <c r="O200" s="117" t="b">
        <v>1</v>
      </c>
    </row>
    <row r="201" spans="1:15" x14ac:dyDescent="0.25">
      <c r="A201" s="112"/>
      <c r="B201" s="114"/>
      <c r="C201" s="117"/>
      <c r="D201" s="112"/>
      <c r="E201" s="114" t="s">
        <v>78</v>
      </c>
      <c r="F201" s="114" t="b">
        <v>1</v>
      </c>
      <c r="G201" s="112"/>
      <c r="H201" s="117"/>
      <c r="I201" s="117"/>
      <c r="J201" s="112"/>
      <c r="K201" s="117"/>
      <c r="L201" s="117"/>
      <c r="N201" s="117"/>
      <c r="O201" s="117"/>
    </row>
    <row r="202" spans="1:15" x14ac:dyDescent="0.25">
      <c r="A202" s="112"/>
      <c r="B202" s="114"/>
      <c r="C202" s="114"/>
      <c r="D202" s="112"/>
      <c r="E202" s="114" t="s">
        <v>341</v>
      </c>
      <c r="F202" s="114" t="b">
        <v>1</v>
      </c>
      <c r="G202" s="112"/>
      <c r="H202" s="114"/>
      <c r="I202" s="114"/>
      <c r="J202" s="112"/>
      <c r="K202" s="117"/>
      <c r="L202" s="117"/>
      <c r="N202" s="117"/>
      <c r="O202" s="117"/>
    </row>
    <row r="203" spans="1:15" x14ac:dyDescent="0.25">
      <c r="A203" s="112"/>
      <c r="B203" s="114"/>
      <c r="C203" s="114"/>
      <c r="D203" s="112"/>
      <c r="E203" s="114" t="s">
        <v>81</v>
      </c>
      <c r="F203" s="114" t="b">
        <v>1</v>
      </c>
      <c r="G203" s="112"/>
      <c r="H203" s="114"/>
      <c r="I203" s="114"/>
      <c r="J203" s="112"/>
      <c r="K203" s="117"/>
      <c r="L203" s="117"/>
      <c r="N203" s="117"/>
      <c r="O203" s="117"/>
    </row>
    <row r="204" spans="1:15" x14ac:dyDescent="0.25">
      <c r="A204" s="112"/>
      <c r="B204" s="114"/>
      <c r="C204" s="114"/>
      <c r="D204" s="112"/>
      <c r="E204" s="114" t="s">
        <v>342</v>
      </c>
      <c r="F204" s="114" t="b">
        <v>1</v>
      </c>
      <c r="G204" s="112"/>
      <c r="H204" s="114"/>
      <c r="I204" s="114"/>
      <c r="J204" s="112"/>
      <c r="K204" s="117"/>
      <c r="L204" s="117"/>
      <c r="N204" s="117"/>
      <c r="O204" s="117"/>
    </row>
    <row r="205" spans="1:15" x14ac:dyDescent="0.25">
      <c r="A205" s="112"/>
      <c r="B205" s="114"/>
      <c r="C205" s="114"/>
      <c r="D205" s="112"/>
      <c r="E205" s="114" t="s">
        <v>85</v>
      </c>
      <c r="F205" s="114" t="b">
        <v>1</v>
      </c>
      <c r="G205" s="112"/>
      <c r="H205" s="114"/>
      <c r="I205" s="114"/>
      <c r="J205" s="112"/>
      <c r="K205" s="117"/>
      <c r="L205" s="117"/>
      <c r="N205" s="117"/>
      <c r="O205" s="117"/>
    </row>
    <row r="206" spans="1:15" x14ac:dyDescent="0.25">
      <c r="A206" s="112"/>
      <c r="B206" s="114"/>
      <c r="C206" s="114"/>
      <c r="E206" s="114" t="s">
        <v>89</v>
      </c>
      <c r="F206" s="114" t="b">
        <v>1</v>
      </c>
      <c r="G206" s="112"/>
      <c r="H206" s="114"/>
      <c r="I206" s="114"/>
      <c r="J206" s="112"/>
      <c r="K206" s="117"/>
      <c r="L206" s="117"/>
      <c r="N206" s="117"/>
      <c r="O206" s="117"/>
    </row>
    <row r="207" spans="1:15" x14ac:dyDescent="0.25">
      <c r="A207" s="112"/>
      <c r="B207" s="114"/>
      <c r="C207" s="114"/>
      <c r="E207" s="117" t="s">
        <v>565</v>
      </c>
      <c r="F207" s="117" t="b">
        <v>1</v>
      </c>
      <c r="G207" s="112"/>
      <c r="H207" s="114"/>
      <c r="I207" s="114"/>
      <c r="J207" s="112"/>
      <c r="K207" s="117"/>
      <c r="L207" s="117"/>
      <c r="N207" s="117"/>
      <c r="O207" s="117"/>
    </row>
    <row r="208" spans="1:15" x14ac:dyDescent="0.25">
      <c r="A208" s="112"/>
      <c r="B208" s="114"/>
      <c r="C208" s="114"/>
      <c r="E208" s="114"/>
      <c r="F208" s="114"/>
      <c r="G208" s="112"/>
      <c r="H208" s="114"/>
      <c r="I208" s="114"/>
      <c r="J208" s="112"/>
      <c r="K208" s="117"/>
      <c r="L208" s="117"/>
      <c r="N208" s="117"/>
      <c r="O208" s="117"/>
    </row>
    <row r="209" spans="1:15" x14ac:dyDescent="0.25">
      <c r="A209" s="112"/>
      <c r="B209" s="114"/>
      <c r="C209" s="114"/>
      <c r="D209" s="112"/>
      <c r="E209" s="114"/>
      <c r="F209" s="114"/>
      <c r="G209" s="112"/>
      <c r="H209" s="114"/>
      <c r="I209" s="114"/>
      <c r="J209" s="112"/>
      <c r="K209" s="117"/>
      <c r="L209" s="117"/>
      <c r="N209" s="117"/>
      <c r="O209" s="117"/>
    </row>
    <row r="210" spans="1:15" x14ac:dyDescent="0.25">
      <c r="A210" s="112"/>
      <c r="B210" s="112"/>
      <c r="C210" s="112"/>
      <c r="D210" s="112"/>
      <c r="E210" s="112"/>
      <c r="F210" s="112"/>
      <c r="G210" s="112"/>
      <c r="H210" s="112"/>
      <c r="I210" s="112"/>
      <c r="J210" s="112"/>
    </row>
    <row r="211" spans="1:15" x14ac:dyDescent="0.25">
      <c r="A211" s="112"/>
      <c r="B211" s="112"/>
      <c r="C211" s="112"/>
      <c r="D211" s="112"/>
      <c r="E211" s="112"/>
      <c r="F211" s="112"/>
      <c r="G211" s="112"/>
      <c r="H211" s="112"/>
      <c r="I211" s="112"/>
      <c r="J211" s="112"/>
    </row>
    <row r="212" spans="1:15" x14ac:dyDescent="0.25">
      <c r="A212" s="112"/>
      <c r="B212" s="112"/>
      <c r="C212" s="112"/>
      <c r="D212" s="112"/>
      <c r="E212" s="112"/>
      <c r="F212" s="112"/>
      <c r="G212" s="112"/>
      <c r="H212" s="112"/>
      <c r="I212" s="112"/>
      <c r="J212" s="112"/>
      <c r="K212" s="112"/>
    </row>
    <row r="213" spans="1:15" x14ac:dyDescent="0.25">
      <c r="A213" s="105" t="s">
        <v>127</v>
      </c>
      <c r="B213" s="105" t="s">
        <v>128</v>
      </c>
      <c r="D213" s="112"/>
      <c r="E213" s="105" t="s">
        <v>129</v>
      </c>
      <c r="H213" s="105" t="s">
        <v>130</v>
      </c>
      <c r="K213" s="105" t="s">
        <v>131</v>
      </c>
      <c r="N213" s="105" t="s">
        <v>257</v>
      </c>
    </row>
    <row r="214" spans="1:15" ht="25.5" x14ac:dyDescent="0.25">
      <c r="A214" s="112" t="s">
        <v>92</v>
      </c>
      <c r="B214" s="114" t="s">
        <v>263</v>
      </c>
      <c r="C214" s="114" t="b">
        <v>1</v>
      </c>
      <c r="D214" s="112"/>
      <c r="E214" s="117" t="s">
        <v>340</v>
      </c>
      <c r="F214" s="114" t="b">
        <v>1</v>
      </c>
      <c r="G214" s="112"/>
      <c r="H214" s="117" t="s">
        <v>565</v>
      </c>
      <c r="I214" s="117" t="b">
        <v>1</v>
      </c>
      <c r="K214" s="117" t="s">
        <v>565</v>
      </c>
      <c r="L214" s="117" t="b">
        <v>1</v>
      </c>
      <c r="N214" s="117">
        <v>3</v>
      </c>
      <c r="O214" s="117" t="b">
        <v>1</v>
      </c>
    </row>
    <row r="215" spans="1:15" x14ac:dyDescent="0.25">
      <c r="A215" s="112"/>
      <c r="B215" s="114"/>
      <c r="C215" s="117"/>
      <c r="D215" s="112"/>
      <c r="E215" s="117" t="s">
        <v>78</v>
      </c>
      <c r="F215" s="114" t="b">
        <v>1</v>
      </c>
      <c r="G215" s="112"/>
      <c r="H215" s="117"/>
      <c r="I215" s="117"/>
      <c r="J215" s="112"/>
      <c r="K215" s="117"/>
      <c r="L215" s="117"/>
      <c r="N215" s="117"/>
      <c r="O215" s="117"/>
    </row>
    <row r="216" spans="1:15" x14ac:dyDescent="0.25">
      <c r="A216" s="112"/>
      <c r="B216" s="114"/>
      <c r="C216" s="114"/>
      <c r="D216" s="112"/>
      <c r="E216" s="117" t="s">
        <v>81</v>
      </c>
      <c r="F216" s="114" t="b">
        <v>1</v>
      </c>
      <c r="G216" s="112"/>
      <c r="H216" s="117"/>
      <c r="I216" s="114"/>
      <c r="J216" s="112"/>
      <c r="K216" s="117"/>
      <c r="L216" s="114"/>
      <c r="N216" s="117"/>
      <c r="O216" s="117"/>
    </row>
    <row r="217" spans="1:15" x14ac:dyDescent="0.25">
      <c r="A217" s="112"/>
      <c r="B217" s="114"/>
      <c r="D217" s="112"/>
      <c r="E217" s="117" t="s">
        <v>342</v>
      </c>
      <c r="F217" s="114" t="b">
        <v>1</v>
      </c>
      <c r="G217" s="112"/>
      <c r="H217" s="117"/>
      <c r="I217" s="114"/>
      <c r="J217" s="112"/>
      <c r="K217" s="117"/>
      <c r="L217" s="114"/>
      <c r="N217" s="117"/>
      <c r="O217" s="117"/>
    </row>
    <row r="218" spans="1:15" x14ac:dyDescent="0.25">
      <c r="A218" s="112"/>
      <c r="B218" s="114"/>
      <c r="C218" s="114"/>
      <c r="D218" s="112"/>
      <c r="E218" s="117" t="s">
        <v>85</v>
      </c>
      <c r="F218" s="114" t="b">
        <v>1</v>
      </c>
      <c r="G218" s="112"/>
      <c r="H218" s="114"/>
      <c r="I218" s="114"/>
      <c r="J218" s="112"/>
      <c r="K218" s="114"/>
      <c r="L218" s="114"/>
      <c r="N218" s="117"/>
      <c r="O218" s="117"/>
    </row>
    <row r="219" spans="1:15" x14ac:dyDescent="0.25">
      <c r="A219" s="112"/>
      <c r="B219" s="114"/>
      <c r="C219" s="114"/>
      <c r="D219" s="112"/>
      <c r="E219" s="117" t="s">
        <v>565</v>
      </c>
      <c r="F219" s="117" t="b">
        <v>1</v>
      </c>
      <c r="G219" s="112"/>
      <c r="H219" s="114"/>
      <c r="I219" s="114"/>
      <c r="J219" s="112"/>
      <c r="K219" s="114"/>
      <c r="L219" s="117"/>
      <c r="N219" s="117"/>
      <c r="O219" s="117"/>
    </row>
    <row r="220" spans="1:15" x14ac:dyDescent="0.25">
      <c r="A220" s="112"/>
      <c r="B220" s="114"/>
      <c r="C220" s="114"/>
      <c r="E220" s="114"/>
      <c r="F220" s="114"/>
      <c r="G220" s="112"/>
      <c r="H220" s="114"/>
      <c r="I220" s="114"/>
      <c r="J220" s="112"/>
      <c r="K220" s="114"/>
      <c r="L220" s="117"/>
      <c r="N220" s="117"/>
      <c r="O220" s="117"/>
    </row>
    <row r="221" spans="1:15" x14ac:dyDescent="0.25">
      <c r="A221" s="112"/>
      <c r="B221" s="114"/>
      <c r="C221" s="114"/>
      <c r="E221" s="114"/>
      <c r="F221" s="114"/>
      <c r="G221" s="112"/>
      <c r="H221" s="114"/>
      <c r="I221" s="114"/>
      <c r="J221" s="112"/>
      <c r="K221" s="114"/>
      <c r="L221" s="117"/>
      <c r="N221" s="117"/>
      <c r="O221" s="117"/>
    </row>
    <row r="222" spans="1:15" x14ac:dyDescent="0.25">
      <c r="A222" s="112"/>
      <c r="B222" s="114"/>
      <c r="C222" s="114"/>
      <c r="E222" s="114"/>
      <c r="F222" s="114"/>
      <c r="G222" s="112"/>
      <c r="H222" s="114"/>
      <c r="I222" s="114"/>
      <c r="J222" s="112"/>
      <c r="K222" s="114"/>
      <c r="L222" s="117"/>
      <c r="N222" s="117"/>
      <c r="O222" s="117"/>
    </row>
    <row r="223" spans="1:15" x14ac:dyDescent="0.25">
      <c r="A223" s="112"/>
      <c r="B223" s="114"/>
      <c r="C223" s="114"/>
      <c r="D223" s="112"/>
      <c r="E223" s="114"/>
      <c r="F223" s="114"/>
      <c r="G223" s="112"/>
      <c r="H223" s="114"/>
      <c r="I223" s="114"/>
      <c r="J223" s="112"/>
      <c r="K223" s="114"/>
      <c r="L223" s="117"/>
      <c r="N223" s="117"/>
      <c r="O223" s="117"/>
    </row>
    <row r="224" spans="1:15" x14ac:dyDescent="0.25">
      <c r="A224" s="112"/>
      <c r="B224" s="112"/>
      <c r="C224" s="112"/>
      <c r="D224" s="112"/>
      <c r="E224" s="112"/>
      <c r="F224" s="112"/>
      <c r="G224" s="112"/>
      <c r="H224" s="112"/>
      <c r="I224" s="112"/>
      <c r="J224" s="112"/>
    </row>
    <row r="225" spans="1:15" x14ac:dyDescent="0.25">
      <c r="A225" s="112"/>
      <c r="B225" s="112"/>
      <c r="C225" s="112"/>
      <c r="D225" s="112"/>
      <c r="E225" s="112"/>
      <c r="F225" s="112"/>
      <c r="G225" s="112"/>
      <c r="H225" s="112"/>
      <c r="I225" s="112"/>
      <c r="J225" s="112"/>
    </row>
    <row r="226" spans="1:15" x14ac:dyDescent="0.25">
      <c r="A226" s="112"/>
      <c r="B226" s="112"/>
      <c r="C226" s="112"/>
      <c r="D226" s="112"/>
      <c r="E226" s="112"/>
      <c r="F226" s="112"/>
      <c r="G226" s="112"/>
      <c r="H226" s="112"/>
      <c r="I226" s="112"/>
      <c r="J226" s="112"/>
    </row>
    <row r="227" spans="1:15" x14ac:dyDescent="0.25">
      <c r="A227" s="105" t="s">
        <v>132</v>
      </c>
      <c r="B227" s="105" t="s">
        <v>304</v>
      </c>
      <c r="D227" s="112"/>
      <c r="E227" s="105" t="s">
        <v>305</v>
      </c>
      <c r="H227" s="105" t="s">
        <v>306</v>
      </c>
      <c r="K227" s="105" t="s">
        <v>307</v>
      </c>
      <c r="N227" s="105" t="s">
        <v>308</v>
      </c>
    </row>
    <row r="228" spans="1:15" ht="25.5" x14ac:dyDescent="0.25">
      <c r="A228" s="112" t="s">
        <v>92</v>
      </c>
      <c r="B228" s="114" t="s">
        <v>263</v>
      </c>
      <c r="C228" s="114" t="b">
        <v>1</v>
      </c>
      <c r="D228" s="112"/>
      <c r="E228" s="117" t="s">
        <v>565</v>
      </c>
      <c r="F228" s="117" t="b">
        <v>1</v>
      </c>
      <c r="G228" s="112"/>
      <c r="H228" s="117" t="s">
        <v>340</v>
      </c>
      <c r="I228" s="114" t="b">
        <v>1</v>
      </c>
      <c r="K228" s="117" t="s">
        <v>565</v>
      </c>
      <c r="L228" s="117" t="b">
        <v>1</v>
      </c>
      <c r="N228" s="117">
        <v>2</v>
      </c>
      <c r="O228" s="117" t="b">
        <v>1</v>
      </c>
    </row>
    <row r="229" spans="1:15" x14ac:dyDescent="0.25">
      <c r="A229" s="112"/>
      <c r="B229" s="114"/>
      <c r="C229" s="117"/>
      <c r="D229" s="112"/>
      <c r="E229" s="117"/>
      <c r="F229" s="117"/>
      <c r="G229" s="112"/>
      <c r="H229" s="117" t="s">
        <v>78</v>
      </c>
      <c r="I229" s="114" t="b">
        <v>1</v>
      </c>
      <c r="J229" s="112"/>
      <c r="K229" s="117"/>
      <c r="L229" s="117"/>
      <c r="N229" s="117"/>
      <c r="O229" s="117"/>
    </row>
    <row r="230" spans="1:15" x14ac:dyDescent="0.25">
      <c r="A230" s="112"/>
      <c r="B230" s="114"/>
      <c r="C230" s="114"/>
      <c r="D230" s="112"/>
      <c r="E230" s="117"/>
      <c r="F230" s="114"/>
      <c r="G230" s="112"/>
      <c r="H230" s="117" t="s">
        <v>81</v>
      </c>
      <c r="I230" s="114" t="b">
        <v>1</v>
      </c>
      <c r="J230" s="112"/>
      <c r="K230" s="117"/>
      <c r="L230" s="114"/>
      <c r="N230" s="117"/>
      <c r="O230" s="117"/>
    </row>
    <row r="231" spans="1:15" x14ac:dyDescent="0.25">
      <c r="A231" s="112"/>
      <c r="B231" s="114"/>
      <c r="D231" s="112"/>
      <c r="E231" s="114"/>
      <c r="F231" s="114"/>
      <c r="G231" s="112"/>
      <c r="H231" s="117" t="s">
        <v>342</v>
      </c>
      <c r="I231" s="114" t="b">
        <v>1</v>
      </c>
      <c r="J231" s="112"/>
      <c r="K231" s="117"/>
      <c r="L231" s="114"/>
      <c r="N231" s="117"/>
      <c r="O231" s="117"/>
    </row>
    <row r="232" spans="1:15" x14ac:dyDescent="0.25">
      <c r="A232" s="112"/>
      <c r="B232" s="114"/>
      <c r="C232" s="114"/>
      <c r="D232" s="112"/>
      <c r="E232" s="114"/>
      <c r="F232" s="114"/>
      <c r="G232" s="112"/>
      <c r="H232" s="117" t="s">
        <v>85</v>
      </c>
      <c r="I232" s="114" t="b">
        <v>1</v>
      </c>
      <c r="J232" s="112"/>
      <c r="K232" s="114"/>
      <c r="L232" s="114"/>
      <c r="N232" s="117"/>
      <c r="O232" s="117"/>
    </row>
    <row r="233" spans="1:15" x14ac:dyDescent="0.25">
      <c r="A233" s="112"/>
      <c r="B233" s="114"/>
      <c r="C233" s="114"/>
      <c r="D233" s="112"/>
      <c r="E233" s="114"/>
      <c r="F233" s="114"/>
      <c r="G233" s="112"/>
      <c r="H233" s="117" t="s">
        <v>565</v>
      </c>
      <c r="I233" s="117" t="b">
        <v>1</v>
      </c>
      <c r="J233" s="112"/>
      <c r="K233" s="114"/>
      <c r="L233" s="117"/>
      <c r="N233" s="117"/>
      <c r="O233" s="117"/>
    </row>
    <row r="234" spans="1:15" x14ac:dyDescent="0.25">
      <c r="A234" s="112"/>
      <c r="B234" s="114"/>
      <c r="C234" s="114"/>
      <c r="E234" s="114"/>
      <c r="F234" s="114"/>
      <c r="G234" s="112"/>
      <c r="H234" s="114"/>
      <c r="I234" s="114"/>
      <c r="J234" s="112"/>
      <c r="K234" s="114"/>
      <c r="L234" s="117"/>
      <c r="N234" s="117"/>
      <c r="O234" s="117"/>
    </row>
    <row r="235" spans="1:15" x14ac:dyDescent="0.25">
      <c r="A235" s="112"/>
      <c r="B235" s="114"/>
      <c r="C235" s="114"/>
      <c r="E235" s="114"/>
      <c r="F235" s="114"/>
      <c r="G235" s="112"/>
      <c r="H235" s="114"/>
      <c r="I235" s="114"/>
      <c r="J235" s="112"/>
      <c r="K235" s="114"/>
      <c r="L235" s="117"/>
      <c r="N235" s="117"/>
      <c r="O235" s="117"/>
    </row>
    <row r="236" spans="1:15" x14ac:dyDescent="0.25">
      <c r="A236" s="112"/>
      <c r="B236" s="114"/>
      <c r="C236" s="114"/>
      <c r="E236" s="114"/>
      <c r="F236" s="114"/>
      <c r="G236" s="112"/>
      <c r="H236" s="114"/>
      <c r="I236" s="114"/>
      <c r="J236" s="112"/>
      <c r="K236" s="114"/>
      <c r="L236" s="117"/>
      <c r="N236" s="117"/>
      <c r="O236" s="117"/>
    </row>
    <row r="237" spans="1:15" x14ac:dyDescent="0.25">
      <c r="A237" s="112"/>
      <c r="B237" s="114"/>
      <c r="C237" s="114"/>
      <c r="D237" s="112"/>
      <c r="E237" s="114"/>
      <c r="F237" s="114"/>
      <c r="G237" s="112"/>
      <c r="H237" s="114"/>
      <c r="I237" s="114"/>
      <c r="J237" s="112"/>
      <c r="K237" s="114"/>
      <c r="L237" s="117"/>
      <c r="N237" s="117"/>
      <c r="O237" s="117"/>
    </row>
    <row r="238" spans="1:15" x14ac:dyDescent="0.25">
      <c r="A238" s="112"/>
      <c r="B238" s="112"/>
      <c r="C238" s="112"/>
      <c r="D238" s="112"/>
      <c r="E238" s="112"/>
      <c r="F238" s="112"/>
      <c r="G238" s="112"/>
      <c r="H238" s="112"/>
      <c r="I238" s="112"/>
      <c r="J238" s="112"/>
    </row>
    <row r="239" spans="1:15" x14ac:dyDescent="0.25">
      <c r="A239" s="112"/>
      <c r="B239" s="112"/>
      <c r="C239" s="112"/>
      <c r="D239" s="112"/>
      <c r="E239" s="112"/>
      <c r="F239" s="112"/>
      <c r="G239" s="112"/>
      <c r="H239" s="112"/>
      <c r="I239" s="112"/>
      <c r="J239" s="112"/>
    </row>
    <row r="240" spans="1:15" x14ac:dyDescent="0.25">
      <c r="A240" s="112"/>
      <c r="B240" s="112"/>
      <c r="C240" s="112"/>
      <c r="D240" s="112"/>
      <c r="E240" s="112"/>
      <c r="F240" s="112"/>
      <c r="G240" s="112"/>
      <c r="H240" s="112"/>
      <c r="I240" s="112"/>
      <c r="J240" s="112"/>
    </row>
    <row r="241" spans="1:15" x14ac:dyDescent="0.25">
      <c r="A241" s="105" t="s">
        <v>309</v>
      </c>
      <c r="B241" s="105" t="s">
        <v>310</v>
      </c>
      <c r="D241" s="112"/>
      <c r="E241" s="105" t="s">
        <v>311</v>
      </c>
      <c r="H241" s="105" t="s">
        <v>312</v>
      </c>
      <c r="K241" s="105" t="s">
        <v>313</v>
      </c>
      <c r="N241" s="105" t="s">
        <v>314</v>
      </c>
    </row>
    <row r="242" spans="1:15" ht="25.5" x14ac:dyDescent="0.25">
      <c r="A242" s="112" t="s">
        <v>92</v>
      </c>
      <c r="B242" s="114" t="s">
        <v>263</v>
      </c>
      <c r="C242" s="114" t="b">
        <v>1</v>
      </c>
      <c r="D242" s="112"/>
      <c r="E242" s="117" t="s">
        <v>565</v>
      </c>
      <c r="F242" s="117" t="b">
        <v>1</v>
      </c>
      <c r="G242" s="112"/>
      <c r="H242" s="117" t="s">
        <v>565</v>
      </c>
      <c r="I242" s="117" t="b">
        <v>1</v>
      </c>
      <c r="K242" s="117" t="s">
        <v>340</v>
      </c>
      <c r="L242" s="114" t="b">
        <v>1</v>
      </c>
      <c r="N242" s="117">
        <v>1</v>
      </c>
      <c r="O242" s="117" t="b">
        <v>1</v>
      </c>
    </row>
    <row r="243" spans="1:15" x14ac:dyDescent="0.25">
      <c r="A243" s="112"/>
      <c r="B243" s="114"/>
      <c r="C243" s="117"/>
      <c r="D243" s="112"/>
      <c r="E243" s="117"/>
      <c r="F243" s="117"/>
      <c r="G243" s="112"/>
      <c r="H243" s="117"/>
      <c r="I243" s="117"/>
      <c r="J243" s="112"/>
      <c r="K243" s="117" t="s">
        <v>78</v>
      </c>
      <c r="L243" s="114" t="b">
        <v>1</v>
      </c>
      <c r="N243" s="117"/>
      <c r="O243" s="117"/>
    </row>
    <row r="244" spans="1:15" x14ac:dyDescent="0.25">
      <c r="A244" s="112"/>
      <c r="B244" s="114"/>
      <c r="C244" s="114"/>
      <c r="D244" s="112"/>
      <c r="E244" s="117"/>
      <c r="F244" s="114"/>
      <c r="G244" s="112"/>
      <c r="H244" s="117"/>
      <c r="I244" s="114"/>
      <c r="J244" s="112"/>
      <c r="K244" s="117" t="s">
        <v>81</v>
      </c>
      <c r="L244" s="114" t="b">
        <v>1</v>
      </c>
      <c r="N244" s="117"/>
      <c r="O244" s="117"/>
    </row>
    <row r="245" spans="1:15" x14ac:dyDescent="0.25">
      <c r="A245" s="112"/>
      <c r="B245" s="114"/>
      <c r="D245" s="112"/>
      <c r="E245" s="114"/>
      <c r="F245" s="114"/>
      <c r="G245" s="112"/>
      <c r="H245" s="114"/>
      <c r="I245" s="114"/>
      <c r="J245" s="112"/>
      <c r="K245" s="117" t="s">
        <v>342</v>
      </c>
      <c r="L245" s="114" t="b">
        <v>1</v>
      </c>
      <c r="N245" s="117"/>
      <c r="O245" s="117"/>
    </row>
    <row r="246" spans="1:15" x14ac:dyDescent="0.25">
      <c r="A246" s="112"/>
      <c r="B246" s="114"/>
      <c r="C246" s="114"/>
      <c r="D246" s="112"/>
      <c r="E246" s="114"/>
      <c r="F246" s="114"/>
      <c r="G246" s="112"/>
      <c r="H246" s="114"/>
      <c r="I246" s="114"/>
      <c r="J246" s="112"/>
      <c r="K246" s="117" t="s">
        <v>85</v>
      </c>
      <c r="L246" s="114" t="b">
        <v>1</v>
      </c>
      <c r="N246" s="117"/>
      <c r="O246" s="117"/>
    </row>
    <row r="247" spans="1:15" x14ac:dyDescent="0.25">
      <c r="A247" s="112"/>
      <c r="B247" s="114"/>
      <c r="C247" s="114"/>
      <c r="D247" s="112"/>
      <c r="E247" s="114"/>
      <c r="F247" s="114"/>
      <c r="G247" s="112"/>
      <c r="H247" s="114"/>
      <c r="I247" s="114"/>
      <c r="J247" s="112"/>
      <c r="K247" s="117" t="s">
        <v>565</v>
      </c>
      <c r="L247" s="117" t="b">
        <v>1</v>
      </c>
      <c r="N247" s="117"/>
      <c r="O247" s="117"/>
    </row>
    <row r="248" spans="1:15" x14ac:dyDescent="0.25">
      <c r="A248" s="112"/>
      <c r="B248" s="114"/>
      <c r="C248" s="114"/>
      <c r="E248" s="114"/>
      <c r="F248" s="114"/>
      <c r="G248" s="112"/>
      <c r="H248" s="114"/>
      <c r="I248" s="114"/>
      <c r="J248" s="112"/>
      <c r="K248" s="114"/>
      <c r="L248" s="117"/>
      <c r="N248" s="117"/>
      <c r="O248" s="117"/>
    </row>
    <row r="249" spans="1:15" x14ac:dyDescent="0.25">
      <c r="A249" s="112"/>
      <c r="B249" s="114"/>
      <c r="C249" s="114"/>
      <c r="E249" s="114"/>
      <c r="F249" s="114"/>
      <c r="G249" s="112"/>
      <c r="H249" s="114"/>
      <c r="I249" s="114"/>
      <c r="J249" s="112"/>
      <c r="K249" s="114"/>
      <c r="L249" s="117"/>
      <c r="N249" s="117"/>
      <c r="O249" s="117"/>
    </row>
    <row r="250" spans="1:15" x14ac:dyDescent="0.25">
      <c r="A250" s="112"/>
      <c r="B250" s="114"/>
      <c r="C250" s="114"/>
      <c r="E250" s="114"/>
      <c r="F250" s="114"/>
      <c r="G250" s="112"/>
      <c r="H250" s="114"/>
      <c r="I250" s="114"/>
      <c r="J250" s="112"/>
      <c r="K250" s="114"/>
      <c r="L250" s="117"/>
      <c r="N250" s="117"/>
      <c r="O250" s="117"/>
    </row>
    <row r="251" spans="1:15" x14ac:dyDescent="0.25">
      <c r="A251" s="112"/>
      <c r="B251" s="114"/>
      <c r="C251" s="114"/>
      <c r="D251" s="112"/>
      <c r="E251" s="114"/>
      <c r="F251" s="114"/>
      <c r="G251" s="112"/>
      <c r="H251" s="114"/>
      <c r="I251" s="114"/>
      <c r="J251" s="112"/>
      <c r="K251" s="114"/>
      <c r="L251" s="117"/>
      <c r="N251" s="117"/>
      <c r="O251" s="117"/>
    </row>
    <row r="252" spans="1:15" x14ac:dyDescent="0.25">
      <c r="A252" s="112"/>
      <c r="B252" s="112"/>
      <c r="C252" s="112"/>
      <c r="D252" s="112"/>
      <c r="E252" s="112"/>
      <c r="F252" s="112"/>
      <c r="G252" s="112"/>
      <c r="H252" s="112"/>
      <c r="I252" s="112"/>
      <c r="J252" s="112"/>
    </row>
    <row r="253" spans="1:15" x14ac:dyDescent="0.25">
      <c r="A253" s="112"/>
      <c r="B253" s="112"/>
      <c r="C253" s="112"/>
      <c r="D253" s="112"/>
      <c r="E253" s="112"/>
      <c r="F253" s="112"/>
      <c r="G253" s="112"/>
      <c r="H253" s="112"/>
      <c r="I253" s="112"/>
      <c r="J253" s="112"/>
    </row>
    <row r="254" spans="1:15" x14ac:dyDescent="0.25">
      <c r="A254" s="112"/>
      <c r="B254" s="112"/>
      <c r="C254" s="112"/>
      <c r="D254" s="112"/>
      <c r="E254" s="112"/>
      <c r="F254" s="112"/>
      <c r="G254" s="112"/>
      <c r="H254" s="112"/>
      <c r="I254" s="112"/>
      <c r="J254" s="112"/>
      <c r="K254" s="112"/>
    </row>
    <row r="255" spans="1:15" x14ac:dyDescent="0.25">
      <c r="A255" s="105" t="s">
        <v>133</v>
      </c>
      <c r="B255" s="105" t="s">
        <v>134</v>
      </c>
      <c r="D255" s="112"/>
      <c r="E255" s="105" t="s">
        <v>135</v>
      </c>
      <c r="H255" s="105" t="s">
        <v>136</v>
      </c>
      <c r="K255" s="105" t="s">
        <v>137</v>
      </c>
      <c r="N255" s="105" t="s">
        <v>256</v>
      </c>
    </row>
    <row r="256" spans="1:15" ht="38.25" x14ac:dyDescent="0.25">
      <c r="A256" s="112" t="s">
        <v>266</v>
      </c>
      <c r="B256" s="114" t="s">
        <v>263</v>
      </c>
      <c r="C256" s="117" t="b">
        <v>1</v>
      </c>
      <c r="D256" s="112"/>
      <c r="E256" s="117" t="s">
        <v>340</v>
      </c>
      <c r="F256" s="117" t="b">
        <v>1</v>
      </c>
      <c r="H256" s="117" t="s">
        <v>565</v>
      </c>
      <c r="I256" s="117" t="b">
        <v>1</v>
      </c>
      <c r="K256" s="117" t="s">
        <v>565</v>
      </c>
      <c r="L256" s="117" t="b">
        <v>1</v>
      </c>
      <c r="N256" s="117">
        <v>3</v>
      </c>
      <c r="O256" s="117" t="b">
        <v>1</v>
      </c>
    </row>
    <row r="257" spans="1:15" x14ac:dyDescent="0.25">
      <c r="A257" s="112"/>
      <c r="B257" s="114"/>
      <c r="C257" s="117"/>
      <c r="D257" s="112"/>
      <c r="E257" s="117" t="s">
        <v>78</v>
      </c>
      <c r="F257" s="117" t="b">
        <v>1</v>
      </c>
      <c r="H257" s="117"/>
      <c r="I257" s="117"/>
      <c r="J257" s="112"/>
      <c r="K257" s="117"/>
      <c r="L257" s="117"/>
      <c r="N257" s="117"/>
      <c r="O257" s="117"/>
    </row>
    <row r="258" spans="1:15" x14ac:dyDescent="0.25">
      <c r="A258" s="112"/>
      <c r="B258" s="114"/>
      <c r="C258" s="117"/>
      <c r="D258" s="112"/>
      <c r="E258" s="117" t="s">
        <v>341</v>
      </c>
      <c r="F258" s="117" t="b">
        <v>1</v>
      </c>
      <c r="G258" s="112"/>
      <c r="H258" s="114"/>
      <c r="I258" s="114"/>
      <c r="J258" s="112"/>
      <c r="K258" s="114"/>
      <c r="L258" s="117"/>
      <c r="N258" s="117"/>
      <c r="O258" s="117"/>
    </row>
    <row r="259" spans="1:15" x14ac:dyDescent="0.25">
      <c r="A259" s="112"/>
      <c r="B259" s="114"/>
      <c r="C259" s="117"/>
      <c r="D259" s="112"/>
      <c r="E259" s="117" t="s">
        <v>81</v>
      </c>
      <c r="F259" s="117" t="b">
        <v>1</v>
      </c>
      <c r="G259" s="112"/>
      <c r="H259" s="114"/>
      <c r="I259" s="114"/>
      <c r="J259" s="112"/>
      <c r="K259" s="117"/>
      <c r="L259" s="117"/>
      <c r="N259" s="117"/>
      <c r="O259" s="117"/>
    </row>
    <row r="260" spans="1:15" x14ac:dyDescent="0.25">
      <c r="A260" s="112"/>
      <c r="B260" s="114"/>
      <c r="C260" s="117"/>
      <c r="D260" s="112"/>
      <c r="E260" s="117" t="s">
        <v>342</v>
      </c>
      <c r="F260" s="117" t="b">
        <v>1</v>
      </c>
      <c r="G260" s="112"/>
      <c r="H260" s="114"/>
      <c r="I260" s="114"/>
      <c r="J260" s="112"/>
      <c r="K260" s="114"/>
      <c r="L260" s="117"/>
      <c r="N260" s="117"/>
      <c r="O260" s="117"/>
    </row>
    <row r="261" spans="1:15" x14ac:dyDescent="0.25">
      <c r="A261" s="112"/>
      <c r="B261" s="114"/>
      <c r="C261" s="117"/>
      <c r="D261" s="112"/>
      <c r="E261" s="117" t="s">
        <v>85</v>
      </c>
      <c r="F261" s="117" t="b">
        <v>1</v>
      </c>
      <c r="G261" s="112"/>
      <c r="H261" s="114"/>
      <c r="I261" s="114"/>
      <c r="J261" s="112"/>
      <c r="K261" s="114"/>
      <c r="L261" s="117"/>
      <c r="N261" s="117"/>
      <c r="O261" s="117"/>
    </row>
    <row r="262" spans="1:15" x14ac:dyDescent="0.25">
      <c r="A262" s="112"/>
      <c r="B262" s="114"/>
      <c r="C262" s="117"/>
      <c r="E262" s="117" t="s">
        <v>565</v>
      </c>
      <c r="F262" s="117" t="b">
        <v>1</v>
      </c>
      <c r="G262" s="112"/>
      <c r="H262" s="114"/>
      <c r="I262" s="114"/>
      <c r="J262" s="112"/>
      <c r="K262" s="114"/>
      <c r="L262" s="117"/>
      <c r="N262" s="117"/>
      <c r="O262" s="117"/>
    </row>
    <row r="263" spans="1:15" x14ac:dyDescent="0.25">
      <c r="A263" s="112"/>
      <c r="B263" s="114"/>
      <c r="C263" s="117"/>
      <c r="E263" s="114"/>
      <c r="F263" s="114"/>
      <c r="G263" s="112"/>
      <c r="H263" s="114"/>
      <c r="I263" s="114"/>
      <c r="J263" s="112"/>
      <c r="K263" s="114"/>
      <c r="L263" s="117"/>
      <c r="N263" s="117"/>
      <c r="O263" s="117"/>
    </row>
    <row r="264" spans="1:15" x14ac:dyDescent="0.25">
      <c r="A264" s="112"/>
      <c r="B264" s="114"/>
      <c r="C264" s="117"/>
      <c r="E264" s="114"/>
      <c r="F264" s="114"/>
      <c r="G264" s="112"/>
      <c r="H264" s="114"/>
      <c r="I264" s="114"/>
      <c r="J264" s="112"/>
      <c r="K264" s="114"/>
      <c r="L264" s="117"/>
      <c r="N264" s="117"/>
      <c r="O264" s="117"/>
    </row>
    <row r="265" spans="1:15" x14ac:dyDescent="0.25">
      <c r="A265" s="112"/>
      <c r="B265" s="114"/>
      <c r="C265" s="117"/>
      <c r="E265" s="114"/>
      <c r="F265" s="114"/>
      <c r="G265" s="112"/>
      <c r="H265" s="114"/>
      <c r="I265" s="114"/>
      <c r="J265" s="112"/>
      <c r="K265" s="114"/>
      <c r="L265" s="117"/>
      <c r="N265" s="117"/>
      <c r="O265" s="117"/>
    </row>
    <row r="266" spans="1:15" x14ac:dyDescent="0.25">
      <c r="A266" s="112"/>
      <c r="B266" s="114"/>
      <c r="C266" s="117"/>
      <c r="E266" s="114"/>
      <c r="F266" s="114"/>
      <c r="G266" s="112"/>
      <c r="H266" s="114"/>
      <c r="I266" s="114"/>
      <c r="J266" s="112"/>
      <c r="K266" s="114"/>
      <c r="L266" s="117"/>
      <c r="N266" s="117"/>
      <c r="O266" s="117"/>
    </row>
    <row r="267" spans="1:15" x14ac:dyDescent="0.25">
      <c r="A267" s="112"/>
      <c r="B267" s="112"/>
      <c r="E267" s="112"/>
      <c r="F267" s="112"/>
      <c r="G267" s="112"/>
      <c r="H267" s="112"/>
      <c r="I267" s="112"/>
      <c r="J267" s="112"/>
      <c r="K267" s="112"/>
    </row>
    <row r="268" spans="1:15" x14ac:dyDescent="0.25">
      <c r="A268" s="112"/>
      <c r="B268" s="112"/>
      <c r="E268" s="112"/>
      <c r="F268" s="112"/>
      <c r="G268" s="112"/>
      <c r="H268" s="112"/>
      <c r="I268" s="112"/>
      <c r="J268" s="112"/>
      <c r="K268" s="112"/>
    </row>
    <row r="270" spans="1:15" x14ac:dyDescent="0.25">
      <c r="A270" s="105" t="s">
        <v>138</v>
      </c>
      <c r="B270" s="105" t="s">
        <v>139</v>
      </c>
      <c r="E270" s="105" t="s">
        <v>140</v>
      </c>
      <c r="H270" s="105" t="s">
        <v>141</v>
      </c>
      <c r="K270" s="105" t="s">
        <v>142</v>
      </c>
      <c r="N270" s="105" t="s">
        <v>255</v>
      </c>
    </row>
    <row r="271" spans="1:15" ht="51" x14ac:dyDescent="0.25">
      <c r="A271" s="112" t="s">
        <v>262</v>
      </c>
      <c r="B271" s="114" t="s">
        <v>1494</v>
      </c>
      <c r="C271" s="117" t="b">
        <v>1</v>
      </c>
      <c r="E271" s="117" t="s">
        <v>340</v>
      </c>
      <c r="F271" s="114" t="b">
        <v>1</v>
      </c>
      <c r="G271" s="112"/>
      <c r="H271" s="117" t="s">
        <v>340</v>
      </c>
      <c r="I271" s="114" t="b">
        <v>1</v>
      </c>
      <c r="J271" s="112"/>
      <c r="K271" s="117" t="s">
        <v>340</v>
      </c>
      <c r="L271" s="117" t="b">
        <v>1</v>
      </c>
      <c r="N271" s="117">
        <v>3</v>
      </c>
      <c r="O271" s="117" t="b">
        <v>1</v>
      </c>
    </row>
    <row r="272" spans="1:15" ht="25.5" x14ac:dyDescent="0.25">
      <c r="A272" s="112"/>
      <c r="B272" s="114" t="s">
        <v>528</v>
      </c>
      <c r="C272" s="117" t="b">
        <v>1</v>
      </c>
      <c r="E272" s="117" t="s">
        <v>78</v>
      </c>
      <c r="F272" s="114" t="b">
        <v>1</v>
      </c>
      <c r="G272" s="112"/>
      <c r="H272" s="117" t="s">
        <v>78</v>
      </c>
      <c r="I272" s="114" t="b">
        <v>1</v>
      </c>
      <c r="J272" s="112"/>
      <c r="K272" s="117" t="s">
        <v>78</v>
      </c>
      <c r="L272" s="117" t="b">
        <v>1</v>
      </c>
      <c r="N272" s="117"/>
      <c r="O272" s="117"/>
    </row>
    <row r="273" spans="1:15" ht="25.5" x14ac:dyDescent="0.25">
      <c r="B273" s="114" t="s">
        <v>529</v>
      </c>
      <c r="C273" s="117" t="b">
        <v>1</v>
      </c>
      <c r="E273" s="117" t="s">
        <v>81</v>
      </c>
      <c r="F273" s="114" t="b">
        <v>1</v>
      </c>
      <c r="H273" s="117" t="s">
        <v>81</v>
      </c>
      <c r="I273" s="114" t="b">
        <v>1</v>
      </c>
      <c r="K273" s="117" t="s">
        <v>81</v>
      </c>
      <c r="L273" s="117" t="b">
        <v>1</v>
      </c>
      <c r="N273" s="117"/>
      <c r="O273" s="117"/>
    </row>
    <row r="274" spans="1:15" ht="25.5" x14ac:dyDescent="0.25">
      <c r="B274" s="114" t="s">
        <v>525</v>
      </c>
      <c r="C274" s="117" t="b">
        <v>1</v>
      </c>
      <c r="E274" s="117" t="s">
        <v>342</v>
      </c>
      <c r="F274" s="114" t="b">
        <v>1</v>
      </c>
      <c r="H274" s="117" t="s">
        <v>342</v>
      </c>
      <c r="I274" s="114" t="b">
        <v>1</v>
      </c>
      <c r="K274" s="117" t="s">
        <v>342</v>
      </c>
      <c r="L274" s="117" t="b">
        <v>1</v>
      </c>
      <c r="N274" s="117"/>
      <c r="O274" s="117"/>
    </row>
    <row r="275" spans="1:15" ht="25.5" x14ac:dyDescent="0.25">
      <c r="B275" s="114" t="s">
        <v>526</v>
      </c>
      <c r="C275" s="117" t="b">
        <v>1</v>
      </c>
      <c r="E275" s="117" t="s">
        <v>85</v>
      </c>
      <c r="F275" s="114" t="b">
        <v>1</v>
      </c>
      <c r="H275" s="117" t="s">
        <v>85</v>
      </c>
      <c r="I275" s="114" t="b">
        <v>1</v>
      </c>
      <c r="K275" s="117" t="s">
        <v>236</v>
      </c>
      <c r="L275" s="117" t="b">
        <v>1</v>
      </c>
      <c r="N275" s="117"/>
      <c r="O275" s="117"/>
    </row>
    <row r="276" spans="1:15" ht="25.5" x14ac:dyDescent="0.25">
      <c r="B276" s="114" t="s">
        <v>524</v>
      </c>
      <c r="C276" s="117" t="b">
        <v>1</v>
      </c>
      <c r="E276" s="117" t="s">
        <v>565</v>
      </c>
      <c r="F276" s="117" t="b">
        <v>1</v>
      </c>
      <c r="H276" s="117" t="s">
        <v>565</v>
      </c>
      <c r="I276" s="117" t="b">
        <v>1</v>
      </c>
      <c r="K276" s="117" t="s">
        <v>85</v>
      </c>
      <c r="L276" s="117" t="b">
        <v>1</v>
      </c>
      <c r="N276" s="117"/>
      <c r="O276" s="117"/>
    </row>
    <row r="277" spans="1:15" ht="38.25" x14ac:dyDescent="0.25">
      <c r="B277" s="114" t="s">
        <v>512</v>
      </c>
      <c r="C277" s="117" t="b">
        <v>1</v>
      </c>
      <c r="E277" s="117"/>
      <c r="F277" s="117"/>
      <c r="H277" s="117"/>
      <c r="I277" s="117"/>
      <c r="K277" s="114" t="s">
        <v>84</v>
      </c>
      <c r="L277" s="117" t="b">
        <v>1</v>
      </c>
      <c r="N277" s="117"/>
      <c r="O277" s="117"/>
    </row>
    <row r="278" spans="1:15" ht="38.25" x14ac:dyDescent="0.25">
      <c r="B278" s="114" t="s">
        <v>532</v>
      </c>
      <c r="C278" s="117" t="b">
        <v>1</v>
      </c>
      <c r="E278" s="117"/>
      <c r="F278" s="117"/>
      <c r="H278" s="117"/>
      <c r="I278" s="117"/>
      <c r="K278" s="114" t="s">
        <v>88</v>
      </c>
      <c r="L278" s="117" t="b">
        <v>1</v>
      </c>
      <c r="N278" s="117"/>
      <c r="O278" s="117"/>
    </row>
    <row r="279" spans="1:15" ht="25.5" x14ac:dyDescent="0.25">
      <c r="B279" s="114" t="s">
        <v>527</v>
      </c>
      <c r="C279" s="117" t="b">
        <v>1</v>
      </c>
      <c r="E279" s="117"/>
      <c r="F279" s="117"/>
      <c r="H279" s="117"/>
      <c r="I279" s="117"/>
      <c r="K279" s="117" t="s">
        <v>565</v>
      </c>
      <c r="L279" s="117" t="b">
        <v>1</v>
      </c>
      <c r="N279" s="117"/>
      <c r="O279" s="117"/>
    </row>
    <row r="280" spans="1:15" x14ac:dyDescent="0.25">
      <c r="B280" s="114" t="s">
        <v>531</v>
      </c>
      <c r="C280" s="117" t="b">
        <v>1</v>
      </c>
      <c r="E280" s="117"/>
      <c r="F280" s="117"/>
      <c r="H280" s="117"/>
      <c r="I280" s="117"/>
      <c r="K280" s="117"/>
      <c r="L280" s="117"/>
      <c r="N280" s="117"/>
      <c r="O280" s="117"/>
    </row>
    <row r="281" spans="1:15" ht="25.5" x14ac:dyDescent="0.25">
      <c r="B281" s="114" t="s">
        <v>530</v>
      </c>
      <c r="C281" s="117" t="b">
        <v>1</v>
      </c>
    </row>
    <row r="282" spans="1:15" x14ac:dyDescent="0.25">
      <c r="B282" s="112"/>
    </row>
    <row r="285" spans="1:15" x14ac:dyDescent="0.25">
      <c r="A285" s="105" t="s">
        <v>200</v>
      </c>
      <c r="B285" s="105" t="s">
        <v>201</v>
      </c>
      <c r="E285" s="105" t="s">
        <v>202</v>
      </c>
      <c r="H285" s="105" t="s">
        <v>203</v>
      </c>
      <c r="K285" s="105" t="s">
        <v>204</v>
      </c>
      <c r="N285" s="105" t="s">
        <v>254</v>
      </c>
    </row>
    <row r="286" spans="1:15" ht="38.25" x14ac:dyDescent="0.25">
      <c r="A286" s="112" t="s">
        <v>80</v>
      </c>
      <c r="B286" s="114" t="s">
        <v>269</v>
      </c>
      <c r="C286" s="117" t="b">
        <v>1</v>
      </c>
      <c r="E286" s="117" t="s">
        <v>340</v>
      </c>
      <c r="F286" s="114" t="b">
        <v>1</v>
      </c>
      <c r="H286" s="117" t="s">
        <v>565</v>
      </c>
      <c r="I286" s="117" t="b">
        <v>1</v>
      </c>
      <c r="K286" s="117" t="s">
        <v>565</v>
      </c>
      <c r="L286" s="117" t="b">
        <v>1</v>
      </c>
      <c r="N286" s="117">
        <v>3</v>
      </c>
      <c r="O286" s="117" t="b">
        <v>1</v>
      </c>
    </row>
    <row r="287" spans="1:15" x14ac:dyDescent="0.25">
      <c r="A287" s="112"/>
      <c r="B287" s="114"/>
      <c r="C287" s="117"/>
      <c r="E287" s="117" t="s">
        <v>78</v>
      </c>
      <c r="F287" s="114" t="b">
        <v>1</v>
      </c>
      <c r="H287" s="117"/>
      <c r="I287" s="117"/>
      <c r="J287" s="112"/>
      <c r="K287" s="117"/>
      <c r="L287" s="117"/>
      <c r="N287" s="117"/>
      <c r="O287" s="117"/>
    </row>
    <row r="288" spans="1:15" x14ac:dyDescent="0.25">
      <c r="B288" s="117"/>
      <c r="C288" s="117"/>
      <c r="E288" s="117" t="s">
        <v>81</v>
      </c>
      <c r="F288" s="114" t="b">
        <v>1</v>
      </c>
      <c r="H288" s="117"/>
      <c r="I288" s="114"/>
      <c r="J288" s="112"/>
      <c r="K288" s="117"/>
      <c r="L288" s="117"/>
      <c r="N288" s="117"/>
      <c r="O288" s="117"/>
    </row>
    <row r="289" spans="1:15" x14ac:dyDescent="0.25">
      <c r="B289" s="117"/>
      <c r="C289" s="117"/>
      <c r="E289" s="117" t="s">
        <v>342</v>
      </c>
      <c r="F289" s="114" t="b">
        <v>1</v>
      </c>
      <c r="H289" s="117"/>
      <c r="I289" s="117"/>
      <c r="J289" s="112"/>
      <c r="K289" s="117"/>
      <c r="L289" s="117"/>
      <c r="N289" s="117"/>
      <c r="O289" s="117"/>
    </row>
    <row r="290" spans="1:15" x14ac:dyDescent="0.25">
      <c r="B290" s="117"/>
      <c r="C290" s="117"/>
      <c r="E290" s="117" t="s">
        <v>85</v>
      </c>
      <c r="F290" s="114" t="b">
        <v>1</v>
      </c>
      <c r="H290" s="114"/>
      <c r="I290" s="114"/>
      <c r="J290" s="112"/>
      <c r="K290" s="117"/>
      <c r="L290" s="117"/>
      <c r="N290" s="117"/>
      <c r="O290" s="117"/>
    </row>
    <row r="291" spans="1:15" x14ac:dyDescent="0.25">
      <c r="B291" s="117"/>
      <c r="C291" s="117"/>
      <c r="E291" s="117" t="s">
        <v>565</v>
      </c>
      <c r="F291" s="117" t="b">
        <v>1</v>
      </c>
      <c r="H291" s="114"/>
      <c r="I291" s="114"/>
      <c r="J291" s="112"/>
      <c r="K291" s="114"/>
      <c r="L291" s="117"/>
      <c r="N291" s="117"/>
      <c r="O291" s="117"/>
    </row>
    <row r="292" spans="1:15" x14ac:dyDescent="0.25">
      <c r="B292" s="117"/>
      <c r="C292" s="117"/>
      <c r="E292" s="117"/>
      <c r="F292" s="117"/>
      <c r="H292" s="114"/>
      <c r="I292" s="114"/>
      <c r="J292" s="112"/>
      <c r="K292" s="114"/>
      <c r="L292" s="117"/>
      <c r="N292" s="117"/>
      <c r="O292" s="117"/>
    </row>
    <row r="293" spans="1:15" x14ac:dyDescent="0.25">
      <c r="B293" s="117"/>
      <c r="C293" s="117"/>
      <c r="E293" s="117"/>
      <c r="F293" s="117"/>
      <c r="H293" s="114"/>
      <c r="I293" s="114"/>
      <c r="J293" s="112"/>
      <c r="K293" s="117"/>
      <c r="L293" s="117"/>
      <c r="N293" s="117"/>
      <c r="O293" s="117"/>
    </row>
    <row r="294" spans="1:15" x14ac:dyDescent="0.25">
      <c r="B294" s="117"/>
      <c r="C294" s="117"/>
      <c r="E294" s="117"/>
      <c r="F294" s="117"/>
      <c r="H294" s="114"/>
      <c r="I294" s="114"/>
      <c r="J294" s="112"/>
      <c r="K294" s="117"/>
      <c r="L294" s="117"/>
      <c r="N294" s="117"/>
      <c r="O294" s="117"/>
    </row>
    <row r="295" spans="1:15" x14ac:dyDescent="0.25">
      <c r="B295" s="117"/>
      <c r="C295" s="117"/>
      <c r="E295" s="117"/>
      <c r="F295" s="117"/>
      <c r="H295" s="114"/>
      <c r="I295" s="114"/>
      <c r="J295" s="112"/>
      <c r="K295" s="117"/>
      <c r="L295" s="117"/>
      <c r="N295" s="117"/>
      <c r="O295" s="117"/>
    </row>
    <row r="299" spans="1:15" x14ac:dyDescent="0.25">
      <c r="A299" s="105" t="s">
        <v>315</v>
      </c>
      <c r="B299" s="105" t="s">
        <v>316</v>
      </c>
      <c r="E299" s="105" t="s">
        <v>317</v>
      </c>
      <c r="H299" s="105" t="s">
        <v>318</v>
      </c>
      <c r="K299" s="105" t="s">
        <v>319</v>
      </c>
      <c r="N299" s="105" t="s">
        <v>320</v>
      </c>
    </row>
    <row r="300" spans="1:15" ht="51" x14ac:dyDescent="0.25">
      <c r="A300" s="112" t="s">
        <v>321</v>
      </c>
      <c r="B300" s="114" t="s">
        <v>269</v>
      </c>
      <c r="C300" s="117" t="b">
        <v>1</v>
      </c>
      <c r="E300" s="117" t="s">
        <v>565</v>
      </c>
      <c r="F300" s="117" t="b">
        <v>1</v>
      </c>
      <c r="H300" s="117" t="s">
        <v>340</v>
      </c>
      <c r="I300" s="114" t="b">
        <v>1</v>
      </c>
      <c r="K300" s="117" t="s">
        <v>340</v>
      </c>
      <c r="L300" s="117" t="b">
        <v>1</v>
      </c>
      <c r="N300" s="117">
        <v>2</v>
      </c>
      <c r="O300" s="117" t="b">
        <v>1</v>
      </c>
    </row>
    <row r="301" spans="1:15" x14ac:dyDescent="0.25">
      <c r="A301" s="112"/>
      <c r="B301" s="114"/>
      <c r="C301" s="117"/>
      <c r="E301" s="117"/>
      <c r="F301" s="117"/>
      <c r="H301" s="117" t="s">
        <v>78</v>
      </c>
      <c r="I301" s="114" t="b">
        <v>1</v>
      </c>
      <c r="J301" s="112"/>
      <c r="K301" s="117" t="s">
        <v>78</v>
      </c>
      <c r="L301" s="117" t="b">
        <v>1</v>
      </c>
      <c r="N301" s="117"/>
      <c r="O301" s="117"/>
    </row>
    <row r="302" spans="1:15" x14ac:dyDescent="0.25">
      <c r="B302" s="117"/>
      <c r="C302" s="117"/>
      <c r="E302" s="114"/>
      <c r="F302" s="117"/>
      <c r="H302" s="117" t="s">
        <v>81</v>
      </c>
      <c r="I302" s="114" t="b">
        <v>1</v>
      </c>
      <c r="J302" s="112"/>
      <c r="K302" s="117" t="s">
        <v>81</v>
      </c>
      <c r="L302" s="117" t="b">
        <v>1</v>
      </c>
      <c r="N302" s="117"/>
      <c r="O302" s="117"/>
    </row>
    <row r="303" spans="1:15" x14ac:dyDescent="0.25">
      <c r="B303" s="117"/>
      <c r="C303" s="117"/>
      <c r="E303" s="117"/>
      <c r="F303" s="117"/>
      <c r="H303" s="117" t="s">
        <v>342</v>
      </c>
      <c r="I303" s="114" t="b">
        <v>1</v>
      </c>
      <c r="J303" s="112"/>
      <c r="K303" s="117" t="s">
        <v>342</v>
      </c>
      <c r="L303" s="117" t="b">
        <v>1</v>
      </c>
      <c r="N303" s="117"/>
      <c r="O303" s="117"/>
    </row>
    <row r="304" spans="1:15" x14ac:dyDescent="0.25">
      <c r="B304" s="117"/>
      <c r="C304" s="117"/>
      <c r="E304" s="117"/>
      <c r="F304" s="117"/>
      <c r="H304" s="117" t="s">
        <v>85</v>
      </c>
      <c r="I304" s="114" t="b">
        <v>1</v>
      </c>
      <c r="J304" s="112"/>
      <c r="K304" s="117" t="s">
        <v>236</v>
      </c>
      <c r="L304" s="117" t="b">
        <v>1</v>
      </c>
      <c r="N304" s="117"/>
      <c r="O304" s="117"/>
    </row>
    <row r="305" spans="1:15" x14ac:dyDescent="0.25">
      <c r="B305" s="117"/>
      <c r="C305" s="117"/>
      <c r="E305" s="117"/>
      <c r="F305" s="117"/>
      <c r="H305" s="117" t="s">
        <v>565</v>
      </c>
      <c r="I305" s="117" t="b">
        <v>1</v>
      </c>
      <c r="J305" s="112"/>
      <c r="K305" s="117" t="s">
        <v>85</v>
      </c>
      <c r="L305" s="117" t="b">
        <v>1</v>
      </c>
      <c r="N305" s="117"/>
      <c r="O305" s="117"/>
    </row>
    <row r="306" spans="1:15" x14ac:dyDescent="0.25">
      <c r="B306" s="117"/>
      <c r="C306" s="117"/>
      <c r="E306" s="117"/>
      <c r="F306" s="117"/>
      <c r="H306" s="114"/>
      <c r="I306" s="114"/>
      <c r="J306" s="112"/>
      <c r="K306" s="114" t="s">
        <v>84</v>
      </c>
      <c r="L306" s="117" t="b">
        <v>1</v>
      </c>
      <c r="N306" s="117"/>
      <c r="O306" s="117"/>
    </row>
    <row r="307" spans="1:15" x14ac:dyDescent="0.25">
      <c r="B307" s="117"/>
      <c r="C307" s="117"/>
      <c r="E307" s="117"/>
      <c r="F307" s="117"/>
      <c r="H307" s="114"/>
      <c r="I307" s="114"/>
      <c r="J307" s="112"/>
      <c r="K307" s="114" t="s">
        <v>88</v>
      </c>
      <c r="L307" s="117" t="b">
        <v>1</v>
      </c>
      <c r="N307" s="117"/>
      <c r="O307" s="117"/>
    </row>
    <row r="308" spans="1:15" x14ac:dyDescent="0.25">
      <c r="B308" s="117"/>
      <c r="C308" s="117"/>
      <c r="E308" s="117"/>
      <c r="F308" s="117"/>
      <c r="H308" s="114"/>
      <c r="I308" s="114"/>
      <c r="J308" s="112"/>
      <c r="K308" s="117" t="s">
        <v>565</v>
      </c>
      <c r="L308" s="117" t="b">
        <v>1</v>
      </c>
      <c r="N308" s="117"/>
      <c r="O308" s="117"/>
    </row>
    <row r="309" spans="1:15" x14ac:dyDescent="0.25">
      <c r="B309" s="117"/>
      <c r="C309" s="117"/>
      <c r="E309" s="117"/>
      <c r="F309" s="117"/>
      <c r="H309" s="114"/>
      <c r="I309" s="114"/>
      <c r="J309" s="112"/>
      <c r="K309" s="117"/>
      <c r="L309" s="117"/>
      <c r="N309" s="117"/>
      <c r="O309" s="117"/>
    </row>
    <row r="313" spans="1:15" x14ac:dyDescent="0.25">
      <c r="A313" s="105" t="s">
        <v>222</v>
      </c>
      <c r="B313" s="105" t="s">
        <v>223</v>
      </c>
      <c r="E313" s="105" t="s">
        <v>228</v>
      </c>
      <c r="H313" s="105" t="s">
        <v>229</v>
      </c>
      <c r="K313" s="105" t="s">
        <v>230</v>
      </c>
      <c r="N313" s="105" t="s">
        <v>253</v>
      </c>
    </row>
    <row r="314" spans="1:15" ht="38.25" x14ac:dyDescent="0.25">
      <c r="A314" s="112" t="s">
        <v>277</v>
      </c>
      <c r="B314" s="114" t="s">
        <v>533</v>
      </c>
      <c r="C314" s="117" t="b">
        <v>1</v>
      </c>
      <c r="E314" s="117" t="s">
        <v>565</v>
      </c>
      <c r="F314" s="117" t="b">
        <v>1</v>
      </c>
      <c r="H314" s="114" t="s">
        <v>197</v>
      </c>
      <c r="I314" s="117" t="b">
        <v>1</v>
      </c>
      <c r="K314" s="117" t="s">
        <v>565</v>
      </c>
      <c r="L314" s="117" t="b">
        <v>1</v>
      </c>
      <c r="N314" s="117">
        <v>3</v>
      </c>
      <c r="O314" s="117" t="b">
        <v>1</v>
      </c>
    </row>
    <row r="315" spans="1:15" ht="38.25" x14ac:dyDescent="0.25">
      <c r="A315" s="112"/>
      <c r="B315" s="114"/>
      <c r="C315" s="117"/>
      <c r="E315" s="117"/>
      <c r="F315" s="117"/>
      <c r="H315" s="114" t="s">
        <v>198</v>
      </c>
      <c r="I315" s="114" t="b">
        <v>1</v>
      </c>
      <c r="J315" s="112"/>
      <c r="K315" s="117"/>
      <c r="L315" s="117"/>
      <c r="N315" s="117"/>
      <c r="O315" s="117"/>
    </row>
    <row r="316" spans="1:15" ht="38.25" x14ac:dyDescent="0.25">
      <c r="B316" s="117"/>
      <c r="C316" s="117"/>
      <c r="E316" s="114"/>
      <c r="F316" s="117"/>
      <c r="H316" s="114" t="s">
        <v>199</v>
      </c>
      <c r="I316" s="114" t="b">
        <v>1</v>
      </c>
      <c r="J316" s="112"/>
      <c r="K316" s="117"/>
      <c r="L316" s="117"/>
      <c r="N316" s="117"/>
      <c r="O316" s="117"/>
    </row>
    <row r="317" spans="1:15" x14ac:dyDescent="0.25">
      <c r="B317" s="117"/>
      <c r="C317" s="117"/>
      <c r="E317" s="117"/>
      <c r="F317" s="117"/>
      <c r="H317" s="117" t="s">
        <v>565</v>
      </c>
      <c r="I317" s="117" t="b">
        <v>1</v>
      </c>
      <c r="J317" s="112"/>
      <c r="K317" s="117"/>
      <c r="L317" s="117"/>
      <c r="N317" s="117"/>
      <c r="O317" s="117"/>
    </row>
    <row r="318" spans="1:15" x14ac:dyDescent="0.25">
      <c r="B318" s="117"/>
      <c r="C318" s="117"/>
      <c r="E318" s="117"/>
      <c r="F318" s="117"/>
      <c r="H318" s="114"/>
      <c r="I318" s="114"/>
      <c r="J318" s="112"/>
      <c r="K318" s="117"/>
      <c r="L318" s="117"/>
      <c r="N318" s="117"/>
      <c r="O318" s="117"/>
    </row>
    <row r="319" spans="1:15" x14ac:dyDescent="0.25">
      <c r="B319" s="117"/>
      <c r="C319" s="117"/>
      <c r="E319" s="117"/>
      <c r="F319" s="117"/>
      <c r="H319" s="114"/>
      <c r="I319" s="114"/>
      <c r="J319" s="112"/>
      <c r="K319" s="117"/>
      <c r="L319" s="117"/>
      <c r="N319" s="117"/>
      <c r="O319" s="117"/>
    </row>
    <row r="320" spans="1:15" x14ac:dyDescent="0.25">
      <c r="B320" s="117"/>
      <c r="C320" s="117"/>
      <c r="E320" s="117"/>
      <c r="F320" s="117"/>
      <c r="H320" s="114"/>
      <c r="I320" s="114"/>
      <c r="J320" s="112"/>
      <c r="K320" s="117"/>
      <c r="L320" s="117"/>
      <c r="N320" s="117"/>
      <c r="O320" s="117"/>
    </row>
    <row r="321" spans="1:15" x14ac:dyDescent="0.25">
      <c r="B321" s="117"/>
      <c r="C321" s="117"/>
      <c r="E321" s="117"/>
      <c r="F321" s="117"/>
      <c r="H321" s="114"/>
      <c r="I321" s="114"/>
      <c r="J321" s="112"/>
      <c r="K321" s="117"/>
      <c r="L321" s="117"/>
      <c r="N321" s="117"/>
      <c r="O321" s="117"/>
    </row>
    <row r="322" spans="1:15" x14ac:dyDescent="0.25">
      <c r="B322" s="117"/>
      <c r="C322" s="117"/>
      <c r="E322" s="117"/>
      <c r="F322" s="117"/>
      <c r="H322" s="114"/>
      <c r="I322" s="114"/>
      <c r="J322" s="112"/>
      <c r="K322" s="117"/>
      <c r="L322" s="117"/>
      <c r="N322" s="117"/>
      <c r="O322" s="117"/>
    </row>
    <row r="323" spans="1:15" x14ac:dyDescent="0.25">
      <c r="B323" s="117"/>
      <c r="C323" s="117"/>
      <c r="E323" s="117"/>
      <c r="F323" s="117"/>
      <c r="H323" s="114"/>
      <c r="I323" s="114"/>
      <c r="J323" s="112"/>
      <c r="K323" s="117"/>
      <c r="L323" s="117"/>
      <c r="N323" s="117"/>
      <c r="O323" s="117"/>
    </row>
    <row r="327" spans="1:15" x14ac:dyDescent="0.25">
      <c r="A327" s="105" t="s">
        <v>226</v>
      </c>
      <c r="B327" s="105" t="s">
        <v>227</v>
      </c>
      <c r="E327" s="105" t="s">
        <v>231</v>
      </c>
      <c r="H327" s="105" t="s">
        <v>232</v>
      </c>
      <c r="K327" s="105" t="s">
        <v>233</v>
      </c>
      <c r="N327" s="105" t="s">
        <v>252</v>
      </c>
    </row>
    <row r="328" spans="1:15" ht="38.25" x14ac:dyDescent="0.25">
      <c r="A328" s="112" t="s">
        <v>196</v>
      </c>
      <c r="B328" s="114" t="s">
        <v>493</v>
      </c>
      <c r="C328" s="117" t="b">
        <v>1</v>
      </c>
      <c r="E328" s="117" t="s">
        <v>340</v>
      </c>
      <c r="F328" s="114" t="b">
        <v>1</v>
      </c>
      <c r="H328" s="117" t="s">
        <v>340</v>
      </c>
      <c r="I328" s="114" t="b">
        <v>1</v>
      </c>
      <c r="K328" s="117" t="s">
        <v>340</v>
      </c>
      <c r="L328" s="117" t="b">
        <v>1</v>
      </c>
      <c r="N328" s="117">
        <v>3</v>
      </c>
      <c r="O328" s="117" t="b">
        <v>1</v>
      </c>
    </row>
    <row r="329" spans="1:15" x14ac:dyDescent="0.25">
      <c r="A329" s="112"/>
      <c r="B329" s="114"/>
      <c r="C329" s="117"/>
      <c r="E329" s="117" t="s">
        <v>78</v>
      </c>
      <c r="F329" s="114" t="b">
        <v>1</v>
      </c>
      <c r="H329" s="117" t="s">
        <v>78</v>
      </c>
      <c r="I329" s="114" t="b">
        <v>1</v>
      </c>
      <c r="J329" s="112"/>
      <c r="K329" s="117" t="s">
        <v>78</v>
      </c>
      <c r="L329" s="117" t="b">
        <v>1</v>
      </c>
      <c r="N329" s="117"/>
      <c r="O329" s="117"/>
    </row>
    <row r="330" spans="1:15" x14ac:dyDescent="0.25">
      <c r="B330" s="114"/>
      <c r="C330" s="117"/>
      <c r="E330" s="117" t="s">
        <v>81</v>
      </c>
      <c r="F330" s="114" t="b">
        <v>1</v>
      </c>
      <c r="H330" s="117" t="s">
        <v>81</v>
      </c>
      <c r="I330" s="114" t="b">
        <v>1</v>
      </c>
      <c r="J330" s="112"/>
      <c r="K330" s="117" t="s">
        <v>81</v>
      </c>
      <c r="L330" s="117" t="b">
        <v>1</v>
      </c>
      <c r="N330" s="117"/>
      <c r="O330" s="117"/>
    </row>
    <row r="331" spans="1:15" x14ac:dyDescent="0.25">
      <c r="B331" s="114"/>
      <c r="C331" s="117"/>
      <c r="E331" s="117" t="s">
        <v>342</v>
      </c>
      <c r="F331" s="114" t="b">
        <v>1</v>
      </c>
      <c r="H331" s="117" t="s">
        <v>342</v>
      </c>
      <c r="I331" s="114" t="b">
        <v>1</v>
      </c>
      <c r="J331" s="112"/>
      <c r="K331" s="117" t="s">
        <v>342</v>
      </c>
      <c r="L331" s="117" t="b">
        <v>1</v>
      </c>
      <c r="N331" s="117"/>
      <c r="O331" s="117"/>
    </row>
    <row r="332" spans="1:15" x14ac:dyDescent="0.25">
      <c r="B332" s="114"/>
      <c r="C332" s="117"/>
      <c r="E332" s="117" t="s">
        <v>85</v>
      </c>
      <c r="F332" s="114" t="b">
        <v>1</v>
      </c>
      <c r="H332" s="117" t="s">
        <v>85</v>
      </c>
      <c r="I332" s="114" t="b">
        <v>1</v>
      </c>
      <c r="J332" s="112"/>
      <c r="K332" s="117" t="s">
        <v>236</v>
      </c>
      <c r="L332" s="117" t="b">
        <v>1</v>
      </c>
      <c r="N332" s="117"/>
      <c r="O332" s="117"/>
    </row>
    <row r="333" spans="1:15" x14ac:dyDescent="0.25">
      <c r="B333" s="114"/>
      <c r="C333" s="117"/>
      <c r="E333" s="117" t="s">
        <v>565</v>
      </c>
      <c r="F333" s="117" t="b">
        <v>1</v>
      </c>
      <c r="H333" s="117" t="s">
        <v>565</v>
      </c>
      <c r="I333" s="117" t="b">
        <v>1</v>
      </c>
      <c r="J333" s="112"/>
      <c r="K333" s="117" t="s">
        <v>85</v>
      </c>
      <c r="L333" s="117" t="b">
        <v>1</v>
      </c>
      <c r="N333" s="117"/>
      <c r="O333" s="117"/>
    </row>
    <row r="334" spans="1:15" x14ac:dyDescent="0.25">
      <c r="B334" s="114"/>
      <c r="C334" s="117"/>
      <c r="E334" s="117"/>
      <c r="F334" s="117"/>
      <c r="H334" s="114"/>
      <c r="I334" s="114"/>
      <c r="J334" s="112"/>
      <c r="K334" s="114" t="s">
        <v>84</v>
      </c>
      <c r="L334" s="117" t="b">
        <v>1</v>
      </c>
      <c r="N334" s="117"/>
      <c r="O334" s="117"/>
    </row>
    <row r="335" spans="1:15" x14ac:dyDescent="0.25">
      <c r="B335" s="114"/>
      <c r="C335" s="117"/>
      <c r="E335" s="117"/>
      <c r="F335" s="117"/>
      <c r="H335" s="114"/>
      <c r="I335" s="114"/>
      <c r="J335" s="112"/>
      <c r="K335" s="114" t="s">
        <v>88</v>
      </c>
      <c r="L335" s="117" t="b">
        <v>1</v>
      </c>
      <c r="N335" s="117"/>
      <c r="O335" s="117"/>
    </row>
    <row r="336" spans="1:15" x14ac:dyDescent="0.25">
      <c r="B336" s="114"/>
      <c r="C336" s="117"/>
      <c r="E336" s="117"/>
      <c r="F336" s="117"/>
      <c r="H336" s="114"/>
      <c r="I336" s="114"/>
      <c r="J336" s="112"/>
      <c r="K336" s="117" t="s">
        <v>565</v>
      </c>
      <c r="L336" s="117" t="b">
        <v>1</v>
      </c>
      <c r="N336" s="117"/>
      <c r="O336" s="117"/>
    </row>
    <row r="337" spans="1:15" x14ac:dyDescent="0.25">
      <c r="B337" s="114"/>
      <c r="C337" s="117"/>
      <c r="E337" s="117"/>
      <c r="F337" s="117"/>
      <c r="H337" s="114"/>
      <c r="I337" s="114"/>
      <c r="J337" s="112"/>
      <c r="K337" s="117"/>
      <c r="L337" s="117"/>
      <c r="N337" s="117"/>
      <c r="O337" s="117"/>
    </row>
    <row r="338" spans="1:15" x14ac:dyDescent="0.25">
      <c r="B338" s="114"/>
      <c r="C338" s="117"/>
      <c r="E338" s="117"/>
      <c r="F338" s="117"/>
      <c r="H338" s="117"/>
      <c r="I338" s="117"/>
      <c r="K338" s="117"/>
      <c r="L338" s="117"/>
      <c r="N338" s="117"/>
      <c r="O338" s="117"/>
    </row>
    <row r="342" spans="1:15" x14ac:dyDescent="0.25">
      <c r="A342" s="105" t="s">
        <v>239</v>
      </c>
      <c r="B342" s="105" t="s">
        <v>241</v>
      </c>
      <c r="E342" s="105" t="s">
        <v>242</v>
      </c>
      <c r="H342" s="105" t="s">
        <v>243</v>
      </c>
      <c r="K342" s="105" t="s">
        <v>244</v>
      </c>
      <c r="N342" s="105" t="s">
        <v>251</v>
      </c>
    </row>
    <row r="343" spans="1:15" ht="38.25" x14ac:dyDescent="0.25">
      <c r="A343" s="112" t="s">
        <v>264</v>
      </c>
      <c r="B343" s="114" t="s">
        <v>534</v>
      </c>
      <c r="C343" s="117" t="b">
        <v>1</v>
      </c>
      <c r="E343" s="117" t="s">
        <v>565</v>
      </c>
      <c r="F343" s="117" t="b">
        <v>1</v>
      </c>
      <c r="H343" s="117" t="s">
        <v>565</v>
      </c>
      <c r="I343" s="117" t="b">
        <v>1</v>
      </c>
      <c r="K343" s="114" t="s">
        <v>84</v>
      </c>
      <c r="L343" s="117" t="b">
        <v>1</v>
      </c>
      <c r="N343" s="117">
        <v>3</v>
      </c>
      <c r="O343" s="117" t="b">
        <v>1</v>
      </c>
    </row>
    <row r="344" spans="1:15" x14ac:dyDescent="0.25">
      <c r="A344" s="112"/>
      <c r="B344" s="114"/>
      <c r="C344" s="117"/>
      <c r="E344" s="117"/>
      <c r="F344" s="117"/>
      <c r="H344" s="117"/>
      <c r="I344" s="117"/>
      <c r="J344" s="112"/>
      <c r="K344" s="114" t="s">
        <v>88</v>
      </c>
      <c r="L344" s="117" t="b">
        <v>1</v>
      </c>
      <c r="N344" s="117"/>
      <c r="O344" s="117"/>
    </row>
    <row r="345" spans="1:15" x14ac:dyDescent="0.25">
      <c r="B345" s="114"/>
      <c r="C345" s="117"/>
      <c r="E345" s="114"/>
      <c r="F345" s="117"/>
      <c r="H345" s="114"/>
      <c r="I345" s="114"/>
      <c r="J345" s="112"/>
      <c r="K345" s="117" t="s">
        <v>565</v>
      </c>
      <c r="L345" s="117" t="b">
        <v>1</v>
      </c>
      <c r="N345" s="117"/>
      <c r="O345" s="117"/>
    </row>
    <row r="346" spans="1:15" x14ac:dyDescent="0.25">
      <c r="B346" s="114"/>
      <c r="C346" s="117"/>
      <c r="E346" s="117"/>
      <c r="F346" s="117"/>
      <c r="H346" s="114"/>
      <c r="I346" s="114"/>
      <c r="J346" s="112"/>
      <c r="K346" s="117"/>
      <c r="L346" s="117"/>
      <c r="N346" s="117"/>
      <c r="O346" s="117"/>
    </row>
    <row r="347" spans="1:15" x14ac:dyDescent="0.25">
      <c r="B347" s="114"/>
      <c r="C347" s="117"/>
      <c r="E347" s="117"/>
      <c r="F347" s="117"/>
      <c r="H347" s="114"/>
      <c r="I347" s="114"/>
      <c r="J347" s="112"/>
      <c r="K347" s="117"/>
      <c r="L347" s="117"/>
      <c r="N347" s="117"/>
      <c r="O347" s="117"/>
    </row>
    <row r="348" spans="1:15" x14ac:dyDescent="0.25">
      <c r="B348" s="114"/>
      <c r="C348" s="117"/>
      <c r="E348" s="117"/>
      <c r="F348" s="117"/>
      <c r="H348" s="114"/>
      <c r="I348" s="114"/>
      <c r="J348" s="112"/>
      <c r="K348" s="117"/>
      <c r="L348" s="117"/>
      <c r="N348" s="117"/>
      <c r="O348" s="117"/>
    </row>
    <row r="349" spans="1:15" x14ac:dyDescent="0.25">
      <c r="B349" s="114"/>
      <c r="C349" s="117"/>
      <c r="E349" s="117"/>
      <c r="F349" s="117"/>
      <c r="H349" s="114"/>
      <c r="I349" s="114"/>
      <c r="J349" s="112"/>
      <c r="K349" s="117"/>
      <c r="L349" s="117"/>
      <c r="N349" s="117"/>
      <c r="O349" s="117"/>
    </row>
    <row r="350" spans="1:15" x14ac:dyDescent="0.25">
      <c r="B350" s="114"/>
      <c r="C350" s="117"/>
      <c r="E350" s="117"/>
      <c r="F350" s="117"/>
      <c r="H350" s="114"/>
      <c r="I350" s="114"/>
      <c r="J350" s="112"/>
      <c r="K350" s="117"/>
      <c r="L350" s="117"/>
      <c r="N350" s="117"/>
      <c r="O350" s="117"/>
    </row>
    <row r="351" spans="1:15" x14ac:dyDescent="0.25">
      <c r="B351" s="114"/>
      <c r="C351" s="117"/>
      <c r="E351" s="117"/>
      <c r="F351" s="117"/>
      <c r="H351" s="114"/>
      <c r="I351" s="114"/>
      <c r="J351" s="112"/>
      <c r="K351" s="117"/>
      <c r="L351" s="117"/>
      <c r="N351" s="117"/>
      <c r="O351" s="117"/>
    </row>
    <row r="352" spans="1:15" x14ac:dyDescent="0.25">
      <c r="B352" s="114"/>
      <c r="C352" s="117"/>
      <c r="E352" s="117"/>
      <c r="F352" s="117"/>
      <c r="H352" s="114"/>
      <c r="I352" s="114"/>
      <c r="J352" s="112"/>
      <c r="K352" s="117"/>
      <c r="L352" s="117"/>
      <c r="N352" s="117"/>
      <c r="O352" s="117"/>
    </row>
    <row r="353" spans="1:15" x14ac:dyDescent="0.25">
      <c r="B353" s="114"/>
      <c r="C353" s="117"/>
      <c r="E353" s="117"/>
      <c r="F353" s="117"/>
      <c r="H353" s="117"/>
      <c r="I353" s="117"/>
      <c r="K353" s="117"/>
      <c r="L353" s="117"/>
      <c r="N353" s="117"/>
      <c r="O353" s="117"/>
    </row>
    <row r="357" spans="1:15" x14ac:dyDescent="0.25">
      <c r="A357" s="105" t="s">
        <v>240</v>
      </c>
      <c r="B357" s="105" t="s">
        <v>245</v>
      </c>
      <c r="E357" s="105" t="s">
        <v>246</v>
      </c>
      <c r="H357" s="105" t="s">
        <v>247</v>
      </c>
      <c r="K357" s="105" t="s">
        <v>248</v>
      </c>
      <c r="N357" s="105" t="s">
        <v>250</v>
      </c>
    </row>
    <row r="358" spans="1:15" ht="25.5" x14ac:dyDescent="0.25">
      <c r="A358" s="112" t="s">
        <v>224</v>
      </c>
      <c r="B358" s="114" t="s">
        <v>494</v>
      </c>
      <c r="C358" s="117" t="b">
        <v>1</v>
      </c>
      <c r="E358" s="117" t="s">
        <v>340</v>
      </c>
      <c r="F358" s="114" t="b">
        <v>1</v>
      </c>
      <c r="H358" s="117" t="s">
        <v>340</v>
      </c>
      <c r="I358" s="114" t="b">
        <v>1</v>
      </c>
      <c r="K358" s="117" t="s">
        <v>340</v>
      </c>
      <c r="L358" s="117" t="b">
        <v>1</v>
      </c>
      <c r="N358" s="117">
        <v>3</v>
      </c>
      <c r="O358" s="117" t="b">
        <v>1</v>
      </c>
    </row>
    <row r="359" spans="1:15" ht="25.5" x14ac:dyDescent="0.25">
      <c r="A359" s="112"/>
      <c r="B359" s="114" t="s">
        <v>498</v>
      </c>
      <c r="C359" s="117" t="b">
        <v>1</v>
      </c>
      <c r="E359" s="117" t="s">
        <v>78</v>
      </c>
      <c r="F359" s="114" t="b">
        <v>1</v>
      </c>
      <c r="H359" s="117" t="s">
        <v>78</v>
      </c>
      <c r="I359" s="114" t="b">
        <v>1</v>
      </c>
      <c r="J359" s="112"/>
      <c r="K359" s="117" t="s">
        <v>78</v>
      </c>
      <c r="L359" s="117" t="b">
        <v>1</v>
      </c>
      <c r="N359" s="117"/>
      <c r="O359" s="117"/>
    </row>
    <row r="360" spans="1:15" ht="25.5" x14ac:dyDescent="0.25">
      <c r="B360" s="114" t="s">
        <v>499</v>
      </c>
      <c r="C360" s="117" t="b">
        <v>1</v>
      </c>
      <c r="E360" s="117" t="s">
        <v>81</v>
      </c>
      <c r="F360" s="114" t="b">
        <v>1</v>
      </c>
      <c r="H360" s="117" t="s">
        <v>81</v>
      </c>
      <c r="I360" s="114" t="b">
        <v>1</v>
      </c>
      <c r="J360" s="112"/>
      <c r="K360" s="117" t="s">
        <v>81</v>
      </c>
      <c r="L360" s="117" t="b">
        <v>1</v>
      </c>
      <c r="N360" s="117"/>
      <c r="O360" s="117"/>
    </row>
    <row r="361" spans="1:15" ht="25.5" x14ac:dyDescent="0.25">
      <c r="B361" s="114" t="s">
        <v>501</v>
      </c>
      <c r="C361" s="117" t="b">
        <v>1</v>
      </c>
      <c r="E361" s="117" t="s">
        <v>342</v>
      </c>
      <c r="F361" s="114" t="b">
        <v>1</v>
      </c>
      <c r="H361" s="117" t="s">
        <v>342</v>
      </c>
      <c r="I361" s="114" t="b">
        <v>1</v>
      </c>
      <c r="J361" s="112"/>
      <c r="K361" s="117" t="s">
        <v>342</v>
      </c>
      <c r="L361" s="117" t="b">
        <v>1</v>
      </c>
      <c r="N361" s="117"/>
      <c r="O361" s="117"/>
    </row>
    <row r="362" spans="1:15" ht="25.5" x14ac:dyDescent="0.25">
      <c r="B362" s="114" t="s">
        <v>502</v>
      </c>
      <c r="C362" s="117" t="b">
        <v>1</v>
      </c>
      <c r="E362" s="117" t="s">
        <v>85</v>
      </c>
      <c r="F362" s="114" t="b">
        <v>1</v>
      </c>
      <c r="H362" s="117" t="s">
        <v>85</v>
      </c>
      <c r="I362" s="114" t="b">
        <v>1</v>
      </c>
      <c r="J362" s="112"/>
      <c r="K362" s="114" t="s">
        <v>85</v>
      </c>
      <c r="L362" s="117" t="b">
        <v>1</v>
      </c>
      <c r="N362" s="117"/>
      <c r="O362" s="117"/>
    </row>
    <row r="363" spans="1:15" ht="25.5" x14ac:dyDescent="0.25">
      <c r="B363" s="114" t="s">
        <v>495</v>
      </c>
      <c r="C363" s="117" t="b">
        <v>1</v>
      </c>
      <c r="E363" s="117" t="s">
        <v>565</v>
      </c>
      <c r="F363" s="117" t="b">
        <v>1</v>
      </c>
      <c r="H363" s="117" t="s">
        <v>565</v>
      </c>
      <c r="I363" s="117" t="b">
        <v>1</v>
      </c>
      <c r="J363" s="112"/>
      <c r="K363" s="114" t="s">
        <v>84</v>
      </c>
      <c r="L363" s="117" t="b">
        <v>1</v>
      </c>
      <c r="N363" s="117"/>
      <c r="O363" s="117"/>
    </row>
    <row r="364" spans="1:15" ht="25.5" x14ac:dyDescent="0.25">
      <c r="B364" s="114" t="s">
        <v>496</v>
      </c>
      <c r="C364" s="117" t="b">
        <v>1</v>
      </c>
      <c r="E364" s="117"/>
      <c r="F364" s="117"/>
      <c r="H364" s="114"/>
      <c r="I364" s="114"/>
      <c r="J364" s="112"/>
      <c r="K364" s="117" t="s">
        <v>565</v>
      </c>
      <c r="L364" s="117" t="b">
        <v>1</v>
      </c>
      <c r="N364" s="117"/>
      <c r="O364" s="117"/>
    </row>
    <row r="365" spans="1:15" ht="25.5" x14ac:dyDescent="0.25">
      <c r="B365" s="114" t="s">
        <v>500</v>
      </c>
      <c r="C365" s="117" t="b">
        <v>1</v>
      </c>
      <c r="E365" s="117"/>
      <c r="F365" s="117"/>
      <c r="H365" s="114"/>
      <c r="I365" s="114"/>
      <c r="J365" s="112"/>
      <c r="K365" s="117"/>
      <c r="L365" s="117"/>
      <c r="N365" s="117"/>
      <c r="O365" s="117"/>
    </row>
    <row r="366" spans="1:15" ht="25.5" x14ac:dyDescent="0.25">
      <c r="B366" s="114" t="s">
        <v>503</v>
      </c>
      <c r="C366" s="117" t="b">
        <v>1</v>
      </c>
      <c r="E366" s="117"/>
      <c r="F366" s="117"/>
      <c r="H366" s="114"/>
      <c r="I366" s="114"/>
      <c r="J366" s="112"/>
      <c r="K366" s="117"/>
      <c r="L366" s="117"/>
      <c r="N366" s="117"/>
      <c r="O366" s="117"/>
    </row>
    <row r="367" spans="1:15" ht="38.25" x14ac:dyDescent="0.25">
      <c r="B367" s="114" t="s">
        <v>265</v>
      </c>
      <c r="C367" s="117" t="b">
        <v>1</v>
      </c>
      <c r="E367" s="117"/>
      <c r="F367" s="117"/>
      <c r="H367" s="114"/>
      <c r="I367" s="114"/>
      <c r="J367" s="112"/>
      <c r="K367" s="117"/>
      <c r="L367" s="117"/>
      <c r="N367" s="117"/>
      <c r="O367" s="117"/>
    </row>
    <row r="368" spans="1:15" ht="25.5" x14ac:dyDescent="0.25">
      <c r="B368" s="114" t="s">
        <v>225</v>
      </c>
      <c r="C368" s="117" t="b">
        <v>1</v>
      </c>
      <c r="E368" s="117"/>
      <c r="F368" s="117"/>
      <c r="H368" s="114"/>
      <c r="I368" s="114"/>
      <c r="J368" s="112"/>
      <c r="K368" s="117"/>
      <c r="L368" s="117"/>
      <c r="N368" s="117"/>
      <c r="O368" s="117"/>
    </row>
    <row r="369" spans="1:15" ht="25.5" x14ac:dyDescent="0.25">
      <c r="B369" s="114" t="s">
        <v>497</v>
      </c>
      <c r="C369" s="117" t="b">
        <v>1</v>
      </c>
      <c r="E369" s="117"/>
      <c r="F369" s="117"/>
      <c r="H369" s="117"/>
      <c r="I369" s="117"/>
      <c r="K369" s="117"/>
      <c r="L369" s="117"/>
      <c r="N369" s="117"/>
      <c r="O369" s="117"/>
    </row>
    <row r="373" spans="1:15" x14ac:dyDescent="0.25">
      <c r="A373" s="105" t="s">
        <v>278</v>
      </c>
      <c r="B373" s="105" t="s">
        <v>280</v>
      </c>
      <c r="E373" s="105" t="s">
        <v>281</v>
      </c>
      <c r="H373" s="105" t="s">
        <v>282</v>
      </c>
      <c r="K373" s="105" t="s">
        <v>283</v>
      </c>
      <c r="N373" s="105" t="s">
        <v>284</v>
      </c>
    </row>
    <row r="374" spans="1:15" ht="38.25" x14ac:dyDescent="0.25">
      <c r="A374" s="112" t="s">
        <v>234</v>
      </c>
      <c r="B374" s="114" t="s">
        <v>235</v>
      </c>
      <c r="C374" s="117" t="b">
        <v>1</v>
      </c>
      <c r="E374" s="117" t="s">
        <v>565</v>
      </c>
      <c r="F374" s="117" t="b">
        <v>1</v>
      </c>
      <c r="H374" s="117" t="s">
        <v>565</v>
      </c>
      <c r="I374" s="117" t="b">
        <v>1</v>
      </c>
      <c r="K374" s="114" t="s">
        <v>84</v>
      </c>
      <c r="L374" s="117" t="b">
        <v>1</v>
      </c>
      <c r="N374" s="117">
        <v>3</v>
      </c>
      <c r="O374" s="117" t="b">
        <v>1</v>
      </c>
    </row>
    <row r="375" spans="1:15" x14ac:dyDescent="0.25">
      <c r="A375" s="112"/>
      <c r="B375" s="114"/>
      <c r="C375" s="117"/>
      <c r="E375" s="117"/>
      <c r="F375" s="117"/>
      <c r="H375" s="117"/>
      <c r="I375" s="117"/>
      <c r="J375" s="112"/>
      <c r="K375" s="114" t="s">
        <v>88</v>
      </c>
      <c r="L375" s="117" t="b">
        <v>1</v>
      </c>
      <c r="N375" s="117"/>
      <c r="O375" s="117"/>
    </row>
    <row r="376" spans="1:15" x14ac:dyDescent="0.25">
      <c r="B376" s="114"/>
      <c r="C376" s="117"/>
      <c r="E376" s="114"/>
      <c r="F376" s="114"/>
      <c r="H376" s="114"/>
      <c r="I376" s="114"/>
      <c r="J376" s="112"/>
      <c r="K376" s="117" t="s">
        <v>565</v>
      </c>
      <c r="L376" s="117" t="b">
        <v>1</v>
      </c>
      <c r="N376" s="117"/>
      <c r="O376" s="117"/>
    </row>
    <row r="377" spans="1:15" x14ac:dyDescent="0.25">
      <c r="B377" s="114"/>
      <c r="C377" s="117"/>
      <c r="E377" s="117"/>
      <c r="F377" s="117"/>
      <c r="H377" s="114"/>
      <c r="I377" s="114"/>
      <c r="J377" s="112"/>
      <c r="K377" s="117"/>
      <c r="L377" s="117"/>
      <c r="N377" s="117"/>
      <c r="O377" s="117"/>
    </row>
    <row r="378" spans="1:15" x14ac:dyDescent="0.25">
      <c r="B378" s="114"/>
      <c r="C378" s="117"/>
      <c r="E378" s="117"/>
      <c r="F378" s="117"/>
      <c r="H378" s="114"/>
      <c r="I378" s="114"/>
      <c r="J378" s="112"/>
      <c r="K378" s="117"/>
      <c r="L378" s="117"/>
      <c r="N378" s="117"/>
      <c r="O378" s="117"/>
    </row>
    <row r="379" spans="1:15" x14ac:dyDescent="0.25">
      <c r="B379" s="114"/>
      <c r="C379" s="117"/>
      <c r="E379" s="117"/>
      <c r="F379" s="117"/>
      <c r="H379" s="114"/>
      <c r="I379" s="114"/>
      <c r="J379" s="112"/>
      <c r="K379" s="117"/>
      <c r="L379" s="117"/>
      <c r="N379" s="117"/>
      <c r="O379" s="117"/>
    </row>
    <row r="380" spans="1:15" x14ac:dyDescent="0.25">
      <c r="B380" s="114"/>
      <c r="C380" s="117"/>
      <c r="E380" s="117"/>
      <c r="F380" s="117"/>
      <c r="H380" s="114"/>
      <c r="I380" s="114"/>
      <c r="J380" s="112"/>
      <c r="K380" s="117"/>
      <c r="L380" s="117"/>
      <c r="N380" s="117"/>
      <c r="O380" s="117"/>
    </row>
    <row r="381" spans="1:15" x14ac:dyDescent="0.25">
      <c r="B381" s="114"/>
      <c r="C381" s="117"/>
      <c r="E381" s="117"/>
      <c r="F381" s="117"/>
      <c r="H381" s="114"/>
      <c r="I381" s="114"/>
      <c r="J381" s="112"/>
      <c r="K381" s="117"/>
      <c r="L381" s="117"/>
      <c r="N381" s="117"/>
      <c r="O381" s="117"/>
    </row>
    <row r="382" spans="1:15" x14ac:dyDescent="0.25">
      <c r="B382" s="114"/>
      <c r="C382" s="117"/>
      <c r="E382" s="117"/>
      <c r="F382" s="117"/>
      <c r="H382" s="114"/>
      <c r="I382" s="114"/>
      <c r="J382" s="112"/>
      <c r="K382" s="117"/>
      <c r="L382" s="117"/>
      <c r="N382" s="117"/>
      <c r="O382" s="117"/>
    </row>
    <row r="383" spans="1:15" x14ac:dyDescent="0.25">
      <c r="B383" s="114"/>
      <c r="C383" s="117"/>
      <c r="E383" s="117"/>
      <c r="F383" s="117"/>
      <c r="H383" s="114"/>
      <c r="I383" s="114"/>
      <c r="J383" s="112"/>
      <c r="K383" s="117"/>
      <c r="L383" s="117"/>
      <c r="N383" s="117"/>
      <c r="O383" s="117"/>
    </row>
    <row r="384" spans="1:15" x14ac:dyDescent="0.25">
      <c r="B384" s="114"/>
      <c r="C384" s="117"/>
      <c r="E384" s="117"/>
      <c r="F384" s="117"/>
      <c r="H384" s="117"/>
      <c r="I384" s="117"/>
      <c r="K384" s="117"/>
      <c r="L384" s="117"/>
      <c r="N384" s="117"/>
      <c r="O384" s="117"/>
    </row>
    <row r="388" spans="1:15" x14ac:dyDescent="0.25">
      <c r="A388" s="105" t="s">
        <v>279</v>
      </c>
      <c r="B388" s="105" t="s">
        <v>285</v>
      </c>
      <c r="E388" s="105" t="s">
        <v>286</v>
      </c>
      <c r="H388" s="105" t="s">
        <v>287</v>
      </c>
      <c r="K388" s="105" t="s">
        <v>288</v>
      </c>
      <c r="N388" s="105" t="s">
        <v>289</v>
      </c>
    </row>
    <row r="389" spans="1:15" ht="63.75" x14ac:dyDescent="0.25">
      <c r="A389" s="112" t="s">
        <v>238</v>
      </c>
      <c r="B389" s="114" t="s">
        <v>504</v>
      </c>
      <c r="C389" s="117" t="b">
        <v>1</v>
      </c>
      <c r="E389" s="117" t="s">
        <v>340</v>
      </c>
      <c r="F389" s="114" t="b">
        <v>1</v>
      </c>
      <c r="H389" s="117" t="s">
        <v>340</v>
      </c>
      <c r="I389" s="114" t="b">
        <v>1</v>
      </c>
      <c r="K389" s="114" t="s">
        <v>78</v>
      </c>
      <c r="L389" s="114" t="b">
        <v>1</v>
      </c>
      <c r="N389" s="117">
        <v>3</v>
      </c>
      <c r="O389" s="117" t="b">
        <v>1</v>
      </c>
    </row>
    <row r="390" spans="1:15" x14ac:dyDescent="0.25">
      <c r="A390" s="112"/>
      <c r="B390" s="114"/>
      <c r="C390" s="117"/>
      <c r="E390" s="117" t="s">
        <v>78</v>
      </c>
      <c r="F390" s="114" t="b">
        <v>1</v>
      </c>
      <c r="H390" s="117" t="s">
        <v>78</v>
      </c>
      <c r="I390" s="114" t="b">
        <v>1</v>
      </c>
      <c r="J390" s="112"/>
      <c r="K390" s="114" t="s">
        <v>81</v>
      </c>
      <c r="L390" s="114" t="b">
        <v>1</v>
      </c>
      <c r="N390" s="117"/>
      <c r="O390" s="117"/>
    </row>
    <row r="391" spans="1:15" x14ac:dyDescent="0.25">
      <c r="B391" s="114"/>
      <c r="C391" s="117"/>
      <c r="E391" s="117" t="s">
        <v>81</v>
      </c>
      <c r="F391" s="114" t="b">
        <v>1</v>
      </c>
      <c r="H391" s="117" t="s">
        <v>81</v>
      </c>
      <c r="I391" s="114" t="b">
        <v>1</v>
      </c>
      <c r="J391" s="112"/>
      <c r="K391" s="114" t="s">
        <v>342</v>
      </c>
      <c r="L391" s="114" t="b">
        <v>1</v>
      </c>
      <c r="N391" s="117"/>
      <c r="O391" s="117"/>
    </row>
    <row r="392" spans="1:15" x14ac:dyDescent="0.25">
      <c r="B392" s="114"/>
      <c r="C392" s="117"/>
      <c r="E392" s="117" t="s">
        <v>342</v>
      </c>
      <c r="F392" s="114" t="b">
        <v>1</v>
      </c>
      <c r="H392" s="117" t="s">
        <v>342</v>
      </c>
      <c r="I392" s="114" t="b">
        <v>1</v>
      </c>
      <c r="J392" s="112"/>
      <c r="K392" s="114" t="s">
        <v>85</v>
      </c>
      <c r="L392" s="114" t="b">
        <v>1</v>
      </c>
      <c r="N392" s="117"/>
      <c r="O392" s="117"/>
    </row>
    <row r="393" spans="1:15" x14ac:dyDescent="0.25">
      <c r="B393" s="114"/>
      <c r="C393" s="117"/>
      <c r="E393" s="117" t="s">
        <v>85</v>
      </c>
      <c r="F393" s="114" t="b">
        <v>1</v>
      </c>
      <c r="H393" s="117" t="s">
        <v>85</v>
      </c>
      <c r="I393" s="114" t="b">
        <v>1</v>
      </c>
      <c r="J393" s="112"/>
      <c r="K393" s="117" t="s">
        <v>565</v>
      </c>
      <c r="L393" s="117" t="b">
        <v>1</v>
      </c>
      <c r="N393" s="117"/>
      <c r="O393" s="117"/>
    </row>
    <row r="394" spans="1:15" x14ac:dyDescent="0.25">
      <c r="B394" s="114"/>
      <c r="C394" s="117"/>
      <c r="E394" s="117" t="s">
        <v>565</v>
      </c>
      <c r="F394" s="117" t="b">
        <v>1</v>
      </c>
      <c r="H394" s="117" t="s">
        <v>565</v>
      </c>
      <c r="I394" s="117" t="b">
        <v>1</v>
      </c>
      <c r="J394" s="112"/>
      <c r="K394" s="117"/>
      <c r="L394" s="117"/>
      <c r="N394" s="117"/>
      <c r="O394" s="117"/>
    </row>
    <row r="395" spans="1:15" x14ac:dyDescent="0.25">
      <c r="B395" s="114"/>
      <c r="C395" s="117"/>
      <c r="E395" s="117"/>
      <c r="F395" s="117"/>
      <c r="H395" s="114"/>
      <c r="I395" s="114"/>
      <c r="J395" s="112"/>
      <c r="K395" s="117"/>
      <c r="L395" s="117"/>
      <c r="N395" s="117"/>
      <c r="O395" s="117"/>
    </row>
    <row r="396" spans="1:15" x14ac:dyDescent="0.25">
      <c r="B396" s="114"/>
      <c r="C396" s="117"/>
      <c r="E396" s="117"/>
      <c r="F396" s="117"/>
      <c r="H396" s="114"/>
      <c r="I396" s="114"/>
      <c r="J396" s="112"/>
      <c r="K396" s="117"/>
      <c r="L396" s="117"/>
      <c r="N396" s="117"/>
      <c r="O396" s="117"/>
    </row>
    <row r="397" spans="1:15" x14ac:dyDescent="0.25">
      <c r="B397" s="114"/>
      <c r="C397" s="117"/>
      <c r="E397" s="117"/>
      <c r="F397" s="117"/>
      <c r="H397" s="114"/>
      <c r="I397" s="114"/>
      <c r="J397" s="112"/>
      <c r="K397" s="117"/>
      <c r="L397" s="117"/>
      <c r="N397" s="117"/>
      <c r="O397" s="117"/>
    </row>
    <row r="398" spans="1:15" x14ac:dyDescent="0.25">
      <c r="B398" s="114"/>
      <c r="C398" s="117"/>
      <c r="E398" s="117"/>
      <c r="F398" s="117"/>
      <c r="H398" s="114"/>
      <c r="I398" s="114"/>
      <c r="J398" s="112"/>
      <c r="K398" s="117"/>
      <c r="L398" s="117"/>
      <c r="N398" s="117"/>
      <c r="O398" s="117"/>
    </row>
    <row r="399" spans="1:15" x14ac:dyDescent="0.25">
      <c r="B399" s="114"/>
      <c r="C399" s="117"/>
      <c r="E399" s="117"/>
      <c r="F399" s="117"/>
      <c r="H399" s="117"/>
      <c r="I399" s="117"/>
      <c r="K399" s="117"/>
      <c r="L399" s="117"/>
      <c r="N399" s="117"/>
      <c r="O399" s="117"/>
    </row>
    <row r="403" spans="1:15" x14ac:dyDescent="0.25">
      <c r="A403" s="105" t="s">
        <v>295</v>
      </c>
      <c r="B403" s="105" t="s">
        <v>290</v>
      </c>
      <c r="E403" s="105" t="s">
        <v>291</v>
      </c>
      <c r="H403" s="105" t="s">
        <v>292</v>
      </c>
      <c r="K403" s="105" t="s">
        <v>293</v>
      </c>
      <c r="N403" s="105" t="s">
        <v>294</v>
      </c>
    </row>
    <row r="404" spans="1:15" ht="51" x14ac:dyDescent="0.25">
      <c r="A404" s="112" t="s">
        <v>323</v>
      </c>
      <c r="B404" s="114" t="s">
        <v>505</v>
      </c>
      <c r="C404" s="117" t="b">
        <v>1</v>
      </c>
      <c r="E404" s="117" t="s">
        <v>565</v>
      </c>
      <c r="F404" s="117" t="b">
        <v>1</v>
      </c>
      <c r="H404" s="114" t="s">
        <v>236</v>
      </c>
      <c r="I404" s="114" t="b">
        <v>1</v>
      </c>
      <c r="K404" s="114" t="s">
        <v>236</v>
      </c>
      <c r="L404" s="114" t="b">
        <v>1</v>
      </c>
      <c r="N404" s="117">
        <v>3</v>
      </c>
      <c r="O404" s="117" t="b">
        <v>1</v>
      </c>
    </row>
    <row r="405" spans="1:15" ht="38.25" x14ac:dyDescent="0.25">
      <c r="A405" s="112"/>
      <c r="B405" s="114" t="s">
        <v>1867</v>
      </c>
      <c r="C405" s="117" t="b">
        <v>1</v>
      </c>
      <c r="E405" s="117"/>
      <c r="F405" s="117"/>
      <c r="H405" s="114" t="s">
        <v>84</v>
      </c>
      <c r="I405" s="114" t="b">
        <v>1</v>
      </c>
      <c r="J405" s="112"/>
      <c r="K405" s="114" t="s">
        <v>84</v>
      </c>
      <c r="L405" s="114" t="b">
        <v>1</v>
      </c>
      <c r="N405" s="117"/>
      <c r="O405" s="117"/>
    </row>
    <row r="406" spans="1:15" x14ac:dyDescent="0.25">
      <c r="B406" s="114"/>
      <c r="C406" s="117"/>
      <c r="E406" s="114"/>
      <c r="F406" s="114"/>
      <c r="H406" s="114" t="s">
        <v>88</v>
      </c>
      <c r="I406" s="114" t="b">
        <v>1</v>
      </c>
      <c r="J406" s="112"/>
      <c r="K406" s="114" t="s">
        <v>88</v>
      </c>
      <c r="L406" s="114" t="b">
        <v>1</v>
      </c>
      <c r="N406" s="117"/>
      <c r="O406" s="117"/>
    </row>
    <row r="407" spans="1:15" x14ac:dyDescent="0.25">
      <c r="B407" s="114"/>
      <c r="C407" s="117"/>
      <c r="E407" s="117"/>
      <c r="F407" s="117"/>
      <c r="H407" s="117" t="s">
        <v>565</v>
      </c>
      <c r="I407" s="117" t="b">
        <v>1</v>
      </c>
      <c r="J407" s="112"/>
      <c r="K407" s="117" t="s">
        <v>565</v>
      </c>
      <c r="L407" s="117" t="b">
        <v>1</v>
      </c>
      <c r="N407" s="117"/>
      <c r="O407" s="117"/>
    </row>
    <row r="408" spans="1:15" x14ac:dyDescent="0.25">
      <c r="B408" s="114"/>
      <c r="C408" s="117"/>
      <c r="E408" s="117"/>
      <c r="F408" s="117"/>
      <c r="H408" s="114"/>
      <c r="I408" s="114"/>
      <c r="J408" s="112"/>
      <c r="K408" s="117"/>
      <c r="L408" s="117"/>
      <c r="N408" s="117"/>
      <c r="O408" s="117"/>
    </row>
    <row r="409" spans="1:15" x14ac:dyDescent="0.25">
      <c r="B409" s="114"/>
      <c r="C409" s="117"/>
      <c r="E409" s="117"/>
      <c r="F409" s="117"/>
      <c r="H409" s="114"/>
      <c r="I409" s="114"/>
      <c r="J409" s="112"/>
      <c r="K409" s="117"/>
      <c r="L409" s="117"/>
      <c r="N409" s="117"/>
      <c r="O409" s="117"/>
    </row>
    <row r="410" spans="1:15" x14ac:dyDescent="0.25">
      <c r="B410" s="114"/>
      <c r="C410" s="117"/>
      <c r="E410" s="117"/>
      <c r="F410" s="117"/>
      <c r="H410" s="114"/>
      <c r="I410" s="114"/>
      <c r="J410" s="112"/>
      <c r="K410" s="117"/>
      <c r="L410" s="117"/>
      <c r="N410" s="117"/>
      <c r="O410" s="117"/>
    </row>
    <row r="411" spans="1:15" x14ac:dyDescent="0.25">
      <c r="B411" s="114"/>
      <c r="C411" s="117"/>
      <c r="E411" s="117"/>
      <c r="F411" s="117"/>
      <c r="H411" s="114"/>
      <c r="I411" s="114"/>
      <c r="J411" s="112"/>
      <c r="K411" s="117"/>
      <c r="L411" s="117"/>
      <c r="N411" s="117"/>
      <c r="O411" s="117"/>
    </row>
    <row r="412" spans="1:15" x14ac:dyDescent="0.25">
      <c r="B412" s="114"/>
      <c r="C412" s="117"/>
      <c r="E412" s="117"/>
      <c r="F412" s="117"/>
      <c r="H412" s="114"/>
      <c r="I412" s="114"/>
      <c r="J412" s="112"/>
      <c r="K412" s="117"/>
      <c r="L412" s="117"/>
      <c r="N412" s="117"/>
      <c r="O412" s="117"/>
    </row>
    <row r="413" spans="1:15" x14ac:dyDescent="0.25">
      <c r="B413" s="114"/>
      <c r="C413" s="117"/>
      <c r="E413" s="117"/>
      <c r="F413" s="117"/>
      <c r="H413" s="114"/>
      <c r="I413" s="114"/>
      <c r="J413" s="112"/>
      <c r="K413" s="117"/>
      <c r="L413" s="117"/>
      <c r="N413" s="117"/>
      <c r="O413" s="117"/>
    </row>
    <row r="414" spans="1:15" x14ac:dyDescent="0.25">
      <c r="B414" s="114"/>
      <c r="C414" s="117"/>
      <c r="E414" s="117"/>
      <c r="F414" s="117"/>
      <c r="H414" s="117"/>
      <c r="I414" s="117"/>
      <c r="K414" s="117"/>
      <c r="L414" s="117"/>
      <c r="N414" s="117"/>
      <c r="O414" s="117"/>
    </row>
    <row r="418" spans="1:15" x14ac:dyDescent="0.25">
      <c r="A418" s="105" t="s">
        <v>297</v>
      </c>
      <c r="B418" s="105" t="s">
        <v>298</v>
      </c>
      <c r="E418" s="105" t="s">
        <v>299</v>
      </c>
      <c r="H418" s="105" t="s">
        <v>300</v>
      </c>
      <c r="K418" s="105" t="s">
        <v>301</v>
      </c>
      <c r="N418" s="105" t="s">
        <v>302</v>
      </c>
    </row>
    <row r="419" spans="1:15" ht="51" x14ac:dyDescent="0.25">
      <c r="A419" s="112" t="s">
        <v>324</v>
      </c>
      <c r="B419" s="114" t="s">
        <v>506</v>
      </c>
      <c r="C419" s="117" t="b">
        <v>1</v>
      </c>
      <c r="E419" s="117" t="s">
        <v>565</v>
      </c>
      <c r="F419" s="117" t="b">
        <v>1</v>
      </c>
      <c r="H419" s="114" t="s">
        <v>236</v>
      </c>
      <c r="I419" s="114" t="b">
        <v>1</v>
      </c>
      <c r="K419" s="114" t="s">
        <v>236</v>
      </c>
      <c r="L419" s="114" t="b">
        <v>1</v>
      </c>
      <c r="N419" s="117">
        <v>3</v>
      </c>
      <c r="O419" s="117" t="b">
        <v>1</v>
      </c>
    </row>
    <row r="420" spans="1:15" x14ac:dyDescent="0.25">
      <c r="A420" s="112"/>
      <c r="B420" s="114"/>
      <c r="C420" s="117"/>
      <c r="E420" s="117"/>
      <c r="F420" s="117"/>
      <c r="H420" s="114" t="s">
        <v>325</v>
      </c>
      <c r="I420" s="114" t="b">
        <v>1</v>
      </c>
      <c r="J420" s="112"/>
      <c r="K420" s="114" t="s">
        <v>325</v>
      </c>
      <c r="L420" s="114" t="b">
        <v>1</v>
      </c>
      <c r="N420" s="117"/>
      <c r="O420" s="117"/>
    </row>
    <row r="421" spans="1:15" x14ac:dyDescent="0.25">
      <c r="B421" s="114"/>
      <c r="C421" s="117"/>
      <c r="E421" s="114"/>
      <c r="F421" s="114"/>
      <c r="H421" s="117" t="s">
        <v>565</v>
      </c>
      <c r="I421" s="117" t="b">
        <v>1</v>
      </c>
      <c r="J421" s="112"/>
      <c r="K421" s="117" t="s">
        <v>565</v>
      </c>
      <c r="L421" s="117" t="b">
        <v>1</v>
      </c>
      <c r="N421" s="117"/>
      <c r="O421" s="117"/>
    </row>
    <row r="422" spans="1:15" x14ac:dyDescent="0.25">
      <c r="B422" s="114"/>
      <c r="C422" s="117"/>
      <c r="E422" s="117"/>
      <c r="F422" s="117"/>
      <c r="H422" s="114"/>
      <c r="I422" s="114"/>
      <c r="J422" s="112"/>
      <c r="K422" s="117"/>
      <c r="L422" s="117"/>
      <c r="N422" s="117"/>
      <c r="O422" s="117"/>
    </row>
    <row r="423" spans="1:15" x14ac:dyDescent="0.25">
      <c r="B423" s="114"/>
      <c r="C423" s="117"/>
      <c r="E423" s="117"/>
      <c r="F423" s="117"/>
      <c r="H423" s="114"/>
      <c r="I423" s="114"/>
      <c r="J423" s="112"/>
      <c r="K423" s="117"/>
      <c r="L423" s="117"/>
      <c r="N423" s="117"/>
      <c r="O423" s="117"/>
    </row>
    <row r="424" spans="1:15" x14ac:dyDescent="0.25">
      <c r="B424" s="114"/>
      <c r="C424" s="117"/>
      <c r="E424" s="117"/>
      <c r="F424" s="117"/>
      <c r="H424" s="114"/>
      <c r="I424" s="114"/>
      <c r="J424" s="112"/>
      <c r="K424" s="117"/>
      <c r="L424" s="117"/>
      <c r="N424" s="117"/>
      <c r="O424" s="117"/>
    </row>
    <row r="425" spans="1:15" x14ac:dyDescent="0.25">
      <c r="B425" s="114"/>
      <c r="C425" s="117"/>
      <c r="E425" s="117"/>
      <c r="F425" s="117"/>
      <c r="H425" s="114"/>
      <c r="I425" s="114"/>
      <c r="J425" s="112"/>
      <c r="K425" s="117"/>
      <c r="L425" s="117"/>
      <c r="N425" s="117"/>
      <c r="O425" s="117"/>
    </row>
    <row r="426" spans="1:15" x14ac:dyDescent="0.25">
      <c r="B426" s="114"/>
      <c r="C426" s="117"/>
      <c r="E426" s="117"/>
      <c r="F426" s="117"/>
      <c r="H426" s="114"/>
      <c r="I426" s="114"/>
      <c r="J426" s="112"/>
      <c r="K426" s="117"/>
      <c r="L426" s="117"/>
      <c r="N426" s="117"/>
      <c r="O426" s="117"/>
    </row>
    <row r="427" spans="1:15" x14ac:dyDescent="0.25">
      <c r="B427" s="114"/>
      <c r="C427" s="117"/>
      <c r="E427" s="117"/>
      <c r="F427" s="117"/>
      <c r="H427" s="114"/>
      <c r="I427" s="114"/>
      <c r="J427" s="112"/>
      <c r="K427" s="117"/>
      <c r="L427" s="117"/>
      <c r="N427" s="117"/>
      <c r="O427" s="117"/>
    </row>
    <row r="428" spans="1:15" x14ac:dyDescent="0.25">
      <c r="B428" s="114"/>
      <c r="C428" s="117"/>
      <c r="E428" s="117"/>
      <c r="F428" s="117"/>
      <c r="H428" s="114"/>
      <c r="I428" s="114"/>
      <c r="J428" s="112"/>
      <c r="K428" s="117"/>
      <c r="L428" s="117"/>
      <c r="N428" s="117"/>
      <c r="O428" s="117"/>
    </row>
    <row r="429" spans="1:15" x14ac:dyDescent="0.25">
      <c r="B429" s="114"/>
      <c r="C429" s="117"/>
      <c r="E429" s="117"/>
      <c r="F429" s="117"/>
      <c r="H429" s="117"/>
      <c r="I429" s="117"/>
      <c r="K429" s="117"/>
      <c r="L429" s="117"/>
      <c r="N429" s="117"/>
      <c r="O429" s="117"/>
    </row>
    <row r="433" spans="1:15" x14ac:dyDescent="0.25">
      <c r="A433" s="105" t="s">
        <v>326</v>
      </c>
      <c r="B433" s="105" t="s">
        <v>327</v>
      </c>
      <c r="E433" s="105" t="s">
        <v>328</v>
      </c>
      <c r="H433" s="105" t="s">
        <v>329</v>
      </c>
      <c r="K433" s="105" t="s">
        <v>330</v>
      </c>
      <c r="N433" s="105" t="s">
        <v>331</v>
      </c>
    </row>
    <row r="434" spans="1:15" ht="25.5" x14ac:dyDescent="0.25">
      <c r="A434" s="112" t="s">
        <v>267</v>
      </c>
      <c r="B434" s="114" t="s">
        <v>296</v>
      </c>
      <c r="C434" s="117" t="b">
        <v>1</v>
      </c>
      <c r="E434" s="117" t="s">
        <v>340</v>
      </c>
      <c r="F434" s="114" t="b">
        <v>1</v>
      </c>
      <c r="H434" s="117" t="s">
        <v>340</v>
      </c>
      <c r="I434" s="114" t="b">
        <v>1</v>
      </c>
      <c r="K434" s="117" t="s">
        <v>340</v>
      </c>
      <c r="L434" s="114" t="b">
        <v>1</v>
      </c>
      <c r="N434" s="117">
        <v>3</v>
      </c>
      <c r="O434" s="117" t="b">
        <v>1</v>
      </c>
    </row>
    <row r="435" spans="1:15" ht="25.5" x14ac:dyDescent="0.25">
      <c r="A435" s="112"/>
      <c r="B435" s="114" t="s">
        <v>509</v>
      </c>
      <c r="C435" s="117" t="b">
        <v>1</v>
      </c>
      <c r="E435" s="117" t="s">
        <v>78</v>
      </c>
      <c r="F435" s="114" t="b">
        <v>1</v>
      </c>
      <c r="H435" s="117" t="s">
        <v>78</v>
      </c>
      <c r="I435" s="114" t="b">
        <v>1</v>
      </c>
      <c r="J435" s="112"/>
      <c r="K435" s="117" t="s">
        <v>78</v>
      </c>
      <c r="L435" s="114" t="b">
        <v>1</v>
      </c>
      <c r="N435" s="117"/>
      <c r="O435" s="117"/>
    </row>
    <row r="436" spans="1:15" ht="25.5" x14ac:dyDescent="0.25">
      <c r="B436" s="114" t="s">
        <v>507</v>
      </c>
      <c r="C436" s="117" t="b">
        <v>1</v>
      </c>
      <c r="E436" s="117" t="s">
        <v>81</v>
      </c>
      <c r="F436" s="114" t="b">
        <v>1</v>
      </c>
      <c r="H436" s="117" t="s">
        <v>81</v>
      </c>
      <c r="I436" s="114" t="b">
        <v>1</v>
      </c>
      <c r="J436" s="112"/>
      <c r="K436" s="117" t="s">
        <v>81</v>
      </c>
      <c r="L436" s="114" t="b">
        <v>1</v>
      </c>
      <c r="N436" s="117"/>
      <c r="O436" s="117"/>
    </row>
    <row r="437" spans="1:15" ht="25.5" x14ac:dyDescent="0.25">
      <c r="B437" s="114" t="s">
        <v>508</v>
      </c>
      <c r="C437" s="117" t="b">
        <v>1</v>
      </c>
      <c r="E437" s="117" t="s">
        <v>342</v>
      </c>
      <c r="F437" s="114" t="b">
        <v>1</v>
      </c>
      <c r="H437" s="117" t="s">
        <v>342</v>
      </c>
      <c r="I437" s="114" t="b">
        <v>1</v>
      </c>
      <c r="J437" s="112"/>
      <c r="K437" s="117" t="s">
        <v>342</v>
      </c>
      <c r="L437" s="114" t="b">
        <v>1</v>
      </c>
      <c r="N437" s="117"/>
      <c r="O437" s="117"/>
    </row>
    <row r="438" spans="1:15" x14ac:dyDescent="0.25">
      <c r="B438" s="114" t="s">
        <v>99</v>
      </c>
      <c r="C438" s="117" t="b">
        <v>1</v>
      </c>
      <c r="E438" s="117" t="s">
        <v>85</v>
      </c>
      <c r="F438" s="114" t="b">
        <v>1</v>
      </c>
      <c r="H438" s="117" t="s">
        <v>85</v>
      </c>
      <c r="I438" s="114" t="b">
        <v>1</v>
      </c>
      <c r="J438" s="112"/>
      <c r="K438" s="117" t="s">
        <v>85</v>
      </c>
      <c r="L438" s="114" t="b">
        <v>1</v>
      </c>
      <c r="N438" s="117"/>
      <c r="O438" s="117"/>
    </row>
    <row r="439" spans="1:15" x14ac:dyDescent="0.25">
      <c r="B439" s="114"/>
      <c r="C439" s="117"/>
      <c r="E439" s="117" t="s">
        <v>565</v>
      </c>
      <c r="F439" s="117" t="b">
        <v>1</v>
      </c>
      <c r="H439" s="117" t="s">
        <v>565</v>
      </c>
      <c r="I439" s="117" t="b">
        <v>1</v>
      </c>
      <c r="J439" s="112"/>
      <c r="K439" s="117" t="s">
        <v>565</v>
      </c>
      <c r="L439" s="117" t="b">
        <v>1</v>
      </c>
      <c r="N439" s="117"/>
      <c r="O439" s="117"/>
    </row>
    <row r="440" spans="1:15" x14ac:dyDescent="0.25">
      <c r="B440" s="114"/>
      <c r="C440" s="117"/>
      <c r="E440" s="117"/>
      <c r="F440" s="117"/>
      <c r="H440" s="114"/>
      <c r="I440" s="114"/>
      <c r="J440" s="112"/>
      <c r="K440" s="117"/>
      <c r="L440" s="117"/>
      <c r="N440" s="117"/>
      <c r="O440" s="117"/>
    </row>
    <row r="441" spans="1:15" x14ac:dyDescent="0.25">
      <c r="B441" s="114"/>
      <c r="C441" s="117"/>
      <c r="E441" s="117"/>
      <c r="F441" s="117"/>
      <c r="H441" s="114"/>
      <c r="I441" s="114"/>
      <c r="J441" s="112"/>
      <c r="K441" s="117"/>
      <c r="L441" s="117"/>
      <c r="N441" s="117"/>
      <c r="O441" s="117"/>
    </row>
    <row r="442" spans="1:15" x14ac:dyDescent="0.25">
      <c r="B442" s="114"/>
      <c r="C442" s="117"/>
      <c r="E442" s="117"/>
      <c r="F442" s="117"/>
      <c r="H442" s="114"/>
      <c r="I442" s="114"/>
      <c r="J442" s="112"/>
      <c r="K442" s="117"/>
      <c r="L442" s="117"/>
      <c r="N442" s="117"/>
      <c r="O442" s="117"/>
    </row>
    <row r="443" spans="1:15" x14ac:dyDescent="0.25">
      <c r="B443" s="114"/>
      <c r="C443" s="117"/>
      <c r="E443" s="117"/>
      <c r="F443" s="117"/>
      <c r="H443" s="114"/>
      <c r="I443" s="114"/>
      <c r="J443" s="112"/>
      <c r="K443" s="117"/>
      <c r="L443" s="117"/>
      <c r="N443" s="117"/>
      <c r="O443" s="117"/>
    </row>
    <row r="444" spans="1:15" x14ac:dyDescent="0.25">
      <c r="B444" s="114"/>
      <c r="C444" s="117"/>
      <c r="E444" s="117"/>
      <c r="F444" s="117"/>
      <c r="H444" s="117"/>
      <c r="I444" s="117"/>
      <c r="K444" s="117"/>
      <c r="L444" s="117"/>
      <c r="N444" s="117"/>
      <c r="O444" s="117"/>
    </row>
    <row r="448" spans="1:15" x14ac:dyDescent="0.25">
      <c r="A448" s="105" t="s">
        <v>332</v>
      </c>
      <c r="B448" s="105" t="s">
        <v>333</v>
      </c>
      <c r="E448" s="105" t="s">
        <v>334</v>
      </c>
      <c r="H448" s="105" t="s">
        <v>335</v>
      </c>
      <c r="K448" s="105" t="s">
        <v>336</v>
      </c>
      <c r="N448" s="105" t="s">
        <v>337</v>
      </c>
    </row>
    <row r="449" spans="1:15" x14ac:dyDescent="0.25">
      <c r="A449" s="112" t="s">
        <v>48</v>
      </c>
      <c r="B449" s="114" t="s">
        <v>270</v>
      </c>
      <c r="C449" s="117" t="b">
        <v>1</v>
      </c>
      <c r="E449" s="114" t="s">
        <v>273</v>
      </c>
      <c r="F449" s="114" t="b">
        <v>1</v>
      </c>
      <c r="H449" s="114" t="s">
        <v>273</v>
      </c>
      <c r="I449" s="114" t="b">
        <v>1</v>
      </c>
      <c r="K449" s="114" t="s">
        <v>273</v>
      </c>
      <c r="L449" s="114" t="b">
        <v>1</v>
      </c>
      <c r="N449" s="117">
        <v>1</v>
      </c>
      <c r="O449" s="117" t="b">
        <v>1</v>
      </c>
    </row>
    <row r="450" spans="1:15" x14ac:dyDescent="0.25">
      <c r="A450" s="112"/>
      <c r="B450" s="114"/>
      <c r="C450" s="117"/>
      <c r="E450" s="117" t="s">
        <v>565</v>
      </c>
      <c r="F450" s="117" t="b">
        <v>1</v>
      </c>
      <c r="H450" s="117" t="s">
        <v>565</v>
      </c>
      <c r="I450" s="117" t="b">
        <v>1</v>
      </c>
      <c r="J450" s="112"/>
      <c r="K450" s="117" t="s">
        <v>565</v>
      </c>
      <c r="L450" s="117" t="b">
        <v>1</v>
      </c>
      <c r="N450" s="117"/>
      <c r="O450" s="117"/>
    </row>
    <row r="451" spans="1:15" x14ac:dyDescent="0.25">
      <c r="B451" s="114"/>
      <c r="C451" s="117"/>
      <c r="E451" s="114"/>
      <c r="F451" s="114"/>
      <c r="H451" s="114"/>
      <c r="I451" s="114"/>
      <c r="J451" s="112"/>
      <c r="K451" s="114"/>
      <c r="L451" s="114"/>
      <c r="N451" s="117"/>
      <c r="O451" s="117"/>
    </row>
    <row r="452" spans="1:15" x14ac:dyDescent="0.25">
      <c r="B452" s="114"/>
      <c r="C452" s="117"/>
      <c r="E452" s="117"/>
      <c r="F452" s="117"/>
      <c r="H452" s="114"/>
      <c r="I452" s="114"/>
      <c r="J452" s="112"/>
      <c r="K452" s="117"/>
      <c r="L452" s="117"/>
      <c r="N452" s="117"/>
      <c r="O452" s="117"/>
    </row>
    <row r="453" spans="1:15" x14ac:dyDescent="0.25">
      <c r="B453" s="114"/>
      <c r="C453" s="117"/>
      <c r="E453" s="117"/>
      <c r="F453" s="117"/>
      <c r="H453" s="114"/>
      <c r="I453" s="114"/>
      <c r="J453" s="112"/>
      <c r="K453" s="117"/>
      <c r="L453" s="117"/>
      <c r="N453" s="117"/>
      <c r="O453" s="117"/>
    </row>
    <row r="454" spans="1:15" x14ac:dyDescent="0.25">
      <c r="B454" s="114"/>
      <c r="C454" s="117"/>
      <c r="E454" s="117"/>
      <c r="F454" s="117"/>
      <c r="H454" s="114"/>
      <c r="I454" s="114"/>
      <c r="J454" s="112"/>
      <c r="K454" s="117"/>
      <c r="L454" s="117"/>
      <c r="N454" s="117"/>
      <c r="O454" s="117"/>
    </row>
    <row r="455" spans="1:15" x14ac:dyDescent="0.25">
      <c r="B455" s="114"/>
      <c r="C455" s="117"/>
      <c r="E455" s="117"/>
      <c r="F455" s="117"/>
      <c r="H455" s="114"/>
      <c r="I455" s="114"/>
      <c r="J455" s="112"/>
      <c r="K455" s="117"/>
      <c r="L455" s="117"/>
      <c r="N455" s="117"/>
      <c r="O455" s="117"/>
    </row>
    <row r="456" spans="1:15" x14ac:dyDescent="0.25">
      <c r="B456" s="114"/>
      <c r="C456" s="117"/>
      <c r="E456" s="117"/>
      <c r="F456" s="117"/>
      <c r="H456" s="114"/>
      <c r="I456" s="114"/>
      <c r="J456" s="112"/>
      <c r="K456" s="117"/>
      <c r="L456" s="117"/>
      <c r="N456" s="117"/>
      <c r="O456" s="117"/>
    </row>
    <row r="457" spans="1:15" x14ac:dyDescent="0.25">
      <c r="B457" s="114"/>
      <c r="C457" s="117"/>
      <c r="E457" s="117"/>
      <c r="F457" s="117"/>
      <c r="H457" s="114"/>
      <c r="I457" s="114"/>
      <c r="J457" s="112"/>
      <c r="K457" s="117"/>
      <c r="L457" s="117"/>
      <c r="N457" s="117"/>
      <c r="O457" s="117"/>
    </row>
    <row r="458" spans="1:15" x14ac:dyDescent="0.25">
      <c r="B458" s="114"/>
      <c r="C458" s="117"/>
      <c r="E458" s="117"/>
      <c r="F458" s="117"/>
      <c r="H458" s="114"/>
      <c r="I458" s="114"/>
      <c r="J458" s="112"/>
      <c r="K458" s="117"/>
      <c r="L458" s="117"/>
      <c r="N458" s="117"/>
      <c r="O458" s="117"/>
    </row>
    <row r="459" spans="1:15" x14ac:dyDescent="0.25">
      <c r="B459" s="114"/>
      <c r="C459" s="117"/>
      <c r="E459" s="117"/>
      <c r="F459" s="117"/>
      <c r="H459" s="117"/>
      <c r="I459" s="117"/>
      <c r="K459" s="117"/>
      <c r="L459" s="117"/>
      <c r="N459" s="117"/>
      <c r="O459" s="117"/>
    </row>
  </sheetData>
  <sheetProtection algorithmName="SHA-512" hashValue="HqqEnN2d0oST97l13pPRDBaN2iOu6dXaGf+8Gd8yl5Io6nA3DTjPOkfuY/Ac8X/fRpnHVrY7cuyjjXCSNTSaiA==" saltValue="edZS9NqcsOLk+oPGxhcjlg==" spinCount="100000" sheet="1" objects="1" scenarios="1"/>
  <mergeCells count="1">
    <mergeCell ref="A1:F1"/>
  </mergeCells>
  <pageMargins left="0.45" right="0.45" top="0.75" bottom="0.75" header="0.3" footer="0.3"/>
  <pageSetup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5" tint="-0.499984740745262"/>
  </sheetPr>
  <dimension ref="A1:D46"/>
  <sheetViews>
    <sheetView workbookViewId="0"/>
  </sheetViews>
  <sheetFormatPr defaultColWidth="9.140625" defaultRowHeight="15" x14ac:dyDescent="0.25"/>
  <cols>
    <col min="1" max="1" width="31.85546875" style="121" bestFit="1" customWidth="1"/>
    <col min="2" max="2" width="11.7109375" style="121" customWidth="1"/>
    <col min="3" max="3" width="49.42578125" style="121" bestFit="1" customWidth="1"/>
    <col min="4" max="4" width="101.140625" style="121" customWidth="1"/>
    <col min="5" max="16384" width="9.140625" style="121"/>
  </cols>
  <sheetData>
    <row r="1" spans="1:4" ht="16.5" thickTop="1" thickBot="1" x14ac:dyDescent="0.3">
      <c r="A1" s="118" t="s">
        <v>143</v>
      </c>
      <c r="B1" s="119" t="s">
        <v>55</v>
      </c>
      <c r="C1" s="119" t="s">
        <v>144</v>
      </c>
      <c r="D1" s="120" t="s">
        <v>49</v>
      </c>
    </row>
    <row r="2" spans="1:4" ht="15.75" thickTop="1" x14ac:dyDescent="0.25">
      <c r="A2" s="122" t="s">
        <v>57</v>
      </c>
      <c r="B2" s="123" t="b">
        <v>1</v>
      </c>
      <c r="C2" s="124" t="s">
        <v>145</v>
      </c>
      <c r="D2" s="125" t="s">
        <v>146</v>
      </c>
    </row>
    <row r="3" spans="1:4" x14ac:dyDescent="0.25">
      <c r="A3" s="126" t="s">
        <v>147</v>
      </c>
      <c r="B3" s="127" t="b">
        <v>1</v>
      </c>
      <c r="C3" s="124" t="s">
        <v>145</v>
      </c>
      <c r="D3" s="128" t="s">
        <v>148</v>
      </c>
    </row>
    <row r="4" spans="1:4" x14ac:dyDescent="0.25">
      <c r="A4" s="126" t="s">
        <v>149</v>
      </c>
      <c r="B4" s="127" t="b">
        <v>1</v>
      </c>
      <c r="C4" s="124" t="s">
        <v>145</v>
      </c>
      <c r="D4" s="128" t="s">
        <v>150</v>
      </c>
    </row>
    <row r="5" spans="1:4" ht="25.5" x14ac:dyDescent="0.25">
      <c r="A5" s="126" t="s">
        <v>151</v>
      </c>
      <c r="B5" s="127" t="b">
        <v>1</v>
      </c>
      <c r="C5" s="124" t="s">
        <v>145</v>
      </c>
      <c r="D5" s="128" t="s">
        <v>152</v>
      </c>
    </row>
    <row r="6" spans="1:4" x14ac:dyDescent="0.25">
      <c r="A6" s="126" t="s">
        <v>153</v>
      </c>
      <c r="B6" s="127" t="b">
        <v>1</v>
      </c>
      <c r="C6" s="124" t="s">
        <v>145</v>
      </c>
      <c r="D6" s="128" t="s">
        <v>154</v>
      </c>
    </row>
    <row r="7" spans="1:4" ht="25.5" x14ac:dyDescent="0.25">
      <c r="A7" s="126" t="s">
        <v>155</v>
      </c>
      <c r="B7" s="127" t="b">
        <v>1</v>
      </c>
      <c r="C7" s="124" t="s">
        <v>145</v>
      </c>
      <c r="D7" s="128" t="s">
        <v>156</v>
      </c>
    </row>
    <row r="8" spans="1:4" x14ac:dyDescent="0.25">
      <c r="A8" s="126" t="s">
        <v>157</v>
      </c>
      <c r="B8" s="127" t="b">
        <v>1</v>
      </c>
      <c r="C8" s="124" t="s">
        <v>145</v>
      </c>
      <c r="D8" s="128" t="s">
        <v>158</v>
      </c>
    </row>
    <row r="9" spans="1:4" x14ac:dyDescent="0.25">
      <c r="A9" s="126" t="s">
        <v>159</v>
      </c>
      <c r="B9" s="127" t="b">
        <v>1</v>
      </c>
      <c r="C9" s="124" t="s">
        <v>145</v>
      </c>
      <c r="D9" s="128" t="s">
        <v>160</v>
      </c>
    </row>
    <row r="10" spans="1:4" x14ac:dyDescent="0.25">
      <c r="A10" s="126" t="s">
        <v>161</v>
      </c>
      <c r="B10" s="127" t="b">
        <v>1</v>
      </c>
      <c r="C10" s="124" t="s">
        <v>145</v>
      </c>
      <c r="D10" s="128" t="s">
        <v>162</v>
      </c>
    </row>
    <row r="11" spans="1:4" ht="25.5" x14ac:dyDescent="0.25">
      <c r="A11" s="126" t="s">
        <v>163</v>
      </c>
      <c r="B11" s="127" t="b">
        <v>1</v>
      </c>
      <c r="C11" s="124" t="s">
        <v>145</v>
      </c>
      <c r="D11" s="128" t="s">
        <v>164</v>
      </c>
    </row>
    <row r="12" spans="1:4" ht="25.5" x14ac:dyDescent="0.25">
      <c r="A12" s="126" t="s">
        <v>165</v>
      </c>
      <c r="B12" s="127" t="b">
        <v>1</v>
      </c>
      <c r="C12" s="124" t="s">
        <v>145</v>
      </c>
      <c r="D12" s="128" t="s">
        <v>166</v>
      </c>
    </row>
    <row r="13" spans="1:4" x14ac:dyDescent="0.25">
      <c r="A13" s="126" t="s">
        <v>167</v>
      </c>
      <c r="B13" s="127" t="b">
        <v>1</v>
      </c>
      <c r="C13" s="124" t="s">
        <v>145</v>
      </c>
      <c r="D13" s="128" t="s">
        <v>168</v>
      </c>
    </row>
    <row r="14" spans="1:4" x14ac:dyDescent="0.25">
      <c r="A14" s="126" t="s">
        <v>169</v>
      </c>
      <c r="B14" s="127" t="b">
        <v>1</v>
      </c>
      <c r="C14" s="124" t="s">
        <v>145</v>
      </c>
      <c r="D14" s="128" t="s">
        <v>170</v>
      </c>
    </row>
    <row r="15" spans="1:4" x14ac:dyDescent="0.25">
      <c r="A15" s="126" t="s">
        <v>171</v>
      </c>
      <c r="B15" s="127" t="b">
        <v>1</v>
      </c>
      <c r="C15" s="124" t="s">
        <v>145</v>
      </c>
      <c r="D15" s="128" t="s">
        <v>172</v>
      </c>
    </row>
    <row r="16" spans="1:4" ht="25.5" x14ac:dyDescent="0.25">
      <c r="A16" s="126" t="s">
        <v>173</v>
      </c>
      <c r="B16" s="127" t="b">
        <v>1</v>
      </c>
      <c r="C16" s="124" t="s">
        <v>145</v>
      </c>
      <c r="D16" s="128" t="s">
        <v>174</v>
      </c>
    </row>
    <row r="17" spans="1:4" ht="15.75" thickBot="1" x14ac:dyDescent="0.3">
      <c r="A17" s="129" t="s">
        <v>59</v>
      </c>
      <c r="B17" s="130" t="b">
        <v>1</v>
      </c>
      <c r="C17" s="131" t="s">
        <v>175</v>
      </c>
      <c r="D17" s="132" t="s">
        <v>176</v>
      </c>
    </row>
    <row r="18" spans="1:4" ht="16.5" thickTop="1" thickBot="1" x14ac:dyDescent="0.3">
      <c r="A18" s="133"/>
      <c r="B18" s="133"/>
      <c r="C18" s="112"/>
      <c r="D18" s="112"/>
    </row>
    <row r="19" spans="1:4" ht="16.5" thickTop="1" thickBot="1" x14ac:dyDescent="0.3">
      <c r="A19" s="118" t="s">
        <v>143</v>
      </c>
      <c r="B19" s="119" t="s">
        <v>55</v>
      </c>
      <c r="C19" s="119" t="s">
        <v>144</v>
      </c>
      <c r="D19" s="120" t="s">
        <v>49</v>
      </c>
    </row>
    <row r="20" spans="1:4" ht="39" thickTop="1" x14ac:dyDescent="0.25">
      <c r="A20" s="122" t="s">
        <v>510</v>
      </c>
      <c r="B20" s="123" t="b">
        <v>1</v>
      </c>
      <c r="C20" s="124" t="s">
        <v>177</v>
      </c>
      <c r="D20" s="125" t="s">
        <v>511</v>
      </c>
    </row>
    <row r="21" spans="1:4" ht="25.5" x14ac:dyDescent="0.25">
      <c r="A21" s="122" t="s">
        <v>535</v>
      </c>
      <c r="B21" s="123" t="b">
        <v>1</v>
      </c>
      <c r="C21" s="124" t="s">
        <v>177</v>
      </c>
      <c r="D21" s="125" t="s">
        <v>178</v>
      </c>
    </row>
    <row r="22" spans="1:4" x14ac:dyDescent="0.25">
      <c r="A22" s="126" t="s">
        <v>179</v>
      </c>
      <c r="B22" s="127" t="b">
        <v>1</v>
      </c>
      <c r="C22" s="124" t="s">
        <v>177</v>
      </c>
      <c r="D22" s="128" t="s">
        <v>180</v>
      </c>
    </row>
    <row r="23" spans="1:4" x14ac:dyDescent="0.25">
      <c r="A23" s="126" t="s">
        <v>181</v>
      </c>
      <c r="B23" s="127" t="b">
        <v>1</v>
      </c>
      <c r="C23" s="124" t="s">
        <v>177</v>
      </c>
      <c r="D23" s="128" t="s">
        <v>182</v>
      </c>
    </row>
    <row r="24" spans="1:4" ht="15.75" thickBot="1" x14ac:dyDescent="0.3">
      <c r="A24" s="129" t="s">
        <v>59</v>
      </c>
      <c r="B24" s="130" t="b">
        <v>1</v>
      </c>
      <c r="C24" s="131" t="s">
        <v>175</v>
      </c>
      <c r="D24" s="132" t="s">
        <v>176</v>
      </c>
    </row>
    <row r="25" spans="1:4" ht="16.5" thickTop="1" thickBot="1" x14ac:dyDescent="0.3">
      <c r="A25" s="133"/>
      <c r="B25" s="133"/>
      <c r="C25" s="112"/>
      <c r="D25" s="112"/>
    </row>
    <row r="26" spans="1:4" ht="16.5" thickTop="1" thickBot="1" x14ac:dyDescent="0.3">
      <c r="A26" s="118" t="s">
        <v>143</v>
      </c>
      <c r="B26" s="119" t="s">
        <v>55</v>
      </c>
      <c r="C26" s="119" t="s">
        <v>144</v>
      </c>
      <c r="D26" s="120" t="s">
        <v>49</v>
      </c>
    </row>
    <row r="27" spans="1:4" ht="15.75" thickTop="1" x14ac:dyDescent="0.25">
      <c r="A27" s="122" t="s">
        <v>58</v>
      </c>
      <c r="B27" s="123" t="b">
        <v>1</v>
      </c>
      <c r="C27" s="124" t="s">
        <v>183</v>
      </c>
      <c r="D27" s="125" t="s">
        <v>184</v>
      </c>
    </row>
    <row r="28" spans="1:4" ht="15.75" thickBot="1" x14ac:dyDescent="0.3">
      <c r="A28" s="129" t="s">
        <v>59</v>
      </c>
      <c r="B28" s="130" t="b">
        <v>1</v>
      </c>
      <c r="C28" s="131" t="s">
        <v>175</v>
      </c>
      <c r="D28" s="132" t="s">
        <v>176</v>
      </c>
    </row>
    <row r="29" spans="1:4" ht="16.5" thickTop="1" thickBot="1" x14ac:dyDescent="0.3">
      <c r="A29" s="133"/>
      <c r="B29" s="133"/>
      <c r="C29" s="112"/>
      <c r="D29" s="112"/>
    </row>
    <row r="30" spans="1:4" ht="16.5" thickTop="1" thickBot="1" x14ac:dyDescent="0.3">
      <c r="A30" s="118" t="s">
        <v>143</v>
      </c>
      <c r="B30" s="119" t="s">
        <v>55</v>
      </c>
      <c r="C30" s="119" t="s">
        <v>144</v>
      </c>
      <c r="D30" s="120" t="s">
        <v>49</v>
      </c>
    </row>
    <row r="31" spans="1:4" ht="39" thickTop="1" x14ac:dyDescent="0.25">
      <c r="A31" s="122" t="s">
        <v>62</v>
      </c>
      <c r="B31" s="123" t="b">
        <v>1</v>
      </c>
      <c r="C31" s="124" t="s">
        <v>349</v>
      </c>
      <c r="D31" s="125" t="s">
        <v>536</v>
      </c>
    </row>
    <row r="32" spans="1:4" ht="38.25" x14ac:dyDescent="0.25">
      <c r="A32" s="126" t="s">
        <v>185</v>
      </c>
      <c r="B32" s="127" t="b">
        <v>1</v>
      </c>
      <c r="C32" s="124" t="s">
        <v>349</v>
      </c>
      <c r="D32" s="128" t="s">
        <v>537</v>
      </c>
    </row>
    <row r="33" spans="1:4" ht="38.25" x14ac:dyDescent="0.25">
      <c r="A33" s="126" t="s">
        <v>186</v>
      </c>
      <c r="B33" s="127" t="b">
        <v>1</v>
      </c>
      <c r="C33" s="124" t="s">
        <v>349</v>
      </c>
      <c r="D33" s="128" t="s">
        <v>538</v>
      </c>
    </row>
    <row r="34" spans="1:4" ht="15.75" thickBot="1" x14ac:dyDescent="0.3">
      <c r="A34" s="129" t="s">
        <v>59</v>
      </c>
      <c r="B34" s="130" t="b">
        <v>1</v>
      </c>
      <c r="C34" s="131" t="s">
        <v>175</v>
      </c>
      <c r="D34" s="132" t="s">
        <v>176</v>
      </c>
    </row>
    <row r="35" spans="1:4" ht="16.5" thickTop="1" thickBot="1" x14ac:dyDescent="0.3">
      <c r="A35" s="134"/>
      <c r="B35" s="134"/>
      <c r="C35" s="135"/>
      <c r="D35" s="135"/>
    </row>
    <row r="36" spans="1:4" ht="16.5" thickTop="1" thickBot="1" x14ac:dyDescent="0.3">
      <c r="A36" s="118" t="s">
        <v>143</v>
      </c>
      <c r="B36" s="119" t="s">
        <v>187</v>
      </c>
      <c r="C36" s="119" t="s">
        <v>144</v>
      </c>
      <c r="D36" s="120" t="s">
        <v>49</v>
      </c>
    </row>
    <row r="37" spans="1:4" ht="64.5" thickTop="1" x14ac:dyDescent="0.25">
      <c r="A37" s="122" t="s">
        <v>188</v>
      </c>
      <c r="B37" s="127" t="b">
        <v>1</v>
      </c>
      <c r="C37" s="124" t="s">
        <v>358</v>
      </c>
      <c r="D37" s="125" t="s">
        <v>539</v>
      </c>
    </row>
    <row r="38" spans="1:4" ht="51" x14ac:dyDescent="0.25">
      <c r="A38" s="126" t="s">
        <v>189</v>
      </c>
      <c r="B38" s="127" t="b">
        <v>1</v>
      </c>
      <c r="C38" s="124" t="s">
        <v>358</v>
      </c>
      <c r="D38" s="128" t="s">
        <v>540</v>
      </c>
    </row>
    <row r="39" spans="1:4" ht="51" x14ac:dyDescent="0.25">
      <c r="A39" s="126" t="s">
        <v>190</v>
      </c>
      <c r="B39" s="127" t="b">
        <v>1</v>
      </c>
      <c r="C39" s="124" t="s">
        <v>358</v>
      </c>
      <c r="D39" s="128" t="s">
        <v>541</v>
      </c>
    </row>
    <row r="40" spans="1:4" ht="51" x14ac:dyDescent="0.25">
      <c r="A40" s="126" t="s">
        <v>65</v>
      </c>
      <c r="B40" s="127" t="b">
        <v>1</v>
      </c>
      <c r="C40" s="124" t="s">
        <v>358</v>
      </c>
      <c r="D40" s="128" t="s">
        <v>542</v>
      </c>
    </row>
    <row r="41" spans="1:4" ht="51" x14ac:dyDescent="0.25">
      <c r="A41" s="126" t="s">
        <v>191</v>
      </c>
      <c r="B41" s="127" t="b">
        <v>1</v>
      </c>
      <c r="C41" s="124" t="s">
        <v>358</v>
      </c>
      <c r="D41" s="128" t="s">
        <v>543</v>
      </c>
    </row>
    <row r="42" spans="1:4" ht="51" x14ac:dyDescent="0.25">
      <c r="A42" s="126" t="s">
        <v>192</v>
      </c>
      <c r="B42" s="127" t="b">
        <v>1</v>
      </c>
      <c r="C42" s="124" t="s">
        <v>358</v>
      </c>
      <c r="D42" s="128" t="s">
        <v>544</v>
      </c>
    </row>
    <row r="43" spans="1:4" ht="51" x14ac:dyDescent="0.25">
      <c r="A43" s="126" t="s">
        <v>193</v>
      </c>
      <c r="B43" s="127" t="b">
        <v>1</v>
      </c>
      <c r="C43" s="124" t="s">
        <v>358</v>
      </c>
      <c r="D43" s="128" t="s">
        <v>545</v>
      </c>
    </row>
    <row r="44" spans="1:4" x14ac:dyDescent="0.25">
      <c r="A44" s="126" t="s">
        <v>68</v>
      </c>
      <c r="B44" s="127" t="b">
        <v>0</v>
      </c>
      <c r="C44" s="114" t="s">
        <v>194</v>
      </c>
      <c r="D44" s="128" t="s">
        <v>195</v>
      </c>
    </row>
    <row r="45" spans="1:4" ht="15.75" thickBot="1" x14ac:dyDescent="0.3">
      <c r="A45" s="129" t="s">
        <v>59</v>
      </c>
      <c r="B45" s="130" t="b">
        <v>0</v>
      </c>
      <c r="C45" s="131" t="s">
        <v>175</v>
      </c>
      <c r="D45" s="132" t="s">
        <v>176</v>
      </c>
    </row>
    <row r="46" spans="1:4" ht="15.75" thickTop="1" x14ac:dyDescent="0.25"/>
  </sheetData>
  <sheetProtection algorithmName="SHA-512" hashValue="HXM4DYgGMPnb//FcrAAh1xy/CeUyT9Qn78+3W9K5OKQu/VQmLKtEoKwa8LtwCC3uDWMML4kdxPu5dZ4SrYW/nw==" saltValue="Wiv4k254P6IAxnCY46R9pw==" spinCount="100000" sheet="1" objects="1" scenarios="1"/>
  <pageMargins left="0.45" right="0.45" top="0.75" bottom="0.75" header="0.3" footer="0.3"/>
  <pageSetup orientation="portrait" horizontalDpi="1200" verticalDpi="1200" r:id="rId1"/>
  <headerFooter>
    <oddHeader>&amp;L&amp;"Times New Roman,Regular"Isolator Checklist&amp;RRev. &amp;K00B050-&amp;K01+000
&amp;K00B050Date as dd Month YYYY</oddHeader>
    <oddFooter>&amp;C&amp;"Times New Roman,Regular"&amp;10See disclaimer and distribution A statements on cover page.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AE34791A036B4191F6F169651A7DC6" ma:contentTypeVersion="5" ma:contentTypeDescription="Create a new document." ma:contentTypeScope="" ma:versionID="a8e59d671d21aca5eac579d1b535823d">
  <xsd:schema xmlns:xsd="http://www.w3.org/2001/XMLSchema" xmlns:xs="http://www.w3.org/2001/XMLSchema" xmlns:p="http://schemas.microsoft.com/office/2006/metadata/properties" xmlns:ns2="7199bb06-0dc7-4e48-aeb9-d7eb32f38a71" xmlns:ns3="http://schemas.microsoft.com/sharepoint/v4" targetNamespace="http://schemas.microsoft.com/office/2006/metadata/properties" ma:root="true" ma:fieldsID="cbe3e0aff2b594749f02717ff22328ad" ns2:_="" ns3:_="">
    <xsd:import namespace="7199bb06-0dc7-4e48-aeb9-d7eb32f38a71"/>
    <xsd:import namespace="http://schemas.microsoft.com/sharepoint/v4"/>
    <xsd:element name="properties">
      <xsd:complexType>
        <xsd:sequence>
          <xsd:element name="documentManagement">
            <xsd:complexType>
              <xsd:all>
                <xsd:element ref="ns2:TccDocLibTracker"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99bb06-0dc7-4e48-aeb9-d7eb32f38a71" elementFormDefault="qualified">
    <xsd:import namespace="http://schemas.microsoft.com/office/2006/documentManagement/types"/>
    <xsd:import namespace="http://schemas.microsoft.com/office/infopath/2007/PartnerControls"/>
    <xsd:element name="TccDocLibTracker" ma:index="8" nillable="true" ma:displayName="TccDocLibTracker" ma:hidden="true" ma:internalName="TccDocLibTracker"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IconOverlay xmlns="http://schemas.microsoft.com/sharepoint/v4" xsi:nil="true"/>
  </documentManagement>
</p:properties>
</file>

<file path=customXml/itemProps1.xml><?xml version="1.0" encoding="utf-8"?>
<ds:datastoreItem xmlns:ds="http://schemas.openxmlformats.org/officeDocument/2006/customXml" ds:itemID="{483874EC-DC98-4C34-A12F-7B0B501E9836}">
  <ds:schemaRefs>
    <ds:schemaRef ds:uri="http://schemas.microsoft.com/sharepoint/v3/contenttype/forms"/>
  </ds:schemaRefs>
</ds:datastoreItem>
</file>

<file path=customXml/itemProps2.xml><?xml version="1.0" encoding="utf-8"?>
<ds:datastoreItem xmlns:ds="http://schemas.openxmlformats.org/officeDocument/2006/customXml" ds:itemID="{C34EB858-80FA-4923-B6EC-C3619A2457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99bb06-0dc7-4e48-aeb9-d7eb32f38a71"/>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C569EEE-272C-4706-8E40-44E1A669B003}">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7199bb06-0dc7-4e48-aeb9-d7eb32f38a71"/>
    <ds:schemaRef ds:uri="http://www.w3.org/XML/1998/namespace"/>
    <ds:schemaRef ds:uri="http://purl.org/dc/dcmitype/"/>
  </ds:schemaRefs>
</ds:datastoreItem>
</file>

<file path=docMetadata/LabelInfo.xml><?xml version="1.0" encoding="utf-8"?>
<clbl:labelList xmlns:clbl="http://schemas.microsoft.com/office/2020/mipLabelMetadata">
  <clbl:label id="{37adc8ff-f4a3-4a14-9c0d-84b4985de0d2}" enabled="1" method="Privilege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WARNING NOTE</vt:lpstr>
      <vt:lpstr>Cover</vt:lpstr>
      <vt:lpstr>Abstract</vt:lpstr>
      <vt:lpstr>Rev</vt:lpstr>
      <vt:lpstr>Tier Compliance</vt:lpstr>
      <vt:lpstr>Isolator RQMT Checklist</vt:lpstr>
      <vt:lpstr>Service Contract</vt:lpstr>
      <vt:lpstr>OMS Msgs</vt:lpstr>
      <vt:lpstr>Non-OMS Msgs</vt:lpstr>
      <vt:lpstr>OMS Data Transfer</vt:lpstr>
      <vt:lpstr>Non-OMS Data Transfer</vt:lpstr>
      <vt:lpstr>OMS Special Signals</vt:lpstr>
      <vt:lpstr>Non-OMS Special Signals</vt:lpstr>
      <vt:lpstr>Data Transfer Tables</vt:lpstr>
      <vt:lpstr>Special Signals Tables</vt:lpstr>
      <vt:lpstr>'Service Contract'!Print_Titles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2017-12-07T20:24:57Z</dcterms:created>
  <dcterms:modified xsi:type="dcterms:W3CDTF">2026-01-15T14:29:39Z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0x010100EAAE34791A036B4191F6F169651A7DC6</vt:lpwstr>
  </property>
  <property fmtid="{D5CDD505-2E9C-101B-9397-08002B2CF9AE}" pid="3" name="_dlc_DocIdItemGuid">
    <vt:lpwstr>fc800af7-a19d-4c4b-90a7-f9766b100d70</vt:lpwstr>
  </property>
</Properties>
</file>