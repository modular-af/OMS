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showInkAnnotation="0" codeName="ThisWorkbook"/>
  <xr:revisionPtr revIDLastSave="0" documentId="13_ncr:1_{5A9E55CB-54F0-4265-9E98-A313E9ED3227}" xr6:coauthVersionLast="47" xr6:coauthVersionMax="47" xr10:uidLastSave="{00000000-0000-0000-0000-000000000000}"/>
  <bookViews>
    <workbookView xWindow="-120" yWindow="90" windowWidth="29040" windowHeight="15510" tabRatio="720" activeTab="1" xr2:uid="{B76FF02A-1B26-4B39-B0F7-A809FE5DD9E8}"/>
  </bookViews>
  <sheets>
    <sheet name="WARNING NOTE" sheetId="1" r:id="rId1"/>
    <sheet name="Cover" sheetId="2" r:id="rId2"/>
    <sheet name="Abstract" sheetId="3" r:id="rId3"/>
    <sheet name="Rev" sheetId="4" r:id="rId4"/>
    <sheet name="Tier Compliance" sheetId="21" r:id="rId5"/>
    <sheet name="Mission Package RQMT Checklist" sheetId="40" r:id="rId6"/>
    <sheet name="MPDD" sheetId="23" r:id="rId7"/>
  </sheets>
  <definedNames>
    <definedName name="_xlnm._FilterDatabase" localSheetId="5" hidden="1">'Mission Package RQMT Checklist'!$A$1:$Q$57</definedName>
    <definedName name="_xlnm._FilterDatabase" localSheetId="6" hidden="1">MPDD!$A$4:$H$69</definedName>
    <definedName name="_xlnm.Print_Titles" localSheetId="5">'Mission Package RQMT Checklist'!#REF!</definedName>
    <definedName name="_xlnm.Print_Titles" localSheetId="6">MPDD!#REF!</definedName>
    <definedName name="_xlnm.Print_Titles" localSheetId="4">'Tier Compliance'!#REF!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5" i="23" l="1"/>
  <c r="F5" i="23" s="1"/>
  <c r="E6" i="23"/>
  <c r="F6" i="23" s="1"/>
  <c r="E7" i="23"/>
  <c r="F7" i="23" s="1"/>
  <c r="E8" i="23"/>
  <c r="F8" i="23" s="1"/>
  <c r="E9" i="23"/>
  <c r="E10" i="23"/>
  <c r="F10" i="23" s="1"/>
  <c r="E11" i="23"/>
  <c r="F11" i="23" s="1"/>
  <c r="E12" i="23"/>
  <c r="F12" i="23" s="1"/>
  <c r="E13" i="23"/>
  <c r="F13" i="23" s="1"/>
  <c r="E14" i="23"/>
  <c r="E15" i="23"/>
  <c r="F15" i="23" s="1"/>
  <c r="E16" i="23"/>
  <c r="E17" i="23"/>
  <c r="F17" i="23" s="1"/>
  <c r="E18" i="23"/>
  <c r="F18" i="23" s="1"/>
  <c r="E19" i="23"/>
  <c r="E20" i="23"/>
  <c r="F20" i="23" s="1"/>
  <c r="E21" i="23"/>
  <c r="F21" i="23" s="1"/>
  <c r="E22" i="23"/>
  <c r="E23" i="23"/>
  <c r="F23" i="23" s="1"/>
  <c r="E24" i="23"/>
  <c r="E25" i="23"/>
  <c r="F25" i="23" s="1"/>
  <c r="E26" i="23"/>
  <c r="E27" i="23"/>
  <c r="F27" i="23" s="1"/>
  <c r="E28" i="23"/>
  <c r="E29" i="23"/>
  <c r="F29" i="23" s="1"/>
  <c r="E30" i="23"/>
  <c r="E31" i="23"/>
  <c r="F31" i="23" s="1"/>
  <c r="E32" i="23"/>
  <c r="E33" i="23"/>
  <c r="F33" i="23" s="1"/>
  <c r="F32" i="23" s="1"/>
  <c r="E34" i="23"/>
  <c r="E35" i="23"/>
  <c r="E36" i="23"/>
  <c r="F36" i="23" s="1"/>
  <c r="E37" i="23"/>
  <c r="E38" i="23"/>
  <c r="F38" i="23" s="1"/>
  <c r="E39" i="23"/>
  <c r="E40" i="23"/>
  <c r="F40" i="23" s="1"/>
  <c r="E41" i="23"/>
  <c r="F41" i="23" s="1"/>
  <c r="E42" i="23"/>
  <c r="F42" i="23" s="1"/>
  <c r="E43" i="23"/>
  <c r="F43" i="23" s="1"/>
  <c r="E44" i="23"/>
  <c r="E45" i="23"/>
  <c r="F45" i="23" s="1"/>
  <c r="E46" i="23"/>
  <c r="E47" i="23"/>
  <c r="F47" i="23" s="1"/>
  <c r="E48" i="23"/>
  <c r="F48" i="23" s="1"/>
  <c r="E49" i="23"/>
  <c r="F49" i="23" s="1"/>
  <c r="E50" i="23"/>
  <c r="E51" i="23"/>
  <c r="F51" i="23" s="1"/>
  <c r="E52" i="23"/>
  <c r="E53" i="23"/>
  <c r="E54" i="23"/>
  <c r="F54" i="23" s="1"/>
  <c r="E55" i="23"/>
  <c r="E56" i="23"/>
  <c r="F56" i="23" s="1"/>
  <c r="E57" i="23"/>
  <c r="E58" i="23"/>
  <c r="F58" i="23" s="1"/>
  <c r="E59" i="23"/>
  <c r="E60" i="23"/>
  <c r="F60" i="23" s="1"/>
  <c r="E61" i="23"/>
  <c r="F61" i="23" s="1"/>
  <c r="E62" i="23"/>
  <c r="F62" i="23" s="1"/>
  <c r="E63" i="23"/>
  <c r="F63" i="23" s="1"/>
  <c r="E64" i="23"/>
  <c r="E65" i="23"/>
  <c r="F65" i="23" s="1"/>
  <c r="E66" i="23"/>
  <c r="E67" i="23"/>
  <c r="F67" i="23" s="1"/>
  <c r="E68" i="23"/>
  <c r="E69" i="23"/>
  <c r="F69" i="23" s="1"/>
  <c r="F68" i="23" l="1"/>
  <c r="F64" i="23"/>
  <c r="F59" i="23"/>
  <c r="F53" i="23"/>
  <c r="F50" i="23"/>
  <c r="F44" i="23"/>
  <c r="F26" i="23"/>
  <c r="F22" i="23"/>
  <c r="F66" i="23"/>
  <c r="F57" i="23"/>
  <c r="F19" i="23"/>
  <c r="F46" i="23"/>
  <c r="F37" i="23"/>
  <c r="F55" i="23"/>
  <c r="F24" i="23"/>
  <c r="F9" i="23"/>
  <c r="F16" i="23"/>
  <c r="F39" i="23"/>
  <c r="F30" i="23"/>
  <c r="M51" i="40"/>
  <c r="M49" i="40"/>
  <c r="M47" i="40"/>
  <c r="M45" i="40"/>
  <c r="M38" i="40"/>
  <c r="M36" i="40"/>
  <c r="M34" i="40"/>
  <c r="M32" i="40"/>
  <c r="M30" i="40"/>
  <c r="M28" i="40"/>
  <c r="M26" i="40"/>
  <c r="M24" i="40"/>
  <c r="M22" i="40"/>
  <c r="M16" i="40"/>
  <c r="M14" i="40"/>
  <c r="M12" i="40"/>
  <c r="M10" i="40"/>
  <c r="M8" i="40"/>
  <c r="M6" i="40"/>
  <c r="F52" i="23" l="1"/>
  <c r="F35" i="23" s="1"/>
  <c r="F34" i="23" s="1"/>
  <c r="F28" i="23" s="1"/>
  <c r="F14" i="23"/>
  <c r="B2" i="23" l="1"/>
  <c r="P20" i="40" s="1"/>
  <c r="H49" i="40" l="1"/>
  <c r="C49" i="40" s="1"/>
  <c r="E33" i="21" s="1"/>
  <c r="H38" i="40"/>
  <c r="C38" i="40" s="1"/>
  <c r="E14" i="21" s="1"/>
  <c r="H36" i="40"/>
  <c r="C36" i="40" s="1"/>
  <c r="E13" i="21" s="1"/>
  <c r="M2" i="40"/>
  <c r="H2" i="40" s="1"/>
  <c r="C2" i="40" s="1"/>
  <c r="M4" i="40"/>
  <c r="H4" i="40" s="1"/>
  <c r="C4" i="40" s="1"/>
  <c r="E6" i="21" s="1"/>
  <c r="H10" i="40"/>
  <c r="C10" i="40" s="1"/>
  <c r="E8" i="21" s="1"/>
  <c r="H14" i="40"/>
  <c r="C14" i="40" s="1"/>
  <c r="E9" i="21" s="1"/>
  <c r="H16" i="40"/>
  <c r="C16" i="40" s="1"/>
  <c r="E10" i="21" s="1"/>
  <c r="M18" i="40"/>
  <c r="H18" i="40" s="1"/>
  <c r="C18" i="40" s="1"/>
  <c r="M20" i="40"/>
  <c r="M41" i="40"/>
  <c r="H41" i="40" s="1"/>
  <c r="C41" i="40" s="1"/>
  <c r="E30" i="21" s="1"/>
  <c r="M43" i="40"/>
  <c r="H43" i="40" s="1"/>
  <c r="C43" i="40" s="1"/>
  <c r="E31" i="21" s="1"/>
  <c r="M54" i="40"/>
  <c r="H54" i="40" s="1"/>
  <c r="C54" i="40" s="1"/>
  <c r="E44" i="21" s="1"/>
  <c r="M56" i="40"/>
  <c r="H56" i="40" s="1"/>
  <c r="C56" i="40" s="1"/>
  <c r="E45" i="21" s="1"/>
  <c r="E11" i="21" l="1"/>
  <c r="E28" i="21"/>
  <c r="E5" i="21"/>
  <c r="E43" i="21"/>
  <c r="E29" i="21"/>
  <c r="E39" i="21"/>
  <c r="E26" i="21"/>
  <c r="E20" i="21"/>
  <c r="E41" i="21"/>
  <c r="E27" i="21"/>
  <c r="E24" i="21"/>
  <c r="E23" i="21"/>
  <c r="E22" i="21"/>
  <c r="H45" i="40"/>
  <c r="C45" i="40" s="1"/>
  <c r="H20" i="40"/>
  <c r="C20" i="40" s="1"/>
  <c r="H6" i="40"/>
  <c r="C6" i="40" s="1"/>
  <c r="F40" i="40" l="1"/>
  <c r="P40" i="40" s="1"/>
  <c r="M40" i="40" s="1"/>
  <c r="H40" i="40" s="1"/>
  <c r="C40" i="40" s="1"/>
  <c r="E40" i="21"/>
  <c r="E32" i="21"/>
  <c r="E12" i="21"/>
  <c r="E25" i="21"/>
  <c r="E21" i="21"/>
  <c r="E7" i="21"/>
  <c r="E15" i="21" l="1"/>
  <c r="F53" i="40"/>
  <c r="P53" i="40" s="1"/>
  <c r="M53" i="40" s="1"/>
  <c r="H53" i="40" s="1"/>
  <c r="C53" i="40" s="1"/>
  <c r="E38" i="21" s="1"/>
  <c r="E42" i="21"/>
  <c r="E19" i="21"/>
  <c r="E34" i="21" s="1"/>
  <c r="E46" i="21" l="1"/>
  <c r="B1" i="21" s="1"/>
</calcChain>
</file>

<file path=xl/sharedStrings.xml><?xml version="1.0" encoding="utf-8"?>
<sst xmlns="http://schemas.openxmlformats.org/spreadsheetml/2006/main" count="730" uniqueCount="338">
  <si>
    <t>WARNING NOTICE</t>
  </si>
  <si>
    <t>THIS CHECKLIST HAS FORMULAS THAT AUTOMATICALLY CALCULATE SUMMATIONS AND ROLL-UPS OF COMPLIANCE STATE.  THESE FORMULAS MAY HAVE ERRORS THAT HAVE NOT BEEN DETECTED.  PLEASE BE ADVISED THAT DUE TO THE POTENTIAL FOR AN ERROR IT IS RECOMMENDED THAT A MANUAL VERIFICATION BE PERFORMED BY THE PERSON OR ORGANIZATION FILLING OUT THE CHECKLIST TO ENSURE THAT THE CHECKLIST ACCURATELY REFLECTS THE STATE OF COMPLIANCE FOR THE OMS ELEMENT IN QUESTION.</t>
  </si>
  <si>
    <t>Notes for the User:</t>
  </si>
  <si>
    <t>This workbook has protection applied to preserve formulas and cross referencing.</t>
  </si>
  <si>
    <t>User input is only required/allowed in the blue shaded cells of each worksheet, except for the Cover, Abstract and Rev Table, which are user editable.</t>
  </si>
  <si>
    <t>&lt;OPTIONAL: Organization CDRL Number&gt;</t>
  </si>
  <si>
    <t>&lt;OPTIONAL: Organization Logo&gt;</t>
  </si>
  <si>
    <t>Prepared By:</t>
  </si>
  <si>
    <t>&lt;REQUIRED: Organization&gt;</t>
  </si>
  <si>
    <t>&lt;OPTIONAL: Address&gt;</t>
  </si>
  <si>
    <t>&lt; The abstract is REQUIRED and is a brief summary of the document that follows and is used to help the reader quickly ascertain the document's purpose and overall content. &gt;</t>
  </si>
  <si>
    <t>REVISION RECORD</t>
  </si>
  <si>
    <t>DATE</t>
  </si>
  <si>
    <t>DESCRIPTION</t>
  </si>
  <si>
    <t>-</t>
  </si>
  <si>
    <t>Original</t>
  </si>
  <si>
    <t>ABSTRACT</t>
  </si>
  <si>
    <t>REVISION</t>
  </si>
  <si>
    <t>dd-mmm-yy</t>
  </si>
  <si>
    <t>&lt;Select&gt;</t>
  </si>
  <si>
    <t>Level</t>
  </si>
  <si>
    <t>Row</t>
  </si>
  <si>
    <t>N/A</t>
  </si>
  <si>
    <t>AC Met?</t>
  </si>
  <si>
    <t>RQMT ID</t>
  </si>
  <si>
    <t>RQMT Text</t>
  </si>
  <si>
    <t>RQMT Met?</t>
  </si>
  <si>
    <t>Clarification</t>
  </si>
  <si>
    <t>Subordinate RQMTS</t>
  </si>
  <si>
    <t>Sub RQMTS Met?</t>
  </si>
  <si>
    <t>VR List</t>
  </si>
  <si>
    <t>All VRs Met?</t>
  </si>
  <si>
    <t>Verification Requirement (VR)</t>
  </si>
  <si>
    <t>VR Tier</t>
  </si>
  <si>
    <t>Guidance</t>
  </si>
  <si>
    <t>AC List</t>
  </si>
  <si>
    <t>VR Met?</t>
  </si>
  <si>
    <t>Acceptance Criteria (AC)</t>
  </si>
  <si>
    <t>Assessed Article</t>
  </si>
  <si>
    <t>N/A Rationale</t>
  </si>
  <si>
    <t>1, 2, 3</t>
  </si>
  <si>
    <t>(-1)_1</t>
  </si>
  <si>
    <t>AC 2-1 Met?</t>
  </si>
  <si>
    <t>(-3)_1
(-3)_2</t>
  </si>
  <si>
    <t>(-4)_1
(-4)_2</t>
  </si>
  <si>
    <t>(-5)_1
(-5)_2</t>
  </si>
  <si>
    <t>(-6)_1
(-6)_2</t>
  </si>
  <si>
    <t>(-7)_1
(-7)_2</t>
  </si>
  <si>
    <t>AC 7-1 Met?</t>
  </si>
  <si>
    <t>AC 7-2 Met?</t>
  </si>
  <si>
    <t>(-8)_1
(-8)_2</t>
  </si>
  <si>
    <t>AC 8-1 Met?</t>
  </si>
  <si>
    <t>AC 8-2 Met?</t>
  </si>
  <si>
    <t>(-1)</t>
  </si>
  <si>
    <t>(-1)_1
(-1)_2</t>
  </si>
  <si>
    <t>AC 1-2 Met?</t>
  </si>
  <si>
    <t>(-1)
(-2)</t>
  </si>
  <si>
    <t>AC 1-1 Met?</t>
  </si>
  <si>
    <t>(-2)_1
(-2)_2</t>
  </si>
  <si>
    <t>AC 2-2 Met?</t>
  </si>
  <si>
    <t>AC 3-1 Met?</t>
  </si>
  <si>
    <t>AC 3-2 Met?</t>
  </si>
  <si>
    <t>AC 4-1 Met?</t>
  </si>
  <si>
    <t>AC 4-2 Met?</t>
  </si>
  <si>
    <t>AC 5-1 Met?</t>
  </si>
  <si>
    <t>AC 5-2 Met?</t>
  </si>
  <si>
    <t>AC 6-1 Met?</t>
  </si>
  <si>
    <t>AC 6-2 Met?</t>
  </si>
  <si>
    <t>2, 3</t>
  </si>
  <si>
    <t>Tier Compliance at:</t>
  </si>
  <si>
    <t>RQMT Topic</t>
  </si>
  <si>
    <t>Subordinate RQMTs</t>
  </si>
  <si>
    <t>Subordinate RQMTs Topic</t>
  </si>
  <si>
    <t>Document Cybersecurity posture</t>
  </si>
  <si>
    <t>Tier 1 RQMTs Met?</t>
  </si>
  <si>
    <t>Meet Tier 1 Requirements</t>
  </si>
  <si>
    <t>list below</t>
  </si>
  <si>
    <t>Tier 2 RQMTs Met?</t>
  </si>
  <si>
    <t>Meet Tier 2 Requirements</t>
  </si>
  <si>
    <t>Tier 3 RQMTs Met?</t>
  </si>
  <si>
    <t>Compliance</t>
  </si>
  <si>
    <t>Per Template?</t>
  </si>
  <si>
    <t>Compliance Met?</t>
  </si>
  <si>
    <t>Section Rollup</t>
  </si>
  <si>
    <t>Required</t>
  </si>
  <si>
    <t>&lt;REQUIRED: Date as DD Month YYYY&gt;</t>
  </si>
  <si>
    <t>Abstract</t>
  </si>
  <si>
    <t>Open Mission Systems (OMS) is a non-proprietary open architecture for integrating subsystems and services into mission packages.</t>
  </si>
  <si>
    <t>Proprietary Notice: References to external documents that provide for the data in this section may refer to proprietary documents.</t>
  </si>
  <si>
    <t>Table 1.1-1 Reference Documents</t>
  </si>
  <si>
    <t>Proprietary Notice: References to external documents that provide for the data in this section refer only to non-proprietary documents.</t>
  </si>
  <si>
    <t>Table B.0-1 List of Term Definitions</t>
  </si>
  <si>
    <t>Note: Headings are marked "Required" to maintain section numbering; in some cases, the content of the section may be annotated as "Not Applicable".</t>
  </si>
  <si>
    <r>
      <t xml:space="preserve">1           </t>
    </r>
    <r>
      <rPr>
        <b/>
        <sz val="10"/>
        <color rgb="FF000000"/>
        <rFont val="Times New Roman"/>
        <family val="1"/>
      </rPr>
      <t>Overview</t>
    </r>
  </si>
  <si>
    <r>
      <t xml:space="preserve">1.1         </t>
    </r>
    <r>
      <rPr>
        <b/>
        <sz val="10"/>
        <color rgb="FF000000"/>
        <rFont val="Times New Roman"/>
        <family val="1"/>
      </rPr>
      <t>References</t>
    </r>
  </si>
  <si>
    <t xml:space="preserve">Revision Record
</t>
  </si>
  <si>
    <t>STD-000101 Tier 1, 2, 3</t>
  </si>
  <si>
    <t>RQMT STD-000101 [A Tier 1 OMS Mission Package shall provide an OMS Platform assessed to at least Tier 1 compliance.]</t>
  </si>
  <si>
    <t>STD-000101 (-1): This requirement is verified by inspection of compliance artifacts showing that the OMS Mission Package includes an OMS Platform assessed to at least Tier 1 compliance.</t>
  </si>
  <si>
    <t>A complete “as built” version of the information in the Mission Package Worksheet (MPW) per OMSC-TMP-006, is referenced by the “Mission Package Description” section of the MPDD and documents the Tier compliance of the OMS Mission Package and each Platform, Subsystem, Service, and Isolator in the OMS Mission Package.</t>
  </si>
  <si>
    <t>STD-000101 (-1)_1: The MPDD documents that the OMS Mission Package includes an OMS Platform that is at least Tier 1 compliant.</t>
  </si>
  <si>
    <t>Mission Package Description Document (MPDD)</t>
  </si>
  <si>
    <t>STD-000101 (-1)_2: The OMS Platform listed in the MPDD has a Platform Checklist that indicates the Platform is assessed to at least Tier 1 compliance, which is recorded in the [[Tier Compliance]] tab of the Platform Checklist.</t>
  </si>
  <si>
    <t>Platform Checklist</t>
  </si>
  <si>
    <t>STD-009208 Tier 1, 2, 3</t>
  </si>
  <si>
    <t>RQMT STD-009208 [A Tier 1 OMS Mission Package shall contain only OMS Architecture Elements assessed to at least Tier 1 compliance.]</t>
  </si>
  <si>
    <t>In this context, OMS Architecture Elements assessed for compliance in the Mission Package are defined as a Platform, Services, and Subsystems.</t>
  </si>
  <si>
    <t>STD-009208 (-1): This requirement is verified by inspection of compliance artifacts showing that each Platform, Subsystem, and Service included in the OMS Mission Package is assessed to at least Tier 1 compliance.</t>
  </si>
  <si>
    <t>STD-009208 (-1)_1: The MPDD documents that each OMS Architecture Element (Platform, Subsystem, and Service) included in the OMS Mission Package is at least Tier 1 compliant.</t>
  </si>
  <si>
    <t>STD-009208 (-1)_2: Each OMS Architecture Element (Platform, Subsystem, and Service) listed in the MPDD has a corresponding checklist that indicates the OMS Architecture Element is assessed to at least Tier 1 compliance, which is recorded in the [[Tier Compliance]] tab of each checklist.</t>
  </si>
  <si>
    <t>Corresponding Checklist</t>
  </si>
  <si>
    <t>STD-000102 Tier 1, 2, 3</t>
  </si>
  <si>
    <t>RQMT STD-000102 [A Tier 1 OMS Mission Package shall provide at least one applicable Tier 1 compliant Service Capability from the “Service Capability List for Compliance” section.]</t>
  </si>
  <si>
    <t>STD-000102 (-1): This requirement is verified by inspection of the Mission Package Description Document (MPDD), showing that the OMS Mission Package includes one or more Services, described in the “Service Capability List for Compliance,” that are at least Tier 1 compliant.</t>
  </si>
  <si>
    <t>STD-000102 (-1)_1: If the adopting program does not require any Services that are described in the “Service Capability List for Compliance,” then this VR is satisfied.</t>
  </si>
  <si>
    <t>Mission Package Worksheet</t>
  </si>
  <si>
    <t>STD-000102 (-1)_2: The MPDD documents that the OMS Mission Package includes at least one Service from the “Service Capability List for Compliance” that is at least Tier 1 compliant.</t>
  </si>
  <si>
    <t>STD-000102 (-2): If the Mission Package Worksheet per OMSC-TMP-006 from the adopting program requires additional or specific Service capabilities to be at least Tier 1 compliant, then this requirement is verified by inspection of the Mission Package Description Document (MPDD), showing that each additional program-specified Service is at least Tier 1 compliant.</t>
  </si>
  <si>
    <t>STD-000102 (-2)_1: If the adopting program does not require additional or specific Services to be Tier 1 compliant, then this VR is satisfied.</t>
  </si>
  <si>
    <t>STD-000102 (-2)_2: The MPDD shows that each additional Service required by the program to be Tier 1 compliant is documented as being at least Tier 1 compliant.</t>
  </si>
  <si>
    <t>STD-000103 Tier 1, 2, 3</t>
  </si>
  <si>
    <t>RQMT STD-000103 [A Tier 1 OMS Mission Package shall provide at least one applicable Tier 1 compliant Subsystem from the “Subsystem List for Compliance” section.]</t>
  </si>
  <si>
    <t>STD-000103 (-1): This requirement is verified by inspection of the Mission Package Description Document (MPDD), showing that the OMS Mission Package includes one or more Subsystems described in the “Subsystem List for Compliance” that are at least Tier 1 compliant.</t>
  </si>
  <si>
    <t>STD-000103 (-1)_1: If the adopting program does not require any Subsystems described in the “Subsystem List for Compliance,” then this VR is satisfied.</t>
  </si>
  <si>
    <t>STD-000103 (-1)_2: The MPDD documents that the OMS Mission Package includes at least one Subsystem from the “Subsystem List for Compliance” that is at least Tier 1 compliant.</t>
  </si>
  <si>
    <t>STD-000103 (-2): If the Mission Package Worksheet per OMSC-TMP-006 from the adopting program requires additional or specific Subsystems to be at least Tier 1 compliant, then this requirement is verified by inspection of the Mission Package Description Document (MPDD), showing that each additional program-specified Subsystem is at least Tier 1 compliant.</t>
  </si>
  <si>
    <t>STD-000103 (-2)_1: If the adopting program does not require additional or specific Subsystems to be Tier 1 compliant, then this VR is satisfied.</t>
  </si>
  <si>
    <t>STD-000103 (-2)_2: The MPDD shows that each additional Subsystem required by the program to be Tier 1 compliant is documented as being at least Tier 1 compliant.</t>
  </si>
  <si>
    <t>STD-000104 Tier 1, 2, 3</t>
  </si>
  <si>
    <t>RQMT STD-000104 [A Tier 1 OMS Mission Package shall provide at least one Isolator if applicable.]</t>
  </si>
  <si>
    <t>STD-000104 (-1): This requirement is verified by inspection of Mission Package Description Document (MPDD), showing that the OMS Mission Package includes one or more Isolators.</t>
  </si>
  <si>
    <t>STD-000104 (-1)_1: If the Mission Package does not require isolation, then this VR is satisfied.</t>
  </si>
  <si>
    <t>STD-000104 (-1)_2: The MPDD documents that the OMS Mission Package includes at least one Isolator.</t>
  </si>
  <si>
    <t>STD-005004 Tier 1, 2, 3</t>
  </si>
  <si>
    <t>RQMT STD-005004 [A Tier 1 OMS Mission Package shall provide NFS and/or FTP support for the allowed protocols identified in the “Data Transfer Formats, APIs, and Protocols” table.]</t>
  </si>
  <si>
    <t>STD-005004 (-1): This requirement is verified by inspection of the Mission Package Description Document (MPDD), showing where the NFS and/or FTP servers are located within the OMS Mission Package.</t>
  </si>
  <si>
    <t>STD-005004 (-1)_1: The MPDD documents the location of the NFS and/or FTP servers for the Mission Package.</t>
  </si>
  <si>
    <t>STD-005004 (-1)_2: The MPDD identifies the PDD for the Platform or the SDD for the Subsystem that provides the NFS and/or FTP servers for the OMS Mission Package.</t>
  </si>
  <si>
    <t>STD-009924 Tier 1, 2, 3</t>
  </si>
  <si>
    <t>RQMT STD-009924 [A Tier 1 OMS Mission Package shall document its Units of Replaceability in a non-proprietary Mission Package Worksheet in accordance with the OMS Mission Package Worksheet Template.]</t>
  </si>
  <si>
    <t>STD-009924 (-1): This requirement is verified by inspection of the Mission Package Worksheet (MPW) showing that the MPW is complete and complies with the current version of the MPW Template, OMSC-TMP-006, and that the delivered MPW does not include proprietary labels.</t>
  </si>
  <si>
    <t>STD-009924 (-1)_1: The Mission Package Worksheet referenced in the MPDD is complete and complies with the current version of the MPW Template.</t>
  </si>
  <si>
    <t>STD-009924 (-1)_2: The delivered MPW has no proprietary labels applied to any of its pages.</t>
  </si>
  <si>
    <t>STD-008124 Tier 1, 2, 3</t>
  </si>
  <si>
    <t>RQMT STD-008124 [A Tier 1 OMS Mission Package shall be documented in a non-proprietary Mission Package Description Document in accordance with the OMS Mission Package Description Document Template.]</t>
  </si>
  <si>
    <t>STD-008124 (-1): This requirement is verified by inspection of the Mission Package Description Document (MPDD) showing that the MPDD is complete and complies with the current version of the MPDD Template, OMSC-TMP-007 and that the delivered MPDD does not include proprietary labels; inspection results are recorded in the [[MPDD]] tab of the Mission Package Checklist, OMSC-CHK-002.</t>
  </si>
  <si>
    <t>STD-008124 (-1)_1: The [[MPDD]] tab of the Mission Package Checklist shows that the MPDD is complete and complies with the current version of the MPDD Template.</t>
  </si>
  <si>
    <t>Mission Package Checklist</t>
  </si>
  <si>
    <t>STD-008124 (-1)_2: The delivered MPDD has no proprietary labels applied to any of its pages.</t>
  </si>
  <si>
    <t>STD-008124 (-2): This requirement is verified by inspection of the Mission Package Description Document (MPDD) showing that the access control implementation(s) for data transfer are documented.</t>
  </si>
  <si>
    <t>STD-008124 (-2)_1: If access control for data transfer is not required, then this VR is satisfied.</t>
  </si>
  <si>
    <t>STD-008124 (-2)_2: The MPDD documents the access control implementation(s) for data transfer for the Mission Package.</t>
  </si>
  <si>
    <t>STD-008124 (-3): This requirement is verified by inspection of the Mission Package Description Document (MPDD) showing that the information flow control implementation(s) for data transfer are documented.</t>
  </si>
  <si>
    <t>STD-008124 (-3)_1: If information flow control for data transfer is not required, then this VR is satisfied.</t>
  </si>
  <si>
    <t>STD-008124 (-3)_2: The MPDD documents the information flow control implementation(s) for data transfer for the Mission Package.</t>
  </si>
  <si>
    <t>STD-008124 (-4): This requirement is verified by inspection of the Mission Package Description Document (MPDD) showing that the ports and protocols used for data transfer are documented.</t>
  </si>
  <si>
    <t>STD-008124 (-4)_1: If ports or protocols for data transfer are not required, then this VR is satisfied.</t>
  </si>
  <si>
    <t>STD-008124 (-4)_2: The MPDD documents the ports and protocols used for data transfer for the Mission Package.</t>
  </si>
  <si>
    <t>STD-008124 (-5): This requirement is verified by inspection of the Mission Package Description Document (MPDD) showing that that the mechanism for restricting the ports and protocols for data transfer is documented.</t>
  </si>
  <si>
    <t>STD-008124 (-5)_1: If restricting ports or protocols for data transfer is not required, then this VR is satisfied.</t>
  </si>
  <si>
    <t>STD-008124 (-5)_2: The MPDD documents the mechanism for restricting the ports and protocols for data transfer for the Mission Package.</t>
  </si>
  <si>
    <t>STD-008124 (-6): This requirement is verified by inspection of the Mission Package Description Document (MPDD) showing that the identification and authentication implementation(s) for data transfer are documented.</t>
  </si>
  <si>
    <t>STD-008124 (-6)_1: If identification and authentication for data transfer is not required, then this VR is satisfied.</t>
  </si>
  <si>
    <t>STD-008124 (-6)_2: The MPDD documents the identification and authentication implementation(s) for data transfer for the Mission Package.</t>
  </si>
  <si>
    <t>STD-008124 (-7): This requirement is verified by inspection of the Mission Package Description Document (MPDD) showing that the confidentiality implementation(s) for data transfer are documented.</t>
  </si>
  <si>
    <t>STD-008124 (-7)_1: If confidentiality for data transfer is not required, then this VR is satisfied.</t>
  </si>
  <si>
    <t>STD-008124 (-7)_2: The MPDD documents the confidentiality implementation(s) for data transfer for the Mission Package.</t>
  </si>
  <si>
    <t>STD-008124 (-8): This requirement is verified by inspection of the Mission Package Description Document (MPDD) showing that the integrity implementation(s) for data transfer are documented.</t>
  </si>
  <si>
    <t>STD-008124 (-8)_1: If integrity for data transfer is not required, then this VR is satisfied.</t>
  </si>
  <si>
    <t>STD-008124 (-8)_2: The MPDD documents the integrity implementation(s) for data transfer for the Mission Package.</t>
  </si>
  <si>
    <t>STD-010180 Tier 1, 2, 3</t>
  </si>
  <si>
    <t>RQMT STD-010180 [A Tier 1 OMS Mission Package shall document its cybersecurity posture in accordance with the OMS Mission Package Worksheet Template.]</t>
  </si>
  <si>
    <t>STD-010180 (-1): This requirement is verified by inspection of the Mission Package Worksheet (MPW) is complete and complies with the current version of the MPW Template, OMSC-TMP-006, and identifies the CSRC assigned to the Mission Package.</t>
  </si>
  <si>
    <t>STD-010180 (-1)_1: If there is no program-assigned Cybersecurity requirement, this VR is satisfied.</t>
  </si>
  <si>
    <t>STD-010180 (-1)_2: The Mission Package cybersecurity posture is documented in the MPW.</t>
  </si>
  <si>
    <t>STD-009714 Tier 1, 2, 3</t>
  </si>
  <si>
    <t>RQMT STD-009714 [A Tier 1 OMS Mission Package shall document its cybersecurity posture in accordance with the “Cybersecurity Posture” section in the OMS Mission Package Description Document Template.]</t>
  </si>
  <si>
    <t>STD-009714 (-1): This requirement is verified by inspection of the Mission Package Description Document (MPDD) “Cybersecurity Posture” section showing that the Mission Package cybersecurity posture is documented.</t>
  </si>
  <si>
    <t>STD-009714 (-1)_1: If there is no program-assigned Cybersecurity requirement, this VR is satisfied.</t>
  </si>
  <si>
    <t>STD-009714 (-1)_2: The Mission Package cybersecurity posture is documented in the MPDD “Cybersecurity Posture” section.</t>
  </si>
  <si>
    <t>STD-008675 Tier 2, 3</t>
  </si>
  <si>
    <t>RQMT STD-008675 [A Tier 2 OMS Mission Package shall meet Tier 1 Mission Package requirements.]</t>
  </si>
  <si>
    <t>STD-008675 (-1): This requirement is verified by the inspection of compliance artifacts showing the subordinate requirements for RQMT STD-008675 have been met.</t>
  </si>
  <si>
    <t>Tier 2 OMS Mission Packages must meet all Tier 1 OMS Mission Package requirements.</t>
  </si>
  <si>
    <t>STD-008675 (-1)_1: The [[Mission Package RQMT Checklist]] tab of the Mission Package Checklist shows that the subordinate requirements listed in the “Subordinate Requirements” column for RQMT STD-008675 have been met.</t>
  </si>
  <si>
    <t>STD-000107 Tier 2, 3</t>
  </si>
  <si>
    <t>RQMT STD-000107 [A Tier 2 OMS Mission Package shall provide an OMS Platform assessed to at least Tier 2 compliance.]</t>
  </si>
  <si>
    <t>STD-000107 (-1): This requirement is verified by inspection of compliance artifacts showing that the OMS Mission Package includes an OMS Platform assessed to at least Tier 2 compliance.</t>
  </si>
  <si>
    <t>A complete “as built” version of the information in the Mission Package Worksheet (MPW) per OMSC-TMP-006, is referenced by the “Mission Package Description” section of the MPDD showing the Tier compliance of the OMS Mission Package and each Platform, Subsystem, Service, and Isolator in the OMS Mission Package.</t>
  </si>
  <si>
    <t>STD-000107 (-1)_1: The MPDD documents that the OMS Mission Package includes an OMS Platform that is at least Tier 2 compliant.</t>
  </si>
  <si>
    <t>STD-000107 (-1)_2: The OMS Platform listed in the MPDD has a Platform Checklist that indicates the Platform is assessed to at least Tier 2 compliance, which is recorded in the [[Tier Compliance]] tab of the Platform Checklist.</t>
  </si>
  <si>
    <t>STD-009210 Tier 2, 3</t>
  </si>
  <si>
    <t>RQMT STD-009210 [A Tier 2 OMS Mission Package shall contain only OMS Architecture Elements assessed to at least Tier 2 compliance.]</t>
  </si>
  <si>
    <t>In this context, OMS Architecture Elements assessed for compliance in a Mission Package are defined as a Platform, Services, and Subsystems.</t>
  </si>
  <si>
    <t>STD-009210 (-1): This requirement is verified by inspection of compliance artifacts showing that each Platform, Subsystem, and Service included in the OMS Mission Package is assessed to at least Tier 2 compliance.</t>
  </si>
  <si>
    <t>STD-009210 (-1)_1: The MPDD documents that each Platform, Subsystem, and Service included in the OMS Mission Package is at least Tier 2 compliant.</t>
  </si>
  <si>
    <t>STD-009210 (-1)_2: Each OMS Architecture Element (Platform, Subsystem, and Service) listed in the MPDD has a corresponding checklist that indicates the OMS Architecture Element is assessed to at least Tier 2 compliance, which is recorded in the [[Tier Compliance]] tab of each checklist.</t>
  </si>
  <si>
    <t>STD-000108 Tier 2, 3</t>
  </si>
  <si>
    <t>RQMT STD-000108 [A Tier 2 OMS Mission Package shall provide all applicable Service capabilities from the “Service Capability List for Compliance” section at the Tier 2 compliance level.]</t>
  </si>
  <si>
    <t>STD-000108 (-1): This requirement is verified by inspection of the Mission Package Description Document (MPDD), showing that each Service described in the “Service Capability List for Compliance” that is included in the OMS Mission Package is at least Tier 2 compliant.</t>
  </si>
  <si>
    <t>STD-000108 (-1)_1: If the adopting program does not require any Services that are described in the “Service Capability List for Compliance,” then this VR is satisfied.</t>
  </si>
  <si>
    <t>STD-000108 (-1)_2: The MPDD documents that each Service described in the “Service Capability List for Compliance” that is included in the OMS Mission Package is at least Tier 2 compliant.</t>
  </si>
  <si>
    <t>STD-000108 (-2): If the Mission Package Worksheet per OMSC-TMP-006 from the adopting program requires additional and/or specific Services to be at least Tier 2 compliant, then this requirement is verified by inspection of the Mission Package Description Document (MPDD), showing that each additional program-specified Service is at least Tier 2 compliant.</t>
  </si>
  <si>
    <t>STD-000108 (-2)_1: If the adopting program does not require additional or specific Services to be Tier 2 compliant, then this VR is satisfied.</t>
  </si>
  <si>
    <t>STD-000108 (-2)_2: The MPDD shows that each additional Service required by the program to be Tier 2 compliant is documented as being at least Tier 2 compliant.</t>
  </si>
  <si>
    <t>STD-000109 Tier 2, 3</t>
  </si>
  <si>
    <t>RQMT STD-000109 [A Tier 2 OMS Mission Package shall provide all applicable Subsystems from the “Subsystem List for Compliance” section at the Tier 2 compliance level.]</t>
  </si>
  <si>
    <t>STD-000109 (-1): This requirement is verified by inspection of the Mission Package Description Document (MPDD) showing that each Subsystem described in the “Subsystem List for Compliance” that is included in the OMS Mission Package is at least Tier 2 compliant.</t>
  </si>
  <si>
    <t>STD-000109 (-1)_1: If the adopting program does not require any Subsystems that are described in the “Subsystem List for Compliance,” then this VR is satisfied.</t>
  </si>
  <si>
    <t>STD-000109 (-1)_2: The MPDD documents that each Subsystem described in the “Subsystem List for Compliance” that is included in the OMS Mission Package is at least Tier 2 compliant.</t>
  </si>
  <si>
    <t>STD-000109 (-2): If the Mission Package Worksheet per OMSC-TMP-006 from the adopting program requires additional and/or specific Subsystems to be at least Tier 2 compliant, then this requirement is verified by inspection of the Mission Package Description Document (MPDD), showing that each additional program-specified Subsystem is at least Tier 2 compliant.</t>
  </si>
  <si>
    <t>STD-000109 (-2)_1: If the adopting program does not require additional or specific Subsystems to be Tier 2 compliant, then this VR is satisfied.</t>
  </si>
  <si>
    <t>STD-000109 (-2)_2: The MPDD shows that each additional Subsystem required by the program to be Tier 2 compliant is documented as being at least Tier 2 compliant.</t>
  </si>
  <si>
    <t>STD-008676 Tier 3</t>
  </si>
  <si>
    <t>RQMT STD-008676 [A Tier 3 OMS Mission Package shall meet Tier 2 Mission Package requirements.]</t>
  </si>
  <si>
    <t>STD-008676 (-1): This requirement is verified by the inspection of compliance artifacts showing the subordinate requirements for RQMT STD-008676 have been met.</t>
  </si>
  <si>
    <t>Tier 3 OMS Mission Packages must meet all Tier 1 and Tier 2 OMS Mission Package requirements.</t>
  </si>
  <si>
    <t>STD-008676 (-1)_1: The [[Mission Package RQMT Checklist]] tab of the Mission Package Checklist shows that the subordinate requirements listed in the “Subordinate Requirements” column for RQMT STD-008676 have been met.</t>
  </si>
  <si>
    <t>STD-000112 Tier 3</t>
  </si>
  <si>
    <t>RQMT STD-000112 [A Tier 3 OMS Mission Package shall provide an OMS Platform assessed at Tier 3 compliance.]</t>
  </si>
  <si>
    <t>STD-000112 (-1): This requirement is verified by inspection of compliance artifacts showing that the OMS Mission Package includes an OMS Platform assessed at Tier 3 compliance.</t>
  </si>
  <si>
    <t>A complete “as built” version of the information in the Mission Package Worksheet (MPW) per OMSC-TMP-006, is referenced by the “Mission Package Description” section of the MPDD showing the Tier compliance of each Architecture Element in the OMS Mission Package.</t>
  </si>
  <si>
    <t>STD-000112 (-1)_1: The MPDD documents that the OMS Mission Package includes an OMS Platform that is Tier 3 compliant.</t>
  </si>
  <si>
    <t>STD-000112 (-1)_2: The OMS Platform listed in the MPDD has a Platform Checklist that indicates the Platform is assessed at Tier 3 compliance, which is recorded in the [[Tier Compliance]] tab of the Platform Checklist.</t>
  </si>
  <si>
    <t>STD-009212 Tier 3</t>
  </si>
  <si>
    <t>RQMT STD-009212 [A Tier 3 OMS Mission Package shall contain only OMS Architecture Elements assessed at Tier 3 compliance.]</t>
  </si>
  <si>
    <t>STD-009212 (-1): This requirement is verified by inspection of compliance artifacts showing that each Platform, Subsystem, and Service included in the OMS Mission Package is assessed at Tier 3 compliance.</t>
  </si>
  <si>
    <t>STD-009212 (-1)_1: The MPDD documents that each OMS Architecture Element (Platform, Subsystem, and Service) included in the OMS Mission Package is Tier 3 compliant.</t>
  </si>
  <si>
    <t>STD-009212 (-1)_2: Each OMS Architecture Element (Platform, Subsystem, and Service) listed in the MPDD has a corresponding checklist that indicates the OMS Architecture Element is assessed at Tier 3 compliance, which is recorded in the [[Tier Compliance]] tab of each checklist.</t>
  </si>
  <si>
    <t>A complete “as built” version of the information in the Mission Package Worksheet (MPW) per OMSC-TMP-006, is referenced by the “Mission Package Description” section of the MPDD and documents the Tier compliance of the OMS Mission Package and each Platform, Subsystem, Service, and Isolator in the OMS Mission Package.
An OMS Mission Package can only achieve an assessment Tier that is no higher than the lowest tier of the following assessed Architecture Elements in the Mission Package: Platform, Subsystems, and Services.</t>
  </si>
  <si>
    <t>In the context of this requirement, the term “applicable” means those Services that are identified as an OMS Service in the Mission Package Worksheet for a program, that are described in the “Service Capability List for Compliance.” 
If the Mission Package Worksheet for a program does not include any Services that are described in this list, then there are no “applicable” Services and the requirement is satisfied.</t>
  </si>
  <si>
    <t>It is possible that a Tier 1 OMS Mission Package does not include any Services that are described in the “Service Capability List for Compliance.”
If the Mission Package Worksheet provided by the adopting program does not require any Services that are described in the “Service Capability List for Compliance,” then there are no “applicable” Services and the requirement is satisfied.
A complete “as built” version of the information in the Mission Package Worksheet (MPW) per OMSC-TMP-006, is referenced by the “Mission Package Description” section of the MPDD and documents the Tier compliance of the OMS Mission Package and each Platform, Subsystem, Service, and Isolator in the OMS Mission Package.</t>
  </si>
  <si>
    <t>An adopting program may require additional Services from the “Service Capability List for Compliance” to be Tier 1 compliant.
A complete “as built” version of the information in the Mission Package Worksheet (MPW) per OMSC-TMP-006, is referenced by the “Mission Package Description” section of the MPDD and documents the Tier compliance of the OMS Mission Package and each Platform, Subsystem, Service, and Isolator in the OMS Mission Package.</t>
  </si>
  <si>
    <t>In the context of this requirement, the term “applicable” means those Subsystems that are identified as an OMS Subsystem in the Mission Package Worksheet for a program, that are described in the “Subsystem List for Compliance.” 
If the Mission Package Worksheet for a program does not include any Subsystems that are described in this list, then there are no “applicable” Subsystems and the requirement is satisfied.</t>
  </si>
  <si>
    <t>It is possible that a Tier 1 OMS Mission Package does not include any Subsystems that are described in the “Subsystem List for Compliance.”
If the Mission Package Worksheet provided by the adopting program does not include any Subsystems that are described in the “Subsystem List for Compliance,” then there are no “applicable” Subsystems and the requirement is satisfied.
A complete “as built” version of the information in the Mission Package Worksheet (MPW) per OMSC-TMP-006, is referenced by the “Mission Package Description” section of the MPDD and documents the Tier compliance of the OMS Mission Package and each Platform, Subsystem, Service, and Isolator in the OMS Mission Package.</t>
  </si>
  <si>
    <t>An adopting program may require additional Subsystems from the “Subsystem List for Compliance” to be Tier 1 compliant.
A complete “as built” version of the information in the Mission Package Worksheet (MPW) per OMSC-TMP-006, is referenced by the “Mission Package Description” section of the MPDD and documents the Tier compliance of the OMS Mission Package and each Platform, Subsystem, Service, and Isolator in the OMS Mission Package.</t>
  </si>
  <si>
    <t>Not all Mission Packages require isolation. Ground stations, Roll-on/Roll-off systems, ground stations, and lab configurations may not require isolation.
Isolation is required to enforce Safety of Flight, Nuclear, and other flight certifications.</t>
  </si>
  <si>
    <t>This requirement is allocated to the OMS Mission Package to allow for either the OMS Platform or an OMS Subsystem to provide the NFS and/or FTP servers.
The servers are then documented in the Platform Description Document (PDD) or the Subsystem Description Document (SDD) as appropriate.
The MPDD documents the location of the servers and cross references the applicable PDD or SDD.</t>
  </si>
  <si>
    <t>The MPW documents the contents of the Mission Package, including the Mission Package itself as well as every OMS Subsystem, OMS Service, and OMS Isolator in the Mission Package.
“Current Version” in this context refers to the version of the MPW Template specified in the OMS Standard against which compliance is being measured.
Although the MPW may contain references to proprietary documentation, the MPW itself must be non-proprietary.
The MPW documents CSRCs, which are typically assigned by the program. If the Mission Package does not have a program-assigned Cybersecurity requirement, “N/A” is a valid assignment in the CSRC field.</t>
  </si>
  <si>
    <t>(-1)
(-2)
(-3)
(-4)
(-5)
(-6)
(-7)
(-8)</t>
  </si>
  <si>
    <t>“Current Version” in this context refers to the version of the MPDD Template specified in the OMS Standard against which compliance is being measured.
Although the MPDD may contain references to proprietary documentation, the MPDD itself must be non-proprietary.</t>
  </si>
  <si>
    <t>The MPDD documents the “as built” cybersecurity implementation details.
Each VR focuses on a different aspect of cybersecurity.
This information is documented in the “Cybersecurity Access Controls” section of the MPDD.</t>
  </si>
  <si>
    <t>The MPDD documents the “as built” cybersecurity implementation details.
Each VR focuses on a different aspect of cybersecurity.
This information is documented in the “Cybersecurity Flow, Ports and Protocols Restriction Policy” section of the MPDD.</t>
  </si>
  <si>
    <t>The MPDD documents the “as built” cybersecurity implementation details.
Each VR focuses on a different aspect of cybersecurity.
This information is documented in the “Cybersecurity Identification &amp; Authentication Implementation(s)” section of the MPDD.</t>
  </si>
  <si>
    <t>The MPDD documents the “as built” cybersecurity implementation details.
Each VR focuses on a different aspect of cybersecurity.
This information is documented in the “Cybersecurity Confidentiality Implementation(s)” section of the MPDD.</t>
  </si>
  <si>
    <t>The MPDD documents the “as built” cybersecurity implementation details.
Each VR focuses on a different aspect of cybersecurity.
This information is documented in the “Cybersecurity Integrity Implementation(s)” section of the MPDD</t>
  </si>
  <si>
    <t>The cybersecurity posture as defined by the CSRC and described by the CSAs denotes what an OMS Architecture Element achieves as one element within a cyber-contested environment.
The MPW documents the CSRC, which is typically assigned by the program. If the Mission Package does not have a program-assigned Cybersecurity requirement, “N/A” is a valid assignment in the CSRC field.
“Current Version” in this context refers to the version of the MPW Template specified in the OMS Standard against which compliance is being measured.</t>
  </si>
  <si>
    <t>The cybersecurity posture as defined by the CSRC and described by the CSAs denotes what an OMS Architecture Element achieves as one element within a cyber-contested environment.
The “Cybersecurity Posture” section describes the implementation of the cybersecurity posture by OMS Architecture Element and provides additional, unclassified, and/or non-proprietary details relating to the security of the OMS Architecture Element.
The provided OMSC-GDE-003, Cybersecurity Guide, defines the concepts, guidance, and information that OMS Adopting Programs and system designers will utilize to document the cybersecurity posture.</t>
  </si>
  <si>
    <t>A complete "as built” version of the information in the Mission Package Worksheet (MPW) per OMSC-TMP-006, is referenced by the “Mission Package Description” section of the MPDD showing the Tier compliance of the OMS Mission Package and each Platform, Subsystem, Service, and Isolator in the OMS Mission Package.
An OMS Mission Package can only achieve an assessment Tier that is no higher than the lowest tier of the following assessed Architecture Elements in the Mission Package: Platform, Subsystems, and Services.</t>
  </si>
  <si>
    <t>In the context of this requirement, the term “applicable” means those Services that are identified as an OMS Service in the Mission Package Worksheet for the adopting program, that are described in the “Service Capability List for Compliance.”
If an adopting program does not include any Services that are described in this list, then there are no “applicable” Services and the requirement is satisfied.</t>
  </si>
  <si>
    <t>It is possible that a Tier 2 OMS Mission Package does not include any Services that are described in the “Service Capability List for Compliance”
Some Services described in the list may not be applicable to a given Mission Package and are not included.
A complete “as built” version of the information in the Mission Package Worksheet (MPW) per OMSC-TMP-006, is referenced by the “Mission Package Description” section of the MPDD and documents the Tier compliance of each Architecture Element in the OMS Mission Package.</t>
  </si>
  <si>
    <t>An adopting program may require additional or specific Services to be Tier 2 compliant.
A complete “as built” version of the information in the Mission Package Worksheet (MPW) per OMSC-TMP-006, is referenced by the “Mission Package Description” section of the MPDD and documents the Tier compliance of each Architecture Element in the OMS Mission Package.</t>
  </si>
  <si>
    <t>In the context of this requirement, the term “applicable” means those Subsystems that are identified as an OMS Subsystem in the Mission Package Worksheet for the adopting program, that are described in the “Subsystem List for Compliance.”
If an adopting program does not include any Subsystems that are described in this list, then there are no “applicable” Subsystems and the requirement is satisfied.</t>
  </si>
  <si>
    <t>It is possible that a Tier 2 OMS Mission Package does not include any Subsystems that are described in the “Subsystem List for Compliance.”
Some Subsystems described in the list may not be applicable to a given Mission Package and are not included.
A complete “as built” version of the information in the Mission Package Worksheet (MPW) per OMSC-TMP-006, is referenced by the “Mission Package Description” section of the MPDD and documents the Tier compliance of each Architecture Element in the OMS Mission Package.</t>
  </si>
  <si>
    <t>An adopting program may require additional or specific Subsystems to be Tier 2 compliant.
A complete “as built” version of the information in the Mission Package Worksheet (MPW) per OMSC-TMP-006, is referenced by the “Mission Package Description” section of the MPDD and documents the Tier compliance of each Architecture Element in the OMS Mission Package.</t>
  </si>
  <si>
    <t>STD-000107
STD-000108
STD-000109
STD-008675
STD-009210</t>
  </si>
  <si>
    <t>A complete "as built” version of the information in the Mission Package Worksheet (MPW) per OMSC-TMP-006, is referenced by the “Mission Package Description” section of the MPDD showing the Tier compliance of each Architecture Element in the OMS Mission Package.
An OMS Mission Package can only achieve an assessment Tier that is no higher than the lowest tier of the following assessed Architecture Elements in the Mission Package: Platform, Subsystems, and Services.</t>
  </si>
  <si>
    <t>Auto Calculated</t>
  </si>
  <si>
    <t>Mission Package Tier 1 RQMTS</t>
  </si>
  <si>
    <t>Provide Tier 1 Platform</t>
  </si>
  <si>
    <t>Contain Tier 1 Compliance OMS Architecture Elements</t>
  </si>
  <si>
    <t>Provide Tier 1 Service</t>
  </si>
  <si>
    <t>Provide Tier 1 Subsystem</t>
  </si>
  <si>
    <t>Provide Isolator</t>
  </si>
  <si>
    <t>Provide NFS and/or FTP</t>
  </si>
  <si>
    <t>Document Units of Replaceability</t>
  </si>
  <si>
    <t>Mission Package Description Document (MPDD) Required</t>
  </si>
  <si>
    <t>Document Cybersecurity Posture</t>
  </si>
  <si>
    <t>Mission Package Tier 2 RQMTS</t>
  </si>
  <si>
    <t>Provide Tier 2 Platform</t>
  </si>
  <si>
    <t>Contain Tier 2 Compliance OMS Architecture Elements</t>
  </si>
  <si>
    <t>Provide Tier 2 Services</t>
  </si>
  <si>
    <t>Provide Tier 2 Subsystems</t>
  </si>
  <si>
    <t>Mission Package Tier 3 RQMTS</t>
  </si>
  <si>
    <t>Provide Tier 3 Platform</t>
  </si>
  <si>
    <t>Contain Tier 3 Compliance OMS Architecture Elements</t>
  </si>
  <si>
    <t>Mission Package Description Document Template Item</t>
  </si>
  <si>
    <t>&lt;REQUIRED: Mission Package Description Document Title&gt;</t>
  </si>
  <si>
    <t>Proprietary Notice: This document contains only non-proprietary information. Referenced documents conform to the Proprietary Notice statement for each major sub section. References to external documents that provide for the data in this section (i.e., Section 1) refer only to non-proprietary documents.</t>
  </si>
  <si>
    <t>Table 1.2-1 Mission Package Worksheet</t>
  </si>
  <si>
    <t>Table 1.2-2 Units of Replaceability Within the Mission Package Worksheet</t>
  </si>
  <si>
    <t>Table 1.3-1 Data Storage Allocation</t>
  </si>
  <si>
    <t>Table 1.4-1 Open Computing Environment</t>
  </si>
  <si>
    <t>Table 1.5-1 External Interface</t>
  </si>
  <si>
    <t>Figure 2.1-1 OMS Cybersecurity Guidance in Acquisition</t>
  </si>
  <si>
    <t>Table 2.2-1 Mission Package CSRC</t>
  </si>
  <si>
    <t>Table 2.3-1 Applicable System Survivability KPP Prevent CSAs</t>
  </si>
  <si>
    <t>Figure 2.3-1 Security Domain Boundaries</t>
  </si>
  <si>
    <t>Figure 2.3-2 Non-Streaming Data Transfer Information Flow Diagram</t>
  </si>
  <si>
    <t>Table 2.3-2 Non-Streaming Data Transfer Information Flow</t>
  </si>
  <si>
    <t>Figure 2.3-3 Streaming Data Transfer Information Flow Diagram</t>
  </si>
  <si>
    <t>Table 2.3-3 Streaming Data Transfer Information Flow</t>
  </si>
  <si>
    <t>Table 2.3-4 Confidentiality Implementation</t>
  </si>
  <si>
    <t>Table 2.3-5 Ports and Protocol Enforcement Policy</t>
  </si>
  <si>
    <t>Table 2.3-6 Open Ports and Protocols</t>
  </si>
  <si>
    <t>Table 2.3-7 Product/Data and Data Transfer Servers</t>
  </si>
  <si>
    <t>Table 2.3-8 Data Transfer Protocol Identification &amp; Authentication</t>
  </si>
  <si>
    <t>Table 2.3-9 Non-Streaming Data Transfer Access Control Policy</t>
  </si>
  <si>
    <t>Table 2.3-10 Streaming Data Transfer Access Control Policy</t>
  </si>
  <si>
    <t>Table 2.3-11 Integrity Implementation</t>
  </si>
  <si>
    <t>Table 2.3-12 Applicable System Survivability KPP Mitigate CSAs</t>
  </si>
  <si>
    <t>Proprietary Notice: The Security Addendum reference in this section is a non-proprietary document. The Security addendum may contain references to external documents that may be proprietary.</t>
  </si>
  <si>
    <t>Table A.0-1 List of Acronyms and Abbreviation Definitions</t>
  </si>
  <si>
    <r>
      <t xml:space="preserve">1.2         </t>
    </r>
    <r>
      <rPr>
        <b/>
        <sz val="10"/>
        <color rgb="FF000000"/>
        <rFont val="Times New Roman"/>
        <family val="1"/>
      </rPr>
      <t>Mission Package Worksheet</t>
    </r>
  </si>
  <si>
    <r>
      <t xml:space="preserve">1.3         </t>
    </r>
    <r>
      <rPr>
        <b/>
        <sz val="10"/>
        <color rgb="FF000000"/>
        <rFont val="Times New Roman"/>
        <family val="1"/>
      </rPr>
      <t>Mission Package Data Storage</t>
    </r>
  </si>
  <si>
    <r>
      <t xml:space="preserve">1.4         </t>
    </r>
    <r>
      <rPr>
        <b/>
        <sz val="10"/>
        <color rgb="FF000000"/>
        <rFont val="Times New Roman"/>
        <family val="1"/>
      </rPr>
      <t>Mission Package Open Computing Environment (OCE)</t>
    </r>
  </si>
  <si>
    <r>
      <t xml:space="preserve">1.5         </t>
    </r>
    <r>
      <rPr>
        <b/>
        <sz val="10"/>
        <color rgb="FF000000"/>
        <rFont val="Times New Roman"/>
        <family val="1"/>
      </rPr>
      <t>Mission Package External Interface</t>
    </r>
  </si>
  <si>
    <r>
      <t xml:space="preserve">2           </t>
    </r>
    <r>
      <rPr>
        <b/>
        <sz val="10"/>
        <color rgb="FF000000"/>
        <rFont val="Times New Roman"/>
        <family val="1"/>
      </rPr>
      <t>Cybersecurity Posture</t>
    </r>
  </si>
  <si>
    <r>
      <t xml:space="preserve">2.1         </t>
    </r>
    <r>
      <rPr>
        <b/>
        <sz val="10"/>
        <color rgb="FF000000"/>
        <rFont val="Times New Roman"/>
        <family val="1"/>
      </rPr>
      <t>Policy Overview</t>
    </r>
  </si>
  <si>
    <r>
      <t xml:space="preserve">2.2         </t>
    </r>
    <r>
      <rPr>
        <b/>
        <sz val="10"/>
        <color rgb="FF000000"/>
        <rFont val="Times New Roman"/>
        <family val="1"/>
      </rPr>
      <t>CSRC</t>
    </r>
  </si>
  <si>
    <r>
      <t xml:space="preserve">2.3         </t>
    </r>
    <r>
      <rPr>
        <b/>
        <sz val="10"/>
        <color rgb="FF000000"/>
        <rFont val="Times New Roman"/>
        <family val="1"/>
      </rPr>
      <t>Cyber Survivability Attributes (CSAs)</t>
    </r>
  </si>
  <si>
    <r>
      <t xml:space="preserve">2.3.1        </t>
    </r>
    <r>
      <rPr>
        <b/>
        <sz val="10"/>
        <color rgb="FF000000"/>
        <rFont val="Times New Roman"/>
        <family val="1"/>
      </rPr>
      <t>Prevent CSAs</t>
    </r>
  </si>
  <si>
    <r>
      <t xml:space="preserve">2.3.1.1       </t>
    </r>
    <r>
      <rPr>
        <b/>
        <sz val="10"/>
        <color rgb="FF000000"/>
        <rFont val="Times New Roman"/>
        <family val="1"/>
      </rPr>
      <t>Security Domain Definition</t>
    </r>
  </si>
  <si>
    <r>
      <t xml:space="preserve">2.3.1.2       </t>
    </r>
    <r>
      <rPr>
        <b/>
        <sz val="10"/>
        <color rgb="FF000000"/>
        <rFont val="Times New Roman"/>
        <family val="1"/>
      </rPr>
      <t>Cybersecurity Flow Description</t>
    </r>
  </si>
  <si>
    <r>
      <t xml:space="preserve">2.3.1.3       </t>
    </r>
    <r>
      <rPr>
        <b/>
        <sz val="10"/>
        <color rgb="FF000000"/>
        <rFont val="Times New Roman"/>
        <family val="1"/>
      </rPr>
      <t>Cybersecurity Confidentiality Implementation(s)</t>
    </r>
  </si>
  <si>
    <r>
      <t xml:space="preserve">2.3.1.4       </t>
    </r>
    <r>
      <rPr>
        <b/>
        <sz val="10"/>
        <color rgb="FF000000"/>
        <rFont val="Times New Roman"/>
        <family val="1"/>
      </rPr>
      <t>Cybersecurity Flow, Ports, and Protocols Restriction Policy</t>
    </r>
  </si>
  <si>
    <r>
      <t xml:space="preserve">2.3.1.5       </t>
    </r>
    <r>
      <rPr>
        <b/>
        <sz val="10"/>
        <color rgb="FF000000"/>
        <rFont val="Times New Roman"/>
        <family val="1"/>
      </rPr>
      <t>Cybersecurity Identification &amp; Authentication Implementation(s)</t>
    </r>
  </si>
  <si>
    <r>
      <t xml:space="preserve">2.3.1.6       </t>
    </r>
    <r>
      <rPr>
        <b/>
        <sz val="10"/>
        <color rgb="FF000000"/>
        <rFont val="Times New Roman"/>
        <family val="1"/>
      </rPr>
      <t>Cybersecurity Access Controls</t>
    </r>
  </si>
  <si>
    <r>
      <t xml:space="preserve">2.3.1.6.1      </t>
    </r>
    <r>
      <rPr>
        <b/>
        <i/>
        <sz val="10"/>
        <color rgb="FF000000"/>
        <rFont val="Times New Roman"/>
        <family val="1"/>
      </rPr>
      <t>Non-Streaming Data Transfer Access Controls</t>
    </r>
  </si>
  <si>
    <r>
      <t xml:space="preserve">2.3.1.6.2      </t>
    </r>
    <r>
      <rPr>
        <b/>
        <i/>
        <sz val="10"/>
        <color rgb="FF000000"/>
        <rFont val="Times New Roman"/>
        <family val="1"/>
      </rPr>
      <t>Streaming Data Transfer Access Controls</t>
    </r>
  </si>
  <si>
    <r>
      <t xml:space="preserve">2.3.1.7       </t>
    </r>
    <r>
      <rPr>
        <b/>
        <sz val="10"/>
        <color rgb="FF000000"/>
        <rFont val="Times New Roman"/>
        <family val="1"/>
      </rPr>
      <t>Cybersecurity Integrity Implementation(s)</t>
    </r>
  </si>
  <si>
    <r>
      <t xml:space="preserve">2.3.2        </t>
    </r>
    <r>
      <rPr>
        <b/>
        <sz val="10"/>
        <color rgb="FF000000"/>
        <rFont val="Times New Roman"/>
        <family val="1"/>
      </rPr>
      <t>Mitigate CSAs</t>
    </r>
  </si>
  <si>
    <r>
      <t xml:space="preserve">2.3.3        </t>
    </r>
    <r>
      <rPr>
        <b/>
        <sz val="10"/>
        <color rgb="FF000000"/>
        <rFont val="Times New Roman"/>
        <family val="1"/>
      </rPr>
      <t>Recover CSA</t>
    </r>
  </si>
  <si>
    <r>
      <t xml:space="preserve">2.3.4        </t>
    </r>
    <r>
      <rPr>
        <b/>
        <sz val="10"/>
        <color rgb="FF000000"/>
        <rFont val="Times New Roman"/>
        <family val="1"/>
      </rPr>
      <t>Adapt CSA</t>
    </r>
  </si>
  <si>
    <r>
      <t xml:space="preserve">2.4         </t>
    </r>
    <r>
      <rPr>
        <b/>
        <sz val="10"/>
        <color rgb="FF000000"/>
        <rFont val="Times New Roman"/>
        <family val="1"/>
      </rPr>
      <t>Cyber Survivability Rationale</t>
    </r>
  </si>
  <si>
    <r>
      <t xml:space="preserve">3           </t>
    </r>
    <r>
      <rPr>
        <b/>
        <sz val="10"/>
        <color rgb="FF000000"/>
        <rFont val="Times New Roman"/>
        <family val="1"/>
      </rPr>
      <t>Security Addendum</t>
    </r>
  </si>
  <si>
    <r>
      <t xml:space="preserve">4           </t>
    </r>
    <r>
      <rPr>
        <b/>
        <sz val="10"/>
        <color rgb="FF000000"/>
        <rFont val="Times New Roman"/>
        <family val="1"/>
      </rPr>
      <t>Appendix A Acronyms and Abbreviations</t>
    </r>
  </si>
  <si>
    <r>
      <t xml:space="preserve">5           </t>
    </r>
    <r>
      <rPr>
        <b/>
        <sz val="10"/>
        <color rgb="FF000000"/>
        <rFont val="Times New Roman"/>
        <family val="1"/>
      </rPr>
      <t>Appendix B Glossary</t>
    </r>
  </si>
  <si>
    <t>STD-000101
STD-000102
STD-000103
STD-000104
STD-005004
STD-008124
STD-009208
STD-009714
STD-009924
STD-010180</t>
  </si>
  <si>
    <t>&lt;REQUIRED: MISSION PACKAGE CHECKLIST TITLE&gt;</t>
  </si>
  <si>
    <t xml:space="preserve">&lt; Before attempting to fill out this checklist, the Mission Package compliance assessor should have access to the referenced Mission Package Worksheet (MPW) and Mission Package Description Document (MPDD) for the Mission Package, as well as the individual checklists for the Platform, Subsystems, Services, and Isolators in the Mission Package. &gt; </t>
  </si>
  <si>
    <t>DISCLAIMER: The discussion of non-federal entities, methods, products, or services does not imply any endorsement by the United States Government, the Department of Defense, or the Department of the Air Force.</t>
  </si>
  <si>
    <t>Distribution Statement A. Approved for public release: distribution is unlimited.</t>
  </si>
  <si>
    <t>This Mission Package Checklist complies with the OMS Standard Version 2.5, OMSC-STD-001, Revision M, 22 January 2026.</t>
  </si>
  <si>
    <t>Mission Package Description Document Compliant to OMSC-TMP-007, Revision I, dated 22 January 2026?</t>
  </si>
  <si>
    <t xml:space="preserve">This Mission Package Description Document (MPDD) complies with the Mission Package Description Document (MPDD) Template, OMSC-TMP-007, Revision I, dated 22 January 2026. </t>
  </si>
  <si>
    <t>The template is prescribed by the OMS Standard Version 2.5, OMSC-STD-001, Revision M, dated 22 January 2026.</t>
  </si>
  <si>
    <t>Required statements (may be more restrictive):
DISCLAIMER: The discussion of non-federal entities, methods, products, or services does not imply any endorsement by the United States Government, the Department of Defense, or the Department of the Air Force.
Distribution Statement A. Approved for public release: distribution is unlimited.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</si>
</sst>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color theme="1"/>
      <name val="Times New Roman"/>
      <family val="1"/>
    </font>
    <font>
      <sz val="12"/>
      <color theme="1"/>
      <name val="Times New Roman"/>
      <family val="1"/>
    </font>
    <font>
      <sz val="12"/>
      <color rgb="FFFF0000"/>
      <name val="Times New Roman"/>
      <family val="1"/>
    </font>
    <font>
      <b/>
      <sz val="12"/>
      <color theme="1"/>
      <name val="Times New Roman"/>
      <family val="1"/>
    </font>
    <font>
      <b/>
      <sz val="12"/>
      <color rgb="FF00B050"/>
      <name val="Times New Roman"/>
      <family val="1"/>
    </font>
    <font>
      <sz val="12"/>
      <color rgb="FF00B050"/>
      <name val="Times New Roman"/>
      <family val="1"/>
    </font>
    <font>
      <b/>
      <sz val="10"/>
      <color theme="1"/>
      <name val="Times New Roman"/>
      <family val="1"/>
    </font>
    <font>
      <sz val="10"/>
      <color theme="1"/>
      <name val="Calibri"/>
      <family val="2"/>
      <scheme val="minor"/>
    </font>
    <font>
      <sz val="10"/>
      <color rgb="FF000000"/>
      <name val="Times New Roman"/>
      <family val="1"/>
    </font>
    <font>
      <sz val="10"/>
      <color rgb="FF00B050"/>
      <name val="Times New Roman"/>
      <family val="1"/>
    </font>
    <font>
      <sz val="10"/>
      <name val="Times New Roman"/>
      <family val="1"/>
    </font>
    <font>
      <sz val="10"/>
      <color theme="1"/>
      <name val="Times New Roman"/>
      <family val="2"/>
    </font>
    <font>
      <b/>
      <sz val="10"/>
      <color rgb="FF000000"/>
      <name val="Times New Roman"/>
      <family val="1"/>
    </font>
    <font>
      <b/>
      <sz val="10"/>
      <color theme="1"/>
      <name val="Cambria"/>
      <family val="1"/>
    </font>
    <font>
      <b/>
      <i/>
      <sz val="10"/>
      <color theme="1"/>
      <name val="Times New Roman"/>
      <family val="1"/>
    </font>
    <font>
      <b/>
      <i/>
      <sz val="10"/>
      <color rgb="FF000000"/>
      <name val="Times New Roman"/>
      <family val="1"/>
    </font>
  </fonts>
  <fills count="3">
    <fill>
      <patternFill patternType="none"/>
    </fill>
    <fill>
      <patternFill patternType="gray125"/>
    </fill>
    <fill>
      <patternFill patternType="solid">
        <fgColor rgb="FF9BC2E6"/>
        <bgColor indexed="64"/>
      </patternFill>
    </fill>
  </fills>
  <borders count="21">
    <border>
      <left/>
      <right/>
      <top/>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style="medium">
        <color rgb="FF000000"/>
      </top>
      <bottom/>
      <diagonal/>
    </border>
    <border>
      <left/>
      <right/>
      <top/>
      <bottom style="medium">
        <color rgb="FF000000"/>
      </bottom>
      <diagonal/>
    </border>
    <border>
      <left/>
      <right/>
      <top style="medium">
        <color rgb="FF000000"/>
      </top>
      <bottom style="medium">
        <color rgb="FF000000"/>
      </bottom>
      <diagonal/>
    </border>
    <border>
      <left style="medium">
        <color rgb="FF400040"/>
      </left>
      <right style="medium">
        <color rgb="FF400040"/>
      </right>
      <top style="medium">
        <color rgb="FF400040"/>
      </top>
      <bottom style="medium">
        <color rgb="FF400040"/>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top/>
      <bottom/>
      <diagonal/>
    </border>
    <border>
      <left/>
      <right/>
      <top style="medium">
        <color rgb="FF000000"/>
      </top>
      <bottom/>
      <diagonal/>
    </border>
  </borders>
  <cellStyleXfs count="2">
    <xf numFmtId="0" fontId="0" fillId="0" borderId="0"/>
    <xf numFmtId="0" fontId="12" fillId="0" borderId="0"/>
  </cellStyleXfs>
  <cellXfs count="89">
    <xf numFmtId="0" fontId="0" fillId="0" borderId="0" xfId="0"/>
    <xf numFmtId="0" fontId="2" fillId="0" borderId="0" xfId="0" applyFont="1" applyAlignment="1">
      <alignment vertical="center" wrapText="1"/>
    </xf>
    <xf numFmtId="0" fontId="2" fillId="0" borderId="2" xfId="0" applyFont="1" applyBorder="1" applyAlignment="1">
      <alignment vertical="center" wrapText="1"/>
    </xf>
    <xf numFmtId="0" fontId="3" fillId="0" borderId="3" xfId="0" applyFont="1" applyBorder="1" applyAlignment="1">
      <alignment vertical="center" wrapText="1"/>
    </xf>
    <xf numFmtId="0" fontId="4" fillId="0" borderId="0" xfId="0" applyFont="1" applyAlignment="1">
      <alignment vertical="center" wrapText="1"/>
    </xf>
    <xf numFmtId="0" fontId="10" fillId="0" borderId="0" xfId="0" applyFont="1" applyAlignment="1" applyProtection="1">
      <alignment vertical="center" wrapText="1"/>
      <protection locked="0"/>
    </xf>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2" fillId="0" borderId="0" xfId="0" applyFont="1" applyAlignment="1" applyProtection="1">
      <alignment vertical="center" wrapText="1"/>
      <protection locked="0"/>
    </xf>
    <xf numFmtId="0" fontId="8" fillId="0" borderId="0" xfId="0" applyFont="1" applyProtection="1">
      <protection locked="0"/>
    </xf>
    <xf numFmtId="0" fontId="1" fillId="0" borderId="0" xfId="0" applyFont="1" applyAlignment="1" applyProtection="1">
      <alignment vertical="center" wrapText="1"/>
      <protection locked="0"/>
    </xf>
    <xf numFmtId="0" fontId="7" fillId="0" borderId="0" xfId="0" applyFont="1" applyAlignment="1">
      <alignment horizontal="center" vertical="center" wrapText="1"/>
    </xf>
    <xf numFmtId="0" fontId="1" fillId="0" borderId="0" xfId="0" applyFont="1" applyAlignment="1">
      <alignment vertical="center" wrapText="1"/>
    </xf>
    <xf numFmtId="0" fontId="1" fillId="0" borderId="6" xfId="0" applyFont="1" applyBorder="1" applyAlignment="1" applyProtection="1">
      <alignment horizontal="center" vertical="center" wrapText="1"/>
      <protection locked="0"/>
    </xf>
    <xf numFmtId="0" fontId="10" fillId="0" borderId="7" xfId="0" applyFont="1" applyBorder="1" applyAlignment="1" applyProtection="1">
      <alignment vertical="center" wrapText="1"/>
      <protection locked="0"/>
    </xf>
    <xf numFmtId="0" fontId="1" fillId="0" borderId="7" xfId="0" applyFont="1" applyBorder="1" applyAlignment="1" applyProtection="1">
      <alignment vertical="center" wrapText="1"/>
      <protection locked="0"/>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5" xfId="0" applyFont="1" applyBorder="1" applyAlignment="1">
      <alignment vertical="center" wrapText="1"/>
    </xf>
    <xf numFmtId="0" fontId="0" fillId="0" borderId="0" xfId="0" applyAlignment="1">
      <alignment horizontal="left" vertical="top"/>
    </xf>
    <xf numFmtId="0" fontId="0" fillId="0" borderId="0" xfId="0" applyAlignment="1">
      <alignment horizontal="center" vertical="top"/>
    </xf>
    <xf numFmtId="15" fontId="10" fillId="0" borderId="7" xfId="0" applyNumberFormat="1" applyFont="1" applyBorder="1" applyAlignment="1" applyProtection="1">
      <alignment horizontal="center" vertical="center" wrapText="1"/>
      <protection locked="0"/>
    </xf>
    <xf numFmtId="15" fontId="1" fillId="0" borderId="7" xfId="0" applyNumberFormat="1"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0" fontId="1" fillId="0" borderId="0" xfId="0" applyFont="1" applyAlignment="1">
      <alignment horizontal="left" vertical="top" wrapText="1"/>
    </xf>
    <xf numFmtId="0" fontId="0" fillId="0" borderId="0" xfId="0" applyAlignment="1">
      <alignment wrapText="1"/>
    </xf>
    <xf numFmtId="0" fontId="1" fillId="0" borderId="0" xfId="0" applyFont="1" applyAlignment="1">
      <alignment horizontal="center" vertical="top" wrapText="1"/>
    </xf>
    <xf numFmtId="49" fontId="0" fillId="0" borderId="0" xfId="0" applyNumberFormat="1" applyAlignment="1">
      <alignment horizontal="center" vertical="top"/>
    </xf>
    <xf numFmtId="0" fontId="8" fillId="0" borderId="0" xfId="0" applyFont="1" applyAlignment="1" applyProtection="1">
      <alignment wrapText="1"/>
      <protection locked="0"/>
    </xf>
    <xf numFmtId="0" fontId="7" fillId="0" borderId="8" xfId="0" applyFont="1" applyBorder="1" applyAlignment="1">
      <alignment horizontal="center" vertical="top" wrapText="1"/>
    </xf>
    <xf numFmtId="0" fontId="7" fillId="0" borderId="8" xfId="0" applyFont="1" applyBorder="1" applyAlignment="1">
      <alignment horizontal="left" vertical="top" wrapText="1"/>
    </xf>
    <xf numFmtId="0" fontId="1" fillId="0" borderId="7" xfId="0" applyFont="1" applyBorder="1" applyAlignment="1">
      <alignment vertical="center" wrapText="1"/>
    </xf>
    <xf numFmtId="0" fontId="1" fillId="0" borderId="6" xfId="0" applyFont="1" applyBorder="1" applyAlignment="1">
      <alignment vertical="center" wrapText="1"/>
    </xf>
    <xf numFmtId="0" fontId="7" fillId="0" borderId="13"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4" xfId="0" applyFont="1" applyBorder="1" applyAlignment="1">
      <alignment vertical="center" wrapText="1"/>
    </xf>
    <xf numFmtId="0" fontId="1" fillId="0" borderId="14" xfId="0" applyFont="1" applyBorder="1" applyAlignment="1">
      <alignment vertical="center" wrapText="1"/>
    </xf>
    <xf numFmtId="0" fontId="7" fillId="0" borderId="11" xfId="0" applyFont="1" applyBorder="1" applyAlignment="1">
      <alignment vertical="center" wrapText="1"/>
    </xf>
    <xf numFmtId="0" fontId="14" fillId="0" borderId="8" xfId="0" applyFont="1" applyBorder="1" applyAlignment="1">
      <alignment vertical="center" wrapText="1"/>
    </xf>
    <xf numFmtId="0" fontId="7" fillId="0" borderId="15" xfId="0" applyFont="1" applyBorder="1" applyAlignment="1">
      <alignment vertical="center" wrapText="1"/>
    </xf>
    <xf numFmtId="0" fontId="1" fillId="0" borderId="0" xfId="0" applyFont="1" applyBorder="1" applyAlignment="1">
      <alignment vertical="center" wrapText="1"/>
    </xf>
    <xf numFmtId="0" fontId="14" fillId="0" borderId="12" xfId="0" applyFont="1" applyBorder="1" applyAlignment="1">
      <alignment vertical="center" wrapText="1"/>
    </xf>
    <xf numFmtId="0" fontId="7" fillId="0" borderId="13" xfId="0" applyFont="1" applyBorder="1" applyAlignment="1">
      <alignment vertical="center" wrapText="1"/>
    </xf>
    <xf numFmtId="0" fontId="13" fillId="0" borderId="4" xfId="0" applyFont="1" applyBorder="1" applyAlignment="1">
      <alignment vertical="center" wrapText="1"/>
    </xf>
    <xf numFmtId="0" fontId="9" fillId="0" borderId="16" xfId="0" applyFont="1" applyBorder="1" applyAlignment="1">
      <alignment vertical="center" wrapText="1"/>
    </xf>
    <xf numFmtId="0" fontId="9" fillId="0" borderId="8" xfId="0" applyFont="1" applyBorder="1" applyAlignment="1">
      <alignment horizontal="left" vertical="top" wrapText="1"/>
    </xf>
    <xf numFmtId="0" fontId="15" fillId="0" borderId="8" xfId="0" applyFont="1" applyBorder="1" applyAlignment="1">
      <alignment horizontal="left" vertical="top" wrapText="1"/>
    </xf>
    <xf numFmtId="0" fontId="1" fillId="0" borderId="8" xfId="0" applyFont="1" applyBorder="1" applyAlignment="1">
      <alignment horizontal="left" vertical="top" wrapText="1"/>
    </xf>
    <xf numFmtId="0" fontId="7" fillId="0" borderId="8" xfId="0" applyFont="1" applyBorder="1" applyAlignment="1">
      <alignment vertical="center" wrapText="1"/>
    </xf>
    <xf numFmtId="0" fontId="1" fillId="0" borderId="8" xfId="0" applyFont="1" applyBorder="1" applyAlignment="1">
      <alignment vertical="center" wrapText="1"/>
    </xf>
    <xf numFmtId="0" fontId="1" fillId="0" borderId="8" xfId="0" applyFont="1" applyBorder="1" applyAlignment="1">
      <alignment horizontal="center" vertical="center" wrapText="1"/>
    </xf>
    <xf numFmtId="0" fontId="7" fillId="0" borderId="8" xfId="0" applyFont="1" applyBorder="1" applyAlignment="1">
      <alignment horizontal="center" vertical="center" wrapText="1"/>
    </xf>
    <xf numFmtId="0" fontId="7" fillId="0" borderId="0" xfId="0" applyFont="1" applyAlignment="1">
      <alignment horizontal="right" vertical="center"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7" fillId="0" borderId="7" xfId="0" applyFont="1" applyBorder="1" applyAlignment="1">
      <alignment horizontal="center" vertical="top" wrapText="1"/>
    </xf>
    <xf numFmtId="0" fontId="1" fillId="0" borderId="7" xfId="0" applyFont="1" applyBorder="1" applyAlignment="1">
      <alignment horizontal="center" vertical="top" wrapText="1"/>
    </xf>
    <xf numFmtId="0" fontId="1" fillId="0" borderId="14" xfId="0" applyFont="1" applyBorder="1" applyAlignment="1">
      <alignment horizontal="center" vertical="top" wrapText="1"/>
    </xf>
    <xf numFmtId="0" fontId="1" fillId="0" borderId="8" xfId="0" applyFont="1" applyBorder="1" applyAlignment="1">
      <alignment horizontal="center" vertical="top" wrapText="1"/>
    </xf>
    <xf numFmtId="0" fontId="1" fillId="2" borderId="7" xfId="0" applyFont="1" applyFill="1" applyBorder="1" applyAlignment="1" applyProtection="1">
      <alignment horizontal="left" vertical="top" wrapText="1"/>
      <protection locked="0"/>
    </xf>
    <xf numFmtId="0" fontId="7" fillId="0" borderId="20" xfId="0" applyFont="1" applyBorder="1" applyAlignment="1">
      <alignment horizontal="right" vertical="center" wrapText="1"/>
    </xf>
    <xf numFmtId="0" fontId="9" fillId="0" borderId="7" xfId="0" applyFont="1" applyBorder="1" applyAlignment="1">
      <alignment horizontal="center" vertical="center" wrapText="1"/>
    </xf>
    <xf numFmtId="0" fontId="9" fillId="2" borderId="8" xfId="0" applyFont="1" applyFill="1" applyBorder="1" applyAlignment="1" applyProtection="1">
      <alignment horizontal="center" vertical="top" wrapText="1"/>
      <protection locked="0"/>
    </xf>
    <xf numFmtId="0" fontId="1" fillId="2" borderId="8" xfId="0" applyFont="1" applyFill="1" applyBorder="1" applyAlignment="1" applyProtection="1">
      <alignment vertical="top" wrapText="1"/>
      <protection locked="0"/>
    </xf>
    <xf numFmtId="0" fontId="9" fillId="2" borderId="8" xfId="0" applyFont="1" applyFill="1" applyBorder="1" applyAlignment="1" applyProtection="1">
      <alignment horizontal="center" vertical="center" wrapText="1"/>
      <protection locked="0"/>
    </xf>
    <xf numFmtId="0" fontId="11" fillId="0" borderId="0" xfId="0" applyFont="1" applyAlignment="1">
      <alignment vertical="center" wrapText="1"/>
    </xf>
    <xf numFmtId="0" fontId="7" fillId="0" borderId="0" xfId="0" applyFont="1" applyAlignment="1">
      <alignment horizontal="center" vertical="center" wrapText="1"/>
    </xf>
    <xf numFmtId="0" fontId="1" fillId="0" borderId="8" xfId="0" applyFont="1" applyBorder="1" applyAlignment="1">
      <alignment horizontal="left" vertical="top" wrapText="1"/>
    </xf>
    <xf numFmtId="0" fontId="1" fillId="0" borderId="8" xfId="0" applyFont="1" applyBorder="1" applyAlignment="1">
      <alignment horizontal="center" vertical="top" wrapText="1"/>
    </xf>
    <xf numFmtId="0" fontId="7" fillId="0" borderId="8" xfId="0" applyFont="1" applyBorder="1" applyAlignment="1">
      <alignment horizontal="center" vertical="top" wrapText="1"/>
    </xf>
    <xf numFmtId="0" fontId="7" fillId="0" borderId="9" xfId="0" applyFont="1" applyBorder="1" applyAlignment="1">
      <alignment horizontal="center" vertical="top" wrapText="1"/>
    </xf>
    <xf numFmtId="0" fontId="7" fillId="0" borderId="10" xfId="0" applyFont="1" applyBorder="1" applyAlignment="1">
      <alignment horizontal="center" vertical="top" wrapText="1"/>
    </xf>
    <xf numFmtId="0" fontId="1" fillId="0" borderId="11" xfId="0" applyFont="1" applyBorder="1" applyAlignment="1">
      <alignment horizontal="left" vertical="top" wrapText="1"/>
    </xf>
    <xf numFmtId="0" fontId="1" fillId="0" borderId="6" xfId="0" applyFont="1" applyBorder="1" applyAlignment="1">
      <alignment horizontal="left" vertical="top" wrapText="1"/>
    </xf>
    <xf numFmtId="0" fontId="7" fillId="0" borderId="11" xfId="0" applyFont="1" applyBorder="1" applyAlignment="1">
      <alignment horizontal="center" vertical="top" wrapText="1"/>
    </xf>
    <xf numFmtId="0" fontId="7" fillId="0" borderId="6" xfId="0" applyFont="1" applyBorder="1" applyAlignment="1">
      <alignment horizontal="center" vertical="top" wrapText="1"/>
    </xf>
    <xf numFmtId="0" fontId="1" fillId="0" borderId="11" xfId="0" applyFont="1" applyBorder="1" applyAlignment="1">
      <alignment horizontal="center" vertical="top" wrapText="1"/>
    </xf>
    <xf numFmtId="0" fontId="1" fillId="0" borderId="6"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12" xfId="0" applyFont="1" applyBorder="1" applyAlignment="1">
      <alignment horizontal="left" vertical="top" wrapText="1"/>
    </xf>
    <xf numFmtId="0" fontId="7" fillId="0" borderId="12" xfId="0" applyFont="1" applyBorder="1" applyAlignment="1">
      <alignment horizontal="center" vertical="top" wrapText="1"/>
    </xf>
    <xf numFmtId="0" fontId="1" fillId="0" borderId="12" xfId="0" applyFont="1" applyBorder="1" applyAlignment="1">
      <alignment horizontal="center" vertical="top" wrapText="1"/>
    </xf>
    <xf numFmtId="0" fontId="1" fillId="0" borderId="19" xfId="0" applyFont="1" applyBorder="1" applyAlignment="1">
      <alignment horizontal="center" vertical="top" wrapText="1"/>
    </xf>
    <xf numFmtId="0" fontId="9" fillId="2" borderId="8" xfId="0" applyFont="1" applyFill="1" applyBorder="1" applyAlignment="1" applyProtection="1">
      <alignment horizontal="center" vertical="top" wrapText="1"/>
    </xf>
    <xf numFmtId="0" fontId="1" fillId="2" borderId="7" xfId="0" applyFont="1" applyFill="1" applyBorder="1" applyAlignment="1" applyProtection="1">
      <alignment horizontal="left" vertical="top" wrapText="1"/>
    </xf>
  </cellXfs>
  <cellStyles count="2">
    <cellStyle name="Normal" xfId="0" builtinId="0"/>
    <cellStyle name="Normal 2" xfId="1" xr:uid="{00000000-0005-0000-0000-000001000000}"/>
  </cellStyles>
  <dxfs count="33">
    <dxf>
      <font>
        <b/>
        <i val="0"/>
        <color rgb="FF00B050"/>
      </font>
      <fill>
        <patternFill>
          <bgColor theme="0"/>
        </patternFill>
      </fill>
    </dxf>
    <dxf>
      <font>
        <b/>
        <i val="0"/>
        <color rgb="FFFF0000"/>
      </font>
      <fill>
        <patternFill>
          <bgColor theme="0"/>
        </patternFill>
      </fill>
    </dxf>
    <dxf>
      <font>
        <b/>
        <i val="0"/>
        <color auto="1"/>
      </font>
      <fill>
        <patternFill>
          <bgColor theme="0"/>
        </patternFill>
      </fill>
    </dxf>
    <dxf>
      <font>
        <b val="0"/>
        <i val="0"/>
      </font>
      <fill>
        <patternFill patternType="none">
          <bgColor auto="1"/>
        </patternFill>
      </fill>
    </dxf>
    <dxf>
      <font>
        <b/>
        <i val="0"/>
        <color rgb="FF00B050"/>
      </font>
      <fill>
        <patternFill>
          <bgColor theme="0"/>
        </patternFill>
      </fill>
    </dxf>
    <dxf>
      <font>
        <b/>
        <i val="0"/>
        <color rgb="FFFF0000"/>
      </font>
      <fill>
        <patternFill>
          <bgColor theme="0"/>
        </patternFill>
      </fill>
    </dxf>
    <dxf>
      <font>
        <b/>
        <i val="0"/>
        <color auto="1"/>
      </font>
      <fill>
        <patternFill>
          <bgColor theme="0"/>
        </patternFill>
      </fill>
    </dxf>
    <dxf>
      <font>
        <b/>
        <i val="0"/>
        <color rgb="FF00B050"/>
      </font>
      <fill>
        <patternFill>
          <bgColor theme="0"/>
        </patternFill>
      </fill>
    </dxf>
    <dxf>
      <font>
        <b/>
        <i val="0"/>
        <color rgb="FFFF0000"/>
      </font>
      <fill>
        <patternFill>
          <bgColor theme="0"/>
        </patternFill>
      </fill>
    </dxf>
    <dxf>
      <font>
        <b/>
        <i val="0"/>
        <color auto="1"/>
      </font>
      <fill>
        <patternFill>
          <bgColor theme="0"/>
        </patternFill>
      </fill>
    </dxf>
    <dxf>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FF0000"/>
      </font>
    </dxf>
    <dxf>
      <font>
        <b/>
        <i val="0"/>
        <color rgb="FF00B050"/>
      </font>
    </dxf>
    <dxf>
      <font>
        <b/>
        <i val="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00B050"/>
      </font>
    </dxf>
    <dxf>
      <font>
        <b/>
        <i val="0"/>
        <color rgb="FF00B050"/>
      </font>
    </dxf>
    <dxf>
      <font>
        <b/>
        <i val="0"/>
        <color rgb="FF00B050"/>
      </font>
    </dxf>
    <dxf>
      <font>
        <b/>
        <i val="0"/>
        <color rgb="FFFF0000"/>
      </font>
    </dxf>
  </dxfs>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4:A14"/>
  <sheetViews>
    <sheetView workbookViewId="0"/>
  </sheetViews>
  <sheetFormatPr defaultRowHeight="15" x14ac:dyDescent="0.25"/>
  <cols>
    <col min="1" max="1" width="82.7109375" customWidth="1"/>
  </cols>
  <sheetData>
    <row r="4" spans="1:1" ht="15.75" x14ac:dyDescent="0.25">
      <c r="A4" s="1"/>
    </row>
    <row r="5" spans="1:1" ht="16.5" thickBot="1" x14ac:dyDescent="0.3">
      <c r="A5" s="1"/>
    </row>
    <row r="6" spans="1:1" ht="15.75" x14ac:dyDescent="0.25">
      <c r="A6" s="6" t="s">
        <v>0</v>
      </c>
    </row>
    <row r="7" spans="1:1" ht="15.75" x14ac:dyDescent="0.25">
      <c r="A7" s="2"/>
    </row>
    <row r="8" spans="1:1" ht="126.75" thickBot="1" x14ac:dyDescent="0.3">
      <c r="A8" s="3" t="s">
        <v>1</v>
      </c>
    </row>
    <row r="9" spans="1:1" ht="15.75" x14ac:dyDescent="0.25">
      <c r="A9" s="1"/>
    </row>
    <row r="10" spans="1:1" ht="15.75" x14ac:dyDescent="0.25">
      <c r="A10" s="4" t="s">
        <v>2</v>
      </c>
    </row>
    <row r="11" spans="1:1" ht="15.75" x14ac:dyDescent="0.25">
      <c r="A11" s="1"/>
    </row>
    <row r="12" spans="1:1" ht="15.75" x14ac:dyDescent="0.25">
      <c r="A12" s="1" t="s">
        <v>3</v>
      </c>
    </row>
    <row r="13" spans="1:1" ht="15.75" x14ac:dyDescent="0.25">
      <c r="A13" s="1"/>
    </row>
    <row r="14" spans="1:1" ht="31.5" x14ac:dyDescent="0.25">
      <c r="A14" s="1" t="s">
        <v>4</v>
      </c>
    </row>
  </sheetData>
  <sheetProtection algorithmName="SHA-512" hashValue="g/MFLlF504OA0qxzA07ROXNsISz8o9T01ecWqW4xl8HnYd72di14pQCH6MgYvNwNlFZjw7BnmDa2ZWWVj5MP+Q==" saltValue="+bjUypAmvpc6+I7bAX5xMQ==" spinCount="100000" sheet="1" objects="1" scenarios="1"/>
  <pageMargins left="0.45" right="0.45" top="0.75" bottom="0.75" header="0.3" footer="0.3"/>
  <pageSetup orientation="portrait" horizontalDpi="1200" verticalDpi="1200" r:id="rId1"/>
  <headerFooter>
    <oddHeader>&amp;L&amp;"Times New Roman,Regular"Mission Package Checklist&amp;RRev. &amp;K00B050-&amp;K01+000
&amp;K00B050Date as dd Month YYYY</oddHeader>
    <oddFooter>&amp;C&amp;"Times New Roman,Regular"&amp;10See disclaimer and distribution A statements on cover page.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sheetPr>
  <dimension ref="A1:A22"/>
  <sheetViews>
    <sheetView tabSelected="1" view="pageLayout" zoomScale="85" zoomScaleNormal="100" zoomScalePageLayoutView="85" workbookViewId="0"/>
  </sheetViews>
  <sheetFormatPr defaultColWidth="9.140625" defaultRowHeight="15" x14ac:dyDescent="0.25"/>
  <cols>
    <col min="1" max="1" width="104" customWidth="1"/>
  </cols>
  <sheetData>
    <row r="1" spans="1:1" ht="15.75" x14ac:dyDescent="0.25">
      <c r="A1" s="1"/>
    </row>
    <row r="2" spans="1:1" ht="15.75" x14ac:dyDescent="0.25">
      <c r="A2" s="1"/>
    </row>
    <row r="3" spans="1:1" ht="46.15" customHeight="1" x14ac:dyDescent="0.25">
      <c r="A3" s="9" t="s">
        <v>329</v>
      </c>
    </row>
    <row r="4" spans="1:1" ht="13.9" customHeight="1" x14ac:dyDescent="0.25">
      <c r="A4" s="9" t="s">
        <v>5</v>
      </c>
    </row>
    <row r="5" spans="1:1" ht="81" customHeight="1" x14ac:dyDescent="0.25">
      <c r="A5" s="9" t="s">
        <v>6</v>
      </c>
    </row>
    <row r="6" spans="1:1" ht="81" customHeight="1" x14ac:dyDescent="0.25">
      <c r="A6" s="7" t="s">
        <v>7</v>
      </c>
    </row>
    <row r="7" spans="1:1" ht="15.75" x14ac:dyDescent="0.25">
      <c r="A7" s="10" t="s">
        <v>8</v>
      </c>
    </row>
    <row r="8" spans="1:1" ht="15.75" x14ac:dyDescent="0.25">
      <c r="A8" s="10" t="s">
        <v>9</v>
      </c>
    </row>
    <row r="9" spans="1:1" ht="60" customHeight="1" x14ac:dyDescent="0.25">
      <c r="A9" s="11"/>
    </row>
    <row r="10" spans="1:1" ht="42" customHeight="1" x14ac:dyDescent="0.25">
      <c r="A10" s="11" t="s">
        <v>331</v>
      </c>
    </row>
    <row r="11" spans="1:1" ht="15.75" x14ac:dyDescent="0.25">
      <c r="A11" s="11" t="s">
        <v>332</v>
      </c>
    </row>
    <row r="12" spans="1:1" ht="15.75" x14ac:dyDescent="0.25">
      <c r="A12" s="8"/>
    </row>
    <row r="13" spans="1:1" ht="15.75" x14ac:dyDescent="0.25">
      <c r="A13" s="8"/>
    </row>
    <row r="14" spans="1:1" ht="15.75" x14ac:dyDescent="0.25">
      <c r="A14" s="8"/>
    </row>
    <row r="22" spans="1:1" ht="15.75" x14ac:dyDescent="0.25">
      <c r="A22" s="11"/>
    </row>
  </sheetData>
  <pageMargins left="0.45" right="0.45" top="0.75" bottom="0.75" header="0.3" footer="0.3"/>
  <pageSetup fitToHeight="0" orientation="portrait" horizontalDpi="1200" verticalDpi="1200" r:id="rId1"/>
  <headerFooter>
    <oddHeader>&amp;L&amp;"Times New Roman,Regular"Mission Package Checklist&amp;RRev. &amp;K00B050-&amp;K01+000
&amp;K00B050Date as dd Month YYYY</oddHeader>
    <oddFooter xml:space="preserve">&amp;C&amp;"Times New Roman,Regular"&amp;10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50"/>
  </sheetPr>
  <dimension ref="A1:A14"/>
  <sheetViews>
    <sheetView view="pageLayout" zoomScaleNormal="100" workbookViewId="0"/>
  </sheetViews>
  <sheetFormatPr defaultColWidth="8.85546875" defaultRowHeight="12.75" x14ac:dyDescent="0.2"/>
  <cols>
    <col min="1" max="1" width="90.85546875" style="12" customWidth="1"/>
    <col min="2" max="16384" width="8.85546875" style="12"/>
  </cols>
  <sheetData>
    <row r="1" spans="1:1" x14ac:dyDescent="0.2">
      <c r="A1" s="14" t="s">
        <v>16</v>
      </c>
    </row>
    <row r="2" spans="1:1" ht="25.5" x14ac:dyDescent="0.2">
      <c r="A2" s="5" t="s">
        <v>10</v>
      </c>
    </row>
    <row r="3" spans="1:1" ht="51" x14ac:dyDescent="0.2">
      <c r="A3" s="5" t="s">
        <v>330</v>
      </c>
    </row>
    <row r="4" spans="1:1" ht="25.5" x14ac:dyDescent="0.2">
      <c r="A4" s="68" t="s">
        <v>333</v>
      </c>
    </row>
    <row r="14" spans="1:1" x14ac:dyDescent="0.2">
      <c r="A14" s="31"/>
    </row>
  </sheetData>
  <pageMargins left="0.45" right="0.45" top="0.75" bottom="0.75" header="0.3" footer="0.3"/>
  <pageSetup fitToHeight="0" orientation="portrait" horizontalDpi="1200" verticalDpi="1200" r:id="rId1"/>
  <headerFooter>
    <oddHeader>&amp;L&amp;"Times New Roman,Regular"Mission Package Checklist&amp;RRev. &amp;K00B050-&amp;K01+000
&amp;K00B050Date as dd Month YYYY</oddHeader>
    <oddFooter>&amp;C&amp;"Times New Roman,Regular"&amp;10See disclaimer and distribution A statements on cover page.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50"/>
  </sheetPr>
  <dimension ref="A1:C15"/>
  <sheetViews>
    <sheetView view="pageLayout" zoomScaleNormal="100" workbookViewId="0"/>
  </sheetViews>
  <sheetFormatPr defaultColWidth="8.85546875" defaultRowHeight="12.75" x14ac:dyDescent="0.2"/>
  <cols>
    <col min="1" max="1" width="9.5703125" style="12" bestFit="1" customWidth="1"/>
    <col min="2" max="2" width="17.7109375" style="12" bestFit="1" customWidth="1"/>
    <col min="3" max="3" width="57.140625" style="12" customWidth="1"/>
    <col min="4" max="16384" width="8.85546875" style="12"/>
  </cols>
  <sheetData>
    <row r="1" spans="1:3" x14ac:dyDescent="0.2">
      <c r="A1" s="13"/>
      <c r="B1" s="13"/>
      <c r="C1" s="13"/>
    </row>
    <row r="2" spans="1:3" x14ac:dyDescent="0.2">
      <c r="A2" s="69" t="s">
        <v>11</v>
      </c>
      <c r="B2" s="69"/>
      <c r="C2" s="69"/>
    </row>
    <row r="3" spans="1:3" ht="13.5" thickBot="1" x14ac:dyDescent="0.25">
      <c r="A3" s="15"/>
      <c r="B3" s="15"/>
      <c r="C3" s="15"/>
    </row>
    <row r="4" spans="1:3" ht="13.5" thickBot="1" x14ac:dyDescent="0.25">
      <c r="A4" s="19" t="s">
        <v>17</v>
      </c>
      <c r="B4" s="20" t="s">
        <v>12</v>
      </c>
      <c r="C4" s="21" t="s">
        <v>13</v>
      </c>
    </row>
    <row r="5" spans="1:3" ht="13.5" thickBot="1" x14ac:dyDescent="0.25">
      <c r="A5" s="16" t="s">
        <v>14</v>
      </c>
      <c r="B5" s="24" t="s">
        <v>18</v>
      </c>
      <c r="C5" s="17" t="s">
        <v>15</v>
      </c>
    </row>
    <row r="6" spans="1:3" ht="13.5" thickBot="1" x14ac:dyDescent="0.25">
      <c r="A6" s="16"/>
      <c r="B6" s="25"/>
      <c r="C6" s="18"/>
    </row>
    <row r="7" spans="1:3" ht="13.5" thickBot="1" x14ac:dyDescent="0.25">
      <c r="A7" s="16"/>
      <c r="B7" s="26"/>
      <c r="C7" s="18"/>
    </row>
    <row r="8" spans="1:3" ht="13.5" thickBot="1" x14ac:dyDescent="0.25">
      <c r="A8" s="16"/>
      <c r="B8" s="26"/>
      <c r="C8" s="18"/>
    </row>
    <row r="9" spans="1:3" ht="13.5" thickBot="1" x14ac:dyDescent="0.25">
      <c r="A9" s="16"/>
      <c r="B9" s="26"/>
      <c r="C9" s="18"/>
    </row>
    <row r="10" spans="1:3" ht="13.5" thickBot="1" x14ac:dyDescent="0.25">
      <c r="A10" s="16"/>
      <c r="B10" s="26"/>
      <c r="C10" s="18"/>
    </row>
    <row r="11" spans="1:3" ht="13.5" thickBot="1" x14ac:dyDescent="0.25">
      <c r="A11" s="16"/>
      <c r="B11" s="26"/>
      <c r="C11" s="18"/>
    </row>
    <row r="12" spans="1:3" ht="13.5" thickBot="1" x14ac:dyDescent="0.25">
      <c r="A12" s="16"/>
      <c r="B12" s="26"/>
      <c r="C12" s="18"/>
    </row>
    <row r="13" spans="1:3" ht="13.5" thickBot="1" x14ac:dyDescent="0.25">
      <c r="A13" s="16"/>
      <c r="B13" s="26"/>
      <c r="C13" s="18"/>
    </row>
    <row r="14" spans="1:3" ht="13.5" thickBot="1" x14ac:dyDescent="0.25">
      <c r="A14" s="16"/>
      <c r="B14" s="26"/>
      <c r="C14" s="18"/>
    </row>
    <row r="15" spans="1:3" ht="13.5" thickBot="1" x14ac:dyDescent="0.25">
      <c r="A15" s="16"/>
      <c r="B15" s="26"/>
      <c r="C15" s="18"/>
    </row>
  </sheetData>
  <mergeCells count="1">
    <mergeCell ref="A2:C2"/>
  </mergeCells>
  <pageMargins left="0.45" right="0.45" top="0.75" bottom="0.75" header="0.3" footer="0.3"/>
  <pageSetup orientation="portrait" horizontalDpi="1200" verticalDpi="1200" r:id="rId1"/>
  <headerFooter>
    <oddHeader>&amp;L&amp;"Times New Roman,Regular"Mission Package Checklist&amp;RRev. &amp;K00B050-&amp;K01+000
&amp;K00B050Date as dd Month YYYY</oddHeader>
    <oddFooter>&amp;C&amp;"Times New Roman,Regular"&amp;10See disclaimer and distribution A statements on cover page.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C000"/>
  </sheetPr>
  <dimension ref="A1:F46"/>
  <sheetViews>
    <sheetView workbookViewId="0"/>
  </sheetViews>
  <sheetFormatPr defaultColWidth="9.140625" defaultRowHeight="15" x14ac:dyDescent="0.25"/>
  <cols>
    <col min="1" max="1" width="30.7109375" style="28" customWidth="1"/>
    <col min="2" max="2" width="47" style="28" customWidth="1"/>
    <col min="3" max="3" width="24" style="28" customWidth="1"/>
    <col min="4" max="4" width="47" style="28" bestFit="1" customWidth="1"/>
    <col min="5" max="5" width="16.85546875" style="28" customWidth="1"/>
    <col min="6" max="6" width="58.7109375" style="28" customWidth="1"/>
    <col min="7" max="16384" width="9.140625" style="28"/>
  </cols>
  <sheetData>
    <row r="1" spans="1:6" ht="15.75" thickBot="1" x14ac:dyDescent="0.3">
      <c r="A1" s="38" t="s">
        <v>69</v>
      </c>
      <c r="B1" s="21" t="str">
        <f>IF(E46=TRUE,"Tier 3", IF(E34=TRUE,"Tier 2",IF(E15=TRUE,"Tier 1", "Not Tier Compliant")))</f>
        <v>Not Tier Compliant</v>
      </c>
      <c r="C1" s="15"/>
      <c r="D1" s="15"/>
      <c r="E1" s="15"/>
      <c r="F1" s="15"/>
    </row>
    <row r="2" spans="1:6" ht="15.75" thickBot="1" x14ac:dyDescent="0.3">
      <c r="A2" s="15"/>
    </row>
    <row r="3" spans="1:6" ht="15.75" thickBot="1" x14ac:dyDescent="0.3">
      <c r="A3" s="40" t="s">
        <v>258</v>
      </c>
    </row>
    <row r="4" spans="1:6" ht="15.75" thickBot="1" x14ac:dyDescent="0.3">
      <c r="A4" s="41" t="s">
        <v>24</v>
      </c>
      <c r="B4" s="51" t="s">
        <v>70</v>
      </c>
      <c r="C4" s="51" t="s">
        <v>71</v>
      </c>
      <c r="D4" s="51" t="s">
        <v>72</v>
      </c>
      <c r="E4" s="54" t="s">
        <v>26</v>
      </c>
    </row>
    <row r="5" spans="1:6" ht="15.75" thickBot="1" x14ac:dyDescent="0.3">
      <c r="A5" s="52" t="s">
        <v>96</v>
      </c>
      <c r="B5" s="52" t="s">
        <v>259</v>
      </c>
      <c r="C5" s="52" t="s">
        <v>22</v>
      </c>
      <c r="D5" s="52" t="s">
        <v>22</v>
      </c>
      <c r="E5" s="53" t="b">
        <f>'Mission Package RQMT Checklist'!C2</f>
        <v>0</v>
      </c>
    </row>
    <row r="6" spans="1:6" ht="15.75" thickBot="1" x14ac:dyDescent="0.3">
      <c r="A6" s="52" t="s">
        <v>104</v>
      </c>
      <c r="B6" s="52" t="s">
        <v>260</v>
      </c>
      <c r="C6" s="52" t="s">
        <v>22</v>
      </c>
      <c r="D6" s="52" t="s">
        <v>22</v>
      </c>
      <c r="E6" s="53" t="b">
        <f>'Mission Package RQMT Checklist'!C4</f>
        <v>0</v>
      </c>
    </row>
    <row r="7" spans="1:6" ht="15.75" thickBot="1" x14ac:dyDescent="0.3">
      <c r="A7" s="52" t="s">
        <v>111</v>
      </c>
      <c r="B7" s="52" t="s">
        <v>261</v>
      </c>
      <c r="C7" s="52" t="s">
        <v>22</v>
      </c>
      <c r="D7" s="52" t="s">
        <v>22</v>
      </c>
      <c r="E7" s="53" t="b">
        <f>'Mission Package RQMT Checklist'!C6</f>
        <v>0</v>
      </c>
    </row>
    <row r="8" spans="1:6" ht="15.75" thickBot="1" x14ac:dyDescent="0.3">
      <c r="A8" s="52" t="s">
        <v>120</v>
      </c>
      <c r="B8" s="52" t="s">
        <v>262</v>
      </c>
      <c r="C8" s="52" t="s">
        <v>22</v>
      </c>
      <c r="D8" s="52" t="s">
        <v>22</v>
      </c>
      <c r="E8" s="53" t="b">
        <f>'Mission Package RQMT Checklist'!C10</f>
        <v>0</v>
      </c>
    </row>
    <row r="9" spans="1:6" ht="15.75" thickBot="1" x14ac:dyDescent="0.3">
      <c r="A9" s="52" t="s">
        <v>128</v>
      </c>
      <c r="B9" s="52" t="s">
        <v>263</v>
      </c>
      <c r="C9" s="52" t="s">
        <v>22</v>
      </c>
      <c r="D9" s="52" t="s">
        <v>22</v>
      </c>
      <c r="E9" s="53" t="b">
        <f>'Mission Package RQMT Checklist'!C14</f>
        <v>0</v>
      </c>
    </row>
    <row r="10" spans="1:6" ht="15.75" thickBot="1" x14ac:dyDescent="0.3">
      <c r="A10" s="52" t="s">
        <v>133</v>
      </c>
      <c r="B10" s="52" t="s">
        <v>264</v>
      </c>
      <c r="C10" s="52" t="s">
        <v>22</v>
      </c>
      <c r="D10" s="52" t="s">
        <v>22</v>
      </c>
      <c r="E10" s="53" t="b">
        <f>'Mission Package RQMT Checklist'!C16</f>
        <v>0</v>
      </c>
    </row>
    <row r="11" spans="1:6" ht="15.75" thickBot="1" x14ac:dyDescent="0.3">
      <c r="A11" s="52" t="s">
        <v>138</v>
      </c>
      <c r="B11" s="52" t="s">
        <v>265</v>
      </c>
      <c r="C11" s="52" t="s">
        <v>22</v>
      </c>
      <c r="D11" s="52" t="s">
        <v>22</v>
      </c>
      <c r="E11" s="53" t="b">
        <f>'Mission Package RQMT Checklist'!C18</f>
        <v>0</v>
      </c>
    </row>
    <row r="12" spans="1:6" ht="15.75" thickBot="1" x14ac:dyDescent="0.3">
      <c r="A12" s="52" t="s">
        <v>143</v>
      </c>
      <c r="B12" s="52" t="s">
        <v>266</v>
      </c>
      <c r="C12" s="52" t="s">
        <v>22</v>
      </c>
      <c r="D12" s="52" t="s">
        <v>22</v>
      </c>
      <c r="E12" s="53" t="b">
        <f>'Mission Package RQMT Checklist'!C20</f>
        <v>0</v>
      </c>
    </row>
    <row r="13" spans="1:6" ht="15.75" thickBot="1" x14ac:dyDescent="0.3">
      <c r="A13" s="52" t="s">
        <v>170</v>
      </c>
      <c r="B13" s="52" t="s">
        <v>267</v>
      </c>
      <c r="C13" s="52" t="s">
        <v>22</v>
      </c>
      <c r="D13" s="52" t="s">
        <v>22</v>
      </c>
      <c r="E13" s="53" t="b">
        <f>'Mission Package RQMT Checklist'!C36</f>
        <v>0</v>
      </c>
    </row>
    <row r="14" spans="1:6" ht="15.75" thickBot="1" x14ac:dyDescent="0.3">
      <c r="A14" s="35" t="s">
        <v>175</v>
      </c>
      <c r="B14" s="34" t="s">
        <v>73</v>
      </c>
      <c r="C14" s="34" t="s">
        <v>22</v>
      </c>
      <c r="D14" s="34" t="s">
        <v>22</v>
      </c>
      <c r="E14" s="53" t="b">
        <f>'Mission Package RQMT Checklist'!C38</f>
        <v>0</v>
      </c>
    </row>
    <row r="15" spans="1:6" ht="15.75" thickBot="1" x14ac:dyDescent="0.3">
      <c r="A15" s="15"/>
      <c r="B15" s="15"/>
      <c r="C15" s="15"/>
      <c r="D15" s="63" t="s">
        <v>74</v>
      </c>
      <c r="E15" s="53" t="b">
        <f>AND(E5:E14)</f>
        <v>0</v>
      </c>
    </row>
    <row r="16" spans="1:6" ht="15.75" thickBot="1" x14ac:dyDescent="0.3">
      <c r="A16" s="15"/>
      <c r="B16" s="15"/>
      <c r="C16" s="15"/>
      <c r="D16" s="15"/>
      <c r="E16" s="15"/>
      <c r="F16" s="15"/>
    </row>
    <row r="17" spans="1:6" ht="15.75" thickBot="1" x14ac:dyDescent="0.3">
      <c r="A17" s="38" t="s">
        <v>268</v>
      </c>
      <c r="B17" s="15"/>
      <c r="C17" s="15"/>
      <c r="D17" s="15"/>
      <c r="E17" s="43"/>
      <c r="F17" s="15"/>
    </row>
    <row r="18" spans="1:6" ht="15.75" thickBot="1" x14ac:dyDescent="0.3">
      <c r="A18" s="44" t="s">
        <v>24</v>
      </c>
      <c r="B18" s="45" t="s">
        <v>70</v>
      </c>
      <c r="C18" s="21" t="s">
        <v>71</v>
      </c>
      <c r="D18" s="42" t="s">
        <v>72</v>
      </c>
      <c r="E18" s="51" t="s">
        <v>26</v>
      </c>
      <c r="F18" s="15"/>
    </row>
    <row r="19" spans="1:6" ht="15.75" thickBot="1" x14ac:dyDescent="0.3">
      <c r="A19" s="70" t="s">
        <v>180</v>
      </c>
      <c r="B19" s="70" t="s">
        <v>75</v>
      </c>
      <c r="C19" s="34" t="s">
        <v>76</v>
      </c>
      <c r="D19" s="39" t="s">
        <v>76</v>
      </c>
      <c r="E19" s="53" t="b">
        <f>'Mission Package RQMT Checklist'!C40</f>
        <v>0</v>
      </c>
      <c r="F19" s="15"/>
    </row>
    <row r="20" spans="1:6" ht="15.75" thickBot="1" x14ac:dyDescent="0.3">
      <c r="A20" s="70"/>
      <c r="B20" s="70"/>
      <c r="C20" s="34" t="s">
        <v>96</v>
      </c>
      <c r="D20" s="39" t="s">
        <v>259</v>
      </c>
      <c r="E20" s="53" t="b">
        <f>'Mission Package RQMT Checklist'!C2</f>
        <v>0</v>
      </c>
      <c r="F20" s="15"/>
    </row>
    <row r="21" spans="1:6" ht="15.75" thickBot="1" x14ac:dyDescent="0.3">
      <c r="A21" s="70"/>
      <c r="B21" s="70"/>
      <c r="C21" s="34" t="s">
        <v>111</v>
      </c>
      <c r="D21" s="39" t="s">
        <v>261</v>
      </c>
      <c r="E21" s="53" t="b">
        <f>'Mission Package RQMT Checklist'!C6</f>
        <v>0</v>
      </c>
      <c r="F21" s="15"/>
    </row>
    <row r="22" spans="1:6" ht="15.75" thickBot="1" x14ac:dyDescent="0.3">
      <c r="A22" s="70"/>
      <c r="B22" s="70"/>
      <c r="C22" s="34" t="s">
        <v>120</v>
      </c>
      <c r="D22" s="39" t="s">
        <v>262</v>
      </c>
      <c r="E22" s="53" t="b">
        <f>'Mission Package RQMT Checklist'!C10</f>
        <v>0</v>
      </c>
      <c r="F22" s="15"/>
    </row>
    <row r="23" spans="1:6" ht="15.75" thickBot="1" x14ac:dyDescent="0.3">
      <c r="A23" s="70"/>
      <c r="B23" s="70"/>
      <c r="C23" s="34" t="s">
        <v>128</v>
      </c>
      <c r="D23" s="39" t="s">
        <v>263</v>
      </c>
      <c r="E23" s="53" t="b">
        <f>'Mission Package RQMT Checklist'!C14</f>
        <v>0</v>
      </c>
      <c r="F23" s="15"/>
    </row>
    <row r="24" spans="1:6" ht="15.75" thickBot="1" x14ac:dyDescent="0.3">
      <c r="A24" s="70"/>
      <c r="B24" s="70"/>
      <c r="C24" s="34" t="s">
        <v>133</v>
      </c>
      <c r="D24" s="39" t="s">
        <v>264</v>
      </c>
      <c r="E24" s="53" t="b">
        <f>'Mission Package RQMT Checklist'!C16</f>
        <v>0</v>
      </c>
      <c r="F24" s="15"/>
    </row>
    <row r="25" spans="1:6" ht="15.75" thickBot="1" x14ac:dyDescent="0.3">
      <c r="A25" s="70"/>
      <c r="B25" s="70"/>
      <c r="C25" s="34" t="s">
        <v>143</v>
      </c>
      <c r="D25" s="39" t="s">
        <v>266</v>
      </c>
      <c r="E25" s="53" t="b">
        <f>'Mission Package RQMT Checklist'!C20</f>
        <v>0</v>
      </c>
      <c r="F25" s="15"/>
    </row>
    <row r="26" spans="1:6" ht="15.75" thickBot="1" x14ac:dyDescent="0.3">
      <c r="A26" s="70"/>
      <c r="B26" s="70"/>
      <c r="C26" s="34" t="s">
        <v>104</v>
      </c>
      <c r="D26" s="39" t="s">
        <v>260</v>
      </c>
      <c r="E26" s="53" t="b">
        <f>'Mission Package RQMT Checklist'!C4</f>
        <v>0</v>
      </c>
      <c r="F26" s="15"/>
    </row>
    <row r="27" spans="1:6" ht="15.75" thickBot="1" x14ac:dyDescent="0.3">
      <c r="A27" s="70"/>
      <c r="B27" s="70"/>
      <c r="C27" s="34" t="s">
        <v>175</v>
      </c>
      <c r="D27" s="39" t="s">
        <v>73</v>
      </c>
      <c r="E27" s="53" t="b">
        <f>'Mission Package RQMT Checklist'!C38</f>
        <v>0</v>
      </c>
      <c r="F27" s="15"/>
    </row>
    <row r="28" spans="1:6" ht="15.75" thickBot="1" x14ac:dyDescent="0.3">
      <c r="A28" s="70"/>
      <c r="B28" s="70"/>
      <c r="C28" s="52" t="s">
        <v>138</v>
      </c>
      <c r="D28" s="52" t="s">
        <v>265</v>
      </c>
      <c r="E28" s="53" t="b">
        <f>'Mission Package RQMT Checklist'!C18</f>
        <v>0</v>
      </c>
      <c r="F28" s="15"/>
    </row>
    <row r="29" spans="1:6" ht="15.75" thickBot="1" x14ac:dyDescent="0.3">
      <c r="A29" s="70"/>
      <c r="B29" s="70"/>
      <c r="C29" s="34" t="s">
        <v>170</v>
      </c>
      <c r="D29" s="39" t="s">
        <v>267</v>
      </c>
      <c r="E29" s="53" t="b">
        <f>'Mission Package RQMT Checklist'!C36</f>
        <v>0</v>
      </c>
      <c r="F29" s="15"/>
    </row>
    <row r="30" spans="1:6" ht="15.75" thickBot="1" x14ac:dyDescent="0.3">
      <c r="A30" s="35" t="s">
        <v>185</v>
      </c>
      <c r="B30" s="34" t="s">
        <v>269</v>
      </c>
      <c r="C30" s="34" t="s">
        <v>22</v>
      </c>
      <c r="D30" s="39" t="s">
        <v>22</v>
      </c>
      <c r="E30" s="53" t="b">
        <f>'Mission Package RQMT Checklist'!C41</f>
        <v>0</v>
      </c>
      <c r="F30" s="15"/>
    </row>
    <row r="31" spans="1:6" ht="15.75" thickBot="1" x14ac:dyDescent="0.3">
      <c r="A31" s="35" t="s">
        <v>191</v>
      </c>
      <c r="B31" s="34" t="s">
        <v>270</v>
      </c>
      <c r="C31" s="34" t="s">
        <v>22</v>
      </c>
      <c r="D31" s="39" t="s">
        <v>22</v>
      </c>
      <c r="E31" s="53" t="b">
        <f>'Mission Package RQMT Checklist'!C43</f>
        <v>0</v>
      </c>
      <c r="F31" s="15"/>
    </row>
    <row r="32" spans="1:6" ht="15.75" thickBot="1" x14ac:dyDescent="0.3">
      <c r="A32" s="35" t="s">
        <v>197</v>
      </c>
      <c r="B32" s="34" t="s">
        <v>271</v>
      </c>
      <c r="C32" s="34" t="s">
        <v>22</v>
      </c>
      <c r="D32" s="39" t="s">
        <v>22</v>
      </c>
      <c r="E32" s="53" t="b">
        <f>'Mission Package RQMT Checklist'!C45</f>
        <v>0</v>
      </c>
      <c r="F32" s="15"/>
    </row>
    <row r="33" spans="1:6" ht="15.75" thickBot="1" x14ac:dyDescent="0.3">
      <c r="A33" s="35" t="s">
        <v>205</v>
      </c>
      <c r="B33" s="34" t="s">
        <v>272</v>
      </c>
      <c r="C33" s="34" t="s">
        <v>22</v>
      </c>
      <c r="D33" s="39" t="s">
        <v>22</v>
      </c>
      <c r="E33" s="53" t="b">
        <f>'Mission Package RQMT Checklist'!C49</f>
        <v>0</v>
      </c>
      <c r="F33" s="15"/>
    </row>
    <row r="34" spans="1:6" ht="15.75" thickBot="1" x14ac:dyDescent="0.3">
      <c r="A34" s="15"/>
      <c r="B34" s="15"/>
      <c r="C34" s="15"/>
      <c r="D34" s="55" t="s">
        <v>77</v>
      </c>
      <c r="E34" s="53" t="b">
        <f>AND(E19:E33)</f>
        <v>0</v>
      </c>
      <c r="F34" s="15"/>
    </row>
    <row r="35" spans="1:6" ht="15.75" thickBot="1" x14ac:dyDescent="0.3">
      <c r="A35" s="15"/>
      <c r="B35" s="15"/>
      <c r="C35" s="15"/>
      <c r="D35" s="15"/>
      <c r="E35" s="43"/>
      <c r="F35" s="15"/>
    </row>
    <row r="36" spans="1:6" ht="15.75" thickBot="1" x14ac:dyDescent="0.3">
      <c r="A36" s="38" t="s">
        <v>273</v>
      </c>
      <c r="B36" s="15"/>
      <c r="C36" s="15"/>
      <c r="D36" s="15"/>
      <c r="E36" s="43"/>
      <c r="F36" s="15"/>
    </row>
    <row r="37" spans="1:6" ht="15.75" thickBot="1" x14ac:dyDescent="0.3">
      <c r="A37" s="44" t="s">
        <v>24</v>
      </c>
      <c r="B37" s="45" t="s">
        <v>70</v>
      </c>
      <c r="C37" s="21" t="s">
        <v>71</v>
      </c>
      <c r="D37" s="42" t="s">
        <v>72</v>
      </c>
      <c r="E37" s="51" t="s">
        <v>26</v>
      </c>
      <c r="F37" s="15"/>
    </row>
    <row r="38" spans="1:6" ht="15.75" thickBot="1" x14ac:dyDescent="0.3">
      <c r="A38" s="70" t="s">
        <v>213</v>
      </c>
      <c r="B38" s="70" t="s">
        <v>78</v>
      </c>
      <c r="C38" s="34" t="s">
        <v>76</v>
      </c>
      <c r="D38" s="39" t="s">
        <v>76</v>
      </c>
      <c r="E38" s="53" t="b">
        <f>'Mission Package RQMT Checklist'!C53</f>
        <v>0</v>
      </c>
      <c r="F38" s="15"/>
    </row>
    <row r="39" spans="1:6" ht="15.75" thickBot="1" x14ac:dyDescent="0.3">
      <c r="A39" s="70"/>
      <c r="B39" s="70"/>
      <c r="C39" s="34" t="s">
        <v>185</v>
      </c>
      <c r="D39" s="39" t="s">
        <v>269</v>
      </c>
      <c r="E39" s="53" t="b">
        <f>'Mission Package RQMT Checklist'!C41</f>
        <v>0</v>
      </c>
      <c r="F39" s="15"/>
    </row>
    <row r="40" spans="1:6" ht="15.75" thickBot="1" x14ac:dyDescent="0.3">
      <c r="A40" s="70"/>
      <c r="B40" s="70"/>
      <c r="C40" s="34" t="s">
        <v>197</v>
      </c>
      <c r="D40" s="39" t="s">
        <v>271</v>
      </c>
      <c r="E40" s="53" t="b">
        <f>'Mission Package RQMT Checklist'!C45</f>
        <v>0</v>
      </c>
      <c r="F40" s="15"/>
    </row>
    <row r="41" spans="1:6" ht="15.75" thickBot="1" x14ac:dyDescent="0.3">
      <c r="A41" s="70"/>
      <c r="B41" s="70"/>
      <c r="C41" s="34" t="s">
        <v>205</v>
      </c>
      <c r="D41" s="39" t="s">
        <v>272</v>
      </c>
      <c r="E41" s="53" t="b">
        <f>'Mission Package RQMT Checklist'!C49</f>
        <v>0</v>
      </c>
      <c r="F41" s="15"/>
    </row>
    <row r="42" spans="1:6" ht="15.75" thickBot="1" x14ac:dyDescent="0.3">
      <c r="A42" s="70"/>
      <c r="B42" s="70"/>
      <c r="C42" s="34" t="s">
        <v>180</v>
      </c>
      <c r="D42" s="39" t="s">
        <v>75</v>
      </c>
      <c r="E42" s="53" t="b">
        <f>'Mission Package RQMT Checklist'!C40</f>
        <v>0</v>
      </c>
      <c r="F42" s="15"/>
    </row>
    <row r="43" spans="1:6" ht="15.75" thickBot="1" x14ac:dyDescent="0.3">
      <c r="A43" s="70"/>
      <c r="B43" s="70"/>
      <c r="C43" s="34" t="s">
        <v>191</v>
      </c>
      <c r="D43" s="39" t="s">
        <v>270</v>
      </c>
      <c r="E43" s="53" t="b">
        <f>'Mission Package RQMT Checklist'!C43</f>
        <v>0</v>
      </c>
      <c r="F43" s="15"/>
    </row>
    <row r="44" spans="1:6" ht="15.75" thickBot="1" x14ac:dyDescent="0.3">
      <c r="A44" s="35" t="s">
        <v>218</v>
      </c>
      <c r="B44" s="34" t="s">
        <v>274</v>
      </c>
      <c r="C44" s="34" t="s">
        <v>22</v>
      </c>
      <c r="D44" s="39" t="s">
        <v>22</v>
      </c>
      <c r="E44" s="53" t="b">
        <f>'Mission Package RQMT Checklist'!C54</f>
        <v>0</v>
      </c>
      <c r="F44" s="15"/>
    </row>
    <row r="45" spans="1:6" ht="15.75" thickBot="1" x14ac:dyDescent="0.3">
      <c r="A45" s="35" t="s">
        <v>224</v>
      </c>
      <c r="B45" s="34" t="s">
        <v>275</v>
      </c>
      <c r="C45" s="34" t="s">
        <v>22</v>
      </c>
      <c r="D45" s="39" t="s">
        <v>22</v>
      </c>
      <c r="E45" s="53" t="b">
        <f>'Mission Package RQMT Checklist'!C56</f>
        <v>0</v>
      </c>
      <c r="F45" s="15"/>
    </row>
    <row r="46" spans="1:6" ht="15.75" thickBot="1" x14ac:dyDescent="0.3">
      <c r="A46" s="15"/>
      <c r="B46" s="15"/>
      <c r="C46" s="15"/>
      <c r="D46" s="55" t="s">
        <v>79</v>
      </c>
      <c r="E46" s="53" t="b">
        <f>AND(E38:E45)</f>
        <v>0</v>
      </c>
      <c r="F46" s="15"/>
    </row>
  </sheetData>
  <sheetProtection algorithmName="SHA-512" hashValue="V4wO0hf1hdO2IZBvMR49zDizqWgQvRgQDSuJ8nsWCVVegelr/2eXCN4woyJy2NhLG1blBdliojTHXNvO9l1zdQ==" saltValue="ipv7pgGUNxEUbYS9QQ2CcQ==" spinCount="100000" sheet="1" objects="1" scenarios="1" sort="0" autoFilter="0"/>
  <mergeCells count="4">
    <mergeCell ref="A19:A29"/>
    <mergeCell ref="B19:B29"/>
    <mergeCell ref="A38:A43"/>
    <mergeCell ref="B38:B43"/>
  </mergeCells>
  <conditionalFormatting sqref="B1">
    <cfRule type="containsText" dxfId="32" priority="1" operator="containsText" text="Not Tier Compliant">
      <formula>NOT(ISERROR(SEARCH("Not Tier Compliant",B1)))</formula>
    </cfRule>
    <cfRule type="containsText" dxfId="31" priority="2" operator="containsText" text="Tier 3">
      <formula>NOT(ISERROR(SEARCH("Tier 3",B1)))</formula>
    </cfRule>
    <cfRule type="containsText" dxfId="30" priority="3" operator="containsText" text="Tier 2">
      <formula>NOT(ISERROR(SEARCH("Tier 2",B1)))</formula>
    </cfRule>
    <cfRule type="containsText" dxfId="29" priority="4" operator="containsText" text="Tier1">
      <formula>NOT(ISERROR(SEARCH("Tier1",B1)))</formula>
    </cfRule>
  </conditionalFormatting>
  <conditionalFormatting sqref="E5:E15">
    <cfRule type="containsText" dxfId="28" priority="9" operator="containsText" text="TRUE">
      <formula>NOT(ISERROR(SEARCH("TRUE",E5)))</formula>
    </cfRule>
    <cfRule type="containsText" dxfId="27" priority="10" operator="containsText" text="FALSE">
      <formula>NOT(ISERROR(SEARCH("FALSE",E5)))</formula>
    </cfRule>
  </conditionalFormatting>
  <conditionalFormatting sqref="E19:E34">
    <cfRule type="containsText" dxfId="26" priority="7" operator="containsText" text="TRUE">
      <formula>NOT(ISERROR(SEARCH("TRUE",E19)))</formula>
    </cfRule>
    <cfRule type="containsText" dxfId="25" priority="8" operator="containsText" text="FALSE">
      <formula>NOT(ISERROR(SEARCH("FALSE",E19)))</formula>
    </cfRule>
  </conditionalFormatting>
  <conditionalFormatting sqref="E38:E46">
    <cfRule type="containsText" dxfId="24" priority="5" operator="containsText" text="TRUE">
      <formula>NOT(ISERROR(SEARCH("TRUE",E38)))</formula>
    </cfRule>
    <cfRule type="containsText" dxfId="23" priority="6" operator="containsText" text="FALSE">
      <formula>NOT(ISERROR(SEARCH("FALSE",E38)))</formula>
    </cfRule>
  </conditionalFormatting>
  <pageMargins left="0.45" right="0.45" top="0.75" bottom="0.75" header="0.3" footer="0.3"/>
  <pageSetup fitToWidth="0" fitToHeight="0" orientation="portrait" horizontalDpi="1200" verticalDpi="1200" r:id="rId1"/>
  <headerFooter>
    <oddHeader>&amp;L&amp;"Times New Roman,Regular"Mission Package Checklist&amp;RRev. &amp;K00B050-&amp;K01+000
&amp;K00B050Date as dd Month YYYY</oddHeader>
    <oddFooter>&amp;C&amp;"Times New Roman,Regular"&amp;10See disclaimer and distribution A statements on cover page.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1A30-80A5-4706-9135-FFEDDE72D46F}">
  <sheetPr codeName="Sheet7">
    <tabColor theme="4"/>
  </sheetPr>
  <dimension ref="A1:Q57"/>
  <sheetViews>
    <sheetView zoomScale="85" zoomScaleNormal="85" workbookViewId="0">
      <pane ySplit="1" topLeftCell="A2" activePane="bottomLeft" state="frozen"/>
      <selection pane="bottomLeft" activeCell="A2" sqref="A2:A3"/>
    </sheetView>
  </sheetViews>
  <sheetFormatPr defaultColWidth="9.140625" defaultRowHeight="79.900000000000006" customHeight="1" x14ac:dyDescent="0.25"/>
  <cols>
    <col min="1" max="1" width="14.7109375" style="22" bestFit="1" customWidth="1"/>
    <col min="2" max="2" width="20.7109375" style="22" customWidth="1"/>
    <col min="3" max="3" width="17.140625" style="23" bestFit="1" customWidth="1"/>
    <col min="4" max="4" width="20.7109375" style="22" customWidth="1"/>
    <col min="5" max="5" width="15.5703125" style="22" bestFit="1" customWidth="1"/>
    <col min="6" max="6" width="13.42578125" style="23" bestFit="1" customWidth="1"/>
    <col min="7" max="7" width="13.140625" style="23" bestFit="1" customWidth="1"/>
    <col min="8" max="8" width="10.85546875" style="23" customWidth="1"/>
    <col min="9" max="9" width="26.42578125" style="22" customWidth="1"/>
    <col min="10" max="10" width="13.28515625" style="30" bestFit="1" customWidth="1"/>
    <col min="11" max="11" width="30.7109375" style="22" customWidth="1"/>
    <col min="12" max="12" width="13.28515625" style="23" bestFit="1" customWidth="1"/>
    <col min="13" max="13" width="14.140625" style="23" bestFit="1" customWidth="1"/>
    <col min="14" max="14" width="30.7109375" style="22" customWidth="1"/>
    <col min="15" max="15" width="12.7109375" style="22" customWidth="1"/>
    <col min="16" max="16" width="14.28515625" style="23" bestFit="1" customWidth="1"/>
    <col min="17" max="17" width="20.7109375" style="22" customWidth="1"/>
    <col min="18" max="16384" width="9.140625" style="22"/>
  </cols>
  <sheetData>
    <row r="1" spans="1:17" ht="33" customHeight="1" thickBot="1" x14ac:dyDescent="0.3">
      <c r="A1" s="19" t="s">
        <v>24</v>
      </c>
      <c r="B1" s="20" t="s">
        <v>25</v>
      </c>
      <c r="C1" s="20" t="s">
        <v>26</v>
      </c>
      <c r="D1" s="20" t="s">
        <v>27</v>
      </c>
      <c r="E1" s="20" t="s">
        <v>28</v>
      </c>
      <c r="F1" s="20" t="s">
        <v>29</v>
      </c>
      <c r="G1" s="20" t="s">
        <v>30</v>
      </c>
      <c r="H1" s="36" t="s">
        <v>31</v>
      </c>
      <c r="I1" s="36" t="s">
        <v>32</v>
      </c>
      <c r="J1" s="36" t="s">
        <v>33</v>
      </c>
      <c r="K1" s="36" t="s">
        <v>34</v>
      </c>
      <c r="L1" s="36" t="s">
        <v>35</v>
      </c>
      <c r="M1" s="36" t="s">
        <v>36</v>
      </c>
      <c r="N1" s="36" t="s">
        <v>37</v>
      </c>
      <c r="O1" s="36" t="s">
        <v>38</v>
      </c>
      <c r="P1" s="20" t="s">
        <v>23</v>
      </c>
      <c r="Q1" s="20" t="s">
        <v>39</v>
      </c>
    </row>
    <row r="2" spans="1:17" ht="121.5" customHeight="1" thickBot="1" x14ac:dyDescent="0.3">
      <c r="A2" s="75" t="s">
        <v>96</v>
      </c>
      <c r="B2" s="75" t="s">
        <v>97</v>
      </c>
      <c r="C2" s="77" t="b">
        <f>AND((OR(IF(F2=TRUE,TRUE,FALSE),IF(F2="N/A",TRUE,FALSE))),H2=TRUE)</f>
        <v>0</v>
      </c>
      <c r="D2" s="75"/>
      <c r="E2" s="79"/>
      <c r="F2" s="77" t="s">
        <v>22</v>
      </c>
      <c r="G2" s="81" t="s">
        <v>53</v>
      </c>
      <c r="H2" s="72" t="b">
        <f>AND(M2)</f>
        <v>0</v>
      </c>
      <c r="I2" s="70" t="s">
        <v>98</v>
      </c>
      <c r="J2" s="71" t="s">
        <v>40</v>
      </c>
      <c r="K2" s="70" t="s">
        <v>99</v>
      </c>
      <c r="L2" s="71" t="s">
        <v>41</v>
      </c>
      <c r="M2" s="72" t="b">
        <f>AND(OR(IF(P2=TRUE,TRUE,FALSE),(IF(P2="N/A",NOT(ISBLANK(Q2))))),(OR(IF(P3=TRUE,TRUE,FALSE),(IF(P3="N/A",NOT(ISBLANK(Q3)))))))</f>
        <v>0</v>
      </c>
      <c r="N2" s="50" t="s">
        <v>100</v>
      </c>
      <c r="O2" s="53" t="s">
        <v>101</v>
      </c>
      <c r="P2" s="65" t="s">
        <v>57</v>
      </c>
      <c r="Q2" s="62"/>
    </row>
    <row r="3" spans="1:17" ht="114.75" customHeight="1" thickBot="1" x14ac:dyDescent="0.3">
      <c r="A3" s="76"/>
      <c r="B3" s="76"/>
      <c r="C3" s="78"/>
      <c r="D3" s="76"/>
      <c r="E3" s="80"/>
      <c r="F3" s="78"/>
      <c r="G3" s="82"/>
      <c r="H3" s="72"/>
      <c r="I3" s="70"/>
      <c r="J3" s="71"/>
      <c r="K3" s="70"/>
      <c r="L3" s="71"/>
      <c r="M3" s="72"/>
      <c r="N3" s="50" t="s">
        <v>102</v>
      </c>
      <c r="O3" s="53" t="s">
        <v>103</v>
      </c>
      <c r="P3" s="65" t="s">
        <v>55</v>
      </c>
      <c r="Q3" s="62"/>
    </row>
    <row r="4" spans="1:17" ht="124.5" customHeight="1" thickBot="1" x14ac:dyDescent="0.3">
      <c r="A4" s="75" t="s">
        <v>104</v>
      </c>
      <c r="B4" s="75" t="s">
        <v>105</v>
      </c>
      <c r="C4" s="77" t="b">
        <f>AND((OR(IF(F4=TRUE,TRUE,FALSE),IF(F4="N/A",TRUE,FALSE))),H4=TRUE)</f>
        <v>0</v>
      </c>
      <c r="D4" s="75" t="s">
        <v>106</v>
      </c>
      <c r="E4" s="79"/>
      <c r="F4" s="77" t="s">
        <v>22</v>
      </c>
      <c r="G4" s="81" t="s">
        <v>53</v>
      </c>
      <c r="H4" s="72" t="b">
        <f>AND(M4)</f>
        <v>0</v>
      </c>
      <c r="I4" s="70" t="s">
        <v>107</v>
      </c>
      <c r="J4" s="71" t="s">
        <v>40</v>
      </c>
      <c r="K4" s="70" t="s">
        <v>229</v>
      </c>
      <c r="L4" s="71" t="s">
        <v>54</v>
      </c>
      <c r="M4" s="72" t="b">
        <f>AND(OR(IF(P4=TRUE,TRUE,FALSE),(IF(P4="N/A",NOT(ISBLANK(Q4))))),(OR(IF(P5=TRUE,TRUE,FALSE),(IF(P5="N/A",NOT(ISBLANK(Q5)))))))</f>
        <v>0</v>
      </c>
      <c r="N4" s="50" t="s">
        <v>108</v>
      </c>
      <c r="O4" s="53" t="s">
        <v>101</v>
      </c>
      <c r="P4" s="65" t="s">
        <v>57</v>
      </c>
      <c r="Q4" s="62"/>
    </row>
    <row r="5" spans="1:17" ht="147.75" customHeight="1" thickBot="1" x14ac:dyDescent="0.3">
      <c r="A5" s="76"/>
      <c r="B5" s="76"/>
      <c r="C5" s="78"/>
      <c r="D5" s="76"/>
      <c r="E5" s="80"/>
      <c r="F5" s="78"/>
      <c r="G5" s="82"/>
      <c r="H5" s="72"/>
      <c r="I5" s="70"/>
      <c r="J5" s="71"/>
      <c r="K5" s="70"/>
      <c r="L5" s="71"/>
      <c r="M5" s="72"/>
      <c r="N5" s="50" t="s">
        <v>109</v>
      </c>
      <c r="O5" s="53" t="s">
        <v>110</v>
      </c>
      <c r="P5" s="65" t="s">
        <v>55</v>
      </c>
      <c r="Q5" s="62"/>
    </row>
    <row r="6" spans="1:17" ht="188.25" customHeight="1" thickBot="1" x14ac:dyDescent="0.3">
      <c r="A6" s="75" t="s">
        <v>111</v>
      </c>
      <c r="B6" s="75" t="s">
        <v>112</v>
      </c>
      <c r="C6" s="77" t="b">
        <f>AND((OR(IF(F6=TRUE,TRUE,FALSE),IF(F6="N/A",TRUE,FALSE))),H6=TRUE)</f>
        <v>0</v>
      </c>
      <c r="D6" s="75" t="s">
        <v>230</v>
      </c>
      <c r="E6" s="79"/>
      <c r="F6" s="77" t="s">
        <v>22</v>
      </c>
      <c r="G6" s="81" t="s">
        <v>56</v>
      </c>
      <c r="H6" s="72" t="b">
        <f>AND(M6,M8)</f>
        <v>0</v>
      </c>
      <c r="I6" s="70" t="s">
        <v>113</v>
      </c>
      <c r="J6" s="71" t="s">
        <v>40</v>
      </c>
      <c r="K6" s="70" t="s">
        <v>231</v>
      </c>
      <c r="L6" s="71" t="s">
        <v>54</v>
      </c>
      <c r="M6" s="72" t="b">
        <f>IF(P6=TRUE,TRUE,(AND((OR(IF(P7=TRUE,TRUE,FALSE),(IF(P7="N/A",NOT(ISBLANK(Q7)))))))))</f>
        <v>0</v>
      </c>
      <c r="N6" s="50" t="s">
        <v>114</v>
      </c>
      <c r="O6" s="53" t="s">
        <v>115</v>
      </c>
      <c r="P6" s="65" t="s">
        <v>57</v>
      </c>
      <c r="Q6" s="62"/>
    </row>
    <row r="7" spans="1:17" ht="121.5" customHeight="1" thickBot="1" x14ac:dyDescent="0.3">
      <c r="A7" s="83"/>
      <c r="B7" s="83"/>
      <c r="C7" s="84"/>
      <c r="D7" s="83"/>
      <c r="E7" s="85"/>
      <c r="F7" s="84"/>
      <c r="G7" s="86"/>
      <c r="H7" s="72"/>
      <c r="I7" s="70"/>
      <c r="J7" s="71"/>
      <c r="K7" s="70"/>
      <c r="L7" s="71"/>
      <c r="M7" s="72"/>
      <c r="N7" s="50" t="s">
        <v>116</v>
      </c>
      <c r="O7" s="53" t="s">
        <v>101</v>
      </c>
      <c r="P7" s="65" t="s">
        <v>55</v>
      </c>
      <c r="Q7" s="62"/>
    </row>
    <row r="8" spans="1:17" ht="93" customHeight="1" thickBot="1" x14ac:dyDescent="0.3">
      <c r="A8" s="83"/>
      <c r="B8" s="83"/>
      <c r="C8" s="84"/>
      <c r="D8" s="83"/>
      <c r="E8" s="85"/>
      <c r="F8" s="84"/>
      <c r="G8" s="86"/>
      <c r="H8" s="72"/>
      <c r="I8" s="70" t="s">
        <v>117</v>
      </c>
      <c r="J8" s="71" t="s">
        <v>40</v>
      </c>
      <c r="K8" s="70" t="s">
        <v>232</v>
      </c>
      <c r="L8" s="71" t="s">
        <v>58</v>
      </c>
      <c r="M8" s="72" t="b">
        <f>IF(P8=TRUE,TRUE,(AND((OR(IF(P9=TRUE,TRUE,FALSE),(IF(P9="N/A",NOT(ISBLANK(Q9)))))))))</f>
        <v>0</v>
      </c>
      <c r="N8" s="50" t="s">
        <v>118</v>
      </c>
      <c r="O8" s="53" t="s">
        <v>115</v>
      </c>
      <c r="P8" s="65" t="s">
        <v>42</v>
      </c>
      <c r="Q8" s="62"/>
    </row>
    <row r="9" spans="1:17" ht="111" customHeight="1" thickBot="1" x14ac:dyDescent="0.3">
      <c r="A9" s="76"/>
      <c r="B9" s="76"/>
      <c r="C9" s="78"/>
      <c r="D9" s="76"/>
      <c r="E9" s="80"/>
      <c r="F9" s="78"/>
      <c r="G9" s="82"/>
      <c r="H9" s="72"/>
      <c r="I9" s="70"/>
      <c r="J9" s="71"/>
      <c r="K9" s="70"/>
      <c r="L9" s="71"/>
      <c r="M9" s="72"/>
      <c r="N9" s="50" t="s">
        <v>119</v>
      </c>
      <c r="O9" s="53" t="s">
        <v>101</v>
      </c>
      <c r="P9" s="65" t="s">
        <v>59</v>
      </c>
      <c r="Q9" s="62"/>
    </row>
    <row r="10" spans="1:17" ht="175.5" customHeight="1" thickBot="1" x14ac:dyDescent="0.3">
      <c r="A10" s="75" t="s">
        <v>120</v>
      </c>
      <c r="B10" s="75" t="s">
        <v>121</v>
      </c>
      <c r="C10" s="77" t="b">
        <f>AND((OR(IF(F10=TRUE,TRUE,FALSE),IF(F10="N/A",TRUE,FALSE))),H10=TRUE)</f>
        <v>0</v>
      </c>
      <c r="D10" s="75" t="s">
        <v>233</v>
      </c>
      <c r="E10" s="79"/>
      <c r="F10" s="77" t="s">
        <v>22</v>
      </c>
      <c r="G10" s="81" t="s">
        <v>56</v>
      </c>
      <c r="H10" s="72" t="b">
        <f>AND(M10,M12)</f>
        <v>0</v>
      </c>
      <c r="I10" s="70" t="s">
        <v>122</v>
      </c>
      <c r="J10" s="71" t="s">
        <v>40</v>
      </c>
      <c r="K10" s="70" t="s">
        <v>234</v>
      </c>
      <c r="L10" s="71" t="s">
        <v>54</v>
      </c>
      <c r="M10" s="72" t="b">
        <f>IF(P10=TRUE,TRUE,(AND((OR(IF(P11=TRUE,TRUE,FALSE),(IF(P11="N/A",NOT(ISBLANK(Q11)))))))))</f>
        <v>0</v>
      </c>
      <c r="N10" s="50" t="s">
        <v>123</v>
      </c>
      <c r="O10" s="53" t="s">
        <v>115</v>
      </c>
      <c r="P10" s="65" t="s">
        <v>57</v>
      </c>
      <c r="Q10" s="62"/>
    </row>
    <row r="11" spans="1:17" ht="129.75" customHeight="1" thickBot="1" x14ac:dyDescent="0.3">
      <c r="A11" s="83"/>
      <c r="B11" s="83"/>
      <c r="C11" s="84"/>
      <c r="D11" s="83"/>
      <c r="E11" s="85"/>
      <c r="F11" s="84"/>
      <c r="G11" s="86"/>
      <c r="H11" s="72"/>
      <c r="I11" s="70"/>
      <c r="J11" s="71"/>
      <c r="K11" s="70"/>
      <c r="L11" s="71"/>
      <c r="M11" s="72"/>
      <c r="N11" s="50" t="s">
        <v>124</v>
      </c>
      <c r="O11" s="53" t="s">
        <v>101</v>
      </c>
      <c r="P11" s="65" t="s">
        <v>55</v>
      </c>
      <c r="Q11" s="62"/>
    </row>
    <row r="12" spans="1:17" ht="98.25" customHeight="1" thickBot="1" x14ac:dyDescent="0.3">
      <c r="A12" s="83"/>
      <c r="B12" s="83"/>
      <c r="C12" s="84"/>
      <c r="D12" s="83"/>
      <c r="E12" s="85"/>
      <c r="F12" s="84"/>
      <c r="G12" s="86"/>
      <c r="H12" s="72"/>
      <c r="I12" s="70" t="s">
        <v>125</v>
      </c>
      <c r="J12" s="71" t="s">
        <v>40</v>
      </c>
      <c r="K12" s="70" t="s">
        <v>235</v>
      </c>
      <c r="L12" s="71" t="s">
        <v>58</v>
      </c>
      <c r="M12" s="72" t="b">
        <f>IF(P12=TRUE,TRUE,(AND((OR(IF(P13=TRUE,TRUE,FALSE),(IF(P13="N/A",NOT(ISBLANK(Q13)))))))))</f>
        <v>0</v>
      </c>
      <c r="N12" s="50" t="s">
        <v>126</v>
      </c>
      <c r="O12" s="53" t="s">
        <v>115</v>
      </c>
      <c r="P12" s="65" t="s">
        <v>42</v>
      </c>
      <c r="Q12" s="62"/>
    </row>
    <row r="13" spans="1:17" ht="116.25" customHeight="1" thickBot="1" x14ac:dyDescent="0.3">
      <c r="A13" s="76"/>
      <c r="B13" s="76"/>
      <c r="C13" s="78"/>
      <c r="D13" s="76"/>
      <c r="E13" s="80"/>
      <c r="F13" s="78"/>
      <c r="G13" s="82"/>
      <c r="H13" s="72"/>
      <c r="I13" s="70"/>
      <c r="J13" s="71"/>
      <c r="K13" s="70"/>
      <c r="L13" s="71"/>
      <c r="M13" s="72"/>
      <c r="N13" s="50" t="s">
        <v>127</v>
      </c>
      <c r="O13" s="53" t="s">
        <v>101</v>
      </c>
      <c r="P13" s="65" t="s">
        <v>59</v>
      </c>
      <c r="Q13" s="62"/>
    </row>
    <row r="14" spans="1:17" ht="79.900000000000006" customHeight="1" thickBot="1" x14ac:dyDescent="0.3">
      <c r="A14" s="75" t="s">
        <v>128</v>
      </c>
      <c r="B14" s="75" t="s">
        <v>129</v>
      </c>
      <c r="C14" s="77" t="b">
        <f>AND((OR(IF(F14=TRUE,TRUE,FALSE),IF(F14="N/A",TRUE,FALSE))),H14=TRUE)</f>
        <v>0</v>
      </c>
      <c r="D14" s="75"/>
      <c r="E14" s="79"/>
      <c r="F14" s="77" t="s">
        <v>22</v>
      </c>
      <c r="G14" s="81" t="s">
        <v>53</v>
      </c>
      <c r="H14" s="72" t="b">
        <f>AND(M14)</f>
        <v>0</v>
      </c>
      <c r="I14" s="70" t="s">
        <v>130</v>
      </c>
      <c r="J14" s="71" t="s">
        <v>40</v>
      </c>
      <c r="K14" s="70" t="s">
        <v>236</v>
      </c>
      <c r="L14" s="71" t="s">
        <v>54</v>
      </c>
      <c r="M14" s="72" t="b">
        <f>IF(P14=TRUE,TRUE,(AND((OR(IF(P15=TRUE,TRUE,FALSE),(IF(P15="N/A",NOT(ISBLANK(Q15)))))))))</f>
        <v>0</v>
      </c>
      <c r="N14" s="50" t="s">
        <v>131</v>
      </c>
      <c r="O14" s="53" t="s">
        <v>115</v>
      </c>
      <c r="P14" s="65" t="s">
        <v>57</v>
      </c>
      <c r="Q14" s="62"/>
    </row>
    <row r="15" spans="1:17" ht="79.900000000000006" customHeight="1" thickBot="1" x14ac:dyDescent="0.3">
      <c r="A15" s="76"/>
      <c r="B15" s="76"/>
      <c r="C15" s="78"/>
      <c r="D15" s="76"/>
      <c r="E15" s="80"/>
      <c r="F15" s="78"/>
      <c r="G15" s="82"/>
      <c r="H15" s="72"/>
      <c r="I15" s="70"/>
      <c r="J15" s="71"/>
      <c r="K15" s="70"/>
      <c r="L15" s="71"/>
      <c r="M15" s="72"/>
      <c r="N15" s="50" t="s">
        <v>132</v>
      </c>
      <c r="O15" s="53" t="s">
        <v>101</v>
      </c>
      <c r="P15" s="65" t="s">
        <v>55</v>
      </c>
      <c r="Q15" s="62"/>
    </row>
    <row r="16" spans="1:17" ht="93" customHeight="1" thickBot="1" x14ac:dyDescent="0.3">
      <c r="A16" s="75" t="s">
        <v>133</v>
      </c>
      <c r="B16" s="75" t="s">
        <v>134</v>
      </c>
      <c r="C16" s="77" t="b">
        <f>AND((OR(IF(F16=TRUE,TRUE,FALSE),IF(F16="N/A",TRUE,FALSE))),H16=TRUE)</f>
        <v>0</v>
      </c>
      <c r="D16" s="75"/>
      <c r="E16" s="79"/>
      <c r="F16" s="77" t="s">
        <v>22</v>
      </c>
      <c r="G16" s="81" t="s">
        <v>53</v>
      </c>
      <c r="H16" s="72" t="b">
        <f>AND(M16)</f>
        <v>0</v>
      </c>
      <c r="I16" s="70" t="s">
        <v>135</v>
      </c>
      <c r="J16" s="71" t="s">
        <v>40</v>
      </c>
      <c r="K16" s="70" t="s">
        <v>237</v>
      </c>
      <c r="L16" s="71" t="s">
        <v>54</v>
      </c>
      <c r="M16" s="73" t="b">
        <f>AND(OR(IF(P16=TRUE,TRUE,FALSE),(IF(P16="N/A",NOT(ISBLANK(Q16))))),(OR(IF(P17=TRUE,TRUE,FALSE),(IF(P17="N/A",NOT(ISBLANK(Q17)))))))</f>
        <v>0</v>
      </c>
      <c r="N16" s="50" t="s">
        <v>136</v>
      </c>
      <c r="O16" s="53" t="s">
        <v>101</v>
      </c>
      <c r="P16" s="65" t="s">
        <v>57</v>
      </c>
      <c r="Q16" s="62"/>
    </row>
    <row r="17" spans="1:17" ht="105" customHeight="1" thickBot="1" x14ac:dyDescent="0.3">
      <c r="A17" s="76"/>
      <c r="B17" s="76"/>
      <c r="C17" s="78"/>
      <c r="D17" s="76"/>
      <c r="E17" s="80"/>
      <c r="F17" s="78"/>
      <c r="G17" s="82"/>
      <c r="H17" s="72"/>
      <c r="I17" s="70"/>
      <c r="J17" s="71"/>
      <c r="K17" s="70"/>
      <c r="L17" s="71"/>
      <c r="M17" s="74"/>
      <c r="N17" s="50" t="s">
        <v>137</v>
      </c>
      <c r="O17" s="53" t="s">
        <v>101</v>
      </c>
      <c r="P17" s="65" t="s">
        <v>55</v>
      </c>
      <c r="Q17" s="62"/>
    </row>
    <row r="18" spans="1:17" ht="162.75" customHeight="1" thickBot="1" x14ac:dyDescent="0.3">
      <c r="A18" s="75" t="s">
        <v>138</v>
      </c>
      <c r="B18" s="75" t="s">
        <v>139</v>
      </c>
      <c r="C18" s="77" t="b">
        <f>AND((OR(IF(F18=TRUE,TRUE,FALSE),IF(F18="N/A",TRUE,FALSE))),H18=TRUE)</f>
        <v>0</v>
      </c>
      <c r="D18" s="75"/>
      <c r="E18" s="79"/>
      <c r="F18" s="77" t="s">
        <v>22</v>
      </c>
      <c r="G18" s="81" t="s">
        <v>53</v>
      </c>
      <c r="H18" s="72" t="b">
        <f>AND(M18)</f>
        <v>0</v>
      </c>
      <c r="I18" s="70" t="s">
        <v>140</v>
      </c>
      <c r="J18" s="71" t="s">
        <v>40</v>
      </c>
      <c r="K18" s="70" t="s">
        <v>238</v>
      </c>
      <c r="L18" s="71" t="s">
        <v>54</v>
      </c>
      <c r="M18" s="72" t="b">
        <f>AND(OR(IF(P18=TRUE,TRUE,FALSE),(IF(P18="N/A",NOT(ISBLANK(Q18))))),(OR(IF(P19=TRUE,TRUE,FALSE),(IF(P19="N/A",NOT(ISBLANK(Q19)))))))</f>
        <v>0</v>
      </c>
      <c r="N18" s="50" t="s">
        <v>141</v>
      </c>
      <c r="O18" s="53" t="s">
        <v>115</v>
      </c>
      <c r="P18" s="65" t="s">
        <v>57</v>
      </c>
      <c r="Q18" s="62"/>
    </row>
    <row r="19" spans="1:17" ht="128.25" customHeight="1" thickBot="1" x14ac:dyDescent="0.3">
      <c r="A19" s="76"/>
      <c r="B19" s="76"/>
      <c r="C19" s="78"/>
      <c r="D19" s="76"/>
      <c r="E19" s="80"/>
      <c r="F19" s="78"/>
      <c r="G19" s="82"/>
      <c r="H19" s="72"/>
      <c r="I19" s="70"/>
      <c r="J19" s="71"/>
      <c r="K19" s="70"/>
      <c r="L19" s="71"/>
      <c r="M19" s="72"/>
      <c r="N19" s="50" t="s">
        <v>142</v>
      </c>
      <c r="O19" s="53" t="s">
        <v>115</v>
      </c>
      <c r="P19" s="65" t="s">
        <v>55</v>
      </c>
      <c r="Q19" s="62"/>
    </row>
    <row r="20" spans="1:17" ht="111.75" customHeight="1" thickBot="1" x14ac:dyDescent="0.3">
      <c r="A20" s="75" t="s">
        <v>143</v>
      </c>
      <c r="B20" s="75" t="s">
        <v>144</v>
      </c>
      <c r="C20" s="77" t="b">
        <f>AND((OR(IF(F20=TRUE,TRUE,FALSE),IF(F20="N/A",TRUE,FALSE))),H20=TRUE)</f>
        <v>0</v>
      </c>
      <c r="D20" s="75"/>
      <c r="E20" s="79"/>
      <c r="F20" s="77" t="s">
        <v>22</v>
      </c>
      <c r="G20" s="81" t="s">
        <v>239</v>
      </c>
      <c r="H20" s="72" t="b">
        <f>AND(M20,M22,M24,M26,M28,M30,M32,M34)</f>
        <v>0</v>
      </c>
      <c r="I20" s="70" t="s">
        <v>145</v>
      </c>
      <c r="J20" s="71" t="s">
        <v>40</v>
      </c>
      <c r="K20" s="70" t="s">
        <v>240</v>
      </c>
      <c r="L20" s="71" t="s">
        <v>54</v>
      </c>
      <c r="M20" s="72" t="b">
        <f>AND(OR(IF(P20=TRUE,TRUE,FALSE),(IF(P20="N/A",NOT(ISBLANK(Q20))))),(OR(IF(P21=TRUE,TRUE,FALSE),(IF(P21="N/A",NOT(ISBLANK(Q21)))))))</f>
        <v>0</v>
      </c>
      <c r="N20" s="50" t="s">
        <v>146</v>
      </c>
      <c r="O20" s="53" t="s">
        <v>147</v>
      </c>
      <c r="P20" s="87" t="b">
        <f>MPDD!B2</f>
        <v>0</v>
      </c>
      <c r="Q20" s="88" t="s">
        <v>257</v>
      </c>
    </row>
    <row r="21" spans="1:17" ht="103.5" customHeight="1" thickBot="1" x14ac:dyDescent="0.3">
      <c r="A21" s="83"/>
      <c r="B21" s="83"/>
      <c r="C21" s="84"/>
      <c r="D21" s="83"/>
      <c r="E21" s="85"/>
      <c r="F21" s="84"/>
      <c r="G21" s="86"/>
      <c r="H21" s="72"/>
      <c r="I21" s="70"/>
      <c r="J21" s="71"/>
      <c r="K21" s="70"/>
      <c r="L21" s="71"/>
      <c r="M21" s="72"/>
      <c r="N21" s="50" t="s">
        <v>148</v>
      </c>
      <c r="O21" s="53" t="s">
        <v>101</v>
      </c>
      <c r="P21" s="65" t="s">
        <v>55</v>
      </c>
      <c r="Q21" s="62"/>
    </row>
    <row r="22" spans="1:17" ht="79.900000000000006" customHeight="1" thickBot="1" x14ac:dyDescent="0.3">
      <c r="A22" s="83"/>
      <c r="B22" s="83"/>
      <c r="C22" s="84"/>
      <c r="D22" s="83"/>
      <c r="E22" s="85"/>
      <c r="F22" s="84"/>
      <c r="G22" s="86"/>
      <c r="H22" s="72"/>
      <c r="I22" s="70" t="s">
        <v>149</v>
      </c>
      <c r="J22" s="71" t="s">
        <v>40</v>
      </c>
      <c r="K22" s="70" t="s">
        <v>241</v>
      </c>
      <c r="L22" s="71" t="s">
        <v>58</v>
      </c>
      <c r="M22" s="72" t="b">
        <f>IF(P22=TRUE,TRUE,(AND((OR(IF(P23=TRUE,TRUE,FALSE),(IF(P23="N/A",NOT(ISBLANK(Q23)))))))))</f>
        <v>0</v>
      </c>
      <c r="N22" s="50" t="s">
        <v>150</v>
      </c>
      <c r="O22" s="53" t="s">
        <v>101</v>
      </c>
      <c r="P22" s="65" t="s">
        <v>42</v>
      </c>
      <c r="Q22" s="62"/>
    </row>
    <row r="23" spans="1:17" ht="79.900000000000006" customHeight="1" thickBot="1" x14ac:dyDescent="0.3">
      <c r="A23" s="83"/>
      <c r="B23" s="83"/>
      <c r="C23" s="84"/>
      <c r="D23" s="83"/>
      <c r="E23" s="85"/>
      <c r="F23" s="84"/>
      <c r="G23" s="86"/>
      <c r="H23" s="72"/>
      <c r="I23" s="70"/>
      <c r="J23" s="71"/>
      <c r="K23" s="70"/>
      <c r="L23" s="71"/>
      <c r="M23" s="72"/>
      <c r="N23" s="50" t="s">
        <v>151</v>
      </c>
      <c r="O23" s="53" t="s">
        <v>101</v>
      </c>
      <c r="P23" s="65" t="s">
        <v>59</v>
      </c>
      <c r="Q23" s="62"/>
    </row>
    <row r="24" spans="1:17" ht="79.900000000000006" customHeight="1" thickBot="1" x14ac:dyDescent="0.3">
      <c r="A24" s="83"/>
      <c r="B24" s="83"/>
      <c r="C24" s="84"/>
      <c r="D24" s="83"/>
      <c r="E24" s="85"/>
      <c r="F24" s="84"/>
      <c r="G24" s="86"/>
      <c r="H24" s="72"/>
      <c r="I24" s="70" t="s">
        <v>152</v>
      </c>
      <c r="J24" s="71" t="s">
        <v>40</v>
      </c>
      <c r="K24" s="70" t="s">
        <v>242</v>
      </c>
      <c r="L24" s="71" t="s">
        <v>43</v>
      </c>
      <c r="M24" s="72" t="b">
        <f>IF(P24=TRUE,TRUE,(AND((OR(IF(P25=TRUE,TRUE,FALSE),(IF(P25="N/A",NOT(ISBLANK(Q25)))))))))</f>
        <v>0</v>
      </c>
      <c r="N24" s="50" t="s">
        <v>153</v>
      </c>
      <c r="O24" s="53" t="s">
        <v>101</v>
      </c>
      <c r="P24" s="65" t="s">
        <v>60</v>
      </c>
      <c r="Q24" s="62"/>
    </row>
    <row r="25" spans="1:17" ht="79.900000000000006" customHeight="1" thickBot="1" x14ac:dyDescent="0.3">
      <c r="A25" s="83"/>
      <c r="B25" s="83"/>
      <c r="C25" s="84"/>
      <c r="D25" s="83"/>
      <c r="E25" s="85"/>
      <c r="F25" s="84"/>
      <c r="G25" s="86"/>
      <c r="H25" s="72"/>
      <c r="I25" s="70"/>
      <c r="J25" s="71"/>
      <c r="K25" s="70"/>
      <c r="L25" s="71"/>
      <c r="M25" s="72"/>
      <c r="N25" s="50" t="s">
        <v>154</v>
      </c>
      <c r="O25" s="53" t="s">
        <v>101</v>
      </c>
      <c r="P25" s="65" t="s">
        <v>61</v>
      </c>
      <c r="Q25" s="62"/>
    </row>
    <row r="26" spans="1:17" ht="79.900000000000006" customHeight="1" thickBot="1" x14ac:dyDescent="0.3">
      <c r="A26" s="83"/>
      <c r="B26" s="83"/>
      <c r="C26" s="84"/>
      <c r="D26" s="83"/>
      <c r="E26" s="85"/>
      <c r="F26" s="84"/>
      <c r="G26" s="86"/>
      <c r="H26" s="72"/>
      <c r="I26" s="70" t="s">
        <v>155</v>
      </c>
      <c r="J26" s="71" t="s">
        <v>40</v>
      </c>
      <c r="K26" s="70" t="s">
        <v>242</v>
      </c>
      <c r="L26" s="71" t="s">
        <v>44</v>
      </c>
      <c r="M26" s="72" t="b">
        <f>IF(P26=TRUE,TRUE,(AND((OR(IF(P27=TRUE,TRUE,FALSE),(IF(P27="N/A",NOT(ISBLANK(Q27)))))))))</f>
        <v>0</v>
      </c>
      <c r="N26" s="50" t="s">
        <v>156</v>
      </c>
      <c r="O26" s="53" t="s">
        <v>101</v>
      </c>
      <c r="P26" s="65" t="s">
        <v>62</v>
      </c>
      <c r="Q26" s="62"/>
    </row>
    <row r="27" spans="1:17" ht="79.900000000000006" customHeight="1" thickBot="1" x14ac:dyDescent="0.3">
      <c r="A27" s="83"/>
      <c r="B27" s="83"/>
      <c r="C27" s="84"/>
      <c r="D27" s="83"/>
      <c r="E27" s="85"/>
      <c r="F27" s="84"/>
      <c r="G27" s="86"/>
      <c r="H27" s="72"/>
      <c r="I27" s="70"/>
      <c r="J27" s="71"/>
      <c r="K27" s="70"/>
      <c r="L27" s="71"/>
      <c r="M27" s="72"/>
      <c r="N27" s="50" t="s">
        <v>157</v>
      </c>
      <c r="O27" s="53" t="s">
        <v>101</v>
      </c>
      <c r="P27" s="65" t="s">
        <v>63</v>
      </c>
      <c r="Q27" s="62"/>
    </row>
    <row r="28" spans="1:17" ht="79.900000000000006" customHeight="1" thickBot="1" x14ac:dyDescent="0.3">
      <c r="A28" s="83"/>
      <c r="B28" s="83"/>
      <c r="C28" s="84"/>
      <c r="D28" s="83"/>
      <c r="E28" s="85"/>
      <c r="F28" s="84"/>
      <c r="G28" s="86"/>
      <c r="H28" s="72"/>
      <c r="I28" s="70" t="s">
        <v>158</v>
      </c>
      <c r="J28" s="71" t="s">
        <v>40</v>
      </c>
      <c r="K28" s="70" t="s">
        <v>242</v>
      </c>
      <c r="L28" s="71" t="s">
        <v>45</v>
      </c>
      <c r="M28" s="72" t="b">
        <f>IF(P28=TRUE,TRUE,(AND((OR(IF(P29=TRUE,TRUE,FALSE),(IF(P29="N/A",NOT(ISBLANK(Q29)))))))))</f>
        <v>0</v>
      </c>
      <c r="N28" s="50" t="s">
        <v>159</v>
      </c>
      <c r="O28" s="53" t="s">
        <v>101</v>
      </c>
      <c r="P28" s="65" t="s">
        <v>64</v>
      </c>
      <c r="Q28" s="62"/>
    </row>
    <row r="29" spans="1:17" ht="79.900000000000006" customHeight="1" thickBot="1" x14ac:dyDescent="0.3">
      <c r="A29" s="83"/>
      <c r="B29" s="83"/>
      <c r="C29" s="84"/>
      <c r="D29" s="83"/>
      <c r="E29" s="85"/>
      <c r="F29" s="84"/>
      <c r="G29" s="86"/>
      <c r="H29" s="72"/>
      <c r="I29" s="70"/>
      <c r="J29" s="71"/>
      <c r="K29" s="70"/>
      <c r="L29" s="71"/>
      <c r="M29" s="72"/>
      <c r="N29" s="50" t="s">
        <v>160</v>
      </c>
      <c r="O29" s="53" t="s">
        <v>101</v>
      </c>
      <c r="P29" s="65" t="s">
        <v>65</v>
      </c>
      <c r="Q29" s="62"/>
    </row>
    <row r="30" spans="1:17" ht="79.900000000000006" customHeight="1" thickBot="1" x14ac:dyDescent="0.3">
      <c r="A30" s="83"/>
      <c r="B30" s="83"/>
      <c r="C30" s="84"/>
      <c r="D30" s="83"/>
      <c r="E30" s="85"/>
      <c r="F30" s="84"/>
      <c r="G30" s="86"/>
      <c r="H30" s="72"/>
      <c r="I30" s="70" t="s">
        <v>161</v>
      </c>
      <c r="J30" s="71" t="s">
        <v>40</v>
      </c>
      <c r="K30" s="70" t="s">
        <v>243</v>
      </c>
      <c r="L30" s="71" t="s">
        <v>46</v>
      </c>
      <c r="M30" s="72" t="b">
        <f>IF(P30=TRUE,TRUE,(AND((OR(IF(P31=TRUE,TRUE,FALSE),(IF(P31="N/A",NOT(ISBLANK(Q31)))))))))</f>
        <v>0</v>
      </c>
      <c r="N30" s="50" t="s">
        <v>162</v>
      </c>
      <c r="O30" s="53" t="s">
        <v>101</v>
      </c>
      <c r="P30" s="65" t="s">
        <v>66</v>
      </c>
      <c r="Q30" s="62"/>
    </row>
    <row r="31" spans="1:17" ht="79.900000000000006" customHeight="1" thickBot="1" x14ac:dyDescent="0.3">
      <c r="A31" s="83"/>
      <c r="B31" s="83"/>
      <c r="C31" s="84"/>
      <c r="D31" s="83"/>
      <c r="E31" s="85"/>
      <c r="F31" s="84"/>
      <c r="G31" s="86"/>
      <c r="H31" s="72"/>
      <c r="I31" s="70"/>
      <c r="J31" s="71"/>
      <c r="K31" s="70"/>
      <c r="L31" s="71"/>
      <c r="M31" s="72"/>
      <c r="N31" s="50" t="s">
        <v>163</v>
      </c>
      <c r="O31" s="53" t="s">
        <v>101</v>
      </c>
      <c r="P31" s="65" t="s">
        <v>67</v>
      </c>
      <c r="Q31" s="62"/>
    </row>
    <row r="32" spans="1:17" ht="79.900000000000006" customHeight="1" thickBot="1" x14ac:dyDescent="0.3">
      <c r="A32" s="83"/>
      <c r="B32" s="83"/>
      <c r="C32" s="84"/>
      <c r="D32" s="83"/>
      <c r="E32" s="85"/>
      <c r="F32" s="84"/>
      <c r="G32" s="86"/>
      <c r="H32" s="72"/>
      <c r="I32" s="70" t="s">
        <v>164</v>
      </c>
      <c r="J32" s="71" t="s">
        <v>40</v>
      </c>
      <c r="K32" s="70" t="s">
        <v>244</v>
      </c>
      <c r="L32" s="71" t="s">
        <v>47</v>
      </c>
      <c r="M32" s="72" t="b">
        <f>IF(P32=TRUE,TRUE,(AND((OR(IF(P33=TRUE,TRUE,FALSE),(IF(P33="N/A",NOT(ISBLANK(Q33)))))))))</f>
        <v>0</v>
      </c>
      <c r="N32" s="50" t="s">
        <v>165</v>
      </c>
      <c r="O32" s="53" t="s">
        <v>101</v>
      </c>
      <c r="P32" s="65" t="s">
        <v>48</v>
      </c>
      <c r="Q32" s="62"/>
    </row>
    <row r="33" spans="1:17" ht="79.900000000000006" customHeight="1" thickBot="1" x14ac:dyDescent="0.3">
      <c r="A33" s="83"/>
      <c r="B33" s="83"/>
      <c r="C33" s="84"/>
      <c r="D33" s="83"/>
      <c r="E33" s="85"/>
      <c r="F33" s="84"/>
      <c r="G33" s="86"/>
      <c r="H33" s="72"/>
      <c r="I33" s="70"/>
      <c r="J33" s="71"/>
      <c r="K33" s="70"/>
      <c r="L33" s="71"/>
      <c r="M33" s="72"/>
      <c r="N33" s="50" t="s">
        <v>166</v>
      </c>
      <c r="O33" s="53" t="s">
        <v>101</v>
      </c>
      <c r="P33" s="65" t="s">
        <v>49</v>
      </c>
      <c r="Q33" s="62"/>
    </row>
    <row r="34" spans="1:17" ht="79.900000000000006" customHeight="1" thickBot="1" x14ac:dyDescent="0.3">
      <c r="A34" s="83"/>
      <c r="B34" s="83"/>
      <c r="C34" s="84"/>
      <c r="D34" s="83"/>
      <c r="E34" s="85"/>
      <c r="F34" s="84"/>
      <c r="G34" s="86"/>
      <c r="H34" s="72"/>
      <c r="I34" s="70" t="s">
        <v>167</v>
      </c>
      <c r="J34" s="71" t="s">
        <v>40</v>
      </c>
      <c r="K34" s="70" t="s">
        <v>245</v>
      </c>
      <c r="L34" s="71" t="s">
        <v>50</v>
      </c>
      <c r="M34" s="72" t="b">
        <f>IF(P34=TRUE,TRUE,(AND((OR(IF(P35=TRUE,TRUE,FALSE),(IF(P35="N/A",NOT(ISBLANK(Q35)))))))))</f>
        <v>0</v>
      </c>
      <c r="N34" s="50" t="s">
        <v>168</v>
      </c>
      <c r="O34" s="53" t="s">
        <v>101</v>
      </c>
      <c r="P34" s="65" t="s">
        <v>51</v>
      </c>
      <c r="Q34" s="62"/>
    </row>
    <row r="35" spans="1:17" ht="79.900000000000006" customHeight="1" thickBot="1" x14ac:dyDescent="0.3">
      <c r="A35" s="76"/>
      <c r="B35" s="76"/>
      <c r="C35" s="78"/>
      <c r="D35" s="76"/>
      <c r="E35" s="80"/>
      <c r="F35" s="78"/>
      <c r="G35" s="82"/>
      <c r="H35" s="72"/>
      <c r="I35" s="70"/>
      <c r="J35" s="71"/>
      <c r="K35" s="70"/>
      <c r="L35" s="71"/>
      <c r="M35" s="72"/>
      <c r="N35" s="50" t="s">
        <v>169</v>
      </c>
      <c r="O35" s="53" t="s">
        <v>101</v>
      </c>
      <c r="P35" s="65" t="s">
        <v>52</v>
      </c>
      <c r="Q35" s="62"/>
    </row>
    <row r="36" spans="1:17" ht="124.5" customHeight="1" thickBot="1" x14ac:dyDescent="0.3">
      <c r="A36" s="75" t="s">
        <v>170</v>
      </c>
      <c r="B36" s="75" t="s">
        <v>171</v>
      </c>
      <c r="C36" s="77" t="b">
        <f>AND((OR(IF(F36=TRUE,TRUE,FALSE),IF(F36="N/A",TRUE,FALSE))),H36=TRUE)</f>
        <v>0</v>
      </c>
      <c r="D36" s="75"/>
      <c r="E36" s="79"/>
      <c r="F36" s="77" t="s">
        <v>22</v>
      </c>
      <c r="G36" s="81" t="s">
        <v>53</v>
      </c>
      <c r="H36" s="72" t="b">
        <f>AND(M36)</f>
        <v>0</v>
      </c>
      <c r="I36" s="70" t="s">
        <v>172</v>
      </c>
      <c r="J36" s="71" t="s">
        <v>40</v>
      </c>
      <c r="K36" s="70" t="s">
        <v>246</v>
      </c>
      <c r="L36" s="71" t="s">
        <v>54</v>
      </c>
      <c r="M36" s="72" t="b">
        <f>IF(P36=TRUE,TRUE,(AND((OR(IF(P37=TRUE,TRUE,FALSE),(IF(P37="N/A",NOT(ISBLANK(Q37)))))))))</f>
        <v>0</v>
      </c>
      <c r="N36" s="50" t="s">
        <v>173</v>
      </c>
      <c r="O36" s="53" t="s">
        <v>115</v>
      </c>
      <c r="P36" s="65" t="s">
        <v>57</v>
      </c>
      <c r="Q36" s="62"/>
    </row>
    <row r="37" spans="1:17" ht="120" customHeight="1" thickBot="1" x14ac:dyDescent="0.3">
      <c r="A37" s="76"/>
      <c r="B37" s="76"/>
      <c r="C37" s="78"/>
      <c r="D37" s="76"/>
      <c r="E37" s="80"/>
      <c r="F37" s="78"/>
      <c r="G37" s="82"/>
      <c r="H37" s="72"/>
      <c r="I37" s="70"/>
      <c r="J37" s="71"/>
      <c r="K37" s="70"/>
      <c r="L37" s="71"/>
      <c r="M37" s="72"/>
      <c r="N37" s="50" t="s">
        <v>174</v>
      </c>
      <c r="O37" s="53" t="s">
        <v>115</v>
      </c>
      <c r="P37" s="65" t="s">
        <v>55</v>
      </c>
      <c r="Q37" s="62"/>
    </row>
    <row r="38" spans="1:17" ht="162.75" customHeight="1" thickBot="1" x14ac:dyDescent="0.3">
      <c r="A38" s="75" t="s">
        <v>175</v>
      </c>
      <c r="B38" s="75" t="s">
        <v>176</v>
      </c>
      <c r="C38" s="77" t="b">
        <f>AND((OR(IF(F38=TRUE,TRUE,FALSE),IF(F38="N/A",TRUE,FALSE))),H38=TRUE)</f>
        <v>0</v>
      </c>
      <c r="D38" s="75"/>
      <c r="E38" s="79"/>
      <c r="F38" s="77" t="s">
        <v>22</v>
      </c>
      <c r="G38" s="81" t="s">
        <v>53</v>
      </c>
      <c r="H38" s="72" t="b">
        <f>AND(M38)</f>
        <v>0</v>
      </c>
      <c r="I38" s="70" t="s">
        <v>177</v>
      </c>
      <c r="J38" s="71" t="s">
        <v>40</v>
      </c>
      <c r="K38" s="70" t="s">
        <v>247</v>
      </c>
      <c r="L38" s="71" t="s">
        <v>54</v>
      </c>
      <c r="M38" s="72" t="b">
        <f>IF(P38=TRUE,TRUE,(AND((OR(IF(P39=TRUE,TRUE,FALSE),(IF(P39="N/A",NOT(ISBLANK(Q39)))))))))</f>
        <v>0</v>
      </c>
      <c r="N38" s="50" t="s">
        <v>178</v>
      </c>
      <c r="O38" s="53" t="s">
        <v>101</v>
      </c>
      <c r="P38" s="65" t="s">
        <v>57</v>
      </c>
      <c r="Q38" s="62"/>
    </row>
    <row r="39" spans="1:17" ht="114.75" customHeight="1" thickBot="1" x14ac:dyDescent="0.3">
      <c r="A39" s="76"/>
      <c r="B39" s="76"/>
      <c r="C39" s="78"/>
      <c r="D39" s="76"/>
      <c r="E39" s="80"/>
      <c r="F39" s="78"/>
      <c r="G39" s="82"/>
      <c r="H39" s="72"/>
      <c r="I39" s="70"/>
      <c r="J39" s="71"/>
      <c r="K39" s="70"/>
      <c r="L39" s="71"/>
      <c r="M39" s="72"/>
      <c r="N39" s="50" t="s">
        <v>179</v>
      </c>
      <c r="O39" s="53" t="s">
        <v>101</v>
      </c>
      <c r="P39" s="65" t="s">
        <v>55</v>
      </c>
      <c r="Q39" s="62"/>
    </row>
    <row r="40" spans="1:17" ht="133.5" customHeight="1" thickBot="1" x14ac:dyDescent="0.3">
      <c r="A40" s="56" t="s">
        <v>180</v>
      </c>
      <c r="B40" s="57" t="s">
        <v>181</v>
      </c>
      <c r="C40" s="58" t="b">
        <f>AND((OR(IF(F40=TRUE,TRUE,FALSE),IF(F40="N/A",TRUE,FALSE))),H40=TRUE)</f>
        <v>0</v>
      </c>
      <c r="D40" s="57"/>
      <c r="E40" s="59" t="s">
        <v>328</v>
      </c>
      <c r="F40" s="58" t="b">
        <f>AND(C2,C6,C10,C14,C16,C18,C20,C4,C38,C36)</f>
        <v>0</v>
      </c>
      <c r="G40" s="60" t="s">
        <v>53</v>
      </c>
      <c r="H40" s="32" t="b">
        <f>AND(M40)</f>
        <v>0</v>
      </c>
      <c r="I40" s="50" t="s">
        <v>182</v>
      </c>
      <c r="J40" s="61" t="s">
        <v>68</v>
      </c>
      <c r="K40" s="50" t="s">
        <v>183</v>
      </c>
      <c r="L40" s="61" t="s">
        <v>41</v>
      </c>
      <c r="M40" s="32" t="b">
        <f>AND(OR(IF(P40=TRUE,TRUE,FALSE),(IF(P40="N/A",NOT(ISBLANK(Q40))))))</f>
        <v>0</v>
      </c>
      <c r="N40" s="50" t="s">
        <v>184</v>
      </c>
      <c r="O40" s="53" t="s">
        <v>147</v>
      </c>
      <c r="P40" s="87" t="b">
        <f>F40</f>
        <v>0</v>
      </c>
      <c r="Q40" s="88" t="s">
        <v>257</v>
      </c>
    </row>
    <row r="41" spans="1:17" ht="79.900000000000006" customHeight="1" thickBot="1" x14ac:dyDescent="0.3">
      <c r="A41" s="75" t="s">
        <v>185</v>
      </c>
      <c r="B41" s="75" t="s">
        <v>186</v>
      </c>
      <c r="C41" s="77" t="b">
        <f>AND((OR(IF(F41=TRUE,TRUE,FALSE),IF(F41="N/A",TRUE,FALSE))),H41=TRUE)</f>
        <v>0</v>
      </c>
      <c r="D41" s="75"/>
      <c r="E41" s="79"/>
      <c r="F41" s="77" t="s">
        <v>22</v>
      </c>
      <c r="G41" s="81" t="s">
        <v>53</v>
      </c>
      <c r="H41" s="72" t="b">
        <f>AND(M41)</f>
        <v>0</v>
      </c>
      <c r="I41" s="70" t="s">
        <v>187</v>
      </c>
      <c r="J41" s="71" t="s">
        <v>68</v>
      </c>
      <c r="K41" s="70" t="s">
        <v>188</v>
      </c>
      <c r="L41" s="71" t="s">
        <v>41</v>
      </c>
      <c r="M41" s="72" t="b">
        <f>AND(OR(IF(P41=TRUE,TRUE,FALSE),(IF(P41="N/A",NOT(ISBLANK(Q41))))),(OR(IF(P42=TRUE,TRUE,FALSE),(IF(P42="N/A",NOT(ISBLANK(Q42)))))))</f>
        <v>0</v>
      </c>
      <c r="N41" s="50" t="s">
        <v>189</v>
      </c>
      <c r="O41" s="53" t="s">
        <v>101</v>
      </c>
      <c r="P41" s="65" t="s">
        <v>57</v>
      </c>
      <c r="Q41" s="62"/>
    </row>
    <row r="42" spans="1:17" ht="128.25" customHeight="1" thickBot="1" x14ac:dyDescent="0.3">
      <c r="A42" s="76"/>
      <c r="B42" s="76"/>
      <c r="C42" s="78"/>
      <c r="D42" s="76"/>
      <c r="E42" s="80"/>
      <c r="F42" s="78"/>
      <c r="G42" s="82"/>
      <c r="H42" s="72"/>
      <c r="I42" s="70"/>
      <c r="J42" s="71"/>
      <c r="K42" s="70"/>
      <c r="L42" s="71"/>
      <c r="M42" s="72"/>
      <c r="N42" s="50" t="s">
        <v>190</v>
      </c>
      <c r="O42" s="53" t="s">
        <v>103</v>
      </c>
      <c r="P42" s="65" t="s">
        <v>55</v>
      </c>
      <c r="Q42" s="62"/>
    </row>
    <row r="43" spans="1:17" ht="111.75" customHeight="1" thickBot="1" x14ac:dyDescent="0.3">
      <c r="A43" s="75" t="s">
        <v>191</v>
      </c>
      <c r="B43" s="75" t="s">
        <v>192</v>
      </c>
      <c r="C43" s="77" t="b">
        <f>AND((OR(IF(F43=TRUE,TRUE,FALSE),IF(F43="N/A",TRUE,FALSE))),H43=TRUE)</f>
        <v>0</v>
      </c>
      <c r="D43" s="75" t="s">
        <v>193</v>
      </c>
      <c r="E43" s="79"/>
      <c r="F43" s="77" t="s">
        <v>22</v>
      </c>
      <c r="G43" s="81" t="s">
        <v>53</v>
      </c>
      <c r="H43" s="72" t="b">
        <f>AND(M43)</f>
        <v>0</v>
      </c>
      <c r="I43" s="70" t="s">
        <v>194</v>
      </c>
      <c r="J43" s="71" t="s">
        <v>68</v>
      </c>
      <c r="K43" s="70" t="s">
        <v>248</v>
      </c>
      <c r="L43" s="71" t="s">
        <v>54</v>
      </c>
      <c r="M43" s="72" t="b">
        <f>AND(OR(IF(P43=TRUE,TRUE,FALSE),(IF(P43="N/A",NOT(ISBLANK(Q43))))),(OR(IF(P44=TRUE,TRUE,FALSE),(IF(P44="N/A",NOT(ISBLANK(Q44)))))))</f>
        <v>0</v>
      </c>
      <c r="N43" s="50" t="s">
        <v>195</v>
      </c>
      <c r="O43" s="53" t="s">
        <v>101</v>
      </c>
      <c r="P43" s="65" t="s">
        <v>57</v>
      </c>
      <c r="Q43" s="62"/>
    </row>
    <row r="44" spans="1:17" ht="149.25" customHeight="1" thickBot="1" x14ac:dyDescent="0.3">
      <c r="A44" s="76"/>
      <c r="B44" s="76"/>
      <c r="C44" s="78"/>
      <c r="D44" s="76"/>
      <c r="E44" s="80"/>
      <c r="F44" s="78"/>
      <c r="G44" s="82"/>
      <c r="H44" s="72"/>
      <c r="I44" s="70"/>
      <c r="J44" s="71"/>
      <c r="K44" s="70"/>
      <c r="L44" s="71"/>
      <c r="M44" s="72"/>
      <c r="N44" s="50" t="s">
        <v>196</v>
      </c>
      <c r="O44" s="53" t="s">
        <v>110</v>
      </c>
      <c r="P44" s="65" t="s">
        <v>55</v>
      </c>
      <c r="Q44" s="62"/>
    </row>
    <row r="45" spans="1:17" ht="124.5" customHeight="1" thickBot="1" x14ac:dyDescent="0.3">
      <c r="A45" s="75" t="s">
        <v>197</v>
      </c>
      <c r="B45" s="75" t="s">
        <v>198</v>
      </c>
      <c r="C45" s="77" t="b">
        <f>AND((OR(IF(F45=TRUE,TRUE,FALSE),IF(F45="N/A",TRUE,FALSE))),H45=TRUE)</f>
        <v>0</v>
      </c>
      <c r="D45" s="75" t="s">
        <v>249</v>
      </c>
      <c r="E45" s="79"/>
      <c r="F45" s="77" t="s">
        <v>22</v>
      </c>
      <c r="G45" s="81" t="s">
        <v>56</v>
      </c>
      <c r="H45" s="72" t="b">
        <f>AND(M45,M47)</f>
        <v>0</v>
      </c>
      <c r="I45" s="70" t="s">
        <v>199</v>
      </c>
      <c r="J45" s="71" t="s">
        <v>68</v>
      </c>
      <c r="K45" s="70" t="s">
        <v>250</v>
      </c>
      <c r="L45" s="71" t="s">
        <v>54</v>
      </c>
      <c r="M45" s="72" t="b">
        <f>IF(P45=TRUE,TRUE,(AND((OR(IF(P46=TRUE,TRUE,FALSE),(IF(P46="N/A",NOT(ISBLANK(Q46)))))))))</f>
        <v>0</v>
      </c>
      <c r="N45" s="50" t="s">
        <v>200</v>
      </c>
      <c r="O45" s="53" t="s">
        <v>115</v>
      </c>
      <c r="P45" s="65" t="s">
        <v>57</v>
      </c>
      <c r="Q45" s="62"/>
    </row>
    <row r="46" spans="1:17" ht="115.5" customHeight="1" thickBot="1" x14ac:dyDescent="0.3">
      <c r="A46" s="83"/>
      <c r="B46" s="83"/>
      <c r="C46" s="84"/>
      <c r="D46" s="83"/>
      <c r="E46" s="85"/>
      <c r="F46" s="84"/>
      <c r="G46" s="86"/>
      <c r="H46" s="72"/>
      <c r="I46" s="70"/>
      <c r="J46" s="71"/>
      <c r="K46" s="70"/>
      <c r="L46" s="71"/>
      <c r="M46" s="72"/>
      <c r="N46" s="50" t="s">
        <v>201</v>
      </c>
      <c r="O46" s="53" t="s">
        <v>101</v>
      </c>
      <c r="P46" s="65" t="s">
        <v>55</v>
      </c>
      <c r="Q46" s="62"/>
    </row>
    <row r="47" spans="1:17" ht="86.25" customHeight="1" thickBot="1" x14ac:dyDescent="0.3">
      <c r="A47" s="83"/>
      <c r="B47" s="83"/>
      <c r="C47" s="84"/>
      <c r="D47" s="83"/>
      <c r="E47" s="85"/>
      <c r="F47" s="84"/>
      <c r="G47" s="86"/>
      <c r="H47" s="72"/>
      <c r="I47" s="70" t="s">
        <v>202</v>
      </c>
      <c r="J47" s="71" t="s">
        <v>68</v>
      </c>
      <c r="K47" s="70" t="s">
        <v>251</v>
      </c>
      <c r="L47" s="71" t="s">
        <v>58</v>
      </c>
      <c r="M47" s="72" t="b">
        <f>IF(P47=TRUE,TRUE,(AND((OR(IF(P48=TRUE,TRUE,FALSE),(IF(P48="N/A",NOT(ISBLANK(Q48)))))))))</f>
        <v>0</v>
      </c>
      <c r="N47" s="50" t="s">
        <v>203</v>
      </c>
      <c r="O47" s="53" t="s">
        <v>115</v>
      </c>
      <c r="P47" s="65" t="s">
        <v>42</v>
      </c>
      <c r="Q47" s="62"/>
    </row>
    <row r="48" spans="1:17" ht="129.75" customHeight="1" thickBot="1" x14ac:dyDescent="0.3">
      <c r="A48" s="76"/>
      <c r="B48" s="76"/>
      <c r="C48" s="78"/>
      <c r="D48" s="76"/>
      <c r="E48" s="80"/>
      <c r="F48" s="78"/>
      <c r="G48" s="82"/>
      <c r="H48" s="72"/>
      <c r="I48" s="70"/>
      <c r="J48" s="71"/>
      <c r="K48" s="70"/>
      <c r="L48" s="71"/>
      <c r="M48" s="72"/>
      <c r="N48" s="50" t="s">
        <v>204</v>
      </c>
      <c r="O48" s="53" t="s">
        <v>101</v>
      </c>
      <c r="P48" s="65" t="s">
        <v>59</v>
      </c>
      <c r="Q48" s="62"/>
    </row>
    <row r="49" spans="1:17" ht="124.5" customHeight="1" thickBot="1" x14ac:dyDescent="0.3">
      <c r="A49" s="75" t="s">
        <v>205</v>
      </c>
      <c r="B49" s="75" t="s">
        <v>206</v>
      </c>
      <c r="C49" s="77" t="b">
        <f>AND((OR(IF(F49=TRUE,TRUE,FALSE),IF(F49="N/A",TRUE,FALSE))),H49=TRUE)</f>
        <v>0</v>
      </c>
      <c r="D49" s="75" t="s">
        <v>252</v>
      </c>
      <c r="E49" s="79"/>
      <c r="F49" s="77" t="s">
        <v>22</v>
      </c>
      <c r="G49" s="81" t="s">
        <v>56</v>
      </c>
      <c r="H49" s="72" t="b">
        <f>AND(M49,M51)</f>
        <v>0</v>
      </c>
      <c r="I49" s="70" t="s">
        <v>207</v>
      </c>
      <c r="J49" s="71" t="s">
        <v>68</v>
      </c>
      <c r="K49" s="70" t="s">
        <v>253</v>
      </c>
      <c r="L49" s="71" t="s">
        <v>54</v>
      </c>
      <c r="M49" s="72" t="b">
        <f>IF(P49=TRUE,TRUE,(AND((OR(IF(P50=TRUE,TRUE,FALSE),(IF(P50="N/A",NOT(ISBLANK(Q50)))))))))</f>
        <v>0</v>
      </c>
      <c r="N49" s="50" t="s">
        <v>208</v>
      </c>
      <c r="O49" s="53" t="s">
        <v>115</v>
      </c>
      <c r="P49" s="65" t="s">
        <v>57</v>
      </c>
      <c r="Q49" s="62"/>
    </row>
    <row r="50" spans="1:17" ht="121.5" customHeight="1" thickBot="1" x14ac:dyDescent="0.3">
      <c r="A50" s="83"/>
      <c r="B50" s="83"/>
      <c r="C50" s="84"/>
      <c r="D50" s="83"/>
      <c r="E50" s="85"/>
      <c r="F50" s="84"/>
      <c r="G50" s="86"/>
      <c r="H50" s="72"/>
      <c r="I50" s="70"/>
      <c r="J50" s="71"/>
      <c r="K50" s="70"/>
      <c r="L50" s="71"/>
      <c r="M50" s="72"/>
      <c r="N50" s="50" t="s">
        <v>209</v>
      </c>
      <c r="O50" s="53" t="s">
        <v>101</v>
      </c>
      <c r="P50" s="65" t="s">
        <v>55</v>
      </c>
      <c r="Q50" s="62"/>
    </row>
    <row r="51" spans="1:17" ht="86.25" customHeight="1" thickBot="1" x14ac:dyDescent="0.3">
      <c r="A51" s="83"/>
      <c r="B51" s="83"/>
      <c r="C51" s="84"/>
      <c r="D51" s="83"/>
      <c r="E51" s="85"/>
      <c r="F51" s="84"/>
      <c r="G51" s="86"/>
      <c r="H51" s="72"/>
      <c r="I51" s="70" t="s">
        <v>210</v>
      </c>
      <c r="J51" s="71" t="s">
        <v>68</v>
      </c>
      <c r="K51" s="70" t="s">
        <v>254</v>
      </c>
      <c r="L51" s="71" t="s">
        <v>58</v>
      </c>
      <c r="M51" s="72" t="b">
        <f>IF(P51=TRUE,TRUE,(AND((OR(IF(P52=TRUE,TRUE,FALSE),(IF(P52="N/A",NOT(ISBLANK(Q52)))))))))</f>
        <v>0</v>
      </c>
      <c r="N51" s="50" t="s">
        <v>211</v>
      </c>
      <c r="O51" s="53" t="s">
        <v>115</v>
      </c>
      <c r="P51" s="65" t="s">
        <v>42</v>
      </c>
      <c r="Q51" s="62"/>
    </row>
    <row r="52" spans="1:17" ht="134.25" customHeight="1" thickBot="1" x14ac:dyDescent="0.3">
      <c r="A52" s="76"/>
      <c r="B52" s="76"/>
      <c r="C52" s="78"/>
      <c r="D52" s="76"/>
      <c r="E52" s="80"/>
      <c r="F52" s="78"/>
      <c r="G52" s="82"/>
      <c r="H52" s="72"/>
      <c r="I52" s="70"/>
      <c r="J52" s="71"/>
      <c r="K52" s="70"/>
      <c r="L52" s="71"/>
      <c r="M52" s="72"/>
      <c r="N52" s="50" t="s">
        <v>212</v>
      </c>
      <c r="O52" s="53" t="s">
        <v>101</v>
      </c>
      <c r="P52" s="65" t="s">
        <v>59</v>
      </c>
      <c r="Q52" s="62"/>
    </row>
    <row r="53" spans="1:17" ht="114.75" customHeight="1" thickBot="1" x14ac:dyDescent="0.3">
      <c r="A53" s="56" t="s">
        <v>213</v>
      </c>
      <c r="B53" s="57" t="s">
        <v>214</v>
      </c>
      <c r="C53" s="58" t="b">
        <f>AND((OR(IF(F53=TRUE,TRUE,FALSE),IF(F53="N/A",TRUE,FALSE))),H53=TRUE)</f>
        <v>0</v>
      </c>
      <c r="D53" s="57"/>
      <c r="E53" s="59" t="s">
        <v>255</v>
      </c>
      <c r="F53" s="58" t="b">
        <f>AND(C41,C45,C49,C40,C43)</f>
        <v>0</v>
      </c>
      <c r="G53" s="60" t="s">
        <v>53</v>
      </c>
      <c r="H53" s="32" t="b">
        <f>AND(M53)</f>
        <v>0</v>
      </c>
      <c r="I53" s="50" t="s">
        <v>215</v>
      </c>
      <c r="J53" s="61">
        <v>3</v>
      </c>
      <c r="K53" s="50" t="s">
        <v>216</v>
      </c>
      <c r="L53" s="61" t="s">
        <v>41</v>
      </c>
      <c r="M53" s="32" t="b">
        <f>AND(OR(IF(P53=TRUE,TRUE,FALSE),(IF(P53="N/A",NOT(ISBLANK(Q53))))))</f>
        <v>0</v>
      </c>
      <c r="N53" s="50" t="s">
        <v>217</v>
      </c>
      <c r="O53" s="53" t="s">
        <v>147</v>
      </c>
      <c r="P53" s="87" t="b">
        <f>F53</f>
        <v>0</v>
      </c>
      <c r="Q53" s="88" t="s">
        <v>257</v>
      </c>
    </row>
    <row r="54" spans="1:17" ht="79.900000000000006" customHeight="1" thickBot="1" x14ac:dyDescent="0.3">
      <c r="A54" s="75" t="s">
        <v>218</v>
      </c>
      <c r="B54" s="75" t="s">
        <v>219</v>
      </c>
      <c r="C54" s="77" t="b">
        <f>AND((OR(IF(F54=TRUE,TRUE,FALSE),IF(F54="N/A",TRUE,FALSE))),H54=TRUE)</f>
        <v>0</v>
      </c>
      <c r="D54" s="75"/>
      <c r="E54" s="79"/>
      <c r="F54" s="77" t="s">
        <v>22</v>
      </c>
      <c r="G54" s="81" t="s">
        <v>53</v>
      </c>
      <c r="H54" s="72" t="b">
        <f>AND(M54)</f>
        <v>0</v>
      </c>
      <c r="I54" s="70" t="s">
        <v>220</v>
      </c>
      <c r="J54" s="71">
        <v>3</v>
      </c>
      <c r="K54" s="70" t="s">
        <v>221</v>
      </c>
      <c r="L54" s="71" t="s">
        <v>54</v>
      </c>
      <c r="M54" s="72" t="b">
        <f>AND(OR(IF(P54=TRUE,TRUE,FALSE),(IF(P54="N/A",NOT(ISBLANK(Q54))))),(OR(IF(P55=TRUE,TRUE,FALSE),(IF(P55="N/A",NOT(ISBLANK(Q55)))))))</f>
        <v>0</v>
      </c>
      <c r="N54" s="50" t="s">
        <v>222</v>
      </c>
      <c r="O54" s="53" t="s">
        <v>101</v>
      </c>
      <c r="P54" s="65" t="s">
        <v>57</v>
      </c>
      <c r="Q54" s="62"/>
    </row>
    <row r="55" spans="1:17" ht="125.25" customHeight="1" thickBot="1" x14ac:dyDescent="0.3">
      <c r="A55" s="76"/>
      <c r="B55" s="76"/>
      <c r="C55" s="78"/>
      <c r="D55" s="76"/>
      <c r="E55" s="80"/>
      <c r="F55" s="78"/>
      <c r="G55" s="82"/>
      <c r="H55" s="72"/>
      <c r="I55" s="70"/>
      <c r="J55" s="71"/>
      <c r="K55" s="70"/>
      <c r="L55" s="71"/>
      <c r="M55" s="72"/>
      <c r="N55" s="50" t="s">
        <v>223</v>
      </c>
      <c r="O55" s="53" t="s">
        <v>103</v>
      </c>
      <c r="P55" s="65" t="s">
        <v>55</v>
      </c>
      <c r="Q55" s="62"/>
    </row>
    <row r="56" spans="1:17" ht="99" customHeight="1" thickBot="1" x14ac:dyDescent="0.3">
      <c r="A56" s="75" t="s">
        <v>224</v>
      </c>
      <c r="B56" s="75" t="s">
        <v>225</v>
      </c>
      <c r="C56" s="77" t="b">
        <f>AND((OR(IF(F56=TRUE,TRUE,FALSE),IF(F56="N/A",TRUE,FALSE))),H56=TRUE)</f>
        <v>0</v>
      </c>
      <c r="D56" s="75" t="s">
        <v>106</v>
      </c>
      <c r="E56" s="79"/>
      <c r="F56" s="77" t="s">
        <v>22</v>
      </c>
      <c r="G56" s="81" t="s">
        <v>53</v>
      </c>
      <c r="H56" s="72" t="b">
        <f>AND(M56)</f>
        <v>0</v>
      </c>
      <c r="I56" s="70" t="s">
        <v>226</v>
      </c>
      <c r="J56" s="71">
        <v>3</v>
      </c>
      <c r="K56" s="70" t="s">
        <v>256</v>
      </c>
      <c r="L56" s="71" t="s">
        <v>54</v>
      </c>
      <c r="M56" s="72" t="b">
        <f>AND(OR(IF(P56=TRUE,TRUE,FALSE),(IF(P56="N/A",NOT(ISBLANK(Q56))))),(OR(IF(P57=TRUE,TRUE,FALSE),(IF(P57="N/A",NOT(ISBLANK(Q57)))))))</f>
        <v>0</v>
      </c>
      <c r="N56" s="50" t="s">
        <v>227</v>
      </c>
      <c r="O56" s="53" t="s">
        <v>101</v>
      </c>
      <c r="P56" s="65" t="s">
        <v>57</v>
      </c>
      <c r="Q56" s="62"/>
    </row>
    <row r="57" spans="1:17" ht="141.75" customHeight="1" thickBot="1" x14ac:dyDescent="0.3">
      <c r="A57" s="76"/>
      <c r="B57" s="76"/>
      <c r="C57" s="78"/>
      <c r="D57" s="76"/>
      <c r="E57" s="80"/>
      <c r="F57" s="78"/>
      <c r="G57" s="82"/>
      <c r="H57" s="72"/>
      <c r="I57" s="70"/>
      <c r="J57" s="71"/>
      <c r="K57" s="70"/>
      <c r="L57" s="71"/>
      <c r="M57" s="72"/>
      <c r="N57" s="50" t="s">
        <v>228</v>
      </c>
      <c r="O57" s="53" t="s">
        <v>110</v>
      </c>
      <c r="P57" s="65" t="s">
        <v>55</v>
      </c>
      <c r="Q57" s="62"/>
    </row>
  </sheetData>
  <sheetProtection algorithmName="SHA-512" hashValue="C/t2E1s9BqqooPye4rn6mEHFDPntEtS7V0he4A9fPPFbMbRBRkujPgOJNWS/k32Hllmo6RgixPVI5d4VnMZNuA==" saltValue="bz4nHRQhufvH5b+0LZX5uA==" spinCount="100000" sheet="1" objects="1" scenarios="1" sort="0" autoFilter="0"/>
  <autoFilter ref="A1:Q57" xr:uid="{9BC21A30-80A5-4706-9135-FFEDDE72D46F}"/>
  <mergeCells count="263">
    <mergeCell ref="J56:J57"/>
    <mergeCell ref="K56:K57"/>
    <mergeCell ref="L56:L57"/>
    <mergeCell ref="M56:M57"/>
    <mergeCell ref="A56:A57"/>
    <mergeCell ref="B56:B57"/>
    <mergeCell ref="C56:C57"/>
    <mergeCell ref="D56:D57"/>
    <mergeCell ref="E56:E57"/>
    <mergeCell ref="F56:F57"/>
    <mergeCell ref="G56:G57"/>
    <mergeCell ref="H56:H57"/>
    <mergeCell ref="I56:I57"/>
    <mergeCell ref="L51:L52"/>
    <mergeCell ref="M51:M52"/>
    <mergeCell ref="H45:H48"/>
    <mergeCell ref="I45:I46"/>
    <mergeCell ref="J45:J46"/>
    <mergeCell ref="K45:K46"/>
    <mergeCell ref="L45:L46"/>
    <mergeCell ref="J54:J55"/>
    <mergeCell ref="K54:K55"/>
    <mergeCell ref="L54:L55"/>
    <mergeCell ref="M54:M55"/>
    <mergeCell ref="M45:M46"/>
    <mergeCell ref="I47:I48"/>
    <mergeCell ref="J47:J48"/>
    <mergeCell ref="K47:K48"/>
    <mergeCell ref="L47:L48"/>
    <mergeCell ref="I54:I55"/>
    <mergeCell ref="G43:G44"/>
    <mergeCell ref="H43:H44"/>
    <mergeCell ref="I43:I44"/>
    <mergeCell ref="J43:J44"/>
    <mergeCell ref="K43:K44"/>
    <mergeCell ref="L43:L44"/>
    <mergeCell ref="M43:M44"/>
    <mergeCell ref="M47:M48"/>
    <mergeCell ref="A49:A52"/>
    <mergeCell ref="B49:B52"/>
    <mergeCell ref="C49:C52"/>
    <mergeCell ref="D49:D52"/>
    <mergeCell ref="E49:E52"/>
    <mergeCell ref="F49:F52"/>
    <mergeCell ref="G49:G52"/>
    <mergeCell ref="H49:H52"/>
    <mergeCell ref="I49:I50"/>
    <mergeCell ref="J49:J50"/>
    <mergeCell ref="K49:K50"/>
    <mergeCell ref="L49:L50"/>
    <mergeCell ref="M49:M50"/>
    <mergeCell ref="I51:I52"/>
    <mergeCell ref="J51:J52"/>
    <mergeCell ref="K51:K52"/>
    <mergeCell ref="F38:F39"/>
    <mergeCell ref="G38:G39"/>
    <mergeCell ref="H38:H39"/>
    <mergeCell ref="I38:I39"/>
    <mergeCell ref="A36:A37"/>
    <mergeCell ref="B36:B37"/>
    <mergeCell ref="C36:C37"/>
    <mergeCell ref="D36:D37"/>
    <mergeCell ref="E36:E37"/>
    <mergeCell ref="F36:F37"/>
    <mergeCell ref="G36:G37"/>
    <mergeCell ref="H36:H37"/>
    <mergeCell ref="I36:I37"/>
    <mergeCell ref="F18:F19"/>
    <mergeCell ref="G18:G19"/>
    <mergeCell ref="H18:H19"/>
    <mergeCell ref="A18:A19"/>
    <mergeCell ref="B18:B19"/>
    <mergeCell ref="C18:C19"/>
    <mergeCell ref="D18:D19"/>
    <mergeCell ref="E18:E19"/>
    <mergeCell ref="A16:A17"/>
    <mergeCell ref="C16:C17"/>
    <mergeCell ref="D16:D17"/>
    <mergeCell ref="E16:E17"/>
    <mergeCell ref="F16:F17"/>
    <mergeCell ref="G16:G17"/>
    <mergeCell ref="H16:H17"/>
    <mergeCell ref="A45:A48"/>
    <mergeCell ref="B45:B48"/>
    <mergeCell ref="C45:C48"/>
    <mergeCell ref="D45:D48"/>
    <mergeCell ref="E45:E48"/>
    <mergeCell ref="F45:F48"/>
    <mergeCell ref="G45:G48"/>
    <mergeCell ref="A2:A3"/>
    <mergeCell ref="B2:B3"/>
    <mergeCell ref="C2:C3"/>
    <mergeCell ref="D2:D3"/>
    <mergeCell ref="E2:E3"/>
    <mergeCell ref="F2:F3"/>
    <mergeCell ref="G2:G3"/>
    <mergeCell ref="F4:F5"/>
    <mergeCell ref="G4:G5"/>
    <mergeCell ref="A6:A9"/>
    <mergeCell ref="B6:B9"/>
    <mergeCell ref="C6:C9"/>
    <mergeCell ref="D6:D9"/>
    <mergeCell ref="E6:E9"/>
    <mergeCell ref="F6:F9"/>
    <mergeCell ref="G6:G9"/>
    <mergeCell ref="A14:A15"/>
    <mergeCell ref="A54:A55"/>
    <mergeCell ref="B54:B55"/>
    <mergeCell ref="C54:C55"/>
    <mergeCell ref="D54:D55"/>
    <mergeCell ref="E54:E55"/>
    <mergeCell ref="F54:F55"/>
    <mergeCell ref="G54:G55"/>
    <mergeCell ref="H54:H55"/>
    <mergeCell ref="B14:B15"/>
    <mergeCell ref="C14:C15"/>
    <mergeCell ref="D14:D15"/>
    <mergeCell ref="E14:E15"/>
    <mergeCell ref="F14:F15"/>
    <mergeCell ref="G14:G15"/>
    <mergeCell ref="H14:H15"/>
    <mergeCell ref="A20:A35"/>
    <mergeCell ref="B20:B35"/>
    <mergeCell ref="C20:C35"/>
    <mergeCell ref="D20:D35"/>
    <mergeCell ref="E20:E35"/>
    <mergeCell ref="F20:F35"/>
    <mergeCell ref="G20:G35"/>
    <mergeCell ref="H20:H35"/>
    <mergeCell ref="B16:B17"/>
    <mergeCell ref="H6:H9"/>
    <mergeCell ref="A10:A13"/>
    <mergeCell ref="B10:B13"/>
    <mergeCell ref="C10:C13"/>
    <mergeCell ref="D10:D13"/>
    <mergeCell ref="E10:E13"/>
    <mergeCell ref="F10:F13"/>
    <mergeCell ref="G10:G13"/>
    <mergeCell ref="H10:H13"/>
    <mergeCell ref="J2:J3"/>
    <mergeCell ref="K2:K3"/>
    <mergeCell ref="L2:L3"/>
    <mergeCell ref="M2:M3"/>
    <mergeCell ref="A4:A5"/>
    <mergeCell ref="B4:B5"/>
    <mergeCell ref="C4:C5"/>
    <mergeCell ref="D4:D5"/>
    <mergeCell ref="H2:H3"/>
    <mergeCell ref="I2:I3"/>
    <mergeCell ref="H4:H5"/>
    <mergeCell ref="E4:E5"/>
    <mergeCell ref="M4:M5"/>
    <mergeCell ref="I32:I33"/>
    <mergeCell ref="J32:J33"/>
    <mergeCell ref="K32:K33"/>
    <mergeCell ref="L32:L33"/>
    <mergeCell ref="A43:A44"/>
    <mergeCell ref="B43:B44"/>
    <mergeCell ref="C43:C44"/>
    <mergeCell ref="D43:D44"/>
    <mergeCell ref="E43:E44"/>
    <mergeCell ref="F43:F44"/>
    <mergeCell ref="A41:A42"/>
    <mergeCell ref="B41:B42"/>
    <mergeCell ref="C41:C42"/>
    <mergeCell ref="D41:D42"/>
    <mergeCell ref="E41:E42"/>
    <mergeCell ref="F41:F42"/>
    <mergeCell ref="G41:G42"/>
    <mergeCell ref="H41:H42"/>
    <mergeCell ref="I41:I42"/>
    <mergeCell ref="A38:A39"/>
    <mergeCell ref="B38:B39"/>
    <mergeCell ref="C38:C39"/>
    <mergeCell ref="D38:D39"/>
    <mergeCell ref="E38:E39"/>
    <mergeCell ref="J41:J42"/>
    <mergeCell ref="K41:K42"/>
    <mergeCell ref="L41:L42"/>
    <mergeCell ref="M41:M42"/>
    <mergeCell ref="L36:L37"/>
    <mergeCell ref="M36:M37"/>
    <mergeCell ref="J38:J39"/>
    <mergeCell ref="K38:K39"/>
    <mergeCell ref="L38:L39"/>
    <mergeCell ref="M38:M39"/>
    <mergeCell ref="J36:J37"/>
    <mergeCell ref="K36:K37"/>
    <mergeCell ref="J22:J23"/>
    <mergeCell ref="K22:K23"/>
    <mergeCell ref="L22:L23"/>
    <mergeCell ref="M22:M23"/>
    <mergeCell ref="K28:K29"/>
    <mergeCell ref="L28:L29"/>
    <mergeCell ref="M28:M29"/>
    <mergeCell ref="I30:I31"/>
    <mergeCell ref="J30:J31"/>
    <mergeCell ref="K30:K31"/>
    <mergeCell ref="L30:L31"/>
    <mergeCell ref="M30:M31"/>
    <mergeCell ref="I24:I25"/>
    <mergeCell ref="J24:J25"/>
    <mergeCell ref="K24:K25"/>
    <mergeCell ref="L24:L25"/>
    <mergeCell ref="M24:M25"/>
    <mergeCell ref="I26:I27"/>
    <mergeCell ref="J26:J27"/>
    <mergeCell ref="K26:K27"/>
    <mergeCell ref="L26:L27"/>
    <mergeCell ref="M26:M27"/>
    <mergeCell ref="M32:M33"/>
    <mergeCell ref="I34:I35"/>
    <mergeCell ref="J34:J35"/>
    <mergeCell ref="K34:K35"/>
    <mergeCell ref="L34:L35"/>
    <mergeCell ref="M34:M35"/>
    <mergeCell ref="I28:I29"/>
    <mergeCell ref="J28:J29"/>
    <mergeCell ref="I16:I17"/>
    <mergeCell ref="J16:J17"/>
    <mergeCell ref="K16:K17"/>
    <mergeCell ref="L16:L17"/>
    <mergeCell ref="M16:M17"/>
    <mergeCell ref="L18:L19"/>
    <mergeCell ref="M18:M19"/>
    <mergeCell ref="I18:I19"/>
    <mergeCell ref="J18:J19"/>
    <mergeCell ref="K18:K19"/>
    <mergeCell ref="I20:I21"/>
    <mergeCell ref="J20:J21"/>
    <mergeCell ref="K20:K21"/>
    <mergeCell ref="L20:L21"/>
    <mergeCell ref="M20:M21"/>
    <mergeCell ref="I22:I23"/>
    <mergeCell ref="I12:I13"/>
    <mergeCell ref="J12:J13"/>
    <mergeCell ref="K12:K13"/>
    <mergeCell ref="L12:L13"/>
    <mergeCell ref="M12:M13"/>
    <mergeCell ref="I14:I15"/>
    <mergeCell ref="J14:J15"/>
    <mergeCell ref="K14:K15"/>
    <mergeCell ref="L14:L15"/>
    <mergeCell ref="M14:M15"/>
    <mergeCell ref="M8:M9"/>
    <mergeCell ref="I10:I11"/>
    <mergeCell ref="J10:J11"/>
    <mergeCell ref="K10:K11"/>
    <mergeCell ref="L10:L11"/>
    <mergeCell ref="M10:M11"/>
    <mergeCell ref="I8:I9"/>
    <mergeCell ref="J8:J9"/>
    <mergeCell ref="K8:K9"/>
    <mergeCell ref="L8:L9"/>
    <mergeCell ref="I6:I7"/>
    <mergeCell ref="J6:J7"/>
    <mergeCell ref="K6:K7"/>
    <mergeCell ref="L6:L7"/>
    <mergeCell ref="M6:M7"/>
    <mergeCell ref="I4:I5"/>
    <mergeCell ref="J4:J5"/>
    <mergeCell ref="K4:K5"/>
    <mergeCell ref="L4:L5"/>
  </mergeCells>
  <conditionalFormatting sqref="C58:C1048576 F58:F1048576 H58:H1048576 M58:M1048576">
    <cfRule type="containsText" dxfId="22" priority="21" operator="containsText" text="N/A">
      <formula>NOT(ISERROR(SEARCH("N/A",C58)))</formula>
    </cfRule>
  </conditionalFormatting>
  <conditionalFormatting sqref="M2:M5 C2:C1048576 F2:F1048576 H2:H1048576 M16:M21 M40:M44 M53:M1048576">
    <cfRule type="containsText" dxfId="21" priority="11" operator="containsText" text="TRUE">
      <formula>NOT(ISERROR(SEARCH("TRUE",C2)))</formula>
    </cfRule>
    <cfRule type="containsText" dxfId="20" priority="12" operator="containsText" text="FALSE">
      <formula>NOT(ISERROR(SEARCH("FALSE",C2)))</formula>
    </cfRule>
  </conditionalFormatting>
  <conditionalFormatting sqref="M6:M15">
    <cfRule type="containsText" dxfId="19" priority="9" operator="containsText" text="FALSE">
      <formula>NOT(ISERROR(SEARCH("FALSE",M6)))</formula>
    </cfRule>
    <cfRule type="containsText" dxfId="18" priority="10" operator="containsText" text="TRUE">
      <formula>NOT(ISERROR(SEARCH("TRUE",M6)))</formula>
    </cfRule>
  </conditionalFormatting>
  <conditionalFormatting sqref="M22:M39">
    <cfRule type="containsText" dxfId="17" priority="7" operator="containsText" text="FALSE">
      <formula>NOT(ISERROR(SEARCH("FALSE",M22)))</formula>
    </cfRule>
    <cfRule type="containsText" dxfId="16" priority="8" operator="containsText" text="TRUE">
      <formula>NOT(ISERROR(SEARCH("TRUE",M22)))</formula>
    </cfRule>
  </conditionalFormatting>
  <conditionalFormatting sqref="M45:M52">
    <cfRule type="containsText" dxfId="15" priority="5" operator="containsText" text="FALSE">
      <formula>NOT(ISERROR(SEARCH("FALSE",M45)))</formula>
    </cfRule>
    <cfRule type="containsText" dxfId="14" priority="6" operator="containsText" text="TRUE">
      <formula>NOT(ISERROR(SEARCH("TRUE",M45)))</formula>
    </cfRule>
  </conditionalFormatting>
  <conditionalFormatting sqref="P2:P57">
    <cfRule type="containsText" dxfId="13" priority="2" operator="containsText" text="N/A">
      <formula>NOT(ISERROR(SEARCH("N/A",P2)))</formula>
    </cfRule>
    <cfRule type="containsText" dxfId="12" priority="3" operator="containsText" text="FALSE">
      <formula>NOT(ISERROR(SEARCH("FALSE",P2)))</formula>
    </cfRule>
    <cfRule type="containsText" dxfId="11" priority="4" operator="containsText" text="TRUE">
      <formula>NOT(ISERROR(SEARCH("TRUE",P2)))</formula>
    </cfRule>
  </conditionalFormatting>
  <conditionalFormatting sqref="Q2:Q57">
    <cfRule type="notContainsBlanks" dxfId="10" priority="1">
      <formula>LEN(TRIM(Q2))&gt;0</formula>
    </cfRule>
  </conditionalFormatting>
  <dataValidations count="17">
    <dataValidation type="list" allowBlank="1" showInputMessage="1" showErrorMessage="1" sqref="P2 P4 P16 P18 P56 P41 P43 P54" xr:uid="{356A1E39-DE25-4B46-8F43-237E032B5685}">
      <formula1>"AC 1-1 Met?, TRUE, FALSE, N/A"</formula1>
    </dataValidation>
    <dataValidation type="list" allowBlank="1" showInputMessage="1" showErrorMessage="1" sqref="P3 P5 P7 P11 P15 P17 P19 P21 P37 P39 P42 P44 P46 P50 P55 P57" xr:uid="{B33EE8A7-8C5F-404A-ABDA-A81E4416A41A}">
      <formula1>"AC 1-2 Met?, TRUE, FALSE, N/A"</formula1>
    </dataValidation>
    <dataValidation type="list" allowBlank="1" showInputMessage="1" showErrorMessage="1" sqref="P6 P10 P14 P36 P38 P45 P49" xr:uid="{9B063F16-EDE5-49D2-92DF-6883EF28CF6E}">
      <formula1>"AC 1-1 Met?, TRUE, N/A"</formula1>
    </dataValidation>
    <dataValidation type="list" allowBlank="1" showInputMessage="1" showErrorMessage="1" sqref="P8 P12 P22 P47 P51" xr:uid="{54A098A9-A645-4BA0-AC7A-056E0B4BC905}">
      <formula1>"AC 2-1 Met?, TRUE, N/A"</formula1>
    </dataValidation>
    <dataValidation type="list" allowBlank="1" showInputMessage="1" showErrorMessage="1" sqref="P9 P13 P23 P48 P52" xr:uid="{504FEE86-ABED-4491-BBE9-1A85186F1B61}">
      <formula1>"AC 2-2 Met?, TRUE, FALSE, N/A"</formula1>
    </dataValidation>
    <dataValidation type="list" allowBlank="1" showInputMessage="1" showErrorMessage="1" sqref="P24" xr:uid="{0EE8679D-D387-4032-B160-F9C7EB20933E}">
      <formula1>"AC 3-1 Met?, TRUE, N/A"</formula1>
    </dataValidation>
    <dataValidation type="list" allowBlank="1" showInputMessage="1" showErrorMessage="1" sqref="P25" xr:uid="{EEB3E9DF-4B89-4139-89C3-43CDE5C21D7A}">
      <formula1>"AC 3-2 Met?, TRUE, FALSE, N/A"</formula1>
    </dataValidation>
    <dataValidation type="list" allowBlank="1" showInputMessage="1" showErrorMessage="1" sqref="P26" xr:uid="{76CF4111-C232-4C88-B839-833FD1376017}">
      <formula1>"AC 4-1 Met?, TRUE, N/A"</formula1>
    </dataValidation>
    <dataValidation type="list" allowBlank="1" showInputMessage="1" showErrorMessage="1" sqref="P27" xr:uid="{A5884CCB-F1E9-4822-91B8-03AD8D97567F}">
      <formula1>"AC 4-2 Met?, TRUE, FALSE, N/A"</formula1>
    </dataValidation>
    <dataValidation type="list" allowBlank="1" showInputMessage="1" showErrorMessage="1" sqref="P28" xr:uid="{E8C159A7-1EF9-4C15-943B-EA77D89AD934}">
      <formula1>"AC 5-1 Met?, TRUE, N/A"</formula1>
    </dataValidation>
    <dataValidation type="list" allowBlank="1" showInputMessage="1" showErrorMessage="1" sqref="P29" xr:uid="{0CF52746-A991-4EE0-8686-1959C23E0796}">
      <formula1>"AC 5-2 Met?, TRUE, FALSE, N/A"</formula1>
    </dataValidation>
    <dataValidation type="list" allowBlank="1" showInputMessage="1" showErrorMessage="1" sqref="P30" xr:uid="{06A122F3-4F53-4FB4-9C8B-6301093C9A8E}">
      <formula1>"AC 6-1 Met?, TRUE, N/A"</formula1>
    </dataValidation>
    <dataValidation type="list" allowBlank="1" showInputMessage="1" showErrorMessage="1" sqref="P31" xr:uid="{5A2F7A03-4F68-42E2-869F-21C805A9432A}">
      <formula1>"AC 6-2 Met?, TRUE, FALSE, N/A"</formula1>
    </dataValidation>
    <dataValidation type="list" allowBlank="1" showInputMessage="1" showErrorMessage="1" sqref="P32" xr:uid="{B7482327-B353-42DB-93E7-DAD5E6DF5261}">
      <formula1>"AC 7-1 Met?, TRUE, N/A"</formula1>
    </dataValidation>
    <dataValidation type="list" allowBlank="1" showInputMessage="1" showErrorMessage="1" sqref="P33" xr:uid="{18CB289E-D2F5-455B-A70A-C9BFBBA15D96}">
      <formula1>"AC 7-2 Met?, TRUE, FALSE, N/A"</formula1>
    </dataValidation>
    <dataValidation type="list" allowBlank="1" showInputMessage="1" showErrorMessage="1" sqref="P34" xr:uid="{7B6B6A93-D2E9-459F-AEA8-FA8D036F6E16}">
      <formula1>"AC 8-1 Met?, TRUE, N/A"</formula1>
    </dataValidation>
    <dataValidation type="list" allowBlank="1" showInputMessage="1" showErrorMessage="1" sqref="P35" xr:uid="{C297DB04-4BDC-495F-BEF3-60DD20E46D0C}">
      <formula1>"AC 8-2 Met?, TRUE, FALSE, N/A"</formula1>
    </dataValidation>
  </dataValidations>
  <pageMargins left="0.45" right="0.45" top="0.75" bottom="0.75" header="0.3" footer="0.3"/>
  <pageSetup fitToHeight="0" orientation="portrait" horizontalDpi="1200" verticalDpi="1200" r:id="rId1"/>
  <headerFooter>
    <oddHeader>&amp;L&amp;"Times New Roman,Regular"Mission Package Checklist&amp;RRev. &amp;K00B050-&amp;K01+000
&amp;K00B050Date as dd Month YYYY</oddHeader>
    <oddFooter>&amp;C&amp;"Times New Roman,Regular"&amp;10See disclaimer and distribution A statements on cover page.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4"/>
  </sheetPr>
  <dimension ref="A1:H71"/>
  <sheetViews>
    <sheetView zoomScale="85" zoomScaleNormal="85" workbookViewId="0">
      <pane xSplit="3" ySplit="4" topLeftCell="D5" activePane="bottomRight" state="frozen"/>
      <selection pane="topRight"/>
      <selection pane="bottomLeft"/>
      <selection pane="bottomRight" activeCell="B2" sqref="B2"/>
    </sheetView>
  </sheetViews>
  <sheetFormatPr defaultColWidth="9.140625" defaultRowHeight="12.75" x14ac:dyDescent="0.25"/>
  <cols>
    <col min="1" max="1" width="86.85546875" style="27" customWidth="1"/>
    <col min="2" max="2" width="25.7109375" style="29" customWidth="1"/>
    <col min="3" max="3" width="19.28515625" style="29" bestFit="1" customWidth="1"/>
    <col min="4" max="4" width="42" style="27" customWidth="1"/>
    <col min="5" max="5" width="19.7109375" style="29" customWidth="1"/>
    <col min="6" max="6" width="17" style="27" hidden="1" customWidth="1"/>
    <col min="7" max="7" width="13.28515625" style="27" hidden="1" customWidth="1"/>
    <col min="8" max="8" width="0" style="27" hidden="1" customWidth="1"/>
    <col min="9" max="16384" width="9.140625" style="27"/>
  </cols>
  <sheetData>
    <row r="1" spans="1:8" ht="13.5" thickBot="1" x14ac:dyDescent="0.3">
      <c r="A1" s="15"/>
      <c r="B1" s="15"/>
      <c r="C1" s="15"/>
      <c r="D1" s="15"/>
      <c r="E1" s="15"/>
      <c r="F1" s="15"/>
      <c r="G1" s="15"/>
      <c r="H1" s="15"/>
    </row>
    <row r="2" spans="1:8" ht="26.25" thickBot="1" x14ac:dyDescent="0.3">
      <c r="A2" s="46" t="s">
        <v>334</v>
      </c>
      <c r="B2" s="67" t="b">
        <f>AND(TRUE,F5,F6,F7,F8,F9,F13,F14,F28,F64,F66,F68)</f>
        <v>0</v>
      </c>
      <c r="C2" s="15"/>
      <c r="D2" s="15"/>
      <c r="E2" s="15"/>
      <c r="F2" s="15"/>
    </row>
    <row r="3" spans="1:8" ht="13.5" thickBot="1" x14ac:dyDescent="0.3">
      <c r="A3" s="15"/>
      <c r="B3" s="15"/>
      <c r="C3" s="15"/>
      <c r="D3" s="15"/>
      <c r="E3" s="15"/>
      <c r="F3" s="15"/>
      <c r="G3" s="15"/>
      <c r="H3" s="15"/>
    </row>
    <row r="4" spans="1:8" ht="13.5" thickBot="1" x14ac:dyDescent="0.3">
      <c r="A4" s="37" t="s">
        <v>276</v>
      </c>
      <c r="B4" s="20" t="s">
        <v>80</v>
      </c>
      <c r="C4" s="20" t="s">
        <v>81</v>
      </c>
      <c r="D4" s="20" t="s">
        <v>39</v>
      </c>
      <c r="E4" s="20" t="s">
        <v>82</v>
      </c>
      <c r="F4" s="20" t="s">
        <v>83</v>
      </c>
      <c r="G4" s="20" t="s">
        <v>20</v>
      </c>
      <c r="H4" s="20" t="s">
        <v>21</v>
      </c>
    </row>
    <row r="5" spans="1:8" ht="13.5" thickBot="1" x14ac:dyDescent="0.3">
      <c r="A5" s="48" t="s">
        <v>277</v>
      </c>
      <c r="B5" s="64" t="s">
        <v>84</v>
      </c>
      <c r="C5" s="65" t="s">
        <v>19</v>
      </c>
      <c r="D5" s="66"/>
      <c r="E5" s="67" t="b">
        <f t="shared" ref="E5:E36" si="0">IF($B5="Required",OR($C5=TRUE,AND($C5="N/A",NOT(ISBLANK($D5)))),IF($B5="Optional",TRUE,IF($B5="Required if applicable",OR($C5=TRUE,AND($C5="N/A",NOT(ISBLANK($D5)))),OR($C5=TRUE,AND($C5="N/A",NOT(ISBLANK($D5)))))))</f>
        <v>0</v>
      </c>
      <c r="F5" s="67" t="b">
        <f>AND(E5)</f>
        <v>0</v>
      </c>
      <c r="G5" s="64">
        <v>1</v>
      </c>
      <c r="H5" s="64">
        <v>5</v>
      </c>
    </row>
    <row r="6" spans="1:8" ht="13.5" thickBot="1" x14ac:dyDescent="0.3">
      <c r="A6" s="48" t="s">
        <v>85</v>
      </c>
      <c r="B6" s="64" t="s">
        <v>84</v>
      </c>
      <c r="C6" s="65" t="s">
        <v>19</v>
      </c>
      <c r="D6" s="66"/>
      <c r="E6" s="67" t="b">
        <f t="shared" si="0"/>
        <v>0</v>
      </c>
      <c r="F6" s="67" t="b">
        <f>AND(E6)</f>
        <v>0</v>
      </c>
      <c r="G6" s="64">
        <v>1</v>
      </c>
      <c r="H6" s="64">
        <v>6</v>
      </c>
    </row>
    <row r="7" spans="1:8" ht="13.5" thickBot="1" x14ac:dyDescent="0.3">
      <c r="A7" s="48" t="s">
        <v>8</v>
      </c>
      <c r="B7" s="64" t="s">
        <v>84</v>
      </c>
      <c r="C7" s="65" t="s">
        <v>19</v>
      </c>
      <c r="D7" s="66"/>
      <c r="E7" s="67" t="b">
        <f t="shared" si="0"/>
        <v>0</v>
      </c>
      <c r="F7" s="67" t="b">
        <f>AND(E7)</f>
        <v>0</v>
      </c>
      <c r="G7" s="64">
        <v>1</v>
      </c>
      <c r="H7" s="64">
        <v>7</v>
      </c>
    </row>
    <row r="8" spans="1:8" ht="64.5" thickBot="1" x14ac:dyDescent="0.3">
      <c r="A8" s="48" t="s">
        <v>337</v>
      </c>
      <c r="B8" s="64" t="s">
        <v>84</v>
      </c>
      <c r="C8" s="65" t="s">
        <v>19</v>
      </c>
      <c r="D8" s="66"/>
      <c r="E8" s="67" t="b">
        <f t="shared" si="0"/>
        <v>0</v>
      </c>
      <c r="F8" s="67" t="b">
        <f>AND(E8)</f>
        <v>0</v>
      </c>
      <c r="G8" s="64">
        <v>1</v>
      </c>
      <c r="H8" s="64">
        <v>8</v>
      </c>
    </row>
    <row r="9" spans="1:8" ht="13.5" thickBot="1" x14ac:dyDescent="0.3">
      <c r="A9" s="48" t="s">
        <v>86</v>
      </c>
      <c r="B9" s="64" t="s">
        <v>84</v>
      </c>
      <c r="C9" s="65" t="s">
        <v>19</v>
      </c>
      <c r="D9" s="66"/>
      <c r="E9" s="67" t="b">
        <f t="shared" si="0"/>
        <v>0</v>
      </c>
      <c r="F9" s="67" t="b">
        <f>AND(E9,F10,F11,F12)</f>
        <v>0</v>
      </c>
      <c r="G9" s="64">
        <v>1</v>
      </c>
      <c r="H9" s="64">
        <v>9</v>
      </c>
    </row>
    <row r="10" spans="1:8" ht="26.25" thickBot="1" x14ac:dyDescent="0.3">
      <c r="A10" s="48" t="s">
        <v>87</v>
      </c>
      <c r="B10" s="64" t="s">
        <v>84</v>
      </c>
      <c r="C10" s="65" t="s">
        <v>19</v>
      </c>
      <c r="D10" s="66"/>
      <c r="E10" s="67" t="b">
        <f t="shared" si="0"/>
        <v>0</v>
      </c>
      <c r="F10" s="67" t="b">
        <f>AND(E10)</f>
        <v>0</v>
      </c>
      <c r="G10" s="64">
        <v>2</v>
      </c>
      <c r="H10" s="64">
        <v>10</v>
      </c>
    </row>
    <row r="11" spans="1:8" ht="26.25" thickBot="1" x14ac:dyDescent="0.3">
      <c r="A11" s="48" t="s">
        <v>335</v>
      </c>
      <c r="B11" s="64" t="s">
        <v>84</v>
      </c>
      <c r="C11" s="65" t="s">
        <v>19</v>
      </c>
      <c r="D11" s="66"/>
      <c r="E11" s="67" t="b">
        <f t="shared" si="0"/>
        <v>0</v>
      </c>
      <c r="F11" s="67" t="b">
        <f>AND(E11)</f>
        <v>0</v>
      </c>
      <c r="G11" s="64">
        <v>2</v>
      </c>
      <c r="H11" s="64">
        <v>11</v>
      </c>
    </row>
    <row r="12" spans="1:8" ht="26.25" thickBot="1" x14ac:dyDescent="0.3">
      <c r="A12" s="48" t="s">
        <v>336</v>
      </c>
      <c r="B12" s="64" t="s">
        <v>84</v>
      </c>
      <c r="C12" s="65" t="s">
        <v>19</v>
      </c>
      <c r="D12" s="66"/>
      <c r="E12" s="67" t="b">
        <f t="shared" si="0"/>
        <v>0</v>
      </c>
      <c r="F12" s="67" t="b">
        <f>AND(E12)</f>
        <v>0</v>
      </c>
      <c r="G12" s="64">
        <v>2</v>
      </c>
      <c r="H12" s="64">
        <v>12</v>
      </c>
    </row>
    <row r="13" spans="1:8" ht="26.25" thickBot="1" x14ac:dyDescent="0.3">
      <c r="A13" s="48" t="s">
        <v>95</v>
      </c>
      <c r="B13" s="64" t="s">
        <v>84</v>
      </c>
      <c r="C13" s="65" t="s">
        <v>19</v>
      </c>
      <c r="D13" s="66"/>
      <c r="E13" s="67" t="b">
        <f t="shared" si="0"/>
        <v>0</v>
      </c>
      <c r="F13" s="67" t="b">
        <f>AND(E13)</f>
        <v>0</v>
      </c>
      <c r="G13" s="64">
        <v>1</v>
      </c>
      <c r="H13" s="64">
        <v>13</v>
      </c>
    </row>
    <row r="14" spans="1:8" ht="13.5" thickBot="1" x14ac:dyDescent="0.3">
      <c r="A14" s="33" t="s">
        <v>93</v>
      </c>
      <c r="B14" s="64" t="s">
        <v>84</v>
      </c>
      <c r="C14" s="65" t="s">
        <v>19</v>
      </c>
      <c r="D14" s="66"/>
      <c r="E14" s="67" t="b">
        <f t="shared" si="0"/>
        <v>0</v>
      </c>
      <c r="F14" s="67" t="b">
        <f>AND(E14,F15,F16,F19,F22,F24,F26)</f>
        <v>0</v>
      </c>
      <c r="G14" s="64">
        <v>1</v>
      </c>
      <c r="H14" s="64">
        <v>14</v>
      </c>
    </row>
    <row r="15" spans="1:8" ht="39" thickBot="1" x14ac:dyDescent="0.3">
      <c r="A15" s="48" t="s">
        <v>278</v>
      </c>
      <c r="B15" s="64" t="s">
        <v>84</v>
      </c>
      <c r="C15" s="65" t="s">
        <v>19</v>
      </c>
      <c r="D15" s="66"/>
      <c r="E15" s="67" t="b">
        <f t="shared" si="0"/>
        <v>0</v>
      </c>
      <c r="F15" s="67" t="b">
        <f>AND(E15)</f>
        <v>0</v>
      </c>
      <c r="G15" s="64">
        <v>2</v>
      </c>
      <c r="H15" s="64">
        <v>15</v>
      </c>
    </row>
    <row r="16" spans="1:8" ht="13.5" thickBot="1" x14ac:dyDescent="0.3">
      <c r="A16" s="33" t="s">
        <v>94</v>
      </c>
      <c r="B16" s="64" t="s">
        <v>84</v>
      </c>
      <c r="C16" s="65" t="s">
        <v>19</v>
      </c>
      <c r="D16" s="66"/>
      <c r="E16" s="67" t="b">
        <f t="shared" si="0"/>
        <v>0</v>
      </c>
      <c r="F16" s="67" t="b">
        <f>AND(E16,F17,F18)</f>
        <v>0</v>
      </c>
      <c r="G16" s="64">
        <v>2</v>
      </c>
      <c r="H16" s="64">
        <v>16</v>
      </c>
    </row>
    <row r="17" spans="1:8" ht="26.25" thickBot="1" x14ac:dyDescent="0.3">
      <c r="A17" s="48" t="s">
        <v>88</v>
      </c>
      <c r="B17" s="64" t="s">
        <v>84</v>
      </c>
      <c r="C17" s="65" t="s">
        <v>19</v>
      </c>
      <c r="D17" s="66"/>
      <c r="E17" s="67" t="b">
        <f t="shared" si="0"/>
        <v>0</v>
      </c>
      <c r="F17" s="67" t="b">
        <f>AND(E17)</f>
        <v>0</v>
      </c>
      <c r="G17" s="64">
        <v>3</v>
      </c>
      <c r="H17" s="64">
        <v>17</v>
      </c>
    </row>
    <row r="18" spans="1:8" ht="13.5" thickBot="1" x14ac:dyDescent="0.3">
      <c r="A18" s="48" t="s">
        <v>89</v>
      </c>
      <c r="B18" s="64" t="s">
        <v>84</v>
      </c>
      <c r="C18" s="65" t="s">
        <v>19</v>
      </c>
      <c r="D18" s="66"/>
      <c r="E18" s="67" t="b">
        <f t="shared" si="0"/>
        <v>0</v>
      </c>
      <c r="F18" s="67" t="b">
        <f>AND(E18)</f>
        <v>0</v>
      </c>
      <c r="G18" s="64">
        <v>3</v>
      </c>
      <c r="H18" s="64">
        <v>18</v>
      </c>
    </row>
    <row r="19" spans="1:8" ht="13.5" thickBot="1" x14ac:dyDescent="0.3">
      <c r="A19" s="33" t="s">
        <v>303</v>
      </c>
      <c r="B19" s="64" t="s">
        <v>84</v>
      </c>
      <c r="C19" s="65" t="s">
        <v>19</v>
      </c>
      <c r="D19" s="66"/>
      <c r="E19" s="67" t="b">
        <f t="shared" si="0"/>
        <v>0</v>
      </c>
      <c r="F19" s="67" t="b">
        <f>AND(E19,F20,F21)</f>
        <v>0</v>
      </c>
      <c r="G19" s="64">
        <v>2</v>
      </c>
      <c r="H19" s="64">
        <v>19</v>
      </c>
    </row>
    <row r="20" spans="1:8" ht="13.5" thickBot="1" x14ac:dyDescent="0.3">
      <c r="A20" s="48" t="s">
        <v>279</v>
      </c>
      <c r="B20" s="64" t="s">
        <v>84</v>
      </c>
      <c r="C20" s="65" t="s">
        <v>19</v>
      </c>
      <c r="D20" s="66"/>
      <c r="E20" s="67" t="b">
        <f t="shared" si="0"/>
        <v>0</v>
      </c>
      <c r="F20" s="67" t="b">
        <f>AND(E20)</f>
        <v>0</v>
      </c>
      <c r="G20" s="64">
        <v>3</v>
      </c>
      <c r="H20" s="64">
        <v>20</v>
      </c>
    </row>
    <row r="21" spans="1:8" ht="13.5" thickBot="1" x14ac:dyDescent="0.3">
      <c r="A21" s="48" t="s">
        <v>280</v>
      </c>
      <c r="B21" s="64" t="s">
        <v>84</v>
      </c>
      <c r="C21" s="65" t="s">
        <v>19</v>
      </c>
      <c r="D21" s="66"/>
      <c r="E21" s="67" t="b">
        <f t="shared" si="0"/>
        <v>0</v>
      </c>
      <c r="F21" s="67" t="b">
        <f>AND(E21)</f>
        <v>0</v>
      </c>
      <c r="G21" s="64">
        <v>3</v>
      </c>
      <c r="H21" s="64">
        <v>21</v>
      </c>
    </row>
    <row r="22" spans="1:8" ht="13.5" thickBot="1" x14ac:dyDescent="0.3">
      <c r="A22" s="33" t="s">
        <v>304</v>
      </c>
      <c r="B22" s="64" t="s">
        <v>84</v>
      </c>
      <c r="C22" s="65" t="s">
        <v>19</v>
      </c>
      <c r="D22" s="66"/>
      <c r="E22" s="67" t="b">
        <f t="shared" si="0"/>
        <v>0</v>
      </c>
      <c r="F22" s="67" t="b">
        <f>AND(E22,F23)</f>
        <v>0</v>
      </c>
      <c r="G22" s="64">
        <v>2</v>
      </c>
      <c r="H22" s="64">
        <v>22</v>
      </c>
    </row>
    <row r="23" spans="1:8" ht="13.5" thickBot="1" x14ac:dyDescent="0.3">
      <c r="A23" s="48" t="s">
        <v>281</v>
      </c>
      <c r="B23" s="64" t="s">
        <v>84</v>
      </c>
      <c r="C23" s="65" t="s">
        <v>19</v>
      </c>
      <c r="D23" s="66"/>
      <c r="E23" s="67" t="b">
        <f t="shared" si="0"/>
        <v>0</v>
      </c>
      <c r="F23" s="67" t="b">
        <f>AND(E23)</f>
        <v>0</v>
      </c>
      <c r="G23" s="64">
        <v>3</v>
      </c>
      <c r="H23" s="64">
        <v>23</v>
      </c>
    </row>
    <row r="24" spans="1:8" ht="13.5" thickBot="1" x14ac:dyDescent="0.3">
      <c r="A24" s="33" t="s">
        <v>305</v>
      </c>
      <c r="B24" s="64" t="s">
        <v>84</v>
      </c>
      <c r="C24" s="65" t="s">
        <v>19</v>
      </c>
      <c r="D24" s="66"/>
      <c r="E24" s="67" t="b">
        <f t="shared" si="0"/>
        <v>0</v>
      </c>
      <c r="F24" s="67" t="b">
        <f>AND(E24,F25)</f>
        <v>0</v>
      </c>
      <c r="G24" s="64">
        <v>2</v>
      </c>
      <c r="H24" s="64">
        <v>24</v>
      </c>
    </row>
    <row r="25" spans="1:8" ht="13.5" thickBot="1" x14ac:dyDescent="0.3">
      <c r="A25" s="48" t="s">
        <v>282</v>
      </c>
      <c r="B25" s="64" t="s">
        <v>84</v>
      </c>
      <c r="C25" s="65" t="s">
        <v>19</v>
      </c>
      <c r="D25" s="66"/>
      <c r="E25" s="67" t="b">
        <f t="shared" si="0"/>
        <v>0</v>
      </c>
      <c r="F25" s="67" t="b">
        <f>AND(E25)</f>
        <v>0</v>
      </c>
      <c r="G25" s="64">
        <v>3</v>
      </c>
      <c r="H25" s="64">
        <v>25</v>
      </c>
    </row>
    <row r="26" spans="1:8" ht="13.5" thickBot="1" x14ac:dyDescent="0.3">
      <c r="A26" s="33" t="s">
        <v>306</v>
      </c>
      <c r="B26" s="64" t="s">
        <v>84</v>
      </c>
      <c r="C26" s="65" t="s">
        <v>19</v>
      </c>
      <c r="D26" s="66"/>
      <c r="E26" s="67" t="b">
        <f t="shared" si="0"/>
        <v>0</v>
      </c>
      <c r="F26" s="67" t="b">
        <f>AND(E26,F27)</f>
        <v>0</v>
      </c>
      <c r="G26" s="64">
        <v>2</v>
      </c>
      <c r="H26" s="64">
        <v>26</v>
      </c>
    </row>
    <row r="27" spans="1:8" ht="13.5" thickBot="1" x14ac:dyDescent="0.3">
      <c r="A27" s="48" t="s">
        <v>283</v>
      </c>
      <c r="B27" s="64" t="s">
        <v>84</v>
      </c>
      <c r="C27" s="65" t="s">
        <v>19</v>
      </c>
      <c r="D27" s="66"/>
      <c r="E27" s="67" t="b">
        <f t="shared" si="0"/>
        <v>0</v>
      </c>
      <c r="F27" s="67" t="b">
        <f>AND(E27)</f>
        <v>0</v>
      </c>
      <c r="G27" s="64">
        <v>3</v>
      </c>
      <c r="H27" s="64">
        <v>27</v>
      </c>
    </row>
    <row r="28" spans="1:8" ht="13.5" thickBot="1" x14ac:dyDescent="0.3">
      <c r="A28" s="33" t="s">
        <v>307</v>
      </c>
      <c r="B28" s="64" t="s">
        <v>84</v>
      </c>
      <c r="C28" s="65" t="s">
        <v>19</v>
      </c>
      <c r="D28" s="66"/>
      <c r="E28" s="67" t="b">
        <f t="shared" si="0"/>
        <v>0</v>
      </c>
      <c r="F28" s="67" t="b">
        <f>AND(E28,F29,F30,F32,F34,F63)</f>
        <v>0</v>
      </c>
      <c r="G28" s="64">
        <v>1</v>
      </c>
      <c r="H28" s="64">
        <v>28</v>
      </c>
    </row>
    <row r="29" spans="1:8" ht="26.25" thickBot="1" x14ac:dyDescent="0.3">
      <c r="A29" s="48" t="s">
        <v>90</v>
      </c>
      <c r="B29" s="64" t="s">
        <v>84</v>
      </c>
      <c r="C29" s="65" t="s">
        <v>19</v>
      </c>
      <c r="D29" s="66"/>
      <c r="E29" s="67" t="b">
        <f t="shared" si="0"/>
        <v>0</v>
      </c>
      <c r="F29" s="67" t="b">
        <f>AND(E29)</f>
        <v>0</v>
      </c>
      <c r="G29" s="64">
        <v>2</v>
      </c>
      <c r="H29" s="64">
        <v>29</v>
      </c>
    </row>
    <row r="30" spans="1:8" ht="13.5" thickBot="1" x14ac:dyDescent="0.3">
      <c r="A30" s="33" t="s">
        <v>308</v>
      </c>
      <c r="B30" s="64" t="s">
        <v>84</v>
      </c>
      <c r="C30" s="65" t="s">
        <v>19</v>
      </c>
      <c r="D30" s="66"/>
      <c r="E30" s="67" t="b">
        <f t="shared" si="0"/>
        <v>0</v>
      </c>
      <c r="F30" s="67" t="b">
        <f>AND(E30,F31)</f>
        <v>0</v>
      </c>
      <c r="G30" s="64">
        <v>2</v>
      </c>
      <c r="H30" s="64">
        <v>30</v>
      </c>
    </row>
    <row r="31" spans="1:8" ht="13.5" thickBot="1" x14ac:dyDescent="0.3">
      <c r="A31" s="48" t="s">
        <v>284</v>
      </c>
      <c r="B31" s="64" t="s">
        <v>84</v>
      </c>
      <c r="C31" s="65" t="s">
        <v>19</v>
      </c>
      <c r="D31" s="66"/>
      <c r="E31" s="67" t="b">
        <f t="shared" si="0"/>
        <v>0</v>
      </c>
      <c r="F31" s="67" t="b">
        <f>AND(E31)</f>
        <v>0</v>
      </c>
      <c r="G31" s="64">
        <v>3</v>
      </c>
      <c r="H31" s="64">
        <v>31</v>
      </c>
    </row>
    <row r="32" spans="1:8" ht="13.5" thickBot="1" x14ac:dyDescent="0.3">
      <c r="A32" s="33" t="s">
        <v>309</v>
      </c>
      <c r="B32" s="64" t="s">
        <v>84</v>
      </c>
      <c r="C32" s="65" t="s">
        <v>19</v>
      </c>
      <c r="D32" s="66"/>
      <c r="E32" s="67" t="b">
        <f t="shared" si="0"/>
        <v>0</v>
      </c>
      <c r="F32" s="67" t="b">
        <f>AND(E32,F33)</f>
        <v>0</v>
      </c>
      <c r="G32" s="64">
        <v>2</v>
      </c>
      <c r="H32" s="64">
        <v>32</v>
      </c>
    </row>
    <row r="33" spans="1:8" ht="13.5" thickBot="1" x14ac:dyDescent="0.3">
      <c r="A33" s="48" t="s">
        <v>285</v>
      </c>
      <c r="B33" s="64" t="s">
        <v>84</v>
      </c>
      <c r="C33" s="65" t="s">
        <v>19</v>
      </c>
      <c r="D33" s="66"/>
      <c r="E33" s="67" t="b">
        <f t="shared" si="0"/>
        <v>0</v>
      </c>
      <c r="F33" s="67" t="b">
        <f>AND(E33)</f>
        <v>0</v>
      </c>
      <c r="G33" s="64">
        <v>3</v>
      </c>
      <c r="H33" s="64">
        <v>33</v>
      </c>
    </row>
    <row r="34" spans="1:8" ht="13.5" thickBot="1" x14ac:dyDescent="0.3">
      <c r="A34" s="33" t="s">
        <v>310</v>
      </c>
      <c r="B34" s="64" t="s">
        <v>84</v>
      </c>
      <c r="C34" s="65" t="s">
        <v>19</v>
      </c>
      <c r="D34" s="66"/>
      <c r="E34" s="67" t="b">
        <f t="shared" si="0"/>
        <v>0</v>
      </c>
      <c r="F34" s="67" t="b">
        <f>AND(E34,F35,F59,F61,F62)</f>
        <v>0</v>
      </c>
      <c r="G34" s="64">
        <v>2</v>
      </c>
      <c r="H34" s="64">
        <v>34</v>
      </c>
    </row>
    <row r="35" spans="1:8" ht="13.5" thickBot="1" x14ac:dyDescent="0.3">
      <c r="A35" s="33" t="s">
        <v>311</v>
      </c>
      <c r="B35" s="64" t="s">
        <v>84</v>
      </c>
      <c r="C35" s="65" t="s">
        <v>19</v>
      </c>
      <c r="D35" s="66"/>
      <c r="E35" s="67" t="b">
        <f t="shared" si="0"/>
        <v>0</v>
      </c>
      <c r="F35" s="67" t="b">
        <f>AND(E35,F36,F37,F39,F44,F46,F50,F52,F57)</f>
        <v>0</v>
      </c>
      <c r="G35" s="64">
        <v>3</v>
      </c>
      <c r="H35" s="64">
        <v>35</v>
      </c>
    </row>
    <row r="36" spans="1:8" ht="13.5" thickBot="1" x14ac:dyDescent="0.3">
      <c r="A36" s="48" t="s">
        <v>286</v>
      </c>
      <c r="B36" s="64" t="s">
        <v>84</v>
      </c>
      <c r="C36" s="65" t="s">
        <v>19</v>
      </c>
      <c r="D36" s="66"/>
      <c r="E36" s="67" t="b">
        <f t="shared" si="0"/>
        <v>0</v>
      </c>
      <c r="F36" s="67" t="b">
        <f>AND(E36)</f>
        <v>0</v>
      </c>
      <c r="G36" s="64">
        <v>4</v>
      </c>
      <c r="H36" s="64">
        <v>36</v>
      </c>
    </row>
    <row r="37" spans="1:8" ht="13.5" thickBot="1" x14ac:dyDescent="0.3">
      <c r="A37" s="33" t="s">
        <v>312</v>
      </c>
      <c r="B37" s="64" t="s">
        <v>84</v>
      </c>
      <c r="C37" s="65" t="s">
        <v>19</v>
      </c>
      <c r="D37" s="66"/>
      <c r="E37" s="67" t="b">
        <f t="shared" ref="E37:E69" si="1">IF($B37="Required",OR($C37=TRUE,AND($C37="N/A",NOT(ISBLANK($D37)))),IF($B37="Optional",TRUE,IF($B37="Required if applicable",OR($C37=TRUE,AND($C37="N/A",NOT(ISBLANK($D37)))),OR($C37=TRUE,AND($C37="N/A",NOT(ISBLANK($D37)))))))</f>
        <v>0</v>
      </c>
      <c r="F37" s="67" t="b">
        <f>AND(E37,F38)</f>
        <v>0</v>
      </c>
      <c r="G37" s="64">
        <v>4</v>
      </c>
      <c r="H37" s="64">
        <v>37</v>
      </c>
    </row>
    <row r="38" spans="1:8" ht="13.5" thickBot="1" x14ac:dyDescent="0.3">
      <c r="A38" s="48" t="s">
        <v>287</v>
      </c>
      <c r="B38" s="64" t="s">
        <v>84</v>
      </c>
      <c r="C38" s="65" t="s">
        <v>19</v>
      </c>
      <c r="D38" s="66"/>
      <c r="E38" s="67" t="b">
        <f t="shared" si="1"/>
        <v>0</v>
      </c>
      <c r="F38" s="67" t="b">
        <f>AND(E38)</f>
        <v>0</v>
      </c>
      <c r="G38" s="64">
        <v>5</v>
      </c>
      <c r="H38" s="64">
        <v>38</v>
      </c>
    </row>
    <row r="39" spans="1:8" ht="13.5" thickBot="1" x14ac:dyDescent="0.3">
      <c r="A39" s="33" t="s">
        <v>313</v>
      </c>
      <c r="B39" s="64" t="s">
        <v>84</v>
      </c>
      <c r="C39" s="65" t="s">
        <v>19</v>
      </c>
      <c r="D39" s="66"/>
      <c r="E39" s="67" t="b">
        <f t="shared" si="1"/>
        <v>0</v>
      </c>
      <c r="F39" s="67" t="b">
        <f>AND(E39,F40,F41,F42,F43)</f>
        <v>0</v>
      </c>
      <c r="G39" s="64">
        <v>4</v>
      </c>
      <c r="H39" s="64">
        <v>39</v>
      </c>
    </row>
    <row r="40" spans="1:8" ht="13.5" thickBot="1" x14ac:dyDescent="0.3">
      <c r="A40" s="48" t="s">
        <v>288</v>
      </c>
      <c r="B40" s="64" t="s">
        <v>84</v>
      </c>
      <c r="C40" s="65" t="s">
        <v>19</v>
      </c>
      <c r="D40" s="66"/>
      <c r="E40" s="67" t="b">
        <f t="shared" si="1"/>
        <v>0</v>
      </c>
      <c r="F40" s="67" t="b">
        <f>AND(E40)</f>
        <v>0</v>
      </c>
      <c r="G40" s="64">
        <v>5</v>
      </c>
      <c r="H40" s="64">
        <v>40</v>
      </c>
    </row>
    <row r="41" spans="1:8" ht="13.5" thickBot="1" x14ac:dyDescent="0.3">
      <c r="A41" s="48" t="s">
        <v>289</v>
      </c>
      <c r="B41" s="64" t="s">
        <v>84</v>
      </c>
      <c r="C41" s="65" t="s">
        <v>19</v>
      </c>
      <c r="D41" s="66"/>
      <c r="E41" s="67" t="b">
        <f t="shared" si="1"/>
        <v>0</v>
      </c>
      <c r="F41" s="67" t="b">
        <f>AND(E41)</f>
        <v>0</v>
      </c>
      <c r="G41" s="64">
        <v>5</v>
      </c>
      <c r="H41" s="64">
        <v>41</v>
      </c>
    </row>
    <row r="42" spans="1:8" ht="13.5" thickBot="1" x14ac:dyDescent="0.3">
      <c r="A42" s="48" t="s">
        <v>290</v>
      </c>
      <c r="B42" s="64" t="s">
        <v>84</v>
      </c>
      <c r="C42" s="65" t="s">
        <v>19</v>
      </c>
      <c r="D42" s="66"/>
      <c r="E42" s="67" t="b">
        <f t="shared" si="1"/>
        <v>0</v>
      </c>
      <c r="F42" s="67" t="b">
        <f>AND(E42)</f>
        <v>0</v>
      </c>
      <c r="G42" s="64">
        <v>5</v>
      </c>
      <c r="H42" s="64">
        <v>42</v>
      </c>
    </row>
    <row r="43" spans="1:8" ht="13.5" thickBot="1" x14ac:dyDescent="0.3">
      <c r="A43" s="48" t="s">
        <v>291</v>
      </c>
      <c r="B43" s="64" t="s">
        <v>84</v>
      </c>
      <c r="C43" s="65" t="s">
        <v>19</v>
      </c>
      <c r="D43" s="66"/>
      <c r="E43" s="67" t="b">
        <f t="shared" si="1"/>
        <v>0</v>
      </c>
      <c r="F43" s="67" t="b">
        <f>AND(E43)</f>
        <v>0</v>
      </c>
      <c r="G43" s="64">
        <v>5</v>
      </c>
      <c r="H43" s="64">
        <v>43</v>
      </c>
    </row>
    <row r="44" spans="1:8" ht="13.5" thickBot="1" x14ac:dyDescent="0.3">
      <c r="A44" s="33" t="s">
        <v>314</v>
      </c>
      <c r="B44" s="64" t="s">
        <v>84</v>
      </c>
      <c r="C44" s="65" t="s">
        <v>19</v>
      </c>
      <c r="D44" s="66"/>
      <c r="E44" s="67" t="b">
        <f t="shared" si="1"/>
        <v>0</v>
      </c>
      <c r="F44" s="67" t="b">
        <f>AND(E44,F45)</f>
        <v>0</v>
      </c>
      <c r="G44" s="64">
        <v>4</v>
      </c>
      <c r="H44" s="64">
        <v>44</v>
      </c>
    </row>
    <row r="45" spans="1:8" ht="13.5" thickBot="1" x14ac:dyDescent="0.3">
      <c r="A45" s="48" t="s">
        <v>292</v>
      </c>
      <c r="B45" s="64" t="s">
        <v>84</v>
      </c>
      <c r="C45" s="65" t="s">
        <v>19</v>
      </c>
      <c r="D45" s="66"/>
      <c r="E45" s="67" t="b">
        <f t="shared" si="1"/>
        <v>0</v>
      </c>
      <c r="F45" s="67" t="b">
        <f>AND(E45)</f>
        <v>0</v>
      </c>
      <c r="G45" s="64">
        <v>5</v>
      </c>
      <c r="H45" s="64">
        <v>45</v>
      </c>
    </row>
    <row r="46" spans="1:8" ht="13.5" thickBot="1" x14ac:dyDescent="0.3">
      <c r="A46" s="33" t="s">
        <v>315</v>
      </c>
      <c r="B46" s="64" t="s">
        <v>84</v>
      </c>
      <c r="C46" s="65" t="s">
        <v>19</v>
      </c>
      <c r="D46" s="66"/>
      <c r="E46" s="67" t="b">
        <f t="shared" si="1"/>
        <v>0</v>
      </c>
      <c r="F46" s="67" t="b">
        <f>AND(E46,F47,F48,F49)</f>
        <v>0</v>
      </c>
      <c r="G46" s="64">
        <v>4</v>
      </c>
      <c r="H46" s="64">
        <v>46</v>
      </c>
    </row>
    <row r="47" spans="1:8" ht="13.5" thickBot="1" x14ac:dyDescent="0.3">
      <c r="A47" s="48" t="s">
        <v>293</v>
      </c>
      <c r="B47" s="64" t="s">
        <v>84</v>
      </c>
      <c r="C47" s="65" t="s">
        <v>19</v>
      </c>
      <c r="D47" s="66"/>
      <c r="E47" s="67" t="b">
        <f t="shared" si="1"/>
        <v>0</v>
      </c>
      <c r="F47" s="67" t="b">
        <f>AND(E47)</f>
        <v>0</v>
      </c>
      <c r="G47" s="64">
        <v>5</v>
      </c>
      <c r="H47" s="64">
        <v>47</v>
      </c>
    </row>
    <row r="48" spans="1:8" ht="13.5" thickBot="1" x14ac:dyDescent="0.3">
      <c r="A48" s="48" t="s">
        <v>294</v>
      </c>
      <c r="B48" s="64" t="s">
        <v>84</v>
      </c>
      <c r="C48" s="65" t="s">
        <v>19</v>
      </c>
      <c r="D48" s="66"/>
      <c r="E48" s="67" t="b">
        <f t="shared" si="1"/>
        <v>0</v>
      </c>
      <c r="F48" s="67" t="b">
        <f>AND(E48)</f>
        <v>0</v>
      </c>
      <c r="G48" s="64">
        <v>5</v>
      </c>
      <c r="H48" s="64">
        <v>48</v>
      </c>
    </row>
    <row r="49" spans="1:8" ht="13.5" thickBot="1" x14ac:dyDescent="0.3">
      <c r="A49" s="48" t="s">
        <v>295</v>
      </c>
      <c r="B49" s="64" t="s">
        <v>84</v>
      </c>
      <c r="C49" s="65" t="s">
        <v>19</v>
      </c>
      <c r="D49" s="66"/>
      <c r="E49" s="67" t="b">
        <f t="shared" si="1"/>
        <v>0</v>
      </c>
      <c r="F49" s="67" t="b">
        <f>AND(E49)</f>
        <v>0</v>
      </c>
      <c r="G49" s="64">
        <v>5</v>
      </c>
      <c r="H49" s="64">
        <v>49</v>
      </c>
    </row>
    <row r="50" spans="1:8" ht="13.5" thickBot="1" x14ac:dyDescent="0.3">
      <c r="A50" s="33" t="s">
        <v>316</v>
      </c>
      <c r="B50" s="64" t="s">
        <v>84</v>
      </c>
      <c r="C50" s="65" t="s">
        <v>19</v>
      </c>
      <c r="D50" s="66"/>
      <c r="E50" s="67" t="b">
        <f t="shared" si="1"/>
        <v>0</v>
      </c>
      <c r="F50" s="67" t="b">
        <f>AND(E50,F51)</f>
        <v>0</v>
      </c>
      <c r="G50" s="64">
        <v>4</v>
      </c>
      <c r="H50" s="64">
        <v>50</v>
      </c>
    </row>
    <row r="51" spans="1:8" ht="13.5" thickBot="1" x14ac:dyDescent="0.3">
      <c r="A51" s="48" t="s">
        <v>296</v>
      </c>
      <c r="B51" s="64" t="s">
        <v>84</v>
      </c>
      <c r="C51" s="65" t="s">
        <v>19</v>
      </c>
      <c r="D51" s="66"/>
      <c r="E51" s="67" t="b">
        <f t="shared" si="1"/>
        <v>0</v>
      </c>
      <c r="F51" s="67" t="b">
        <f>AND(E51)</f>
        <v>0</v>
      </c>
      <c r="G51" s="64">
        <v>5</v>
      </c>
      <c r="H51" s="64">
        <v>51</v>
      </c>
    </row>
    <row r="52" spans="1:8" ht="13.5" thickBot="1" x14ac:dyDescent="0.3">
      <c r="A52" s="33" t="s">
        <v>317</v>
      </c>
      <c r="B52" s="64" t="s">
        <v>84</v>
      </c>
      <c r="C52" s="65" t="s">
        <v>19</v>
      </c>
      <c r="D52" s="66"/>
      <c r="E52" s="67" t="b">
        <f t="shared" si="1"/>
        <v>0</v>
      </c>
      <c r="F52" s="67" t="b">
        <f>AND(E52,F53,F55)</f>
        <v>0</v>
      </c>
      <c r="G52" s="64">
        <v>4</v>
      </c>
      <c r="H52" s="64">
        <v>52</v>
      </c>
    </row>
    <row r="53" spans="1:8" ht="14.25" thickBot="1" x14ac:dyDescent="0.3">
      <c r="A53" s="49" t="s">
        <v>318</v>
      </c>
      <c r="B53" s="64" t="s">
        <v>84</v>
      </c>
      <c r="C53" s="65" t="s">
        <v>19</v>
      </c>
      <c r="D53" s="66"/>
      <c r="E53" s="67" t="b">
        <f t="shared" si="1"/>
        <v>0</v>
      </c>
      <c r="F53" s="67" t="b">
        <f>AND(E53,F54)</f>
        <v>0</v>
      </c>
      <c r="G53" s="64">
        <v>5</v>
      </c>
      <c r="H53" s="64">
        <v>53</v>
      </c>
    </row>
    <row r="54" spans="1:8" ht="13.5" thickBot="1" x14ac:dyDescent="0.3">
      <c r="A54" s="48" t="s">
        <v>297</v>
      </c>
      <c r="B54" s="64" t="s">
        <v>84</v>
      </c>
      <c r="C54" s="65" t="s">
        <v>19</v>
      </c>
      <c r="D54" s="66"/>
      <c r="E54" s="67" t="b">
        <f t="shared" si="1"/>
        <v>0</v>
      </c>
      <c r="F54" s="67" t="b">
        <f>AND(E54)</f>
        <v>0</v>
      </c>
      <c r="G54" s="64">
        <v>6</v>
      </c>
      <c r="H54" s="64">
        <v>54</v>
      </c>
    </row>
    <row r="55" spans="1:8" ht="14.25" thickBot="1" x14ac:dyDescent="0.3">
      <c r="A55" s="49" t="s">
        <v>319</v>
      </c>
      <c r="B55" s="64" t="s">
        <v>84</v>
      </c>
      <c r="C55" s="65" t="s">
        <v>19</v>
      </c>
      <c r="D55" s="66"/>
      <c r="E55" s="67" t="b">
        <f t="shared" si="1"/>
        <v>0</v>
      </c>
      <c r="F55" s="67" t="b">
        <f>AND(E55,F56)</f>
        <v>0</v>
      </c>
      <c r="G55" s="64">
        <v>5</v>
      </c>
      <c r="H55" s="64">
        <v>55</v>
      </c>
    </row>
    <row r="56" spans="1:8" ht="13.5" thickBot="1" x14ac:dyDescent="0.3">
      <c r="A56" s="48" t="s">
        <v>298</v>
      </c>
      <c r="B56" s="64" t="s">
        <v>84</v>
      </c>
      <c r="C56" s="65" t="s">
        <v>19</v>
      </c>
      <c r="D56" s="66"/>
      <c r="E56" s="67" t="b">
        <f t="shared" si="1"/>
        <v>0</v>
      </c>
      <c r="F56" s="67" t="b">
        <f>AND(E56)</f>
        <v>0</v>
      </c>
      <c r="G56" s="64">
        <v>6</v>
      </c>
      <c r="H56" s="64">
        <v>56</v>
      </c>
    </row>
    <row r="57" spans="1:8" ht="13.5" thickBot="1" x14ac:dyDescent="0.3">
      <c r="A57" s="33" t="s">
        <v>320</v>
      </c>
      <c r="B57" s="64" t="s">
        <v>84</v>
      </c>
      <c r="C57" s="65" t="s">
        <v>19</v>
      </c>
      <c r="D57" s="66"/>
      <c r="E57" s="67" t="b">
        <f t="shared" si="1"/>
        <v>0</v>
      </c>
      <c r="F57" s="67" t="b">
        <f>AND(E57,F58)</f>
        <v>0</v>
      </c>
      <c r="G57" s="64">
        <v>4</v>
      </c>
      <c r="H57" s="64">
        <v>57</v>
      </c>
    </row>
    <row r="58" spans="1:8" ht="13.5" thickBot="1" x14ac:dyDescent="0.3">
      <c r="A58" s="48" t="s">
        <v>299</v>
      </c>
      <c r="B58" s="64" t="s">
        <v>84</v>
      </c>
      <c r="C58" s="65" t="s">
        <v>19</v>
      </c>
      <c r="D58" s="66"/>
      <c r="E58" s="67" t="b">
        <f t="shared" si="1"/>
        <v>0</v>
      </c>
      <c r="F58" s="67" t="b">
        <f>AND(E58)</f>
        <v>0</v>
      </c>
      <c r="G58" s="64">
        <v>5</v>
      </c>
      <c r="H58" s="64">
        <v>58</v>
      </c>
    </row>
    <row r="59" spans="1:8" ht="13.5" thickBot="1" x14ac:dyDescent="0.3">
      <c r="A59" s="33" t="s">
        <v>321</v>
      </c>
      <c r="B59" s="64" t="s">
        <v>84</v>
      </c>
      <c r="C59" s="65" t="s">
        <v>19</v>
      </c>
      <c r="D59" s="66"/>
      <c r="E59" s="67" t="b">
        <f t="shared" si="1"/>
        <v>0</v>
      </c>
      <c r="F59" s="67" t="b">
        <f>AND(E59,F60)</f>
        <v>0</v>
      </c>
      <c r="G59" s="64">
        <v>3</v>
      </c>
      <c r="H59" s="64">
        <v>59</v>
      </c>
    </row>
    <row r="60" spans="1:8" ht="13.5" thickBot="1" x14ac:dyDescent="0.3">
      <c r="A60" s="48" t="s">
        <v>300</v>
      </c>
      <c r="B60" s="64" t="s">
        <v>84</v>
      </c>
      <c r="C60" s="65" t="s">
        <v>19</v>
      </c>
      <c r="D60" s="66"/>
      <c r="E60" s="67" t="b">
        <f t="shared" si="1"/>
        <v>0</v>
      </c>
      <c r="F60" s="67" t="b">
        <f>AND(E60)</f>
        <v>0</v>
      </c>
      <c r="G60" s="64">
        <v>4</v>
      </c>
      <c r="H60" s="64">
        <v>60</v>
      </c>
    </row>
    <row r="61" spans="1:8" ht="13.5" thickBot="1" x14ac:dyDescent="0.3">
      <c r="A61" s="33" t="s">
        <v>322</v>
      </c>
      <c r="B61" s="64" t="s">
        <v>84</v>
      </c>
      <c r="C61" s="65" t="s">
        <v>19</v>
      </c>
      <c r="D61" s="66"/>
      <c r="E61" s="67" t="b">
        <f t="shared" si="1"/>
        <v>0</v>
      </c>
      <c r="F61" s="67" t="b">
        <f>AND(E61)</f>
        <v>0</v>
      </c>
      <c r="G61" s="64">
        <v>3</v>
      </c>
      <c r="H61" s="64">
        <v>61</v>
      </c>
    </row>
    <row r="62" spans="1:8" ht="13.5" thickBot="1" x14ac:dyDescent="0.3">
      <c r="A62" s="33" t="s">
        <v>323</v>
      </c>
      <c r="B62" s="64" t="s">
        <v>84</v>
      </c>
      <c r="C62" s="65" t="s">
        <v>19</v>
      </c>
      <c r="D62" s="66"/>
      <c r="E62" s="67" t="b">
        <f t="shared" si="1"/>
        <v>0</v>
      </c>
      <c r="F62" s="67" t="b">
        <f>AND(E62)</f>
        <v>0</v>
      </c>
      <c r="G62" s="64">
        <v>3</v>
      </c>
      <c r="H62" s="64">
        <v>62</v>
      </c>
    </row>
    <row r="63" spans="1:8" ht="13.5" thickBot="1" x14ac:dyDescent="0.3">
      <c r="A63" s="33" t="s">
        <v>324</v>
      </c>
      <c r="B63" s="64" t="s">
        <v>84</v>
      </c>
      <c r="C63" s="65" t="s">
        <v>19</v>
      </c>
      <c r="D63" s="66"/>
      <c r="E63" s="67" t="b">
        <f t="shared" si="1"/>
        <v>0</v>
      </c>
      <c r="F63" s="67" t="b">
        <f>AND(E63)</f>
        <v>0</v>
      </c>
      <c r="G63" s="64">
        <v>2</v>
      </c>
      <c r="H63" s="64">
        <v>63</v>
      </c>
    </row>
    <row r="64" spans="1:8" ht="13.5" thickBot="1" x14ac:dyDescent="0.3">
      <c r="A64" s="33" t="s">
        <v>325</v>
      </c>
      <c r="B64" s="64" t="s">
        <v>84</v>
      </c>
      <c r="C64" s="65" t="s">
        <v>19</v>
      </c>
      <c r="D64" s="66"/>
      <c r="E64" s="67" t="b">
        <f t="shared" si="1"/>
        <v>0</v>
      </c>
      <c r="F64" s="67" t="b">
        <f>AND(E64,F65)</f>
        <v>0</v>
      </c>
      <c r="G64" s="64">
        <v>1</v>
      </c>
      <c r="H64" s="64">
        <v>64</v>
      </c>
    </row>
    <row r="65" spans="1:8" ht="26.25" thickBot="1" x14ac:dyDescent="0.3">
      <c r="A65" s="48" t="s">
        <v>301</v>
      </c>
      <c r="B65" s="64" t="s">
        <v>84</v>
      </c>
      <c r="C65" s="65" t="s">
        <v>19</v>
      </c>
      <c r="D65" s="66"/>
      <c r="E65" s="67" t="b">
        <f t="shared" si="1"/>
        <v>0</v>
      </c>
      <c r="F65" s="67" t="b">
        <f>AND(E65)</f>
        <v>0</v>
      </c>
      <c r="G65" s="64">
        <v>2</v>
      </c>
      <c r="H65" s="64">
        <v>65</v>
      </c>
    </row>
    <row r="66" spans="1:8" ht="13.5" thickBot="1" x14ac:dyDescent="0.3">
      <c r="A66" s="33" t="s">
        <v>326</v>
      </c>
      <c r="B66" s="64" t="s">
        <v>84</v>
      </c>
      <c r="C66" s="65" t="s">
        <v>19</v>
      </c>
      <c r="D66" s="66"/>
      <c r="E66" s="67" t="b">
        <f t="shared" si="1"/>
        <v>0</v>
      </c>
      <c r="F66" s="67" t="b">
        <f>AND(E66,F67)</f>
        <v>0</v>
      </c>
      <c r="G66" s="64">
        <v>1</v>
      </c>
      <c r="H66" s="64">
        <v>66</v>
      </c>
    </row>
    <row r="67" spans="1:8" ht="13.5" thickBot="1" x14ac:dyDescent="0.3">
      <c r="A67" s="48" t="s">
        <v>302</v>
      </c>
      <c r="B67" s="64" t="s">
        <v>84</v>
      </c>
      <c r="C67" s="65" t="s">
        <v>19</v>
      </c>
      <c r="D67" s="66"/>
      <c r="E67" s="67" t="b">
        <f t="shared" si="1"/>
        <v>0</v>
      </c>
      <c r="F67" s="67" t="b">
        <f>AND(E67)</f>
        <v>0</v>
      </c>
      <c r="G67" s="64">
        <v>2</v>
      </c>
      <c r="H67" s="64">
        <v>67</v>
      </c>
    </row>
    <row r="68" spans="1:8" ht="13.5" thickBot="1" x14ac:dyDescent="0.3">
      <c r="A68" s="33" t="s">
        <v>327</v>
      </c>
      <c r="B68" s="64" t="s">
        <v>84</v>
      </c>
      <c r="C68" s="65" t="s">
        <v>19</v>
      </c>
      <c r="D68" s="66"/>
      <c r="E68" s="67" t="b">
        <f t="shared" si="1"/>
        <v>0</v>
      </c>
      <c r="F68" s="67" t="b">
        <f>AND(E68,F69)</f>
        <v>0</v>
      </c>
      <c r="G68" s="64">
        <v>1</v>
      </c>
      <c r="H68" s="64">
        <v>68</v>
      </c>
    </row>
    <row r="69" spans="1:8" ht="13.5" thickBot="1" x14ac:dyDescent="0.3">
      <c r="A69" s="48" t="s">
        <v>91</v>
      </c>
      <c r="B69" s="64" t="s">
        <v>84</v>
      </c>
      <c r="C69" s="65" t="s">
        <v>19</v>
      </c>
      <c r="D69" s="66"/>
      <c r="E69" s="67" t="b">
        <f t="shared" si="1"/>
        <v>0</v>
      </c>
      <c r="F69" s="67" t="b">
        <f>AND(E69)</f>
        <v>0</v>
      </c>
      <c r="G69" s="64">
        <v>2</v>
      </c>
      <c r="H69" s="64">
        <v>69</v>
      </c>
    </row>
    <row r="70" spans="1:8" ht="13.5" thickBot="1" x14ac:dyDescent="0.3">
      <c r="A70" s="15"/>
      <c r="B70" s="15"/>
      <c r="C70" s="15"/>
      <c r="D70" s="15"/>
      <c r="E70" s="15"/>
      <c r="F70" s="15"/>
      <c r="G70" s="15"/>
    </row>
    <row r="71" spans="1:8" ht="26.25" thickBot="1" x14ac:dyDescent="0.3">
      <c r="A71" s="47" t="s">
        <v>92</v>
      </c>
      <c r="B71" s="15"/>
      <c r="C71" s="15"/>
      <c r="D71" s="15"/>
      <c r="E71" s="15"/>
      <c r="F71" s="15"/>
      <c r="G71" s="15"/>
    </row>
  </sheetData>
  <sheetProtection algorithmName="SHA-512" hashValue="F0nHRwiczNEt5lmyr2yam1Yys/dEF15oIY3YzkCkkjwqFR7bsv6wYkvKKGCuSUBwiUzzGoVkoqxgmNevh37Nuw==" saltValue="rszEZo/xpkHTXdyxZdjaJA==" spinCount="100000" sheet="1" objects="1" scenarios="1" sort="0" autoFilter="0"/>
  <autoFilter ref="A4:H69" xr:uid="{00000000-0001-0000-0700-000000000000}"/>
  <conditionalFormatting sqref="B2">
    <cfRule type="containsText" dxfId="9" priority="4" operator="containsText" text="N/A">
      <formula>NOT(ISERROR(SEARCH("N/A",B2)))</formula>
    </cfRule>
    <cfRule type="containsText" dxfId="8" priority="5" operator="containsText" text="FALSE">
      <formula>NOT(ISERROR(SEARCH("FALSE",B2)))</formula>
    </cfRule>
    <cfRule type="containsText" dxfId="7" priority="6" operator="containsText" text="TRUE">
      <formula>NOT(ISERROR(SEARCH("TRUE",B2)))</formula>
    </cfRule>
  </conditionalFormatting>
  <conditionalFormatting sqref="C5:C69">
    <cfRule type="containsText" dxfId="6" priority="7" operator="containsText" text="N/A">
      <formula>NOT(ISERROR(SEARCH("N/A",C5)))</formula>
    </cfRule>
    <cfRule type="containsText" dxfId="5" priority="8" operator="containsText" text="FALSE">
      <formula>NOT(ISERROR(SEARCH("FALSE",C5)))</formula>
    </cfRule>
    <cfRule type="containsText" dxfId="4" priority="9" operator="containsText" text="TRUE">
      <formula>NOT(ISERROR(SEARCH("TRUE",C5)))</formula>
    </cfRule>
  </conditionalFormatting>
  <conditionalFormatting sqref="D5:D69">
    <cfRule type="notContainsBlanks" dxfId="3" priority="10">
      <formula>LEN(TRIM(D5))&gt;0</formula>
    </cfRule>
  </conditionalFormatting>
  <conditionalFormatting sqref="E5:F69">
    <cfRule type="containsText" dxfId="2" priority="1" operator="containsText" text="N/A">
      <formula>NOT(ISERROR(SEARCH("N/A",E5)))</formula>
    </cfRule>
    <cfRule type="containsText" dxfId="1" priority="2" operator="containsText" text="FALSE">
      <formula>NOT(ISERROR(SEARCH("FALSE",E5)))</formula>
    </cfRule>
    <cfRule type="containsText" dxfId="0" priority="3" operator="containsText" text="TRUE">
      <formula>NOT(ISERROR(SEARCH("TRUE",E5)))</formula>
    </cfRule>
  </conditionalFormatting>
  <dataValidations count="1">
    <dataValidation type="list" allowBlank="1" showInputMessage="1" showErrorMessage="1" sqref="C5:C69" xr:uid="{4D2B0711-A050-49F4-BBE0-4DCE059340A0}">
      <formula1>"&lt;Select&gt;, TRUE, FALSE, N/A"</formula1>
    </dataValidation>
  </dataValidations>
  <pageMargins left="0.45" right="0.45" top="0.75" bottom="0.75" header="0.3" footer="0.3"/>
  <pageSetup fitToHeight="0" orientation="portrait" horizontalDpi="1200" verticalDpi="1200" r:id="rId1"/>
  <headerFooter>
    <oddHeader>&amp;L&amp;"Times New Roman,Regular"Mission Package Checklist&amp;RRev. &amp;K00B050-&amp;K01+000
&amp;K00B050Date as dd Month YYYY</oddHeader>
    <oddFooter>&amp;C&amp;"Times New Roman,Regular"&amp;10See disclaimer and distribution A statements on cover page.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AAE34791A036B4191F6F169651A7DC6" ma:contentTypeVersion="5" ma:contentTypeDescription="Create a new document." ma:contentTypeScope="" ma:versionID="a8e59d671d21aca5eac579d1b535823d">
  <xsd:schema xmlns:xsd="http://www.w3.org/2001/XMLSchema" xmlns:xs="http://www.w3.org/2001/XMLSchema" xmlns:p="http://schemas.microsoft.com/office/2006/metadata/properties" xmlns:ns2="7199bb06-0dc7-4e48-aeb9-d7eb32f38a71" xmlns:ns3="http://schemas.microsoft.com/sharepoint/v4" targetNamespace="http://schemas.microsoft.com/office/2006/metadata/properties" ma:root="true" ma:fieldsID="cbe3e0aff2b594749f02717ff22328ad" ns2:_="" ns3:_="">
    <xsd:import namespace="7199bb06-0dc7-4e48-aeb9-d7eb32f38a71"/>
    <xsd:import namespace="http://schemas.microsoft.com/sharepoint/v4"/>
    <xsd:element name="properties">
      <xsd:complexType>
        <xsd:sequence>
          <xsd:element name="documentManagement">
            <xsd:complexType>
              <xsd:all>
                <xsd:element ref="ns2:TccDocLibTracker"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99bb06-0dc7-4e48-aeb9-d7eb32f38a71" elementFormDefault="qualified">
    <xsd:import namespace="http://schemas.microsoft.com/office/2006/documentManagement/types"/>
    <xsd:import namespace="http://schemas.microsoft.com/office/infopath/2007/PartnerControls"/>
    <xsd:element name="TccDocLibTracker" ma:index="8" nillable="true" ma:displayName="TccDocLibTracker" ma:hidden="true" ma:internalName="TccDocLibTracker"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3874EC-DC98-4C34-A12F-7B0B501E9836}">
  <ds:schemaRefs>
    <ds:schemaRef ds:uri="http://schemas.microsoft.com/sharepoint/v3/contenttype/forms"/>
  </ds:schemaRefs>
</ds:datastoreItem>
</file>

<file path=customXml/itemProps2.xml><?xml version="1.0" encoding="utf-8"?>
<ds:datastoreItem xmlns:ds="http://schemas.openxmlformats.org/officeDocument/2006/customXml" ds:itemID="{9C569EEE-272C-4706-8E40-44E1A669B003}">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7199bb06-0dc7-4e48-aeb9-d7eb32f38a71"/>
    <ds:schemaRef ds:uri="http://www.w3.org/XML/1998/namespace"/>
    <ds:schemaRef ds:uri="http://purl.org/dc/dcmitype/"/>
  </ds:schemaRefs>
</ds:datastoreItem>
</file>

<file path=customXml/itemProps3.xml><?xml version="1.0" encoding="utf-8"?>
<ds:datastoreItem xmlns:ds="http://schemas.openxmlformats.org/officeDocument/2006/customXml" ds:itemID="{C34EB858-80FA-4923-B6EC-C3619A2457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99bb06-0dc7-4e48-aeb9-d7eb32f38a71"/>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adc8ff-f4a3-4a14-9c0d-84b4985de0d2}" enabled="1" method="Privilege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WARNING NOTE</vt:lpstr>
      <vt:lpstr>Cover</vt:lpstr>
      <vt:lpstr>Abstract</vt:lpstr>
      <vt:lpstr>Rev</vt:lpstr>
      <vt:lpstr>Tier Compliance</vt:lpstr>
      <vt:lpstr>Mission Package RQMT Checklist</vt:lpstr>
      <vt:lpstr>MPDD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2017-12-07T20:24:57Z</dcterms:created>
  <dcterms:modified xsi:type="dcterms:W3CDTF">2026-01-15T14:37:50Z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0x010100EAAE34791A036B4191F6F169651A7DC6</vt:lpwstr>
  </property>
  <property fmtid="{D5CDD505-2E9C-101B-9397-08002B2CF9AE}" pid="3" name="_dlc_DocIdItemGuid">
    <vt:lpwstr>fc800af7-a19d-4c4b-90a7-f9766b100d70</vt:lpwstr>
  </property>
</Properties>
</file>