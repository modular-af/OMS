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showInkAnnotation="0" codeName="ThisWorkbook"/>
  <xr:revisionPtr revIDLastSave="0" documentId="13_ncr:1_{F413345C-2082-4278-BF79-0BA558FB0B2D}" xr6:coauthVersionLast="47" xr6:coauthVersionMax="47" xr10:uidLastSave="{00000000-0000-0000-0000-000000000000}"/>
  <bookViews>
    <workbookView xWindow="-120" yWindow="90" windowWidth="29040" windowHeight="15510" tabRatio="720" activeTab="1" xr2:uid="{B76FF02A-1B26-4B39-B0F7-A809FE5DD9E8}"/>
  </bookViews>
  <sheets>
    <sheet name="WARNING NOTE" sheetId="1" r:id="rId1"/>
    <sheet name="Cover" sheetId="2" r:id="rId2"/>
    <sheet name="Abstract" sheetId="3" r:id="rId3"/>
    <sheet name="Rev" sheetId="4" r:id="rId4"/>
    <sheet name="Tier Compliance" sheetId="21" r:id="rId5"/>
    <sheet name="Platform RQMT Checklist" sheetId="40" r:id="rId6"/>
    <sheet name="PDD" sheetId="23" r:id="rId7"/>
  </sheets>
  <definedNames>
    <definedName name="_xlnm._FilterDatabase" localSheetId="6" hidden="1">PDD!$A$4:$H$137</definedName>
    <definedName name="_xlnm._FilterDatabase" localSheetId="5" hidden="1">'Platform RQMT Checklist'!$A$1:$Q$86</definedName>
    <definedName name="_xlnm.Print_Titles" localSheetId="6">PDD!#REF!</definedName>
    <definedName name="_xlnm.Print_Titles" localSheetId="5">'Platform RQMT Checklist'!#REF!</definedName>
    <definedName name="_xlnm.Print_Titles" localSheetId="4">'Tier Compliance'!#REF!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P30" i="40" l="1"/>
  <c r="M85" i="40"/>
  <c r="M81" i="40"/>
  <c r="M78" i="40"/>
  <c r="M75" i="40"/>
  <c r="M72" i="40"/>
  <c r="M69" i="40"/>
  <c r="M66" i="40"/>
  <c r="M63" i="40"/>
  <c r="M57" i="40"/>
  <c r="M60" i="40"/>
  <c r="M55" i="40"/>
  <c r="M50" i="40"/>
  <c r="M48" i="40"/>
  <c r="M46" i="40"/>
  <c r="M44" i="40"/>
  <c r="M42" i="40"/>
  <c r="M40" i="40"/>
  <c r="M38" i="40"/>
  <c r="M36" i="40"/>
  <c r="M34" i="40"/>
  <c r="M25" i="40"/>
  <c r="M19" i="40"/>
  <c r="M13" i="40"/>
  <c r="M10" i="40"/>
  <c r="M8" i="40"/>
  <c r="M6" i="40"/>
  <c r="E5" i="23" l="1"/>
  <c r="F5" i="23" s="1"/>
  <c r="E6" i="23"/>
  <c r="F6" i="23" s="1"/>
  <c r="E7" i="23"/>
  <c r="F7" i="23" s="1"/>
  <c r="E8" i="23"/>
  <c r="F8" i="23" s="1"/>
  <c r="E9" i="23"/>
  <c r="E10" i="23"/>
  <c r="F10" i="23" s="1"/>
  <c r="E11" i="23"/>
  <c r="F11" i="23" s="1"/>
  <c r="E12" i="23"/>
  <c r="F12" i="23" s="1"/>
  <c r="E13" i="23"/>
  <c r="F13" i="23" s="1"/>
  <c r="E14" i="23"/>
  <c r="E15" i="23"/>
  <c r="F15" i="23" s="1"/>
  <c r="E16" i="23"/>
  <c r="E17" i="23"/>
  <c r="F17" i="23" s="1"/>
  <c r="E18" i="23"/>
  <c r="F18" i="23" s="1"/>
  <c r="E19" i="23"/>
  <c r="E20" i="23"/>
  <c r="E21" i="23"/>
  <c r="F21" i="23" s="1"/>
  <c r="E22" i="23"/>
  <c r="F22" i="23" s="1"/>
  <c r="E23" i="23"/>
  <c r="E24" i="23"/>
  <c r="F24" i="23" s="1"/>
  <c r="E25" i="23"/>
  <c r="F25" i="23" s="1"/>
  <c r="E26" i="23"/>
  <c r="E27" i="23"/>
  <c r="F27" i="23" s="1"/>
  <c r="E28" i="23"/>
  <c r="E29" i="23"/>
  <c r="F29" i="23" s="1"/>
  <c r="E30" i="23"/>
  <c r="E31" i="23"/>
  <c r="E32" i="23"/>
  <c r="F32" i="23" s="1"/>
  <c r="E33" i="23"/>
  <c r="F33" i="23" s="1"/>
  <c r="E34" i="23"/>
  <c r="E35" i="23"/>
  <c r="F35" i="23" s="1"/>
  <c r="E36" i="23"/>
  <c r="F36" i="23" s="1"/>
  <c r="E37" i="23"/>
  <c r="E38" i="23"/>
  <c r="F38" i="23" s="1"/>
  <c r="E39" i="23"/>
  <c r="E40" i="23"/>
  <c r="F40" i="23" s="1"/>
  <c r="E41" i="23"/>
  <c r="E42" i="23"/>
  <c r="F42" i="23" s="1"/>
  <c r="E43" i="23"/>
  <c r="E44" i="23"/>
  <c r="F44" i="23" s="1"/>
  <c r="E45" i="23"/>
  <c r="E46" i="23"/>
  <c r="F46" i="23" s="1"/>
  <c r="E47" i="23"/>
  <c r="E48" i="23"/>
  <c r="F48" i="23" s="1"/>
  <c r="E49" i="23"/>
  <c r="E50" i="23"/>
  <c r="F50" i="23" s="1"/>
  <c r="E51" i="23"/>
  <c r="E52" i="23"/>
  <c r="F52" i="23" s="1"/>
  <c r="E53" i="23"/>
  <c r="E54" i="23"/>
  <c r="E55" i="23"/>
  <c r="F55" i="23" s="1"/>
  <c r="E56" i="23"/>
  <c r="E57" i="23"/>
  <c r="E58" i="23"/>
  <c r="F58" i="23" s="1"/>
  <c r="E59" i="23"/>
  <c r="F59" i="23" s="1"/>
  <c r="E60" i="23"/>
  <c r="E61" i="23"/>
  <c r="F61" i="23" s="1"/>
  <c r="E62" i="23"/>
  <c r="F62" i="23" s="1"/>
  <c r="E63" i="23"/>
  <c r="F63" i="23" s="1"/>
  <c r="E64" i="23"/>
  <c r="E65" i="23"/>
  <c r="F65" i="23" s="1"/>
  <c r="E66" i="23"/>
  <c r="F66" i="23" s="1"/>
  <c r="E67" i="23"/>
  <c r="F67" i="23" s="1"/>
  <c r="E68" i="23"/>
  <c r="F68" i="23" s="1"/>
  <c r="E69" i="23"/>
  <c r="E70" i="23"/>
  <c r="F70" i="23" s="1"/>
  <c r="E71" i="23"/>
  <c r="F71" i="23" s="1"/>
  <c r="E72" i="23"/>
  <c r="F72" i="23" s="1"/>
  <c r="E73" i="23"/>
  <c r="F73" i="23" s="1"/>
  <c r="E74" i="23"/>
  <c r="F74" i="23" s="1"/>
  <c r="E75" i="23"/>
  <c r="E76" i="23"/>
  <c r="F76" i="23" s="1"/>
  <c r="E77" i="23"/>
  <c r="E78" i="23"/>
  <c r="F78" i="23" s="1"/>
  <c r="E79" i="23"/>
  <c r="F79" i="23" s="1"/>
  <c r="E80" i="23"/>
  <c r="F80" i="23" s="1"/>
  <c r="E81" i="23"/>
  <c r="E82" i="23"/>
  <c r="E83" i="23"/>
  <c r="F83" i="23" s="1"/>
  <c r="E84" i="23"/>
  <c r="E85" i="23"/>
  <c r="F85" i="23" s="1"/>
  <c r="E86" i="23"/>
  <c r="E87" i="23"/>
  <c r="F87" i="23" s="1"/>
  <c r="E88" i="23"/>
  <c r="E89" i="23"/>
  <c r="F89" i="23" s="1"/>
  <c r="E90" i="23"/>
  <c r="F90" i="23" s="1"/>
  <c r="E91" i="23"/>
  <c r="E92" i="23"/>
  <c r="F92" i="23" s="1"/>
  <c r="E93" i="23"/>
  <c r="E94" i="23"/>
  <c r="E95" i="23"/>
  <c r="E96" i="23"/>
  <c r="F96" i="23" s="1"/>
  <c r="E97" i="23"/>
  <c r="E98" i="23"/>
  <c r="F98" i="23" s="1"/>
  <c r="E99" i="23"/>
  <c r="E100" i="23"/>
  <c r="F100" i="23" s="1"/>
  <c r="E101" i="23"/>
  <c r="E102" i="23"/>
  <c r="E103" i="23"/>
  <c r="F103" i="23" s="1"/>
  <c r="E104" i="23"/>
  <c r="F104" i="23" s="1"/>
  <c r="E105" i="23"/>
  <c r="E106" i="23"/>
  <c r="E107" i="23"/>
  <c r="F107" i="23" s="1"/>
  <c r="E108" i="23"/>
  <c r="F108" i="23" s="1"/>
  <c r="E109" i="23"/>
  <c r="F109" i="23" s="1"/>
  <c r="E110" i="23"/>
  <c r="F110" i="23" s="1"/>
  <c r="E111" i="23"/>
  <c r="F111" i="23" s="1"/>
  <c r="E112" i="23"/>
  <c r="F112" i="23" s="1"/>
  <c r="E113" i="23"/>
  <c r="F113" i="23" s="1"/>
  <c r="E114" i="23"/>
  <c r="E115" i="23"/>
  <c r="F115" i="23" s="1"/>
  <c r="E116" i="23"/>
  <c r="F116" i="23" s="1"/>
  <c r="E117" i="23"/>
  <c r="E118" i="23"/>
  <c r="F118" i="23" s="1"/>
  <c r="E119" i="23"/>
  <c r="E120" i="23"/>
  <c r="F120" i="23" s="1"/>
  <c r="E121" i="23"/>
  <c r="E122" i="23"/>
  <c r="F122" i="23" s="1"/>
  <c r="E123" i="23"/>
  <c r="E124" i="23"/>
  <c r="E125" i="23"/>
  <c r="E126" i="23"/>
  <c r="F126" i="23" s="1"/>
  <c r="E127" i="23"/>
  <c r="E128" i="23"/>
  <c r="F128" i="23" s="1"/>
  <c r="E129" i="23"/>
  <c r="F129" i="23" s="1"/>
  <c r="E130" i="23"/>
  <c r="F130" i="23" s="1"/>
  <c r="E131" i="23"/>
  <c r="E132" i="23"/>
  <c r="F132" i="23" s="1"/>
  <c r="E133" i="23"/>
  <c r="E134" i="23"/>
  <c r="F134" i="23" s="1"/>
  <c r="E135" i="23"/>
  <c r="E136" i="23"/>
  <c r="F136" i="23" s="1"/>
  <c r="E137" i="23"/>
  <c r="F137" i="23" s="1"/>
  <c r="F133" i="23" l="1"/>
  <c r="F121" i="23"/>
  <c r="F99" i="23"/>
  <c r="F97" i="23"/>
  <c r="F91" i="23"/>
  <c r="F82" i="23"/>
  <c r="F51" i="23"/>
  <c r="F49" i="23"/>
  <c r="F45" i="23"/>
  <c r="F37" i="23"/>
  <c r="F102" i="23"/>
  <c r="F101" i="23" s="1"/>
  <c r="F47" i="23"/>
  <c r="F20" i="23"/>
  <c r="F127" i="23"/>
  <c r="F43" i="23"/>
  <c r="F84" i="23"/>
  <c r="F54" i="23"/>
  <c r="F53" i="23" s="1"/>
  <c r="F31" i="23"/>
  <c r="F23" i="23"/>
  <c r="F135" i="23"/>
  <c r="F88" i="23"/>
  <c r="F28" i="23"/>
  <c r="F131" i="23"/>
  <c r="F9" i="23"/>
  <c r="F16" i="23"/>
  <c r="F14" i="23" s="1"/>
  <c r="F106" i="23"/>
  <c r="F105" i="23" s="1"/>
  <c r="F64" i="23"/>
  <c r="F69" i="23"/>
  <c r="F60" i="23"/>
  <c r="F119" i="23"/>
  <c r="F117" i="23" s="1"/>
  <c r="F77" i="23"/>
  <c r="F34" i="23"/>
  <c r="F125" i="23"/>
  <c r="F114" i="23"/>
  <c r="M2" i="40"/>
  <c r="H2" i="40" s="1"/>
  <c r="C2" i="40" s="1"/>
  <c r="M4" i="40"/>
  <c r="H4" i="40" s="1"/>
  <c r="C4" i="40" s="1"/>
  <c r="M5" i="40"/>
  <c r="H5" i="40" s="1"/>
  <c r="C5" i="40" s="1"/>
  <c r="F3" i="40" s="1"/>
  <c r="M12" i="40"/>
  <c r="H12" i="40" s="1"/>
  <c r="C12" i="40" s="1"/>
  <c r="G11" i="21" s="1"/>
  <c r="H13" i="40"/>
  <c r="C13" i="40" s="1"/>
  <c r="G12" i="21" s="1"/>
  <c r="M15" i="40"/>
  <c r="H15" i="40" s="1"/>
  <c r="C15" i="40" s="1"/>
  <c r="G13" i="21" s="1"/>
  <c r="M16" i="40"/>
  <c r="H16" i="40" s="1"/>
  <c r="C16" i="40" s="1"/>
  <c r="M17" i="40"/>
  <c r="H17" i="40" s="1"/>
  <c r="C17" i="40" s="1"/>
  <c r="M18" i="40"/>
  <c r="H18" i="40" s="1"/>
  <c r="C18" i="40" s="1"/>
  <c r="G16" i="21" s="1"/>
  <c r="H19" i="40"/>
  <c r="C19" i="40" s="1"/>
  <c r="G17" i="21" s="1"/>
  <c r="M24" i="40"/>
  <c r="H24" i="40" s="1"/>
  <c r="C24" i="40" s="1"/>
  <c r="F21" i="40" s="1"/>
  <c r="H25" i="40"/>
  <c r="C25" i="40" s="1"/>
  <c r="F22" i="40" s="1"/>
  <c r="P23" i="40" s="1"/>
  <c r="M22" i="40" s="1"/>
  <c r="M30" i="40"/>
  <c r="M31" i="40"/>
  <c r="H50" i="40"/>
  <c r="C50" i="40" s="1"/>
  <c r="E39" i="21" s="1"/>
  <c r="M52" i="40"/>
  <c r="H52" i="40" s="1"/>
  <c r="C52" i="40" s="1"/>
  <c r="E45" i="21" s="1"/>
  <c r="M53" i="40"/>
  <c r="H53" i="40" s="1"/>
  <c r="C53" i="40" s="1"/>
  <c r="E40" i="21" s="1"/>
  <c r="M54" i="40"/>
  <c r="H54" i="40" s="1"/>
  <c r="C54" i="40" s="1"/>
  <c r="E41" i="21" s="1"/>
  <c r="H55" i="40"/>
  <c r="C55" i="40" s="1"/>
  <c r="H57" i="40"/>
  <c r="C57" i="40" s="1"/>
  <c r="H69" i="40"/>
  <c r="C69" i="40" s="1"/>
  <c r="E44" i="21" s="1"/>
  <c r="H81" i="40"/>
  <c r="C81" i="40" s="1"/>
  <c r="G30" i="21" s="1"/>
  <c r="H85" i="40"/>
  <c r="C85" i="40" s="1"/>
  <c r="E53" i="21" s="1"/>
  <c r="F95" i="23" l="1"/>
  <c r="F94" i="23" s="1"/>
  <c r="F81" i="23"/>
  <c r="F93" i="23"/>
  <c r="F41" i="23"/>
  <c r="F39" i="23" s="1"/>
  <c r="F57" i="23"/>
  <c r="F56" i="23" s="1"/>
  <c r="F19" i="23"/>
  <c r="F86" i="23"/>
  <c r="F124" i="23"/>
  <c r="F123" i="23" s="1"/>
  <c r="F30" i="23"/>
  <c r="F26" i="23" s="1"/>
  <c r="F75" i="23"/>
  <c r="H30" i="40"/>
  <c r="C30" i="40" s="1"/>
  <c r="E38" i="21" s="1"/>
  <c r="G26" i="21"/>
  <c r="G25" i="21"/>
  <c r="G24" i="21"/>
  <c r="G6" i="21"/>
  <c r="G14" i="21"/>
  <c r="E43" i="21"/>
  <c r="G28" i="21"/>
  <c r="G15" i="21"/>
  <c r="G29" i="21"/>
  <c r="G9" i="21"/>
  <c r="E46" i="21"/>
  <c r="G19" i="21"/>
  <c r="E42" i="21"/>
  <c r="G27" i="21"/>
  <c r="G23" i="21"/>
  <c r="G21" i="21"/>
  <c r="G8" i="21"/>
  <c r="P21" i="40"/>
  <c r="M21" i="40" s="1"/>
  <c r="H21" i="40" s="1"/>
  <c r="C21" i="40" s="1"/>
  <c r="P3" i="40"/>
  <c r="M3" i="40" s="1"/>
  <c r="H3" i="40" s="1"/>
  <c r="C3" i="40" s="1"/>
  <c r="B2" i="23" l="1"/>
  <c r="G22" i="21"/>
  <c r="G18" i="21"/>
  <c r="H22" i="40"/>
  <c r="C22" i="40" s="1"/>
  <c r="F28" i="40"/>
  <c r="P28" i="40" s="1"/>
  <c r="M28" i="40" s="1"/>
  <c r="H28" i="40" s="1"/>
  <c r="C28" i="40" s="1"/>
  <c r="G7" i="21"/>
  <c r="F29" i="40" l="1"/>
  <c r="P29" i="40" s="1"/>
  <c r="M29" i="40" s="1"/>
  <c r="H29" i="40" s="1"/>
  <c r="C29" i="40" s="1"/>
  <c r="E37" i="21" s="1"/>
  <c r="G20" i="21"/>
  <c r="E36" i="21"/>
  <c r="G5" i="21"/>
  <c r="F83" i="40" l="1"/>
  <c r="P83" i="40" s="1"/>
  <c r="M83" i="40" s="1"/>
  <c r="H83" i="40" s="1"/>
  <c r="C83" i="40" s="1"/>
  <c r="G10" i="21"/>
  <c r="G31" i="21" s="1"/>
  <c r="F84" i="40" l="1"/>
  <c r="P84" i="40" s="1"/>
  <c r="M84" i="40" s="1"/>
  <c r="H84" i="40" s="1"/>
  <c r="C84" i="40" s="1"/>
  <c r="E51" i="21" s="1"/>
  <c r="E35" i="21"/>
  <c r="E47" i="21" s="1"/>
  <c r="E52" i="21"/>
  <c r="E54" i="21" l="1"/>
  <c r="B1" i="21" s="1"/>
</calcChain>
</file>

<file path=xl/sharedStrings.xml><?xml version="1.0" encoding="utf-8"?>
<sst xmlns="http://schemas.openxmlformats.org/spreadsheetml/2006/main" count="1183" uniqueCount="506">
  <si>
    <t>WARNING NOTICE</t>
  </si>
  <si>
    <t>THIS CHECKLIST HAS FORMULAS THAT AUTOMATICALLY CALCULATE SUMMATIONS AND ROLL-UPS OF COMPLIANCE STATE.  THESE FORMULAS MAY HAVE ERRORS THAT HAVE NOT BEEN DETECTED.  PLEASE BE ADVISED THAT DUE TO THE POTENTIAL FOR AN ERROR IT IS RECOMMENDED THAT A MANUAL VERIFICATION BE PERFORMED BY THE PERSON OR ORGANIZATION FILLING OUT THE CHECKLIST TO ENSURE THAT THE CHECKLIST ACCURATELY REFLECTS THE STATE OF COMPLIANCE FOR THE OMS ELEMENT IN QUESTION.</t>
  </si>
  <si>
    <t>Notes for the User:</t>
  </si>
  <si>
    <t>This workbook has protection applied to preserve formulas and cross referencing.</t>
  </si>
  <si>
    <t>User input is only required/allowed in the blue shaded cells of each worksheet, except for the Cover, Abstract and Rev Table, which are user editable.</t>
  </si>
  <si>
    <t>&lt;OPTIONAL: Organization CDRL Number&gt;</t>
  </si>
  <si>
    <t>&lt;OPTIONAL: Organization Logo&gt;</t>
  </si>
  <si>
    <t>Prepared By:</t>
  </si>
  <si>
    <t>&lt;REQUIRED: Organization&gt;</t>
  </si>
  <si>
    <t>&lt;OPTIONAL: Address&gt;</t>
  </si>
  <si>
    <t>&lt; The abstract is REQUIRED and is a brief summary of the document that follows and is used to help the reader quickly ascertain the document's purpose and overall content. &gt;</t>
  </si>
  <si>
    <t>REVISION RECORD</t>
  </si>
  <si>
    <t>DATE</t>
  </si>
  <si>
    <t>DESCRIPTION</t>
  </si>
  <si>
    <t>-</t>
  </si>
  <si>
    <t>Original</t>
  </si>
  <si>
    <t>ABSTRACT</t>
  </si>
  <si>
    <t>REVISION</t>
  </si>
  <si>
    <t>dd-mmm-yy</t>
  </si>
  <si>
    <t>&lt;Select&gt;</t>
  </si>
  <si>
    <t>Level</t>
  </si>
  <si>
    <t>Row</t>
  </si>
  <si>
    <t>N/A</t>
  </si>
  <si>
    <t>AC Met?</t>
  </si>
  <si>
    <t>RQMT ID</t>
  </si>
  <si>
    <t>RQMT Text</t>
  </si>
  <si>
    <t>RQMT Met?</t>
  </si>
  <si>
    <t>Clarification</t>
  </si>
  <si>
    <t>Subordinate RQMTS</t>
  </si>
  <si>
    <t>Sub RQMTS Met?</t>
  </si>
  <si>
    <t>VR List</t>
  </si>
  <si>
    <t>All VRs Met?</t>
  </si>
  <si>
    <t>Verification Requirement (VR)</t>
  </si>
  <si>
    <t>VR Tier</t>
  </si>
  <si>
    <t>Guidance</t>
  </si>
  <si>
    <t>AC List</t>
  </si>
  <si>
    <t>VR Met?</t>
  </si>
  <si>
    <t>Acceptance Criteria (AC)</t>
  </si>
  <si>
    <t>Assessed Article</t>
  </si>
  <si>
    <t>N/A Rationale</t>
  </si>
  <si>
    <t>1, 2, 3</t>
  </si>
  <si>
    <t>(-1)_1</t>
  </si>
  <si>
    <t>Service Contract</t>
  </si>
  <si>
    <t>AC 2-1 Met?</t>
  </si>
  <si>
    <t>(-3)_1
(-3)_2</t>
  </si>
  <si>
    <t>(-4)_1
(-4)_2</t>
  </si>
  <si>
    <t>(-5)_1
(-5)_2</t>
  </si>
  <si>
    <t>(-6)_1
(-6)_2</t>
  </si>
  <si>
    <t>(-7)_1
(-7)_2</t>
  </si>
  <si>
    <t>AC 7-1 Met?</t>
  </si>
  <si>
    <t>AC 7-2 Met?</t>
  </si>
  <si>
    <t>(-8)_1
(-8)_2</t>
  </si>
  <si>
    <t>AC 8-1 Met?</t>
  </si>
  <si>
    <t>AC 8-2 Met?</t>
  </si>
  <si>
    <t>(-9)_1
(-9)_2</t>
  </si>
  <si>
    <t>AC 9-1 Met?</t>
  </si>
  <si>
    <t>AC 9-2 Met?</t>
  </si>
  <si>
    <t>(-1)</t>
  </si>
  <si>
    <t>(-1)_1
(-1)_2</t>
  </si>
  <si>
    <t>functional test results</t>
  </si>
  <si>
    <t>AC 1-2 Met?</t>
  </si>
  <si>
    <t>(-3)_1
(-3)_2
(-3)_3</t>
  </si>
  <si>
    <t>(-2)_1
(-2)_2
(-2)_3</t>
  </si>
  <si>
    <t>AC 1-1 Met?</t>
  </si>
  <si>
    <t>(-2)_1
(-2)_2</t>
  </si>
  <si>
    <t>AC 2-2 Met?</t>
  </si>
  <si>
    <t>AC 3-1 Met?</t>
  </si>
  <si>
    <t>AC 3-2 Met?</t>
  </si>
  <si>
    <t>AC 4-1 Met?</t>
  </si>
  <si>
    <t>AC 4-2 Met?</t>
  </si>
  <si>
    <t>AC 5-1 Met?</t>
  </si>
  <si>
    <t>AC 5-2 Met?</t>
  </si>
  <si>
    <t>AC 6-1 Met?</t>
  </si>
  <si>
    <t>AC 6-2 Met?</t>
  </si>
  <si>
    <t>AC 1-3 Met?</t>
  </si>
  <si>
    <t>AC 3-3 Met?</t>
  </si>
  <si>
    <t>AC 2-3 Met?</t>
  </si>
  <si>
    <t>2, 3</t>
  </si>
  <si>
    <t>Tier Compliance at:</t>
  </si>
  <si>
    <t>RQMT Topic</t>
  </si>
  <si>
    <t>Subordinate RQMTs</t>
  </si>
  <si>
    <t>Subordinate RQMTs Topic</t>
  </si>
  <si>
    <t>Document Cybersecurity posture</t>
  </si>
  <si>
    <t>Tier 1 RQMTs Met?</t>
  </si>
  <si>
    <t>list below</t>
  </si>
  <si>
    <t>Tier 2 RQMTs Met?</t>
  </si>
  <si>
    <t>Meet Tier 2 Requirements</t>
  </si>
  <si>
    <t>Tier 3 RQMTs Met?</t>
  </si>
  <si>
    <t>Compliance</t>
  </si>
  <si>
    <t>Per Template?</t>
  </si>
  <si>
    <t>Compliance Met?</t>
  </si>
  <si>
    <t>Section Rollup</t>
  </si>
  <si>
    <t>Required</t>
  </si>
  <si>
    <t>&lt;REQUIRED: Date as DD Month YYYY&gt;</t>
  </si>
  <si>
    <t>Abstract</t>
  </si>
  <si>
    <t>Open Mission Systems (OMS) is a non-proprietary open architecture for integrating subsystems and services into mission packages.</t>
  </si>
  <si>
    <t>Proprietary Notice: References to external documents that provide for the data in this section may refer to proprietary documents.</t>
  </si>
  <si>
    <t>Table 1.1-1 Reference Documents</t>
  </si>
  <si>
    <t>Proprietary Notice: References to external documents that provide for the data in this section refer only to non-proprietary documents.</t>
  </si>
  <si>
    <t>Proprietary Notice: The Security Addendum reference in this section is a non-proprietary document. The Security Addendum may contain references to external documents that may be proprietary.</t>
  </si>
  <si>
    <t>Table B.0-1 List of Term Definitions</t>
  </si>
  <si>
    <t>Note: Headings are marked "Required" to maintain section numbering; in some cases, the content of the section may be annotated as "Not Applicable".</t>
  </si>
  <si>
    <r>
      <t xml:space="preserve">1           </t>
    </r>
    <r>
      <rPr>
        <b/>
        <sz val="10"/>
        <color rgb="FF000000"/>
        <rFont val="Times New Roman"/>
        <family val="1"/>
      </rPr>
      <t>Overview</t>
    </r>
  </si>
  <si>
    <r>
      <t xml:space="preserve">1.1         </t>
    </r>
    <r>
      <rPr>
        <b/>
        <sz val="10"/>
        <color rgb="FF000000"/>
        <rFont val="Times New Roman"/>
        <family val="1"/>
      </rPr>
      <t>References</t>
    </r>
  </si>
  <si>
    <t xml:space="preserve">Revision Record
</t>
  </si>
  <si>
    <t>STD-000144 Tier 1, 2, 3</t>
  </si>
  <si>
    <t>RQMT STD-000144 [An OMS ASB shall support Internet Protocols IPv4 or IPv6.]</t>
  </si>
  <si>
    <t>STD-000144 (-1): This requirement is verified by inspection of the Platform Description Document (PDD) showing that data exchanges using either IPv4 or IPv6 protocols are supported.</t>
  </si>
  <si>
    <t>This requirement is intended to show that UDP and TCP packet transfers over an IP network are fully supported by the ASB; this information is included in the “Abstract Service Bus” section of the PDD.</t>
  </si>
  <si>
    <t>STD-000144 (-1)_1: The PDD documents that the transmission of data packets over either an IPv4 or IPv6 network is supported by the ASB.</t>
  </si>
  <si>
    <t>Platform Description Document (PDD)</t>
  </si>
  <si>
    <t>STD-000146 Tier 1, 2, 3</t>
  </si>
  <si>
    <t>RQMT STD-000146 [An OMS ASB shall provide the OMS CAL.]</t>
  </si>
  <si>
    <t>STD-000190</t>
  </si>
  <si>
    <t>STD-000146 (-1): This requirement is verified by the inspection of the [[Platform RQMT Checklist]] tab of the Platform Checklist, OMSC-CHK-003, that shows the subordinate requirements for RQMT STD-000146 have been met.</t>
  </si>
  <si>
    <t>STD-000146 (-1)_1: The [[Platform RQMT Checklist]] tab of the Platform Checklist shows that the subordinate requirements listed in the “Subordinate Requirements” column for RQMT STD-000146 have been met for each applicable CAL implementation.</t>
  </si>
  <si>
    <t>Platform Checklist</t>
  </si>
  <si>
    <t>STD-009706 Tier 1, 2, 3</t>
  </si>
  <si>
    <t>RQMT STD-009706 [An OMS ASB shall provide OMS Security Information Exchanges.]</t>
  </si>
  <si>
    <t>STD-009706 (-1): This requirement is verified by inspection of the Platform Description Document (PDD) showing that the OMS ASB is capable of transmitting the OMS security information exchanges in accordance with the “Security Information Exchanges” section.</t>
  </si>
  <si>
    <t>STD-009706 (-1)_1: The PDD, or the PDD Security Addendum, identifies the means for transmitting the OMS security information exchanges in accordance with the “Security Information Exchanges” section.</t>
  </si>
  <si>
    <t>STD-000190 Tier 1, 2, 3</t>
  </si>
  <si>
    <t>RQMT STD-000190 [An OMS CAL implementation shall be developed.]</t>
  </si>
  <si>
    <t>STD-000190 (-1): This requirement is verified by inspection of the Platform Description Document (PDD) showing that a language-specific CAL implementation has been developed.</t>
  </si>
  <si>
    <t>STD-000190 (-1)_1: The PDD documents that a language-specific CAL implementation has been developed.</t>
  </si>
  <si>
    <t>STD-000190 (-2): This requirement is verified by inspection of the CAL-VTS test results documenting the successful demonstration of the applicable language-specific CAL API and any requirement that is untestable by CAL-VTS is verified by inspection of the Platform Description Document (PDD) showing that the generated CAL API has been shown to be equivalent to the API generated by the CAL Schema Compiler.</t>
  </si>
  <si>
    <t>STD-000190 (-2)_1: If all applicable language-specific CAL Specification CERTs are tested successfully by CAL-VTS, then this VR is satisfied.</t>
  </si>
  <si>
    <t>STD-000190 (-2)_2: The PDD documents that the generated language-specific CAL API is equivalent with the API generated by the CAL Schema Compiler tool associated with the appropriate programming language interface generation specification.</t>
  </si>
  <si>
    <t>STD-000190 (-3): This requirement is verified by inspection of the Platform Description Document (PDD) showing that provided language-agnostic CAL implementations have been developed.</t>
  </si>
  <si>
    <t>STD-000190 (-3)_1: If a language-agnostic CAL implementation is not provided, then this VR is satisfied.</t>
  </si>
  <si>
    <t>STD-000190 (-3)_2: The PDD documents that provided language-agnostic CAL implementations have been developed.</t>
  </si>
  <si>
    <t>STD-000190 (-4): This requirement is verified by inspection of the functional test results documenting the provided language-agnostic CAL implementation(s) adhere to the Language-Agnostic CAL Specification.</t>
  </si>
  <si>
    <t>STD-000190 (-4)_1: If a  language-agnostic CAL implementation is not provided, then this VR is satisfied.</t>
  </si>
  <si>
    <t>STD-000190 (-4)_2: The PDD documents the functional test results indicating provided language-agnostic CAL implementations adhere to the Language-Agnostic CAL Specification.</t>
  </si>
  <si>
    <t>STD-000350 Tier 1, 2, 3</t>
  </si>
  <si>
    <t>RQMT STD-000350 [An OMS OCE shall host a C++ OMS CAL implementation.]</t>
  </si>
  <si>
    <t>STD-000350 (-1): This requirement is verified by inspection of the functional test results documenting the successful demonstration of an OMS Reference Service running in the OCE under test and communicating through a C++ CAL implementation.</t>
  </si>
  <si>
    <t>STD-000350 (-1)_1: The functional test results show that during the successful demonstration, an OMS Reference Service ran in the OCE under test and communicated through a C++ CAL implementation.</t>
  </si>
  <si>
    <t>STD-000351 Tier 1, 2, 3</t>
  </si>
  <si>
    <t>RQMT STD-000351 [An OMS OCE shall host a Java OMS CAL implementation.]</t>
  </si>
  <si>
    <t>STD-000351 (-1): This requirement is verified by inspection of the functional test results documenting the successful demonstration of an OMS Reference Service running in the OCE under test and communicating through a Java CAL implementation.</t>
  </si>
  <si>
    <t>If Java is prohibited due to system security policy, then only the C++ CAL implementation would be applicable for the OCE. </t>
  </si>
  <si>
    <t>STD-000351 (-1)_1: If Java is prohibited due to system security policy, then this VR is satisfied.</t>
  </si>
  <si>
    <t>STD-000351 (-1)_2: The functional test results show that during the successful demonstration, an OMS Reference Service ran in the OCE under test and communicated through a Java CAL implementation.</t>
  </si>
  <si>
    <t>STD-000352 Tier 1, 2, 3</t>
  </si>
  <si>
    <t>RQMT STD-000352 [An OMS OCE shall be capable of hosting at least one Service.]</t>
  </si>
  <si>
    <t>STD-000352 (-1): This requirement is verified by inspection of the functional test results documenting the successful demonstration of an OMS Reference Service running in the OCE under test and communicating through the CAL implementation.</t>
  </si>
  <si>
    <t>STD-000352 (-1)_1: The functional test results show that during the successful demonstration, an OMS Reference Service successfully executed in the OCE and communicated through the CAL implementation.</t>
  </si>
  <si>
    <t>STD-000354 Tier 1, 2, 3</t>
  </si>
  <si>
    <t>RQMT STD-000354 [An OMS OCE shall synchronize system clock using an industry standard protocol identified in the “Approved Time Synchronization Protocols” table.]</t>
  </si>
  <si>
    <t>STD-000354 (-1): This requirement is verified by inspection of the Platform Description Document (PDD) showing that time synchronization is supported by the OCE.</t>
  </si>
  <si>
    <t>This information is documented in the “Time Reference and Time synchronization” section of the PDD.</t>
  </si>
  <si>
    <t>STD-000354 (-1)_1: The PDD documents the time synchronization mechanism(s) for the OCE.</t>
  </si>
  <si>
    <t>STD-000355 Tier 1, 2, 3</t>
  </si>
  <si>
    <t>RQMT STD-000355 [An OMS OCE shall provide time to OCE-hosted Services through operating system interfaces.]</t>
  </si>
  <si>
    <t>STD-000355 (-1): This requirement is verified by inspection of the Platform Description Document (PDD) showing that the OCE system clock is accessed through operating system interfaces.</t>
  </si>
  <si>
    <t>This information is documented in the “Time Reference and Time Synchronization” section of the PDD.</t>
  </si>
  <si>
    <t>STD-000355 (-1)_1: The PDD identifies the operating system functions that can access the system clock.</t>
  </si>
  <si>
    <t>STD-000360 Tier 1, 2, 3</t>
  </si>
  <si>
    <t>RQMT STD-000360 [An OMS OCE shall provide a Linux operating system with a minimum kernel version of 2.6.]</t>
  </si>
  <si>
    <t>STD-000360 (-1): This requirement is verified by inspection of the Platform Description Document (PDD) showing that the OCE provides a Linux operating system with kernel version equal to or greater than 2.6.</t>
  </si>
  <si>
    <t>STD-000360 (-1)_1: The PDD documents that the kernel version of the OCE Linux operating system is equal to or greater than version 2.6.</t>
  </si>
  <si>
    <t>STD-000362 Tier 1, 2, 3</t>
  </si>
  <si>
    <t>RQMT STD-000362 [An OMS OCE shall provide a 64 bit Linux operating system when the OCE is hosted on a 64 bit processing board.]</t>
  </si>
  <si>
    <t>STD-000362 (-1): This requirement is verified by inspection of the Platform Description Document (PDD) showing that an OCE hosted on a 64 bit processing board provides a 64 bit Linux operating system.</t>
  </si>
  <si>
    <t>STD-000362 (-1)_1: If the OCE is not hosted on a 64 bit processing board, then this VR is satisfied.</t>
  </si>
  <si>
    <t>STD-000362 (-1)_2: The PDD documents that the OCE provides a 64 bit Linux operating system.</t>
  </si>
  <si>
    <t>STD-000365 Tier 1, 2, 3</t>
  </si>
  <si>
    <t>RQMT STD-000365 [An OMS OCE shall provide a Façade implementation.]</t>
  </si>
  <si>
    <t>STD-000381</t>
  </si>
  <si>
    <t>STD-000365 (-1): This requirement is verified by the inspection of the [[Platform RQMT Checklist]] tab of the Platform Checklist, OMSC-CHK-003, that shows the subordinate requirements for RQMT STD-000365 have been met.</t>
  </si>
  <si>
    <t>STD-000365 (-1)_1: The [[Platform RQMT Checklist]] tab of the Platform Checklist shows that the subordinate requirements listed in the “Subordinate Requirements” column for RQMT STD-000365 have been met.</t>
  </si>
  <si>
    <t>STD-008663 Tier 1, 2, 3</t>
  </si>
  <si>
    <t>RQMT STD-008663 [An OMS OCE shall provide a Java implementation.]</t>
  </si>
  <si>
    <t>STD-000385</t>
  </si>
  <si>
    <t>STD-008663 (-1): This requirement is verified by the inspection of the [[Platform RQMT Checklist]] tab of the Platform Checklist, OMSC-CHK-003, that shows the subordinate requirements for RQMT STD-008663 have been met.</t>
  </si>
  <si>
    <t>If Java is prohibited due to system security policy, then only the C++ CAL implementation would be applicable for the OCE.</t>
  </si>
  <si>
    <t>STD-008663 (-1)_1: If Java is prohibited due to system security policy, then this VR is satisfied.</t>
  </si>
  <si>
    <t>STD-008663 (-1)_2: The [[Platform RQMT Checklist]] tab of the Platform Checklist shows that the subordinate requirements listed in the “Subordinate Requirements” column for RQMT STD-008663 have been met.</t>
  </si>
  <si>
    <t>STD-000381 Tier 1, 2, 3</t>
  </si>
  <si>
    <t>RQMT STD-000381 [An OMS OCE shall implement all allowed interfaces defined by the Operating System Façade Specification.]</t>
  </si>
  <si>
    <t>STD-000381 (-1): This requirement is verified by inspection of the Platform Description Document (PDD) showing that the Façade implementation provides, at a minimum, the allowed interfaces defined in the Operating System Façade Specification, OMSC-SPC-005.</t>
  </si>
  <si>
    <t>STD-000381 (-1)_1: The PDD documents that the Façade implementation provides the allowed interfaces defined in the Operating System Façade Specification.</t>
  </si>
  <si>
    <t>STD-000385 Tier 1, 2, 3</t>
  </si>
  <si>
    <t>RQMT STD-000385 [An OMS OCE Java-based implementation shall provide a Java environment that is compliant with the Java specification.]</t>
  </si>
  <si>
    <t>STD-000385 (-1): This requirement is verified by inspection of the Platform Description Document (PDD) showing that the OCE provides a Java environment that is compatible with a Long-Term Support (LTS) version of the Java specifications and is compatible with the Operating System (OS).</t>
  </si>
  <si>
    <t>STD-000385 (-1)_1: If Java is prohibited due to system security policy, then this VR is satisfied.</t>
  </si>
  <si>
    <t>STD-000385 (-1)_2: The PDD documents that the OCE provides a Java environment compatible with the OS.</t>
  </si>
  <si>
    <t>STD-000385 (-1)_3: The PDD documents that the OCE provides a Java environment that is capable of running Java SE 11 compatible bytecode.</t>
  </si>
  <si>
    <t>STD-000082 Tier 1, 2, 3</t>
  </si>
  <si>
    <t>RQMT STD-000082 [A Tier 1 OMS Platform shall provide an OMS ASB.]</t>
  </si>
  <si>
    <t>STD-000082 (-1): This requirement is verified by the inspection of the [[Platform RQMT Checklist]] tab of the Platform Checklist, OMSC-CHK-003, that shows the subordinate requirements for RQMT STD-000082 have been met.</t>
  </si>
  <si>
    <t>STD-000082 (-1)_1: The [[Platform RQMT Checklist]] tab of the Platform Checklist shows that the subordinate requirements listed in the “Subordinate Requirements” column for RQMT STD-000082 have been met.</t>
  </si>
  <si>
    <t>STD-000083 Tier 1, 2, 3</t>
  </si>
  <si>
    <t>RQMT STD-000083 [A Tier 1 OMS Platform shall provide an OMS OCE.]</t>
  </si>
  <si>
    <t>STD-000083 (-1): This requirement is verified by the inspection of the [[Platform RQMT Checklist]] tab of the Platform Checklist, OMSC-CHK-003, that shows the subordinate requirements for RQMT STD-000083 have been met.</t>
  </si>
  <si>
    <t>STD-000083 (-1)_1: The [[Platform RQMT Checklist]] tab of the Platform Checklist shows that the subordinate requirements listed in the “Subordinate Requirements” column for RQMT STD-000083 have been met.</t>
  </si>
  <si>
    <t>STD-000085 Tier 1, 2, 3</t>
  </si>
  <si>
    <t>RQMT STD-000085 [A Tier 1 OMS Platform shall be documented in a non-proprietary Platform Description Document in accordance with the OMS Platform Description Document Template.]</t>
  </si>
  <si>
    <t>STD-000085 (-1): This requirement is verified by inspection of the Platform Description Document (PDD) showing that the PDD is complete and complies with the current version of the PDD Template, OMSC-TMP-001; inspection results are recorded in the [[PDD]] tab of the Platform Checklist, OMSC-CHK-003.</t>
  </si>
  <si>
    <t>“Current Version” in this context refers to the version of the PDD Template specified in the OMS Standard against which compliance is being measured.</t>
  </si>
  <si>
    <t>STD-000085 (-1)_1: The [[PDD]] tab of the Platform Checklist shows that the PDD is complete and complies with the current version of the PDD Template.</t>
  </si>
  <si>
    <t>STD-000085 (-2): This requirement is verified by inspection of the delivered Platform Description Document (PDD) showing that the document does not include proprietary labels; that the PDD includes a Platform Network diagram; and that the Security Information Exchanges implemented by the Platform are documented in the PDD.</t>
  </si>
  <si>
    <t>STD-000085 (-2)_1: The delivered PDD has no proprietary labels applied to any of its pages.</t>
  </si>
  <si>
    <t>STD-000085 (-2)_2: The “Network” section of the PDD contains a Platform network diagram that shows the network architecture implementation; including the physical connections, the interface speeds, and any network limitations.</t>
  </si>
  <si>
    <t>STD-000085 (-2)_3: The PDD, or the PDD Security Addendum, documents the Security Information Exchanges implemented by the Platform.</t>
  </si>
  <si>
    <t>STD-000085 (-3): This requirement is verified by inspection of the Platform Description Document (PDD) showing the ports and protocols the Platform can use for data transfer are documented.</t>
  </si>
  <si>
    <t>STD-000085 (-3)_1: If no ports or protocols are used for data transfer, then this VR is satisfied.</t>
  </si>
  <si>
    <t>STD-000085 (-3)_2: The PDD documents the ports and protocols used for data transfer.</t>
  </si>
  <si>
    <t>STD-000085 (-4): This requirement is verified by inspection of the Platform Description Document (PDD) showing that the mechanism for restricting the ports and protocols for data transfers is documented.</t>
  </si>
  <si>
    <t>This information is documented in the “Ports &amp; Protocols” section of the PDD.</t>
  </si>
  <si>
    <t>STD-000085 (-4)_1: If restricting ports or protocols for data transfers is not required, then this VR is satisfied.</t>
  </si>
  <si>
    <t>STD-000085 (-4)_2: The PDD documents the mechanism for restricting the ports and protocols for data transfers.</t>
  </si>
  <si>
    <t>STD-000085 (-5): This requirement is verified by inspection of the Platform Description Document (PDD) showing that the access control mechanism(s) the Platform can use for data storage are documented.</t>
  </si>
  <si>
    <t>This information is documented in the “Data Storage Access Controls” section of the PDD.</t>
  </si>
  <si>
    <t>STD-000085 (-5)_1: If access control for data storage is not required, then this VR is satisfied.</t>
  </si>
  <si>
    <t>STD-000085 (-5)_2: The PDD documents the access control mechanism(s) for data storage.</t>
  </si>
  <si>
    <t>STD-000085 (-6): This requirement is verified by inspection of the Platform Description Document (PDD) showing that the identification and authentication mechanism(s) the Platform can use for data transfer are documented.</t>
  </si>
  <si>
    <t>This information is typically provided in the “Data Transfer Configuration” section of the PDD.</t>
  </si>
  <si>
    <t>STD-000085 (-6)_1: If identification and authentication for data transfer is not required, then this VR is satisfied.</t>
  </si>
  <si>
    <t>STD-000085 (-6)_2: The PDD documents the identification and authentication mechanism(s) for data transfer.</t>
  </si>
  <si>
    <t>STD-000085 (-7): This requirement is verified by inspection of the Platform Description Document (PDD) showing that the confidentiality mechanism(s) the Platform can use for data storage are documented.</t>
  </si>
  <si>
    <t>This information is documented in the “Data Storage Confidentiality Mechanisms” section of the PDD.</t>
  </si>
  <si>
    <t>STD-000085 (-7)_1: If confidentiality for data storage is not required, then this VR is satisfied.</t>
  </si>
  <si>
    <t>STD-000085 (-7)_2: The PDD documents the confidentiality mechanism(s) for data storage.</t>
  </si>
  <si>
    <t>STD-000085 (-8): This requirement is verified by inspection of the Platform Description Document (PDD) showing that the confidentiality mechanism(s) the Platform can use for data transfer are documented.</t>
  </si>
  <si>
    <t>This information is documented in the “Data Transfer Confidentiality Mechanisms” section of the PDD.</t>
  </si>
  <si>
    <t>STD-000085 (-8)_1: If confidentiality for data transfer is not required, then this VR is satisfied.</t>
  </si>
  <si>
    <t>STD-000085 (-8)_2: The PDD documents the confidentiality mechanism(s) for data transfer.</t>
  </si>
  <si>
    <t>STD-000085 (-9): This requirement is verified by inspection of the Platform Description Document (PDD) showing that the integrity mechanism(s) the Platform can use for data storage are documented.</t>
  </si>
  <si>
    <t>This information is documented in the “Data Storage Integrity Mechanisms” section of the PDD.</t>
  </si>
  <si>
    <t>STD-000085 (-9)_1: If integrity for data storage is not required, then this VR is satisfied.</t>
  </si>
  <si>
    <t>STD-000085 (-9)_2: The PDD documents the integrity mechanism(s) for data storage.</t>
  </si>
  <si>
    <t>STD-000085 (-10): This requirement is verified by inspection of the Platform Description Document (PDD) showing that the integrity mechanism(s) the Platform can use for data transfer are documented.</t>
  </si>
  <si>
    <t>This information is documented in the “Data Transfer Integrity Mechanisms” section of the PDD.</t>
  </si>
  <si>
    <t>STD-000085 (-10)_1: If integrity for data transfer is not required, then this VR is satisfied.</t>
  </si>
  <si>
    <t>AC 10-1 Met?</t>
  </si>
  <si>
    <t>STD-000085 (-10)_2: The PDD documents the integrity mechanism(s) for data transfer.</t>
  </si>
  <si>
    <t>AC 10-2 Met?</t>
  </si>
  <si>
    <t>STD-000086 Tier 1, 2, 3</t>
  </si>
  <si>
    <t>RQMT STD-000086 [A Tier 1 OMS Platform shall provision for applicable OMS Special Signals as listed in the “Special Signals” section.]</t>
  </si>
  <si>
    <t>STD-000086 (-1): This requirement is verified by inspection of the Platform Description Document (PDD) showing that the OMS Platform has provisioned for applicable Special Signals in accordance with the “OMS Discrete and Voltage Reference Signals” table, the “OMS Discrete and Voltage Time Reference Signals” table, and the “Other Signals Defined within OMS” table.</t>
  </si>
  <si>
    <t>STD-000086 (-1)_1: If no special signals have been identified as “applicable” by the adopting program, then this VR is satisfied.</t>
  </si>
  <si>
    <t>STD-000086 (-1)_2: The PDD identifies the means for the provisioning of the applicable Special Signals in accordance with the “OMS Discrete and Voltage Reference Signals” table, the “OMS Discrete and Voltage Time Reference Signals” table, and the “Other Signals Defined within OMS” table.</t>
  </si>
  <si>
    <t>STD-005002 Tier 1, 2, 3</t>
  </si>
  <si>
    <t>RQMT STD-005002 [A Tier 1 OMS Platform shall provide an Internet Protocol (IP) based network to support the allowed protocols identified in the “Data Transfer Formats, APIs, and Protocols” table.]</t>
  </si>
  <si>
    <t>STD-005002 (-1): This requirement is verified by inspection of the Platform Description Document (PDD) showing that the OMS Platform provides an IP based network.</t>
  </si>
  <si>
    <t>STD-005002 (-1)_1: The PDD documents that the Platform implements either an IP based network, or an IP based stack on a non-IP network.</t>
  </si>
  <si>
    <t>STD-000303 Tier 1, 2, 3</t>
  </si>
  <si>
    <t>RQMT STD-000303 [A Tier 1 OMS Platform shall provide the time reference for time synchronization across the ASB.]</t>
  </si>
  <si>
    <t>STD-000303 (-1): This requirement is verified by inspection of the Platform Description Document (PDD) showing that time synchronization is implemented.</t>
  </si>
  <si>
    <t>STD-000303 (-1)_1: The PDD identifies the presence of a time reference and documents the method(s) of time synchronization implemented by the Platform.</t>
  </si>
  <si>
    <t>STD-000307 Tier 1, 2, 3</t>
  </si>
  <si>
    <t>RQMT STD-000307 [A Tier 1 OMS Platform shall accomplish time synchronization using an industry standard protocol identified in the “Approved Time Synchronization Protocols” table.]</t>
  </si>
  <si>
    <t>STD-000307 (-1): This requirement is verified by inspection of the Platform Description Document (PDD) showing that the Platform implements time synchronization in accordance with one of the protocols identified in the “Approved Time Synchronization Protocols” table.</t>
  </si>
  <si>
    <t>The Platform should identify the time synchronization method(s) available.</t>
  </si>
  <si>
    <t>STD-000307 (-1)_1: The PDD documents that the Platform implements time synchronization in accordance with one of the protocols identified in the “Approved Time Synchronization Protocols” table.</t>
  </si>
  <si>
    <t>STD-000314 Tier 1, 2, 3</t>
  </si>
  <si>
    <t>RQMT STD-000314 [When required, a Tier 1 OMS Platform shall accomplish high fidelity time synchronization using an industry standard protocol identified in the “High Fidelity Time Synchronization Mechanisms” table.]</t>
  </si>
  <si>
    <t>STD-000314 (-1): If high fidelity time synchronization is provided by the OMS Platform, this requirement is verified by inspection of the Platform Description Document (PDD) showing that the Platform implements high fidelity time synchronization in accordance with one of the protocols identified in the “High Fidelity Time Synchronization Mechanisms” table.</t>
  </si>
  <si>
    <t>High fidelity time synchronization is an option for an OMS Platform. The Platform should identify the time synchronization method(s) available.</t>
  </si>
  <si>
    <t>STD-000314 (-1)_1: If high fidelity time synchronization is not provided, then this VR is satisfied.</t>
  </si>
  <si>
    <t>STD-000314 (-1)_2: The PDD documents that the Platform implements high fidelity time synchronization in accordance with one of the protocols identified in the “High Fidelity Time Synchronization Mechanisms” table.</t>
  </si>
  <si>
    <t>STD-000325 Tier 1, 2, 3</t>
  </si>
  <si>
    <r>
      <t xml:space="preserve">RQMT STD-000325 [When required, a Tier 1 OMS Platform shall provide lower fidelity position information using the specified </t>
    </r>
    <r>
      <rPr>
        <b/>
        <sz val="10"/>
        <color theme="1"/>
        <rFont val="Times New Roman"/>
        <family val="1"/>
      </rPr>
      <t xml:space="preserve">PositionReport </t>
    </r>
    <r>
      <rPr>
        <sz val="10"/>
        <color theme="1"/>
        <rFont val="Times New Roman"/>
        <family val="1"/>
      </rPr>
      <t>message at one of the nominal rates specified in the “Position Information” section.]</t>
    </r>
  </si>
  <si>
    <r>
      <t xml:space="preserve">STD-000325 (-1): This requirement is verified by inspection of the Platform Description Document (PDD) that identifies the Subsystem, Service, or Isolator that provides the </t>
    </r>
    <r>
      <rPr>
        <b/>
        <sz val="10"/>
        <color theme="1"/>
        <rFont val="Times New Roman"/>
        <family val="1"/>
      </rPr>
      <t>PositionReport</t>
    </r>
    <r>
      <rPr>
        <sz val="10"/>
        <color theme="1"/>
        <rFont val="Times New Roman"/>
        <family val="1"/>
      </rPr>
      <t xml:space="preserve"> message for the Platform.</t>
    </r>
  </si>
  <si>
    <r>
      <t xml:space="preserve">This covers the case when a Subsystem, Service, or Isolator publishes the </t>
    </r>
    <r>
      <rPr>
        <b/>
        <sz val="10"/>
        <color theme="1"/>
        <rFont val="Times New Roman"/>
        <family val="1"/>
      </rPr>
      <t>PositionReport</t>
    </r>
    <r>
      <rPr>
        <sz val="10"/>
        <color theme="1"/>
        <rFont val="Times New Roman"/>
        <family val="1"/>
      </rPr>
      <t xml:space="preserve"> message on behalf of the Platform. This information is documented in the “Position Information” section of the PDD.</t>
    </r>
  </si>
  <si>
    <t>STD-000325 (-1)_1: If position information is not required, then this VR is satisfied.</t>
  </si>
  <si>
    <r>
      <t xml:space="preserve">STD-000325 (-1)_2: If the Platform provides the </t>
    </r>
    <r>
      <rPr>
        <b/>
        <sz val="10"/>
        <color theme="1"/>
        <rFont val="Times New Roman"/>
        <family val="1"/>
      </rPr>
      <t xml:space="preserve">PositionReport </t>
    </r>
    <r>
      <rPr>
        <sz val="10"/>
        <color theme="1"/>
        <rFont val="Times New Roman"/>
        <family val="1"/>
      </rPr>
      <t>directly (without using a Subsystem, Service, or Isolator), then this VR is satisfied.</t>
    </r>
  </si>
  <si>
    <r>
      <t xml:space="preserve">STD-000325 (-1)_3: The PDD identifies the Subsystem, Service, or Isolator that provides the </t>
    </r>
    <r>
      <rPr>
        <b/>
        <sz val="10"/>
        <color theme="1"/>
        <rFont val="Times New Roman"/>
        <family val="1"/>
      </rPr>
      <t>PositionReport</t>
    </r>
    <r>
      <rPr>
        <sz val="10"/>
        <color theme="1"/>
        <rFont val="Times New Roman"/>
        <family val="1"/>
      </rPr>
      <t xml:space="preserve"> message for the Platform.</t>
    </r>
  </si>
  <si>
    <r>
      <t xml:space="preserve">STD-000325 (-2): This requirement is verified by inspection of the Service Contract for the Subsystem, Service, or Isolator that provides the </t>
    </r>
    <r>
      <rPr>
        <b/>
        <sz val="10"/>
        <color theme="1"/>
        <rFont val="Times New Roman"/>
        <family val="1"/>
      </rPr>
      <t>PositionReport</t>
    </r>
    <r>
      <rPr>
        <sz val="10"/>
        <color theme="1"/>
        <rFont val="Times New Roman"/>
        <family val="1"/>
      </rPr>
      <t xml:space="preserve"> message for the Platform, showing that the </t>
    </r>
    <r>
      <rPr>
        <b/>
        <sz val="10"/>
        <color theme="1"/>
        <rFont val="Times New Roman"/>
        <family val="1"/>
      </rPr>
      <t>PositionReport</t>
    </r>
    <r>
      <rPr>
        <sz val="10"/>
        <color theme="1"/>
        <rFont val="Times New Roman"/>
        <family val="1"/>
      </rPr>
      <t xml:space="preserve"> message is published at a nominal rate specified in the “Position Information” section.</t>
    </r>
  </si>
  <si>
    <r>
      <t xml:space="preserve">This covers the case when a Subsystem, Service, or Isolator publishes the </t>
    </r>
    <r>
      <rPr>
        <b/>
        <sz val="10"/>
        <color theme="1"/>
        <rFont val="Times New Roman"/>
        <family val="1"/>
      </rPr>
      <t>PositionReport</t>
    </r>
    <r>
      <rPr>
        <sz val="10"/>
        <color theme="1"/>
        <rFont val="Times New Roman"/>
        <family val="1"/>
      </rPr>
      <t xml:space="preserve"> message on behalf of the Platform. The intent here is that no statistical analysis is required to verify the specified rate.</t>
    </r>
  </si>
  <si>
    <t>STD-000325 (-2)_1: If position information is not required, then this VR is satisfied.</t>
  </si>
  <si>
    <r>
      <t xml:space="preserve">STD-000325 (-2)_2: If the Platform provides the </t>
    </r>
    <r>
      <rPr>
        <b/>
        <sz val="10"/>
        <color theme="1"/>
        <rFont val="Times New Roman"/>
        <family val="1"/>
      </rPr>
      <t xml:space="preserve">PositionReport </t>
    </r>
    <r>
      <rPr>
        <sz val="10"/>
        <color theme="1"/>
        <rFont val="Times New Roman"/>
        <family val="1"/>
      </rPr>
      <t>directly (without using a Subsystem, Service, or Isolator), then this VR is satisfied.</t>
    </r>
  </si>
  <si>
    <r>
      <t xml:space="preserve">STD-000325 (-2)_3: The Service Contract documents that the </t>
    </r>
    <r>
      <rPr>
        <b/>
        <sz val="10"/>
        <color theme="1"/>
        <rFont val="Times New Roman"/>
        <family val="1"/>
      </rPr>
      <t>PositionReport</t>
    </r>
    <r>
      <rPr>
        <sz val="10"/>
        <color theme="1"/>
        <rFont val="Times New Roman"/>
        <family val="1"/>
      </rPr>
      <t xml:space="preserve"> message is being published at a nominal rate specified in the “Position Information” section.</t>
    </r>
  </si>
  <si>
    <r>
      <t xml:space="preserve">STD-000325 (-3): This requirement is verified by inspection of the Platform Description Document (PDD) that documents the </t>
    </r>
    <r>
      <rPr>
        <b/>
        <sz val="10"/>
        <color theme="1"/>
        <rFont val="Times New Roman"/>
        <family val="1"/>
      </rPr>
      <t>PositionReport</t>
    </r>
    <r>
      <rPr>
        <sz val="10"/>
        <color theme="1"/>
        <rFont val="Times New Roman"/>
        <family val="1"/>
      </rPr>
      <t xml:space="preserve"> fields and characteristics provided by the Platform.</t>
    </r>
  </si>
  <si>
    <r>
      <t xml:space="preserve">This covers the case when a Platform directly publishes the </t>
    </r>
    <r>
      <rPr>
        <b/>
        <sz val="10"/>
        <color theme="1"/>
        <rFont val="Times New Roman"/>
        <family val="1"/>
      </rPr>
      <t>PositionReport</t>
    </r>
    <r>
      <rPr>
        <sz val="10"/>
        <color theme="1"/>
        <rFont val="Times New Roman"/>
        <family val="1"/>
      </rPr>
      <t xml:space="preserve"> message. This information is documented in the “Position Information” section of the PDD.</t>
    </r>
  </si>
  <si>
    <t>STD-000325 (-3)_1: If position information is not required, then this VR is satisfied.</t>
  </si>
  <si>
    <t>STD-000325 (-3)_2: If position information is provided by a Subsystem, Service, or Isolator, then this VR is satisfied.</t>
  </si>
  <si>
    <r>
      <t xml:space="preserve">STD-000325 (-3)_3: The PDD documents the </t>
    </r>
    <r>
      <rPr>
        <b/>
        <sz val="10"/>
        <color theme="1"/>
        <rFont val="Times New Roman"/>
        <family val="1"/>
      </rPr>
      <t>PositionReport</t>
    </r>
    <r>
      <rPr>
        <sz val="10"/>
        <color theme="1"/>
        <rFont val="Times New Roman"/>
        <family val="1"/>
      </rPr>
      <t xml:space="preserve"> fields and characteristics provided by the Platform in the “Position Information” section.</t>
    </r>
  </si>
  <si>
    <r>
      <t xml:space="preserve">STD-000325 (-4): This requirement is verified by inspection of the PDD showing that the </t>
    </r>
    <r>
      <rPr>
        <b/>
        <sz val="10"/>
        <color theme="1"/>
        <rFont val="Times New Roman"/>
        <family val="1"/>
      </rPr>
      <t>PositionReport</t>
    </r>
    <r>
      <rPr>
        <sz val="10"/>
        <color theme="1"/>
        <rFont val="Times New Roman"/>
        <family val="1"/>
      </rPr>
      <t xml:space="preserve"> message provided by the Platform is published at a nominal rate specified in the “Position Information” section.</t>
    </r>
  </si>
  <si>
    <r>
      <t xml:space="preserve">This covers the case when a Platform directly publishes the </t>
    </r>
    <r>
      <rPr>
        <b/>
        <sz val="10"/>
        <color theme="1"/>
        <rFont val="Times New Roman"/>
        <family val="1"/>
      </rPr>
      <t>PositionReport</t>
    </r>
    <r>
      <rPr>
        <sz val="10"/>
        <color theme="1"/>
        <rFont val="Times New Roman"/>
        <family val="1"/>
      </rPr>
      <t xml:space="preserve"> message. The intent here is that no statistical analysis is required to verify the specified rate.</t>
    </r>
  </si>
  <si>
    <t>STD-000325 (-4)_1: If position information is not required, then this VR is satisfied.</t>
  </si>
  <si>
    <t>STD-000325 (-4)_2: If position information is provided by a Subsystem, Service, or Isolator, then this VR is satisfied.</t>
  </si>
  <si>
    <r>
      <t xml:space="preserve">STD-000325 (-4)_3: The PDD documents the </t>
    </r>
    <r>
      <rPr>
        <b/>
        <sz val="10"/>
        <color theme="1"/>
        <rFont val="Times New Roman"/>
        <family val="1"/>
      </rPr>
      <t>PositionReport</t>
    </r>
    <r>
      <rPr>
        <sz val="10"/>
        <color theme="1"/>
        <rFont val="Times New Roman"/>
        <family val="1"/>
      </rPr>
      <t xml:space="preserve"> message provided by the Platform is being published at a nominal rate specified in the “Position Information” section.</t>
    </r>
  </si>
  <si>
    <t>AC 4-3 Met?</t>
  </si>
  <si>
    <t>STD-000334 Tier 1, 2, 3</t>
  </si>
  <si>
    <r>
      <t xml:space="preserve">RQMT STD-000334 [When required, a Tier 1 OMS Platform shall provide high fidelity position information using the specified </t>
    </r>
    <r>
      <rPr>
        <b/>
        <sz val="10"/>
        <color theme="1"/>
        <rFont val="Times New Roman"/>
        <family val="1"/>
      </rPr>
      <t xml:space="preserve">PositionReportDetailed </t>
    </r>
    <r>
      <rPr>
        <sz val="10"/>
        <color theme="1"/>
        <rFont val="Times New Roman"/>
        <family val="1"/>
      </rPr>
      <t>message and Quality of Service (QoS) settings at one or more of the nominal publish rates as specified in the “Position Information” section.]</t>
    </r>
  </si>
  <si>
    <r>
      <t xml:space="preserve">STD-000334 (-1): If high fidelity position information is indirectly provided by the OMS Platform, then this requirement is verified by inspection of the Platform Description Document (PDD) that identifies the Subsystem, Service, or Isolator that provides the </t>
    </r>
    <r>
      <rPr>
        <b/>
        <sz val="10"/>
        <color theme="1"/>
        <rFont val="Times New Roman"/>
        <family val="1"/>
      </rPr>
      <t>PositionReportDetailed</t>
    </r>
    <r>
      <rPr>
        <sz val="10"/>
        <color theme="1"/>
        <rFont val="Times New Roman"/>
        <family val="1"/>
      </rPr>
      <t xml:space="preserve"> message for the Platform.</t>
    </r>
  </si>
  <si>
    <t>STD-000334 (-1)_1: If high fidelity position information is not required, then this VR is satisfied.</t>
  </si>
  <si>
    <t>STD-000334 (-1)_2: If high fidelity position information is directly provided by the Platform, this VR is satisfied.</t>
  </si>
  <si>
    <r>
      <t xml:space="preserve">STD-000334 (-1)_3: The PDD identifies the Subsystem, Service, or Isolator that produces the </t>
    </r>
    <r>
      <rPr>
        <b/>
        <sz val="10"/>
        <color theme="1"/>
        <rFont val="Times New Roman"/>
        <family val="1"/>
      </rPr>
      <t>PositionReportDetailed</t>
    </r>
    <r>
      <rPr>
        <sz val="10"/>
        <color theme="1"/>
        <rFont val="Times New Roman"/>
        <family val="1"/>
      </rPr>
      <t xml:space="preserve"> message for the Platform.</t>
    </r>
  </si>
  <si>
    <r>
      <t xml:space="preserve">STD-000334 (-2): If high fidelity position information is indirectly provided by the OMS Platform, then this requirement is verified by inspection of the Service Contract for the Subsystem, Service, or Isolator that provides the </t>
    </r>
    <r>
      <rPr>
        <b/>
        <sz val="10"/>
        <color theme="1"/>
        <rFont val="Times New Roman"/>
        <family val="1"/>
      </rPr>
      <t>PositionReportDetailed</t>
    </r>
    <r>
      <rPr>
        <sz val="10"/>
        <color theme="1"/>
        <rFont val="Times New Roman"/>
        <family val="1"/>
      </rPr>
      <t xml:space="preserve"> message for the Platform. Inspection must show that the </t>
    </r>
    <r>
      <rPr>
        <b/>
        <sz val="10"/>
        <color theme="1"/>
        <rFont val="Times New Roman"/>
        <family val="1"/>
      </rPr>
      <t>PositionReportDetailed</t>
    </r>
    <r>
      <rPr>
        <sz val="10"/>
        <color theme="1"/>
        <rFont val="Times New Roman"/>
        <family val="1"/>
      </rPr>
      <t xml:space="preserve"> message is published at one or more of the nominal publish rates and Quality of Service (QoS) settings as specified in the “Position Information” section.</t>
    </r>
  </si>
  <si>
    <t>STD-000334 (-2)_1: If high fidelity position information is not required, then this VR is satisfied.</t>
  </si>
  <si>
    <t>STD-000334 (-2)_2: If high fidelity position information is directly provided by the Platform, this VR is satisfied.</t>
  </si>
  <si>
    <r>
      <t xml:space="preserve">STD-000334 (-2)_3: The Service Contract documents that the </t>
    </r>
    <r>
      <rPr>
        <b/>
        <sz val="10"/>
        <color theme="1"/>
        <rFont val="Times New Roman"/>
        <family val="1"/>
      </rPr>
      <t>PositionReportDetailed</t>
    </r>
    <r>
      <rPr>
        <sz val="10"/>
        <color theme="1"/>
        <rFont val="Times New Roman"/>
        <family val="1"/>
      </rPr>
      <t xml:space="preserve"> message is being published at one or more of the nominal publish rates and Quality of Service (QoS) settings as specified in the “Position Information” section.</t>
    </r>
  </si>
  <si>
    <r>
      <t xml:space="preserve">STD-000334 (-3): If high fidelity position information is directly provided by the OMS Platform, then this requirement is verified by inspection of the Platform Description Document (PDD) that documents the </t>
    </r>
    <r>
      <rPr>
        <b/>
        <sz val="10"/>
        <color theme="1"/>
        <rFont val="Times New Roman"/>
        <family val="1"/>
      </rPr>
      <t>PositionReportDetailed</t>
    </r>
    <r>
      <rPr>
        <sz val="10"/>
        <color theme="1"/>
        <rFont val="Times New Roman"/>
        <family val="1"/>
      </rPr>
      <t xml:space="preserve"> fields and characteristics provided by the Platform.</t>
    </r>
  </si>
  <si>
    <t>STD-000334 (-3)_1: If high fidelity position information is not required, then this VR is satisfied.</t>
  </si>
  <si>
    <t>STD-000334 (-3)_2: If high fidelity position information is provided by a Subsystem, Service, or Isolator, then this VR is satisfied.</t>
  </si>
  <si>
    <r>
      <t xml:space="preserve">STD-000334 (-3)_3: The PDD documents the </t>
    </r>
    <r>
      <rPr>
        <b/>
        <sz val="10"/>
        <color theme="1"/>
        <rFont val="Times New Roman"/>
        <family val="1"/>
      </rPr>
      <t>PositionReportDetailed</t>
    </r>
    <r>
      <rPr>
        <sz val="10"/>
        <color theme="1"/>
        <rFont val="Times New Roman"/>
        <family val="1"/>
      </rPr>
      <t xml:space="preserve"> fields and characteristics provided by the Platform.</t>
    </r>
  </si>
  <si>
    <r>
      <t xml:space="preserve">STD-000334 (-4): If high fidelity position information is directly provided by the OMS Platform, then this requirement is verified by inspection of the Platform Description Document (PDD) that the </t>
    </r>
    <r>
      <rPr>
        <b/>
        <sz val="10"/>
        <color theme="1"/>
        <rFont val="Times New Roman"/>
        <family val="1"/>
      </rPr>
      <t>PositionReportDetailed</t>
    </r>
    <r>
      <rPr>
        <sz val="10"/>
        <color theme="1"/>
        <rFont val="Times New Roman"/>
        <family val="1"/>
      </rPr>
      <t xml:space="preserve"> message is published at one or more of the nominal publish rates and Quality of Service (QoS) settings as specified in the “Position Information” section.</t>
    </r>
  </si>
  <si>
    <t>STD-000334 (-4)_1: If high fidelity position information is not required, then this VR is satisfied.</t>
  </si>
  <si>
    <t>STD-000334 (-4)_2: If high fidelity position information is provided by a Subsystem, Service, or Isolator, then this VR is satisfied.</t>
  </si>
  <si>
    <r>
      <t xml:space="preserve">STD-000334 (-4)_3: The PDD documents that the </t>
    </r>
    <r>
      <rPr>
        <b/>
        <sz val="10"/>
        <color theme="1"/>
        <rFont val="Times New Roman"/>
        <family val="1"/>
      </rPr>
      <t>PositionReportDetailed</t>
    </r>
    <r>
      <rPr>
        <sz val="10"/>
        <color theme="1"/>
        <rFont val="Times New Roman"/>
        <family val="1"/>
      </rPr>
      <t xml:space="preserve"> message is being published at one or more of the nominal publish rates and Quality of Service (QoS) settings as specified in the “Position Information” section.</t>
    </r>
  </si>
  <si>
    <t>STD-009712 Tier 1, 2, 3</t>
  </si>
  <si>
    <t>RQMT STD-009712 [A Tier 1 OMS Platform shall document its cybersecurity posture in accordance with the “Cybersecurity Posture” section in the OMS Platform Description Document Template.]</t>
  </si>
  <si>
    <t>STD-009712 (-1): This requirement is verified by inspection of the Platform Description Document (PDD) “Cybersecurity Posture” section showing that the Platform Cybersecurity posture is documented.</t>
  </si>
  <si>
    <t>STD-009712 (-1)_1: If there is no program-assigned Cybersecurity requirement, this VR is satisfied.</t>
  </si>
  <si>
    <t>STD-009712 (-1)_2: The Platform cybersecurity posture is documented in the PDD “Cybersecurity Posture” section.</t>
  </si>
  <si>
    <t>STD-000088 Tier 2, 3</t>
  </si>
  <si>
    <t>RQMT STD-000088 [A Tier 2 OMS Platform shall meet Tier 1 Platform requirements.]</t>
  </si>
  <si>
    <t>STD-000088 (-1): This requirement is verified by the inspection of the [[Platform RQMT Checklist]] tab of the Platform Checklist, OMSC-CHK-003, that shows the subordinate requirements for RQMT STD-000088 have been met.</t>
  </si>
  <si>
    <t>Tier 2 OMS Platforms must meet all Tier 1 Platform requirements.</t>
  </si>
  <si>
    <t>STD-000088 (-1)_1: The [[Platform RQMT Checklist]] tab of the Platform Checklist shows that the subordinate requirements listed in the “Subordinate Requirements” column for RQMT STD-000088 have been met.</t>
  </si>
  <si>
    <t>STD-000095 Tier 3</t>
  </si>
  <si>
    <t>RQMT STD-000095 [A Tier 3 OMS Platform shall meet Tier 2 Platform requirements.]</t>
  </si>
  <si>
    <t>STD-000088</t>
  </si>
  <si>
    <t>STD-000095 (-1): This requirement is verified by the inspection of the [[Platform RQMT Checklist]] tab of the Platform Checklist, OMSC-CHK-003, that shows the subordinate requirements for RQMT STD-000095 have been met.</t>
  </si>
  <si>
    <t>Tier 3 OMS Platforms must meet all Tier 1 and Tier 2 Platform requirements.</t>
  </si>
  <si>
    <t>STD-000095 (-1)_1: The [[Platform RQMT Checklist]] tab of the Platform Checklist shows that the subordinate requirements listed in the “Subordinate Requirements” column for RQMT STD-000095 have been met.</t>
  </si>
  <si>
    <t>STD-000096 Tier 3</t>
  </si>
  <si>
    <t>RQMT STD-000096 [A Tier 3 OMS Platform shall provide for applicable OMS Special Signals as listed in the “Special Signals” section.]</t>
  </si>
  <si>
    <t>In the context of this requirement the term “applicable” means those signals that an OMS Platform is required to support.</t>
  </si>
  <si>
    <t>STD-000096 (-1): This requirement is verified by inspection of the Platform Description Document (PDD) showing that the OMS Platform has implemented the applicable special signals in accordance with the “OMS Discrete and Voltage Reference Signals” table, the “OMS Discrete and Voltage Time Reference Signals” table, and the “Other Signals Defined within OMS” table.</t>
  </si>
  <si>
    <t>STD-000096 (-1)_1: If no special signals have been identified as “applicable” by the adopting program, then this VR is satisfied.</t>
  </si>
  <si>
    <t>STD-000096 (-1)_2: The PDD identifies the means for the providing the applicable special signals in accordance with the “OMS Discrete and Voltage Reference Signals” table, the “OMS Discrete and Voltage Time Reference Signals” table, and the “Other Signals Defined within OMS” table.</t>
  </si>
  <si>
    <t>The OCE should have  C++ and Java CAL implementations and optionally Language-Agnostic CAL implementations. Each distinct implementation of the CAL should meet this RQMT.
If Java is prohibited due to system security policy, then only a C++ CAL implementation would be required for the OCE.
The OMS Platform should provide Other Mission Processing elements in addition to those that host the OCE.</t>
  </si>
  <si>
    <t>This information is documented in the Security Addendum for the PDD.
The Security Addendum is identified in the “Security Addendum” section of the PDD.</t>
  </si>
  <si>
    <t>(-1)
(-2)
(-3)
(-4)</t>
  </si>
  <si>
    <t>Each distinct language-specific CAL implementation, C++ and Java, must adhere to the CAL Specification.
If an OMS Platform has additional mission processing elements outside of the OCE, then those additional CAL implementations will need to adhere as well.
This requirement may be satisfied by using the CAL Schema Compiler tool to generate the CAL API.</t>
  </si>
  <si>
    <t>Each distinct language-specific CAL implementation, C++ and Java, must adhere to the CAL Specification.
If an OMS Platform has additional mission processing elements outside of the OCE, then those additional CAL implementations will need to adhere as well.
This requirement may be satisfied by using CAL-VTS to evaluate the API.
In the context of this VR equivalence is defined as follows: A generated CAL API is “equivalent” to the API generated by the Schema Compiler if a Service that compiles against the Schema Compiler output API compiles against the generated CAL API with no change.</t>
  </si>
  <si>
    <t>Each distinct language-agnostic CAL implementation must adhere to the Language-Agnostic CAL Specification.
A language-agnostic CAL implementation is not required; however, a Platform may choose to provide one or more implementations. All information needed to interact with each provided language-agnostic CAL implementation is provided in the PDD.</t>
  </si>
  <si>
    <t>Each distinct language-agnostic CAL implementation must adhere to the Language-Agnostic CAL Specification.
A language-agnostic CAL implementation is not required; however, a Platform may choose to provide one or more implementations. All information needed to interact with each provided language-agnostic CAL implementation is provided in the PDD.
For each language-agnostic CAL implementation, functional test results show the language-agnostic CAL’s API has been implemented.</t>
  </si>
  <si>
    <t>This information is documented in the “OCE Processor Types, Operating Systems, and Configuration” section of the PDD.
The following is a mechanism to determine the kernel version to populate the PDD.
Run the “uname –a” command or similar that identifies the kernel version of the Linux operating system for the OCE.
The value of this command displays the kernel version and if it is equal to or greater than 2.6 then this requirement is satisfied.</t>
  </si>
  <si>
    <t>This requirement is only applicable when the OCE is hosted on 64 bit processing board.
This information is documented in the “OCE Processor Types, Operating Systems, and Configuration” section of the PDD.</t>
  </si>
  <si>
    <t>This information is documented in the “Isolation Layer” section of the PDD.
The OCE can provide interfaces other than those interfaces identified as allowed in the Operating System Façade Specification.
Specifically, it is discouraged, but permissible, for an OCE to provide the restricted interfaces.</t>
  </si>
  <si>
    <t>This information is documented in the “Build Environment and Tool Chain” section for the Java Environment in the PDD.
If Java is prohibited due to system security policy, then only the C++ CAL implementation would be applicable for the OCE.
The Java version may be considered for update as newer LTS versions become available.
Services should provide any required libraries that are not provided by the Platform under the current Java language specification.</t>
  </si>
  <si>
    <t>(-1)_1
(-1)_2
(-1)_3</t>
  </si>
  <si>
    <t>STD-000144
STD-000146
STD-009706</t>
  </si>
  <si>
    <t>STD-000350
STD-000351
STD-000352
STD-000354
STD-000355
STD-000360
STD-000362
STD-000365
STD-008663</t>
  </si>
  <si>
    <t>A Platform provides an OCE for a Mission Package. The Mission Package Description Document (MPDD) identifies the Platform and any Subsystem(s) providing OCE implementation(s) in the Mission Package.
An OCE will provide a Java implementation if it is not against system security policy.</t>
  </si>
  <si>
    <t>(-1)
(-2)
(-3)
(-4)
(-5)
(-6)
(-7)
(-8)
(-9)
(-10)</t>
  </si>
  <si>
    <t>Although the PDD may contain references to proprietary documentation, the PDD itself must be non-proprietary.
The “Security Addendum” section of the PDD identifies the unclassified and non-proprietary name of the Security Addendum document. The Security Addendum may be both classified and proprietary.
The Security Addendum describes the Security Information Exchanges implemented by the Platform and provides additional, classified, and/or proprietary details relating to the security of the Platform.</t>
  </si>
  <si>
    <t>The PDD should provide instructions on how to configure data transfer capabilities.
This information is documented in the “Ports &amp; Protocols” section of the PDD.</t>
  </si>
  <si>
    <t>(-10)_1
(-10)_2</t>
  </si>
  <si>
    <t>In the context of this requirement, the term “provision” means that the current architecture and design will support these applicable signals at a future date without hardware modification. 
In the context of this requirement the term “applicable” means those signals that an OMS Platform is required to support for future growth.</t>
  </si>
  <si>
    <t>The intent is that the adopting program will identify the subset of Special Signals anticipated for future growth.
The tables listed in the VR are in the “Special Signals” section of the OMS Standard.
This information is documented in the “Special Signals” section of the PDD.</t>
  </si>
  <si>
    <t>An IP based stack would satisfy this requirement. For example, an IP based stack on a non-IP network (such as switched fabric) would satisfy this requirement.
An adopting program would make the PDD available to those entities that need it.
This information is documented in the “Network” section of the PDD.</t>
  </si>
  <si>
    <t>For this requirement, the accuracy and precision of time is not a concern.
This information is documented in the “Time Reference and Time Synchronization” section of the PDD.</t>
  </si>
  <si>
    <t>(-4)_1
(-4)_2
(-4)_3</t>
  </si>
  <si>
    <t>This covers the case when a Subsystem, Service, or Isolator publishes the PositionReportDetailed message for the Platform.
High fidelity position information is an option for an OMS Platform.
The Platform should identify the navigation method(s) available.
This information is documented in the “Position Information” section of the PDD.</t>
  </si>
  <si>
    <t>This covers the case when a Subsystem, Service, or Isolator publishes the PositionReportDetailed message for the Platform.
High fidelity position information is an option for an OMS Platform.
The intent here is that no statistical analysis is required to verify the specified rates.</t>
  </si>
  <si>
    <t>This covers the case when the Platform directly publishes the PositionReportDetailed message.
High fidelity position information is an option for an OMS Platform.
The system architecture should identify the navigation method(s) available.
This information is documented in the “Position Information” section of the PDD.</t>
  </si>
  <si>
    <t>This covers the case when the Platform directly publishes the PositionReportDetailed message.
High fidelity position information is an option for an OMS Platform.
The intent here is that no statistical analysis is required to verify the specified rates.</t>
  </si>
  <si>
    <t>The cybersecurity posture as defined by the CSRC and described by the CSAs denotes what an OMS Architecture Element achieves as one element within a cyber-contested environment.
The “Cybersecurity Posture” section describes the implementation of the cybersecurity posture by the Platform and provides additional, unclassified, and/or non-proprietary details relating to the security of the Platform.
The provided OMSC-GDE-003, Cybersecurity Guide, defines the concepts, guidance, and information that OMS Adopting Programs and system designers will utilize to document the cybersecurity posture.</t>
  </si>
  <si>
    <t>STD-000082
STD-000083
STD-000085
STD-000086
STD-000303
STD-000307
STD-000314
STD-000325
STD-000334
STD-005002
STD-009712</t>
  </si>
  <si>
    <t>Platform Tier 1 RQMTS</t>
  </si>
  <si>
    <t>Support IPv4 or IPv6</t>
  </si>
  <si>
    <t>Provide OMS CAL</t>
  </si>
  <si>
    <t>Develop CAL Implementation</t>
  </si>
  <si>
    <t>Provide OMS Security Information Exchange</t>
  </si>
  <si>
    <t>Host C++ OMS CAL</t>
  </si>
  <si>
    <t>Host Java OMS CAL</t>
  </si>
  <si>
    <t>OCE Hosted Service</t>
  </si>
  <si>
    <t>Synchronize System Clock</t>
  </si>
  <si>
    <t>Provide Time</t>
  </si>
  <si>
    <t>Provide Linux OS</t>
  </si>
  <si>
    <t>Provide 64 bit Linux OS</t>
  </si>
  <si>
    <t>Provide Façade Implementation</t>
  </si>
  <si>
    <t>Provide OMS Façade API</t>
  </si>
  <si>
    <t>Provide Java Implementation</t>
  </si>
  <si>
    <t>Provide JRE</t>
  </si>
  <si>
    <t>Provide OMS ASB</t>
  </si>
  <si>
    <t>Provide OMS OCE</t>
  </si>
  <si>
    <t>Platform Description Document (PDD) Required</t>
  </si>
  <si>
    <t>Provision for Special Signals</t>
  </si>
  <si>
    <t>Provide Internet Protocol (IP)</t>
  </si>
  <si>
    <t>Provide Time Synchronization</t>
  </si>
  <si>
    <t>Time Synchronization</t>
  </si>
  <si>
    <t>High Fidelity Time Synchronization</t>
  </si>
  <si>
    <t>Provide Platform Position</t>
  </si>
  <si>
    <t>High Fidelity Navigation</t>
  </si>
  <si>
    <t>Platform Tier 2 RQMTS</t>
  </si>
  <si>
    <t>Meet All Tier 1 Requirements</t>
  </si>
  <si>
    <t>Platform Tier 3 RQMTS</t>
  </si>
  <si>
    <t>Provide for Special Signals</t>
  </si>
  <si>
    <t>Auto Calculated</t>
  </si>
  <si>
    <t>Platform Description Document Template Item</t>
  </si>
  <si>
    <t>&lt;REQUIRED: Platform Description Document Contract Title&gt;</t>
  </si>
  <si>
    <t>Proprietary Notice: This document contains only non-proprietary information. Referenced documents conform to the Proprietary Notice statement for each major subsection.</t>
  </si>
  <si>
    <t>Table 2.1-1 Platform Licenses</t>
  </si>
  <si>
    <t>Table 2.2-1 Platform Software Dependencies</t>
  </si>
  <si>
    <t>Table 3.1-1 OMS Message Set</t>
  </si>
  <si>
    <t>Figure 3.2-1 Network Interconnect Diagram</t>
  </si>
  <si>
    <t>Table 3.2-1 Network Segmentation</t>
  </si>
  <si>
    <t>Table 3.2-2 Open Ports and Protocols</t>
  </si>
  <si>
    <t>Table 3.2-3 Product/Data and Data Transfer Servers</t>
  </si>
  <si>
    <t>Table 3.2-4 Networking Information</t>
  </si>
  <si>
    <t>Table 4.1-1 Platform Data Storage Details</t>
  </si>
  <si>
    <t xml:space="preserve">Table 4.1-2 Data Storage Access Control Mechanisms </t>
  </si>
  <si>
    <t>Table 4.1-3 Data Storage Confidentiality</t>
  </si>
  <si>
    <t>Table 4.1-4 Data Storage Integrity</t>
  </si>
  <si>
    <t>Table 4.2-1 Data Transfer Confidentiality Mechanisms</t>
  </si>
  <si>
    <t>Table 4.3-1 Data Transfer Integrity Mechanisms</t>
  </si>
  <si>
    <t>Table 4.4-1 Platform Data Transfer Configuration</t>
  </si>
  <si>
    <t>Table 6.1-1 Time Synchronization Protocols</t>
  </si>
  <si>
    <t>Table 6.1-2 High Fidelity Time Reference and Time Synchronization Mechanisms</t>
  </si>
  <si>
    <t>Table 6.1-3 SystemTimeAtReference Inputs and Outputs</t>
  </si>
  <si>
    <t>Table 6.2-1 Source Providing Position Information</t>
  </si>
  <si>
    <t>Table 6.2-2 Position Information Processing Inputs and Outputs</t>
  </si>
  <si>
    <t>Table 7.1-1 CAL Versions Available</t>
  </si>
  <si>
    <t>Table 7.1-2 CAL Interaction Limitations</t>
  </si>
  <si>
    <t>Table 7.2-1 CAL Licenses &amp; Libraries</t>
  </si>
  <si>
    <t>Table 7.3-1 CAL Externalizer Version Information</t>
  </si>
  <si>
    <t>Table 7.3-2 SOAC-1</t>
  </si>
  <si>
    <t>Table 7.3-3 Language-Agnostic CAL Access Information</t>
  </si>
  <si>
    <t>Table 9.0-1 Configuration Data</t>
  </si>
  <si>
    <t>Table 10.1-1 Provided Special Signals</t>
  </si>
  <si>
    <t>Table 10.2-1 Provisioned Special Signals</t>
  </si>
  <si>
    <t>Table 11.1-1 Applicable System Survivability KPP Prevent CSAs</t>
  </si>
  <si>
    <t>Table 11.1-2 Applicable System Survivability KPP Mitigate CSAs</t>
  </si>
  <si>
    <t>Table A.0-1 List of Acronym and Abbreviation Definitions</t>
  </si>
  <si>
    <r>
      <t xml:space="preserve">2           </t>
    </r>
    <r>
      <rPr>
        <b/>
        <sz val="10"/>
        <color rgb="FF000000"/>
        <rFont val="Times New Roman"/>
        <family val="1"/>
      </rPr>
      <t>Platform</t>
    </r>
  </si>
  <si>
    <r>
      <t xml:space="preserve">2.1         </t>
    </r>
    <r>
      <rPr>
        <b/>
        <sz val="10"/>
        <color rgb="FF000000"/>
        <rFont val="Times New Roman"/>
        <family val="1"/>
      </rPr>
      <t>Platform Licenses</t>
    </r>
  </si>
  <si>
    <r>
      <t xml:space="preserve">2.2         </t>
    </r>
    <r>
      <rPr>
        <b/>
        <sz val="10"/>
        <color rgb="FF000000"/>
        <rFont val="Times New Roman"/>
        <family val="1"/>
      </rPr>
      <t>Platform Software Dependencies</t>
    </r>
  </si>
  <si>
    <r>
      <t xml:space="preserve">3           </t>
    </r>
    <r>
      <rPr>
        <b/>
        <sz val="10"/>
        <color rgb="FF000000"/>
        <rFont val="Times New Roman"/>
        <family val="1"/>
      </rPr>
      <t>Abstract Service Bus (ASB)</t>
    </r>
  </si>
  <si>
    <r>
      <t xml:space="preserve">3.1         </t>
    </r>
    <r>
      <rPr>
        <b/>
        <sz val="10"/>
        <color rgb="FF000000"/>
        <rFont val="Times New Roman"/>
        <family val="1"/>
      </rPr>
      <t>OMS Message Set</t>
    </r>
  </si>
  <si>
    <r>
      <t xml:space="preserve">3.2         </t>
    </r>
    <r>
      <rPr>
        <b/>
        <sz val="10"/>
        <color rgb="FF000000"/>
        <rFont val="Times New Roman"/>
        <family val="1"/>
      </rPr>
      <t>Network</t>
    </r>
  </si>
  <si>
    <r>
      <t xml:space="preserve">3.2.1        </t>
    </r>
    <r>
      <rPr>
        <b/>
        <sz val="10"/>
        <color rgb="FF000000"/>
        <rFont val="Times New Roman"/>
        <family val="1"/>
      </rPr>
      <t>Network Interconnect Diagram</t>
    </r>
  </si>
  <si>
    <r>
      <t xml:space="preserve">3.2.2        </t>
    </r>
    <r>
      <rPr>
        <b/>
        <sz val="10"/>
        <color rgb="FF000000"/>
        <rFont val="Times New Roman"/>
        <family val="1"/>
      </rPr>
      <t>Ports &amp; Protocols</t>
    </r>
  </si>
  <si>
    <r>
      <t xml:space="preserve">3.2.3        </t>
    </r>
    <r>
      <rPr>
        <b/>
        <sz val="10"/>
        <color rgb="FF000000"/>
        <rFont val="Times New Roman"/>
        <family val="1"/>
      </rPr>
      <t>Network Address Information</t>
    </r>
  </si>
  <si>
    <r>
      <t xml:space="preserve">4           </t>
    </r>
    <r>
      <rPr>
        <b/>
        <sz val="10"/>
        <color rgb="FF000000"/>
        <rFont val="Times New Roman"/>
        <family val="1"/>
      </rPr>
      <t>Data Transfer</t>
    </r>
  </si>
  <si>
    <r>
      <t xml:space="preserve">4.1         </t>
    </r>
    <r>
      <rPr>
        <b/>
        <sz val="10"/>
        <color rgb="FF000000"/>
        <rFont val="Times New Roman"/>
        <family val="1"/>
      </rPr>
      <t>Data Storage</t>
    </r>
  </si>
  <si>
    <r>
      <t xml:space="preserve">4.1.1        </t>
    </r>
    <r>
      <rPr>
        <b/>
        <sz val="10"/>
        <color rgb="FF000000"/>
        <rFont val="Times New Roman"/>
        <family val="1"/>
      </rPr>
      <t>Data Storage Access Controls</t>
    </r>
  </si>
  <si>
    <r>
      <t xml:space="preserve">4.1.2        </t>
    </r>
    <r>
      <rPr>
        <b/>
        <sz val="10"/>
        <color rgb="FF000000"/>
        <rFont val="Times New Roman"/>
        <family val="1"/>
      </rPr>
      <t>Data Storage Confidentiality Mechanisms</t>
    </r>
  </si>
  <si>
    <r>
      <t xml:space="preserve">4.1.3        </t>
    </r>
    <r>
      <rPr>
        <b/>
        <sz val="10"/>
        <color rgb="FF000000"/>
        <rFont val="Times New Roman"/>
        <family val="1"/>
      </rPr>
      <t>Data Storage Integrity Mechanisms</t>
    </r>
  </si>
  <si>
    <r>
      <t xml:space="preserve">4.2         </t>
    </r>
    <r>
      <rPr>
        <b/>
        <sz val="10"/>
        <color rgb="FF000000"/>
        <rFont val="Times New Roman"/>
        <family val="1"/>
      </rPr>
      <t>Data Transfer Confidentiality Mechanisms</t>
    </r>
  </si>
  <si>
    <r>
      <t xml:space="preserve">4.3         </t>
    </r>
    <r>
      <rPr>
        <b/>
        <sz val="10"/>
        <color rgb="FF000000"/>
        <rFont val="Times New Roman"/>
        <family val="1"/>
      </rPr>
      <t>Data Transfer Integrity Mechanisms</t>
    </r>
  </si>
  <si>
    <r>
      <t xml:space="preserve">4.4         </t>
    </r>
    <r>
      <rPr>
        <b/>
        <sz val="10"/>
        <color rgb="FF000000"/>
        <rFont val="Times New Roman"/>
        <family val="1"/>
      </rPr>
      <t>Data Transfer Configuration</t>
    </r>
  </si>
  <si>
    <r>
      <t xml:space="preserve">4.4.1        </t>
    </r>
    <r>
      <rPr>
        <b/>
        <sz val="10"/>
        <color rgb="FF000000"/>
        <rFont val="Times New Roman"/>
        <family val="1"/>
      </rPr>
      <t>Data Transfer Protocol Details</t>
    </r>
  </si>
  <si>
    <r>
      <t xml:space="preserve">5           </t>
    </r>
    <r>
      <rPr>
        <b/>
        <sz val="10"/>
        <color rgb="FF000000"/>
        <rFont val="Times New Roman"/>
        <family val="1"/>
      </rPr>
      <t>Mission Processing</t>
    </r>
  </si>
  <si>
    <r>
      <t xml:space="preserve">5.1         </t>
    </r>
    <r>
      <rPr>
        <b/>
        <sz val="10"/>
        <color rgb="FF000000"/>
        <rFont val="Times New Roman"/>
        <family val="1"/>
      </rPr>
      <t>Open Computing Environment (OCE)</t>
    </r>
  </si>
  <si>
    <r>
      <t xml:space="preserve">5.1.1        </t>
    </r>
    <r>
      <rPr>
        <b/>
        <sz val="10"/>
        <color rgb="FF000000"/>
        <rFont val="Times New Roman"/>
        <family val="1"/>
      </rPr>
      <t>OCE Processor Types, Operating Systems, and Configuration</t>
    </r>
  </si>
  <si>
    <r>
      <t xml:space="preserve">5.1.2        </t>
    </r>
    <r>
      <rPr>
        <b/>
        <sz val="10"/>
        <color rgb="FF000000"/>
        <rFont val="Times New Roman"/>
        <family val="1"/>
      </rPr>
      <t>General Environment</t>
    </r>
  </si>
  <si>
    <r>
      <t xml:space="preserve">5.1.2.1       </t>
    </r>
    <r>
      <rPr>
        <b/>
        <sz val="10"/>
        <color rgb="FF000000"/>
        <rFont val="Times New Roman"/>
        <family val="1"/>
      </rPr>
      <t>Build Environment and Tool Chain</t>
    </r>
  </si>
  <si>
    <r>
      <t xml:space="preserve">5.1.2.2       </t>
    </r>
    <r>
      <rPr>
        <b/>
        <sz val="10"/>
        <color rgb="FF000000"/>
        <rFont val="Times New Roman"/>
        <family val="1"/>
      </rPr>
      <t>Isolation Layer</t>
    </r>
  </si>
  <si>
    <r>
      <t xml:space="preserve">5.1.2.3       </t>
    </r>
    <r>
      <rPr>
        <b/>
        <sz val="10"/>
        <color rgb="FF000000"/>
        <rFont val="Times New Roman"/>
        <family val="1"/>
      </rPr>
      <t>Time</t>
    </r>
  </si>
  <si>
    <r>
      <t xml:space="preserve">5.1.3        </t>
    </r>
    <r>
      <rPr>
        <b/>
        <sz val="10"/>
        <color rgb="FF000000"/>
        <rFont val="Times New Roman"/>
        <family val="1"/>
      </rPr>
      <t>Java Environment</t>
    </r>
  </si>
  <si>
    <r>
      <t xml:space="preserve">5.1.3.1       </t>
    </r>
    <r>
      <rPr>
        <b/>
        <sz val="10"/>
        <color rgb="FF000000"/>
        <rFont val="Times New Roman"/>
        <family val="1"/>
      </rPr>
      <t>Build Environment and Tool Chain</t>
    </r>
  </si>
  <si>
    <r>
      <t xml:space="preserve">5.1.3.2       </t>
    </r>
    <r>
      <rPr>
        <b/>
        <sz val="10"/>
        <color rgb="FF000000"/>
        <rFont val="Times New Roman"/>
        <family val="1"/>
      </rPr>
      <t>Java Data Transfer</t>
    </r>
  </si>
  <si>
    <r>
      <t xml:space="preserve">5.1.3.3       </t>
    </r>
    <r>
      <rPr>
        <b/>
        <sz val="10"/>
        <color rgb="FF000000"/>
        <rFont val="Times New Roman"/>
        <family val="1"/>
      </rPr>
      <t xml:space="preserve">Time </t>
    </r>
  </si>
  <si>
    <r>
      <t xml:space="preserve">5.1.4        </t>
    </r>
    <r>
      <rPr>
        <b/>
        <sz val="10"/>
        <color rgb="FF000000"/>
        <rFont val="Times New Roman"/>
        <family val="1"/>
      </rPr>
      <t>Service Deployment</t>
    </r>
  </si>
  <si>
    <r>
      <t xml:space="preserve">5.2         </t>
    </r>
    <r>
      <rPr>
        <b/>
        <sz val="10"/>
        <color rgb="FF000000"/>
        <rFont val="Times New Roman"/>
        <family val="1"/>
      </rPr>
      <t>Other Mission Processing</t>
    </r>
  </si>
  <si>
    <r>
      <t xml:space="preserve">5.2.1        </t>
    </r>
    <r>
      <rPr>
        <b/>
        <sz val="10"/>
        <color rgb="FF000000"/>
        <rFont val="Times New Roman"/>
        <family val="1"/>
      </rPr>
      <t>Other Mission Processor Types, Configuration and Interfaces</t>
    </r>
  </si>
  <si>
    <r>
      <t xml:space="preserve">5.2.2        </t>
    </r>
    <r>
      <rPr>
        <b/>
        <sz val="10"/>
        <color rgb="FF000000"/>
        <rFont val="Times New Roman"/>
        <family val="1"/>
      </rPr>
      <t>Other Mission Processing Tool Chain Description</t>
    </r>
  </si>
  <si>
    <r>
      <t xml:space="preserve">5.2.3        </t>
    </r>
    <r>
      <rPr>
        <b/>
        <sz val="10"/>
        <color rgb="FF000000"/>
        <rFont val="Times New Roman"/>
        <family val="1"/>
      </rPr>
      <t>OMS Attributes for Other Mission Processing</t>
    </r>
  </si>
  <si>
    <r>
      <t xml:space="preserve">5.2.4        </t>
    </r>
    <r>
      <rPr>
        <b/>
        <sz val="10"/>
        <color rgb="FF000000"/>
        <rFont val="Times New Roman"/>
        <family val="1"/>
      </rPr>
      <t>Service Deployment</t>
    </r>
  </si>
  <si>
    <r>
      <t xml:space="preserve">6           </t>
    </r>
    <r>
      <rPr>
        <b/>
        <sz val="10"/>
        <color rgb="FF000000"/>
        <rFont val="Times New Roman"/>
        <family val="1"/>
      </rPr>
      <t>Time and Position Information</t>
    </r>
  </si>
  <si>
    <r>
      <t xml:space="preserve">6.1         </t>
    </r>
    <r>
      <rPr>
        <b/>
        <sz val="10"/>
        <color rgb="FF000000"/>
        <rFont val="Times New Roman"/>
        <family val="1"/>
      </rPr>
      <t>Time Reference and Time Synchronization</t>
    </r>
  </si>
  <si>
    <r>
      <t xml:space="preserve">6.2         </t>
    </r>
    <r>
      <rPr>
        <b/>
        <sz val="10"/>
        <color rgb="FF000000"/>
        <rFont val="Times New Roman"/>
        <family val="1"/>
      </rPr>
      <t>Position Information</t>
    </r>
  </si>
  <si>
    <r>
      <t xml:space="preserve">6.2.1        </t>
    </r>
    <r>
      <rPr>
        <b/>
        <sz val="10"/>
        <color rgb="FF000000"/>
        <rFont val="Times New Roman"/>
        <family val="1"/>
      </rPr>
      <t>Position Information Indirectly Provided for the Platform</t>
    </r>
  </si>
  <si>
    <r>
      <t xml:space="preserve">6.2.2        </t>
    </r>
    <r>
      <rPr>
        <b/>
        <sz val="10"/>
        <color rgb="FF000000"/>
        <rFont val="Times New Roman"/>
        <family val="1"/>
      </rPr>
      <t>Position Information Directly Provided by Platform</t>
    </r>
  </si>
  <si>
    <r>
      <t xml:space="preserve">7           </t>
    </r>
    <r>
      <rPr>
        <b/>
        <sz val="10"/>
        <color rgb="FF000000"/>
        <rFont val="Times New Roman"/>
        <family val="1"/>
      </rPr>
      <t>Critical Abstraction Layer (CAL) Implementation</t>
    </r>
  </si>
  <si>
    <r>
      <t xml:space="preserve">7.1         </t>
    </r>
    <r>
      <rPr>
        <b/>
        <sz val="10"/>
        <color rgb="FF000000"/>
        <rFont val="Times New Roman"/>
        <family val="1"/>
      </rPr>
      <t>CAL Available Implementations</t>
    </r>
  </si>
  <si>
    <r>
      <t xml:space="preserve">7.2         </t>
    </r>
    <r>
      <rPr>
        <b/>
        <sz val="10"/>
        <color rgb="FF000000"/>
        <rFont val="Times New Roman"/>
        <family val="1"/>
      </rPr>
      <t>CAL Required Libraries / Licenses</t>
    </r>
  </si>
  <si>
    <r>
      <t xml:space="preserve">7.3         </t>
    </r>
    <r>
      <rPr>
        <b/>
        <sz val="10"/>
        <color rgb="FF000000"/>
        <rFont val="Times New Roman"/>
        <family val="1"/>
      </rPr>
      <t>CAL Implementation Processing Architecture</t>
    </r>
  </si>
  <si>
    <r>
      <t xml:space="preserve">7.3.1        </t>
    </r>
    <r>
      <rPr>
        <b/>
        <sz val="10"/>
        <color rgb="FF000000"/>
        <rFont val="Times New Roman"/>
        <family val="1"/>
      </rPr>
      <t>Language-Specific CAL</t>
    </r>
  </si>
  <si>
    <r>
      <t xml:space="preserve">7.3.1.1       </t>
    </r>
    <r>
      <rPr>
        <b/>
        <sz val="10"/>
        <color rgb="FF000000"/>
        <rFont val="Times New Roman"/>
        <family val="1"/>
      </rPr>
      <t>[CAL Identifier]</t>
    </r>
  </si>
  <si>
    <r>
      <t xml:space="preserve">7.3.1.1.1      </t>
    </r>
    <r>
      <rPr>
        <b/>
        <i/>
        <sz val="10"/>
        <color rgb="FF000000"/>
        <rFont val="Times New Roman"/>
        <family val="1"/>
      </rPr>
      <t>[CAL Identifier] CAL Configuration</t>
    </r>
  </si>
  <si>
    <r>
      <t xml:space="preserve">7.3.1.1.2      </t>
    </r>
    <r>
      <rPr>
        <b/>
        <i/>
        <sz val="10"/>
        <color rgb="FF000000"/>
        <rFont val="Times New Roman"/>
        <family val="1"/>
      </rPr>
      <t>[CAL Identifier] CAL Externalizer Implementation</t>
    </r>
  </si>
  <si>
    <r>
      <t xml:space="preserve">7.3.1.1.3      </t>
    </r>
    <r>
      <rPr>
        <b/>
        <i/>
        <sz val="10"/>
        <color rgb="FF000000"/>
        <rFont val="Times New Roman"/>
        <family val="1"/>
      </rPr>
      <t>[CAL Identifier] CAL Operational Attributes</t>
    </r>
  </si>
  <si>
    <r>
      <t xml:space="preserve">7.3.2        </t>
    </r>
    <r>
      <rPr>
        <b/>
        <sz val="10"/>
        <color rgb="FF000000"/>
        <rFont val="Times New Roman"/>
        <family val="1"/>
      </rPr>
      <t>Language Agnostic CAL</t>
    </r>
  </si>
  <si>
    <r>
      <t xml:space="preserve">7.3.2.1       </t>
    </r>
    <r>
      <rPr>
        <b/>
        <sz val="10"/>
        <color rgb="FF000000"/>
        <rFont val="Times New Roman"/>
        <family val="1"/>
      </rPr>
      <t>[CAL Identifier]</t>
    </r>
  </si>
  <si>
    <r>
      <t xml:space="preserve">7.3.2.1.1      </t>
    </r>
    <r>
      <rPr>
        <b/>
        <i/>
        <sz val="10"/>
        <color rgb="FF000000"/>
        <rFont val="Times New Roman"/>
        <family val="1"/>
      </rPr>
      <t>[CAL Identifier] Language-Agnostic CAL Configuration</t>
    </r>
  </si>
  <si>
    <r>
      <t xml:space="preserve">8           </t>
    </r>
    <r>
      <rPr>
        <b/>
        <sz val="10"/>
        <color rgb="FF000000"/>
        <rFont val="Times New Roman"/>
        <family val="1"/>
      </rPr>
      <t>Virtualization Environments</t>
    </r>
  </si>
  <si>
    <r>
      <t xml:space="preserve">8.1         </t>
    </r>
    <r>
      <rPr>
        <b/>
        <sz val="10"/>
        <color rgb="FF000000"/>
        <rFont val="Times New Roman"/>
        <family val="1"/>
      </rPr>
      <t>Virtualization Environment - &lt;&lt;Name&gt;&gt;</t>
    </r>
  </si>
  <si>
    <r>
      <t xml:space="preserve">8.1.1        </t>
    </r>
    <r>
      <rPr>
        <b/>
        <sz val="10"/>
        <color rgb="FF000000"/>
        <rFont val="Times New Roman"/>
        <family val="1"/>
      </rPr>
      <t>Processor Virtualization</t>
    </r>
  </si>
  <si>
    <r>
      <t xml:space="preserve">8.1.2        </t>
    </r>
    <r>
      <rPr>
        <b/>
        <sz val="10"/>
        <color rgb="FF000000"/>
        <rFont val="Times New Roman"/>
        <family val="1"/>
      </rPr>
      <t>Memory Virtualization</t>
    </r>
  </si>
  <si>
    <r>
      <t xml:space="preserve">8.1.3        </t>
    </r>
    <r>
      <rPr>
        <b/>
        <sz val="10"/>
        <color rgb="FF000000"/>
        <rFont val="Times New Roman"/>
        <family val="1"/>
      </rPr>
      <t>Network Virtualization</t>
    </r>
  </si>
  <si>
    <r>
      <t xml:space="preserve">8.1.4        </t>
    </r>
    <r>
      <rPr>
        <b/>
        <sz val="10"/>
        <color rgb="FF000000"/>
        <rFont val="Times New Roman"/>
        <family val="1"/>
      </rPr>
      <t>Virtualization Environment Deployment</t>
    </r>
  </si>
  <si>
    <r>
      <t xml:space="preserve">8.1.5        </t>
    </r>
    <r>
      <rPr>
        <b/>
        <sz val="10"/>
        <color rgb="FF000000"/>
        <rFont val="Times New Roman"/>
        <family val="1"/>
      </rPr>
      <t>Service Deployment</t>
    </r>
  </si>
  <si>
    <r>
      <t xml:space="preserve">8.1.6        </t>
    </r>
    <r>
      <rPr>
        <b/>
        <sz val="10"/>
        <color rgb="FF000000"/>
        <rFont val="Times New Roman"/>
        <family val="1"/>
      </rPr>
      <t>Time</t>
    </r>
  </si>
  <si>
    <r>
      <t xml:space="preserve">8.1.7        </t>
    </r>
    <r>
      <rPr>
        <b/>
        <sz val="10"/>
        <color rgb="FF000000"/>
        <rFont val="Times New Roman"/>
        <family val="1"/>
      </rPr>
      <t>Virtualization Environment Configuration</t>
    </r>
  </si>
  <si>
    <r>
      <t xml:space="preserve">9           </t>
    </r>
    <r>
      <rPr>
        <b/>
        <sz val="10"/>
        <color rgb="FF000000"/>
        <rFont val="Times New Roman"/>
        <family val="1"/>
      </rPr>
      <t>Configuration Data</t>
    </r>
  </si>
  <si>
    <r>
      <t xml:space="preserve">10       </t>
    </r>
    <r>
      <rPr>
        <b/>
        <sz val="10"/>
        <color rgb="FF000000"/>
        <rFont val="Times New Roman"/>
        <family val="1"/>
      </rPr>
      <t>Special Signals</t>
    </r>
  </si>
  <si>
    <r>
      <t xml:space="preserve">10.1     </t>
    </r>
    <r>
      <rPr>
        <b/>
        <sz val="10"/>
        <color rgb="FF000000"/>
        <rFont val="Times New Roman"/>
        <family val="1"/>
      </rPr>
      <t>Provided Special Signals</t>
    </r>
  </si>
  <si>
    <r>
      <t xml:space="preserve">10.2     </t>
    </r>
    <r>
      <rPr>
        <b/>
        <sz val="10"/>
        <color rgb="FF000000"/>
        <rFont val="Times New Roman"/>
        <family val="1"/>
      </rPr>
      <t>Provisioned Special Signals</t>
    </r>
  </si>
  <si>
    <r>
      <t xml:space="preserve">11       </t>
    </r>
    <r>
      <rPr>
        <b/>
        <sz val="10"/>
        <color rgb="FF000000"/>
        <rFont val="Times New Roman"/>
        <family val="1"/>
      </rPr>
      <t>Cybersecurity Posture</t>
    </r>
  </si>
  <si>
    <r>
      <t xml:space="preserve">11.1     </t>
    </r>
    <r>
      <rPr>
        <b/>
        <sz val="10"/>
        <color rgb="FF000000"/>
        <rFont val="Times New Roman"/>
        <family val="1"/>
      </rPr>
      <t>Cyber Survivability Attributes (CSAs)</t>
    </r>
  </si>
  <si>
    <r>
      <t xml:space="preserve">11.1.1    </t>
    </r>
    <r>
      <rPr>
        <b/>
        <sz val="10"/>
        <color rgb="FF000000"/>
        <rFont val="Times New Roman"/>
        <family val="1"/>
      </rPr>
      <t>Prevent CSAs</t>
    </r>
  </si>
  <si>
    <r>
      <t xml:space="preserve">11.1.2    </t>
    </r>
    <r>
      <rPr>
        <b/>
        <sz val="10"/>
        <color rgb="FF000000"/>
        <rFont val="Times New Roman"/>
        <family val="1"/>
      </rPr>
      <t>Mitigate CSAs</t>
    </r>
  </si>
  <si>
    <r>
      <t xml:space="preserve">11.1.3    </t>
    </r>
    <r>
      <rPr>
        <b/>
        <sz val="10"/>
        <color rgb="FF000000"/>
        <rFont val="Times New Roman"/>
        <family val="1"/>
      </rPr>
      <t>Recover CSA</t>
    </r>
  </si>
  <si>
    <r>
      <t xml:space="preserve">11.1.4    </t>
    </r>
    <r>
      <rPr>
        <b/>
        <sz val="10"/>
        <color rgb="FF000000"/>
        <rFont val="Times New Roman"/>
        <family val="1"/>
      </rPr>
      <t>Adapt CSA</t>
    </r>
  </si>
  <si>
    <r>
      <t xml:space="preserve">12       </t>
    </r>
    <r>
      <rPr>
        <b/>
        <sz val="10"/>
        <color rgb="FF000000"/>
        <rFont val="Times New Roman"/>
        <family val="1"/>
      </rPr>
      <t>Security Addendum</t>
    </r>
  </si>
  <si>
    <r>
      <t xml:space="preserve">13       </t>
    </r>
    <r>
      <rPr>
        <b/>
        <sz val="10"/>
        <color rgb="FF000000"/>
        <rFont val="Times New Roman"/>
        <family val="1"/>
      </rPr>
      <t>Appendix A Acronyms And Abbreviations</t>
    </r>
  </si>
  <si>
    <r>
      <t xml:space="preserve">14       </t>
    </r>
    <r>
      <rPr>
        <b/>
        <sz val="10"/>
        <color rgb="FF000000"/>
        <rFont val="Times New Roman"/>
        <family val="1"/>
      </rPr>
      <t>Appendix B Glossary</t>
    </r>
  </si>
  <si>
    <r>
      <t xml:space="preserve">15       </t>
    </r>
    <r>
      <rPr>
        <b/>
        <sz val="10"/>
        <color rgb="FF000000"/>
        <rFont val="Times New Roman"/>
        <family val="1"/>
      </rPr>
      <t>Appendix C Message Details</t>
    </r>
  </si>
  <si>
    <t>&lt;REQUIRED: PLATFORM CHECKLIST TITLE&gt;</t>
  </si>
  <si>
    <t xml:space="preserve">&lt; Before attempting to fill out this checklist, the Platform compliance assessor should have access to the referenced Platform Description Document (PDD) for the Platform. &gt; </t>
  </si>
  <si>
    <t>DISCLAIMER: The discussion of non-federal entities, methods, products, or services does not imply any endorsement by the United States Government, the Department of Defense, or the Department of the Air Force.</t>
  </si>
  <si>
    <t>Distribution Statement A. Approved for public release: distribution is unlimited.</t>
  </si>
  <si>
    <t>This Platform Checklist complies with the OMS Standard Version 2.5, OMSC-STD-001, Revision M, 22 January 2026.</t>
  </si>
  <si>
    <t>Required statements (may be more restrictive):
DISCLAIMER: The discussion of non-federal entities, methods, products, or services does not imply any endorsement by the United States Government, the Department of Defense, or the Department of the Air Force.
Distribution Statement A. Approved for public release: distribution is unlimited.</t>
  </si>
  <si>
    <t>Platform Description Document Compliant to OMSC-TMP-001, Revision M, dated 22 January 2026?</t>
  </si>
  <si>
    <t xml:space="preserve">This Platform Description Document (PDD) complies with the Platform Description Document (PDD) Template, OMSC-TMP-001, Revision M, dated 22 January 2026. </t>
  </si>
  <si>
    <t>The template is prescribed by the OMS Standard Version 2.5, OMSC-STD-001, Revision M, dated 22 January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</si>
</sst>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sz val="10"/>
      <color theme="1"/>
      <name val="Times New Roman"/>
      <family val="1"/>
    </font>
    <font>
      <sz val="12"/>
      <color theme="1"/>
      <name val="Times New Roman"/>
      <family val="1"/>
    </font>
    <font>
      <sz val="12"/>
      <color rgb="FFFF0000"/>
      <name val="Times New Roman"/>
      <family val="1"/>
    </font>
    <font>
      <b/>
      <sz val="12"/>
      <color theme="1"/>
      <name val="Times New Roman"/>
      <family val="1"/>
    </font>
    <font>
      <b/>
      <sz val="12"/>
      <color rgb="FF00B050"/>
      <name val="Times New Roman"/>
      <family val="1"/>
    </font>
    <font>
      <sz val="12"/>
      <color rgb="FF00B050"/>
      <name val="Times New Roman"/>
      <family val="1"/>
    </font>
    <font>
      <b/>
      <sz val="10"/>
      <color theme="1"/>
      <name val="Times New Roman"/>
      <family val="1"/>
    </font>
    <font>
      <sz val="10"/>
      <color theme="1"/>
      <name val="Calibri"/>
      <family val="2"/>
      <scheme val="minor"/>
    </font>
    <font>
      <sz val="10"/>
      <color rgb="FF000000"/>
      <name val="Times New Roman"/>
      <family val="1"/>
    </font>
    <font>
      <sz val="10"/>
      <color rgb="FF00B050"/>
      <name val="Times New Roman"/>
      <family val="1"/>
    </font>
    <font>
      <sz val="10"/>
      <color theme="1"/>
      <name val="Times New Roman"/>
      <family val="2"/>
    </font>
    <font>
      <b/>
      <sz val="10"/>
      <color rgb="FF000000"/>
      <name val="Times New Roman"/>
      <family val="1"/>
    </font>
    <font>
      <b/>
      <sz val="10"/>
      <color theme="1"/>
      <name val="Cambria"/>
      <family val="1"/>
    </font>
    <font>
      <b/>
      <i/>
      <sz val="10"/>
      <color theme="1"/>
      <name val="Times New Roman"/>
      <family val="1"/>
    </font>
    <font>
      <b/>
      <i/>
      <sz val="10"/>
      <color rgb="FF000000"/>
      <name val="Times New Roman"/>
      <family val="1"/>
    </font>
    <font>
      <sz val="10"/>
      <name val="Times New Roman"/>
      <family val="1"/>
    </font>
  </fonts>
  <fills count="3">
    <fill>
      <patternFill patternType="none"/>
    </fill>
    <fill>
      <patternFill patternType="gray125"/>
    </fill>
    <fill>
      <patternFill patternType="solid">
        <fgColor rgb="FF9BC2E6"/>
        <bgColor indexed="64"/>
      </patternFill>
    </fill>
  </fills>
  <borders count="18">
    <border>
      <left/>
      <right/>
      <top/>
      <bottom/>
      <diagonal/>
    </border>
    <border>
      <left style="medium">
        <color rgb="FFFF0000"/>
      </left>
      <right style="medium">
        <color rgb="FFFF0000"/>
      </right>
      <top style="medium">
        <color rgb="FFFF0000"/>
      </top>
      <bottom/>
      <diagonal/>
    </border>
    <border>
      <left style="medium">
        <color rgb="FFFF0000"/>
      </left>
      <right style="medium">
        <color rgb="FFFF0000"/>
      </right>
      <top/>
      <bottom/>
      <diagonal/>
    </border>
    <border>
      <left style="medium">
        <color rgb="FFFF0000"/>
      </left>
      <right style="medium">
        <color rgb="FFFF0000"/>
      </right>
      <top/>
      <bottom style="medium">
        <color rgb="FFFF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indexed="64"/>
      </left>
      <right style="medium">
        <color indexed="64"/>
      </right>
      <top style="medium">
        <color indexed="64"/>
      </top>
      <bottom style="medium">
        <color indexed="64"/>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right style="medium">
        <color rgb="FF000000"/>
      </right>
      <top style="medium">
        <color rgb="FF000000"/>
      </top>
      <bottom/>
      <diagonal/>
    </border>
    <border>
      <left/>
      <right/>
      <top/>
      <bottom style="medium">
        <color rgb="FF000000"/>
      </bottom>
      <diagonal/>
    </border>
    <border>
      <left style="medium">
        <color rgb="FF400040"/>
      </left>
      <right style="medium">
        <color rgb="FF400040"/>
      </right>
      <top style="medium">
        <color rgb="FF400040"/>
      </top>
      <bottom style="medium">
        <color rgb="FF400040"/>
      </bottom>
      <diagonal/>
    </border>
    <border>
      <left style="medium">
        <color rgb="FF000000"/>
      </left>
      <right/>
      <top/>
      <bottom style="medium">
        <color rgb="FF000000"/>
      </bottom>
      <diagonal/>
    </border>
    <border>
      <left style="medium">
        <color rgb="FF000000"/>
      </left>
      <right/>
      <top/>
      <bottom/>
      <diagonal/>
    </border>
    <border>
      <left style="medium">
        <color rgb="FF000000"/>
      </left>
      <right/>
      <top style="medium">
        <color rgb="FF000000"/>
      </top>
      <bottom/>
      <diagonal/>
    </border>
    <border>
      <left style="medium">
        <color indexed="64"/>
      </left>
      <right style="medium">
        <color rgb="FF000000"/>
      </right>
      <top/>
      <bottom style="medium">
        <color rgb="FF000000"/>
      </bottom>
      <diagonal/>
    </border>
  </borders>
  <cellStyleXfs count="2">
    <xf numFmtId="0" fontId="0" fillId="0" borderId="0"/>
    <xf numFmtId="0" fontId="11" fillId="0" borderId="0"/>
  </cellStyleXfs>
  <cellXfs count="82">
    <xf numFmtId="0" fontId="0" fillId="0" borderId="0" xfId="0"/>
    <xf numFmtId="0" fontId="2" fillId="0" borderId="0" xfId="0" applyFont="1" applyAlignment="1">
      <alignment vertical="center" wrapText="1"/>
    </xf>
    <xf numFmtId="0" fontId="2" fillId="0" borderId="2" xfId="0" applyFont="1" applyBorder="1" applyAlignment="1">
      <alignment vertical="center" wrapText="1"/>
    </xf>
    <xf numFmtId="0" fontId="3" fillId="0" borderId="3" xfId="0" applyFont="1" applyBorder="1" applyAlignment="1">
      <alignment vertical="center" wrapText="1"/>
    </xf>
    <xf numFmtId="0" fontId="4" fillId="0" borderId="0" xfId="0" applyFont="1" applyAlignment="1">
      <alignment vertical="center" wrapText="1"/>
    </xf>
    <xf numFmtId="0" fontId="10" fillId="0" borderId="0" xfId="0" applyFont="1" applyAlignment="1" applyProtection="1">
      <alignment vertical="center" wrapText="1"/>
      <protection locked="0"/>
    </xf>
    <xf numFmtId="0" fontId="3" fillId="0" borderId="1" xfId="0" applyFont="1" applyBorder="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xf numFmtId="0" fontId="5" fillId="0" borderId="0" xfId="0" applyFont="1" applyAlignment="1" applyProtection="1">
      <alignment horizontal="center" vertical="center" wrapText="1"/>
      <protection locked="0"/>
    </xf>
    <xf numFmtId="0" fontId="6" fillId="0" borderId="0" xfId="0" applyFont="1" applyAlignment="1" applyProtection="1">
      <alignment horizontal="center" vertical="center" wrapText="1"/>
      <protection locked="0"/>
    </xf>
    <xf numFmtId="0" fontId="2" fillId="0" borderId="0" xfId="0" applyFont="1" applyAlignment="1" applyProtection="1">
      <alignment vertical="center" wrapText="1"/>
      <protection locked="0"/>
    </xf>
    <xf numFmtId="0" fontId="8" fillId="0" borderId="0" xfId="0" applyFont="1" applyProtection="1">
      <protection locked="0"/>
    </xf>
    <xf numFmtId="0" fontId="1" fillId="0" borderId="0" xfId="0" applyFont="1" applyAlignment="1" applyProtection="1">
      <alignment vertical="center" wrapText="1"/>
      <protection locked="0"/>
    </xf>
    <xf numFmtId="0" fontId="7" fillId="0" borderId="0" xfId="0" applyFont="1" applyAlignment="1">
      <alignment horizontal="center" vertical="center" wrapText="1"/>
    </xf>
    <xf numFmtId="0" fontId="1" fillId="0" borderId="0" xfId="0" applyFont="1" applyAlignment="1">
      <alignment vertical="center" wrapText="1"/>
    </xf>
    <xf numFmtId="0" fontId="1" fillId="0" borderId="6" xfId="0" applyFont="1" applyBorder="1" applyAlignment="1" applyProtection="1">
      <alignment horizontal="center" vertical="center" wrapText="1"/>
      <protection locked="0"/>
    </xf>
    <xf numFmtId="0" fontId="10" fillId="0" borderId="7" xfId="0" applyFont="1" applyBorder="1" applyAlignment="1" applyProtection="1">
      <alignment vertical="center" wrapText="1"/>
      <protection locked="0"/>
    </xf>
    <xf numFmtId="0" fontId="1" fillId="0" borderId="7" xfId="0" applyFont="1" applyBorder="1" applyAlignment="1" applyProtection="1">
      <alignment vertical="center" wrapText="1"/>
      <protection locked="0"/>
    </xf>
    <xf numFmtId="0" fontId="7" fillId="0" borderId="4" xfId="0" applyFont="1" applyBorder="1" applyAlignment="1">
      <alignment horizontal="center" vertical="center" wrapText="1"/>
    </xf>
    <xf numFmtId="0" fontId="7" fillId="0" borderId="5" xfId="0" applyFont="1" applyBorder="1" applyAlignment="1">
      <alignment horizontal="center" vertical="center" wrapText="1"/>
    </xf>
    <xf numFmtId="0" fontId="7" fillId="0" borderId="5" xfId="0" applyFont="1" applyBorder="1" applyAlignment="1">
      <alignment vertical="center" wrapText="1"/>
    </xf>
    <xf numFmtId="0" fontId="0" fillId="0" borderId="0" xfId="0" applyAlignment="1">
      <alignment horizontal="left" vertical="top"/>
    </xf>
    <xf numFmtId="0" fontId="0" fillId="0" borderId="0" xfId="0" applyAlignment="1">
      <alignment horizontal="center" vertical="top"/>
    </xf>
    <xf numFmtId="15" fontId="10" fillId="0" borderId="7" xfId="0" applyNumberFormat="1" applyFont="1" applyBorder="1" applyAlignment="1" applyProtection="1">
      <alignment horizontal="center" vertical="center" wrapText="1"/>
      <protection locked="0"/>
    </xf>
    <xf numFmtId="15" fontId="1" fillId="0" borderId="7" xfId="0" applyNumberFormat="1" applyFont="1" applyBorder="1" applyAlignment="1" applyProtection="1">
      <alignment horizontal="center" vertical="center" wrapText="1"/>
      <protection locked="0"/>
    </xf>
    <xf numFmtId="0" fontId="1" fillId="0" borderId="7" xfId="0" applyFont="1" applyBorder="1" applyAlignment="1" applyProtection="1">
      <alignment horizontal="center" vertical="center" wrapText="1"/>
      <protection locked="0"/>
    </xf>
    <xf numFmtId="0" fontId="1" fillId="0" borderId="0" xfId="0" applyFont="1" applyAlignment="1">
      <alignment horizontal="left" vertical="top" wrapText="1"/>
    </xf>
    <xf numFmtId="0" fontId="0" fillId="0" borderId="0" xfId="0" applyAlignment="1">
      <alignment wrapText="1"/>
    </xf>
    <xf numFmtId="0" fontId="1" fillId="0" borderId="0" xfId="0" applyFont="1" applyAlignment="1">
      <alignment horizontal="center" vertical="top" wrapText="1"/>
    </xf>
    <xf numFmtId="49" fontId="0" fillId="0" borderId="0" xfId="0" applyNumberFormat="1" applyAlignment="1">
      <alignment horizontal="center" vertical="top"/>
    </xf>
    <xf numFmtId="0" fontId="8" fillId="0" borderId="0" xfId="0" applyFont="1" applyAlignment="1" applyProtection="1">
      <alignment wrapText="1"/>
      <protection locked="0"/>
    </xf>
    <xf numFmtId="0" fontId="7" fillId="0" borderId="8" xfId="0" applyFont="1" applyBorder="1" applyAlignment="1">
      <alignment horizontal="center" vertical="top" wrapText="1"/>
    </xf>
    <xf numFmtId="0" fontId="7" fillId="0" borderId="8" xfId="0" applyFont="1" applyBorder="1" applyAlignment="1">
      <alignment vertical="top" wrapText="1"/>
    </xf>
    <xf numFmtId="0" fontId="9" fillId="2" borderId="8" xfId="0" applyFont="1" applyFill="1" applyBorder="1" applyAlignment="1">
      <alignment horizontal="center" vertical="center" wrapText="1"/>
    </xf>
    <xf numFmtId="0" fontId="7" fillId="0" borderId="11" xfId="0" applyFont="1" applyBorder="1" applyAlignment="1">
      <alignment horizontal="center" vertical="center" wrapText="1"/>
    </xf>
    <xf numFmtId="0" fontId="7" fillId="0" borderId="9" xfId="0" applyFont="1" applyBorder="1" applyAlignment="1">
      <alignment horizontal="center" vertical="center" wrapText="1"/>
    </xf>
    <xf numFmtId="0" fontId="7" fillId="0" borderId="4" xfId="0" applyFont="1" applyBorder="1" applyAlignment="1">
      <alignment vertical="center" wrapText="1"/>
    </xf>
    <xf numFmtId="0" fontId="7" fillId="0" borderId="9" xfId="0" applyFont="1" applyBorder="1" applyAlignment="1">
      <alignment vertical="center" wrapText="1"/>
    </xf>
    <xf numFmtId="0" fontId="13" fillId="0" borderId="8" xfId="0" applyFont="1" applyBorder="1" applyAlignment="1">
      <alignment vertical="center" wrapText="1"/>
    </xf>
    <xf numFmtId="0" fontId="1" fillId="0" borderId="0" xfId="0" applyFont="1" applyBorder="1" applyAlignment="1">
      <alignment vertical="center" wrapText="1"/>
    </xf>
    <xf numFmtId="0" fontId="12" fillId="0" borderId="4" xfId="0" applyFont="1" applyBorder="1" applyAlignment="1">
      <alignment vertical="center" wrapText="1"/>
    </xf>
    <xf numFmtId="0" fontId="9" fillId="0" borderId="13" xfId="0" applyFont="1" applyBorder="1" applyAlignment="1">
      <alignment vertical="center" wrapText="1"/>
    </xf>
    <xf numFmtId="0" fontId="1" fillId="0" borderId="8" xfId="0" applyFont="1" applyBorder="1" applyAlignment="1">
      <alignment horizontal="left" vertical="top" wrapText="1"/>
    </xf>
    <xf numFmtId="0" fontId="7" fillId="0" borderId="8" xfId="0" applyFont="1" applyBorder="1" applyAlignment="1">
      <alignment vertical="center" wrapText="1"/>
    </xf>
    <xf numFmtId="0" fontId="1" fillId="0" borderId="8" xfId="0" applyFont="1" applyBorder="1" applyAlignment="1">
      <alignment horizontal="center" vertical="center" wrapText="1"/>
    </xf>
    <xf numFmtId="0" fontId="7" fillId="0" borderId="8" xfId="0" applyFont="1" applyBorder="1" applyAlignment="1">
      <alignment horizontal="center" vertical="center" wrapText="1"/>
    </xf>
    <xf numFmtId="0" fontId="7" fillId="0" borderId="0" xfId="0" applyFont="1" applyAlignment="1">
      <alignment horizontal="right" vertical="center" wrapText="1"/>
    </xf>
    <xf numFmtId="0" fontId="1" fillId="0" borderId="6" xfId="0" applyFont="1" applyBorder="1" applyAlignment="1">
      <alignment horizontal="left" vertical="top" wrapText="1"/>
    </xf>
    <xf numFmtId="0" fontId="1" fillId="0" borderId="7" xfId="0" applyFont="1" applyBorder="1" applyAlignment="1">
      <alignment horizontal="left" vertical="top" wrapText="1"/>
    </xf>
    <xf numFmtId="0" fontId="7" fillId="0" borderId="7" xfId="0" applyFont="1" applyBorder="1" applyAlignment="1">
      <alignment horizontal="center" vertical="top" wrapText="1"/>
    </xf>
    <xf numFmtId="0" fontId="1" fillId="0" borderId="7" xfId="0" applyFont="1" applyBorder="1" applyAlignment="1">
      <alignment horizontal="center" vertical="top" wrapText="1"/>
    </xf>
    <xf numFmtId="0" fontId="7" fillId="0" borderId="12" xfId="0" applyFont="1" applyBorder="1" applyAlignment="1">
      <alignment horizontal="center" vertical="top" wrapText="1"/>
    </xf>
    <xf numFmtId="0" fontId="1" fillId="0" borderId="8" xfId="0" applyFont="1" applyBorder="1" applyAlignment="1">
      <alignment horizontal="center" vertical="top" wrapText="1"/>
    </xf>
    <xf numFmtId="0" fontId="9" fillId="0" borderId="7" xfId="0" applyFont="1" applyBorder="1" applyAlignment="1">
      <alignment horizontal="center" vertical="center" wrapText="1"/>
    </xf>
    <xf numFmtId="0" fontId="9" fillId="0" borderId="8" xfId="0" applyFont="1" applyBorder="1" applyAlignment="1">
      <alignment vertical="top" wrapText="1"/>
    </xf>
    <xf numFmtId="0" fontId="14" fillId="0" borderId="8" xfId="0" applyFont="1" applyBorder="1" applyAlignment="1">
      <alignment vertical="top" wrapText="1"/>
    </xf>
    <xf numFmtId="0" fontId="9" fillId="0" borderId="12" xfId="0" applyFont="1" applyBorder="1" applyAlignment="1">
      <alignment horizontal="center" vertical="center" wrapText="1"/>
    </xf>
    <xf numFmtId="0" fontId="9" fillId="2" borderId="8" xfId="0" applyFont="1" applyFill="1" applyBorder="1" applyAlignment="1" applyProtection="1">
      <alignment horizontal="center" vertical="top" wrapText="1"/>
      <protection locked="0"/>
    </xf>
    <xf numFmtId="0" fontId="1" fillId="2" borderId="8" xfId="0" applyFont="1" applyFill="1" applyBorder="1" applyAlignment="1" applyProtection="1">
      <alignment vertical="top" wrapText="1"/>
      <protection locked="0"/>
    </xf>
    <xf numFmtId="0" fontId="7" fillId="0" borderId="0" xfId="0" applyFont="1" applyBorder="1" applyAlignment="1">
      <alignment horizontal="right" wrapText="1"/>
    </xf>
    <xf numFmtId="0" fontId="1" fillId="0" borderId="17" xfId="0" applyFont="1" applyBorder="1" applyAlignment="1">
      <alignment horizontal="center" vertical="center" wrapText="1"/>
    </xf>
    <xf numFmtId="0" fontId="1" fillId="2" borderId="8" xfId="0" applyFont="1" applyFill="1" applyBorder="1" applyAlignment="1" applyProtection="1">
      <alignment horizontal="left" vertical="top" wrapText="1"/>
      <protection locked="0"/>
    </xf>
    <xf numFmtId="0" fontId="16" fillId="0" borderId="0" xfId="0" applyFont="1" applyAlignment="1">
      <alignment vertical="center" wrapText="1"/>
    </xf>
    <xf numFmtId="0" fontId="7" fillId="0" borderId="0" xfId="0" applyFont="1" applyAlignment="1">
      <alignment horizontal="center" vertical="center" wrapText="1"/>
    </xf>
    <xf numFmtId="0" fontId="1" fillId="0" borderId="8" xfId="0" applyFont="1" applyBorder="1" applyAlignment="1">
      <alignment horizontal="left" vertical="top" wrapText="1"/>
    </xf>
    <xf numFmtId="0" fontId="7" fillId="0" borderId="16" xfId="0" applyFont="1" applyBorder="1" applyAlignment="1">
      <alignment horizontal="center" vertical="top" wrapText="1"/>
    </xf>
    <xf numFmtId="0" fontId="7" fillId="0" borderId="14" xfId="0" applyFont="1" applyBorder="1" applyAlignment="1">
      <alignment horizontal="center" vertical="top" wrapText="1"/>
    </xf>
    <xf numFmtId="0" fontId="1" fillId="0" borderId="8" xfId="0" applyFont="1" applyBorder="1" applyAlignment="1">
      <alignment horizontal="center" vertical="top" wrapText="1"/>
    </xf>
    <xf numFmtId="0" fontId="7" fillId="0" borderId="8" xfId="0" applyFont="1" applyBorder="1" applyAlignment="1">
      <alignment horizontal="center" vertical="top" wrapText="1"/>
    </xf>
    <xf numFmtId="0" fontId="1" fillId="0" borderId="9" xfId="0" applyFont="1" applyBorder="1" applyAlignment="1">
      <alignment horizontal="left" vertical="top" wrapText="1"/>
    </xf>
    <xf numFmtId="0" fontId="1" fillId="0" borderId="6" xfId="0" applyFont="1" applyBorder="1" applyAlignment="1">
      <alignment horizontal="left" vertical="top" wrapText="1"/>
    </xf>
    <xf numFmtId="0" fontId="7" fillId="0" borderId="9" xfId="0" applyFont="1" applyBorder="1" applyAlignment="1">
      <alignment horizontal="center" vertical="top" wrapText="1"/>
    </xf>
    <xf numFmtId="0" fontId="7" fillId="0" borderId="6" xfId="0" applyFont="1" applyBorder="1" applyAlignment="1">
      <alignment horizontal="center" vertical="top" wrapText="1"/>
    </xf>
    <xf numFmtId="0" fontId="1" fillId="0" borderId="9" xfId="0" applyFont="1" applyBorder="1" applyAlignment="1">
      <alignment horizontal="center" vertical="top" wrapText="1"/>
    </xf>
    <xf numFmtId="0" fontId="1" fillId="0" borderId="6" xfId="0" applyFont="1" applyBorder="1" applyAlignment="1">
      <alignment horizontal="center" vertical="top" wrapText="1"/>
    </xf>
    <xf numFmtId="0" fontId="7" fillId="0" borderId="10" xfId="0" applyFont="1" applyBorder="1" applyAlignment="1">
      <alignment horizontal="center" vertical="top" wrapText="1"/>
    </xf>
    <xf numFmtId="0" fontId="1" fillId="0" borderId="10" xfId="0" applyFont="1" applyBorder="1" applyAlignment="1">
      <alignment horizontal="left" vertical="top" wrapText="1"/>
    </xf>
    <xf numFmtId="0" fontId="1" fillId="0" borderId="10" xfId="0" applyFont="1" applyBorder="1" applyAlignment="1">
      <alignment horizontal="center" vertical="top" wrapText="1"/>
    </xf>
    <xf numFmtId="0" fontId="7" fillId="0" borderId="15" xfId="0" applyFont="1" applyBorder="1" applyAlignment="1">
      <alignment horizontal="center" vertical="top" wrapText="1"/>
    </xf>
    <xf numFmtId="0" fontId="9" fillId="2" borderId="8" xfId="0" applyFont="1" applyFill="1" applyBorder="1" applyAlignment="1" applyProtection="1">
      <alignment horizontal="center" vertical="top" wrapText="1"/>
    </xf>
    <xf numFmtId="0" fontId="1" fillId="2" borderId="8" xfId="0" applyFont="1" applyFill="1" applyBorder="1" applyAlignment="1" applyProtection="1">
      <alignment horizontal="left" vertical="top" wrapText="1"/>
    </xf>
  </cellXfs>
  <cellStyles count="2">
    <cellStyle name="Normal" xfId="0" builtinId="0"/>
    <cellStyle name="Normal 2" xfId="1" xr:uid="{00000000-0005-0000-0000-000001000000}"/>
  </cellStyles>
  <dxfs count="45">
    <dxf>
      <font>
        <b/>
        <i val="0"/>
        <color rgb="FF00B050"/>
      </font>
      <fill>
        <patternFill>
          <bgColor theme="0"/>
        </patternFill>
      </fill>
    </dxf>
    <dxf>
      <font>
        <b/>
        <i val="0"/>
        <color rgb="FFFF0000"/>
      </font>
      <fill>
        <patternFill>
          <bgColor theme="0"/>
        </patternFill>
      </fill>
    </dxf>
    <dxf>
      <font>
        <b/>
        <i val="0"/>
        <color auto="1"/>
      </font>
      <fill>
        <patternFill>
          <bgColor theme="0"/>
        </patternFill>
      </fill>
    </dxf>
    <dxf>
      <font>
        <b val="0"/>
        <i val="0"/>
      </font>
      <fill>
        <patternFill patternType="none">
          <bgColor auto="1"/>
        </patternFill>
      </fill>
    </dxf>
    <dxf>
      <font>
        <b/>
        <i val="0"/>
        <color rgb="FF00B050"/>
      </font>
      <fill>
        <patternFill>
          <bgColor theme="0"/>
        </patternFill>
      </fill>
    </dxf>
    <dxf>
      <font>
        <b/>
        <i val="0"/>
        <color rgb="FFFF0000"/>
      </font>
      <fill>
        <patternFill>
          <bgColor theme="0"/>
        </patternFill>
      </fill>
    </dxf>
    <dxf>
      <font>
        <b/>
        <i val="0"/>
        <color auto="1"/>
      </font>
      <fill>
        <patternFill>
          <bgColor theme="0"/>
        </patternFill>
      </fill>
    </dxf>
    <dxf>
      <font>
        <b/>
        <i val="0"/>
        <color rgb="FF00B050"/>
      </font>
      <fill>
        <patternFill>
          <bgColor theme="0"/>
        </patternFill>
      </fill>
    </dxf>
    <dxf>
      <font>
        <b/>
        <i val="0"/>
        <color rgb="FFFF0000"/>
      </font>
      <fill>
        <patternFill>
          <bgColor theme="0"/>
        </patternFill>
      </fill>
    </dxf>
    <dxf>
      <font>
        <b/>
        <i val="0"/>
        <color auto="1"/>
      </font>
      <fill>
        <patternFill>
          <bgColor theme="0"/>
        </patternFill>
      </fill>
    </dxf>
    <dxf>
      <fill>
        <patternFill patternType="none">
          <bgColor auto="1"/>
        </patternFill>
      </fill>
    </dxf>
    <dxf>
      <font>
        <b/>
        <i val="0"/>
        <color rgb="FFFF0000"/>
      </font>
      <fill>
        <patternFill patternType="none">
          <bgColor auto="1"/>
        </patternFill>
      </fill>
    </dxf>
    <dxf>
      <font>
        <b/>
        <i val="0"/>
        <color rgb="FF00B050"/>
      </font>
      <fill>
        <patternFill patternType="none">
          <bgColor auto="1"/>
        </patternFill>
      </fill>
    </dxf>
    <dxf>
      <fill>
        <patternFill patternType="none">
          <bgColor auto="1"/>
        </patternFill>
      </fill>
    </dxf>
    <dxf>
      <font>
        <b/>
        <i val="0"/>
        <color rgb="FFFF0000"/>
      </font>
    </dxf>
    <dxf>
      <font>
        <b/>
        <i val="0"/>
        <color rgb="FF00B050"/>
      </font>
    </dxf>
    <dxf>
      <font>
        <b/>
        <i val="0"/>
        <color rgb="FFFF0000"/>
      </font>
      <fill>
        <patternFill patternType="none">
          <bgColor auto="1"/>
        </patternFill>
      </fill>
    </dxf>
    <dxf>
      <font>
        <b/>
        <i val="0"/>
        <color rgb="FF00B050"/>
      </font>
      <fill>
        <patternFill patternType="none">
          <bgColor auto="1"/>
        </patternFill>
      </fill>
    </dxf>
    <dxf>
      <font>
        <b/>
        <i val="0"/>
        <color rgb="FFFF0000"/>
      </font>
      <fill>
        <patternFill patternType="none">
          <bgColor auto="1"/>
        </patternFill>
      </fill>
    </dxf>
    <dxf>
      <font>
        <b/>
        <i val="0"/>
        <color rgb="FF00B050"/>
      </font>
      <fill>
        <patternFill patternType="none">
          <bgColor auto="1"/>
        </patternFill>
      </fill>
    </dxf>
    <dxf>
      <font>
        <b/>
        <i val="0"/>
        <color rgb="FFFF0000"/>
      </font>
      <fill>
        <patternFill patternType="none">
          <bgColor auto="1"/>
        </patternFill>
      </fill>
    </dxf>
    <dxf>
      <font>
        <b/>
        <i val="0"/>
        <color rgb="FF00B050"/>
      </font>
      <fill>
        <patternFill patternType="none">
          <bgColor auto="1"/>
        </patternFill>
      </fill>
    </dxf>
    <dxf>
      <font>
        <b/>
        <i val="0"/>
        <color rgb="FFFF0000"/>
      </font>
      <fill>
        <patternFill patternType="none">
          <bgColor auto="1"/>
        </patternFill>
      </fill>
    </dxf>
    <dxf>
      <font>
        <b/>
        <i val="0"/>
        <color rgb="FF00B050"/>
      </font>
      <fill>
        <patternFill patternType="none">
          <bgColor auto="1"/>
        </patternFill>
      </fill>
    </dxf>
    <dxf>
      <font>
        <b/>
        <i val="0"/>
        <color rgb="FFFF0000"/>
      </font>
      <fill>
        <patternFill patternType="none">
          <bgColor auto="1"/>
        </patternFill>
      </fill>
    </dxf>
    <dxf>
      <font>
        <b/>
        <i val="0"/>
        <color rgb="FF00B050"/>
      </font>
      <fill>
        <patternFill patternType="none">
          <bgColor auto="1"/>
        </patternFill>
      </fill>
    </dxf>
    <dxf>
      <font>
        <b/>
        <i val="0"/>
        <color rgb="FFFF0000"/>
      </font>
      <fill>
        <patternFill patternType="none">
          <bgColor auto="1"/>
        </patternFill>
      </fill>
    </dxf>
    <dxf>
      <font>
        <b/>
        <i val="0"/>
        <color rgb="FF00B050"/>
      </font>
      <fill>
        <patternFill patternType="none">
          <bgColor auto="1"/>
        </patternFill>
      </fill>
    </dxf>
    <dxf>
      <font>
        <b/>
        <i val="0"/>
        <color rgb="FFFF0000"/>
      </font>
      <fill>
        <patternFill patternType="none">
          <bgColor auto="1"/>
        </patternFill>
      </fill>
    </dxf>
    <dxf>
      <font>
        <b/>
        <i val="0"/>
        <color rgb="FF00B050"/>
      </font>
      <fill>
        <patternFill patternType="none">
          <bgColor auto="1"/>
        </patternFill>
      </fill>
    </dxf>
    <dxf>
      <font>
        <b/>
        <i val="0"/>
        <color rgb="FFFF0000"/>
      </font>
      <fill>
        <patternFill patternType="none">
          <bgColor auto="1"/>
        </patternFill>
      </fill>
    </dxf>
    <dxf>
      <font>
        <b/>
        <i val="0"/>
        <color rgb="FF00B050"/>
      </font>
      <fill>
        <patternFill patternType="none">
          <bgColor auto="1"/>
        </patternFill>
      </fill>
    </dxf>
    <dxf>
      <font>
        <b/>
        <i val="0"/>
        <color rgb="FFFF0000"/>
      </font>
    </dxf>
    <dxf>
      <font>
        <b/>
        <i val="0"/>
        <color rgb="FF00B050"/>
      </font>
    </dxf>
    <dxf>
      <font>
        <b/>
        <i val="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00B050"/>
      </font>
    </dxf>
    <dxf>
      <font>
        <b/>
        <i val="0"/>
        <color rgb="FF00B050"/>
      </font>
    </dxf>
  </dxfs>
  <tableStyles count="0" defaultTableStyle="TableStyleMedium2" defaultPivotStyle="PivotStyleLight16"/>
  <colors>
    <mruColors>
      <color rgb="FFBFBF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FF0000"/>
  </sheetPr>
  <dimension ref="A4:A14"/>
  <sheetViews>
    <sheetView workbookViewId="0"/>
  </sheetViews>
  <sheetFormatPr defaultRowHeight="15" x14ac:dyDescent="0.25"/>
  <cols>
    <col min="1" max="1" width="82.7109375" customWidth="1"/>
  </cols>
  <sheetData>
    <row r="4" spans="1:1" ht="15.75" x14ac:dyDescent="0.25">
      <c r="A4" s="1"/>
    </row>
    <row r="5" spans="1:1" ht="16.5" thickBot="1" x14ac:dyDescent="0.3">
      <c r="A5" s="1"/>
    </row>
    <row r="6" spans="1:1" ht="15.75" x14ac:dyDescent="0.25">
      <c r="A6" s="6" t="s">
        <v>0</v>
      </c>
    </row>
    <row r="7" spans="1:1" ht="15.75" x14ac:dyDescent="0.25">
      <c r="A7" s="2"/>
    </row>
    <row r="8" spans="1:1" ht="126.75" thickBot="1" x14ac:dyDescent="0.3">
      <c r="A8" s="3" t="s">
        <v>1</v>
      </c>
    </row>
    <row r="9" spans="1:1" ht="15.75" x14ac:dyDescent="0.25">
      <c r="A9" s="1"/>
    </row>
    <row r="10" spans="1:1" ht="15.75" x14ac:dyDescent="0.25">
      <c r="A10" s="4" t="s">
        <v>2</v>
      </c>
    </row>
    <row r="11" spans="1:1" ht="15.75" x14ac:dyDescent="0.25">
      <c r="A11" s="1"/>
    </row>
    <row r="12" spans="1:1" ht="15.75" x14ac:dyDescent="0.25">
      <c r="A12" s="1" t="s">
        <v>3</v>
      </c>
    </row>
    <row r="13" spans="1:1" ht="15.75" x14ac:dyDescent="0.25">
      <c r="A13" s="1"/>
    </row>
    <row r="14" spans="1:1" ht="31.5" x14ac:dyDescent="0.25">
      <c r="A14" s="1" t="s">
        <v>4</v>
      </c>
    </row>
  </sheetData>
  <sheetProtection algorithmName="SHA-512" hashValue="g/MFLlF504OA0qxzA07ROXNsISz8o9T01ecWqW4xl8HnYd72di14pQCH6MgYvNwNlFZjw7BnmDa2ZWWVj5MP+Q==" saltValue="+bjUypAmvpc6+I7bAX5xMQ==" spinCount="100000" sheet="1" objects="1" scenarios="1"/>
  <pageMargins left="0.45" right="0.45" top="0.75" bottom="0.75" header="0.3" footer="0.3"/>
  <pageSetup orientation="portrait" horizontalDpi="1200" verticalDpi="1200" r:id="rId1"/>
  <headerFooter>
    <oddHeader>&amp;L&amp;"Times New Roman,Regular"Platform Checklist&amp;RRev. &amp;K00B050-&amp;K01+000
&amp;K00B050Date as dd Month YYYY</oddHeader>
    <oddFooter>&amp;C&amp;"Times New Roman,Regular"&amp;10See disclaimer and distribution A statements on cover page.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B050"/>
  </sheetPr>
  <dimension ref="A1:A20"/>
  <sheetViews>
    <sheetView tabSelected="1" view="pageLayout" zoomScale="85" zoomScaleNormal="100" zoomScalePageLayoutView="85" workbookViewId="0"/>
  </sheetViews>
  <sheetFormatPr defaultColWidth="9.140625" defaultRowHeight="15" x14ac:dyDescent="0.25"/>
  <cols>
    <col min="1" max="1" width="104" customWidth="1"/>
  </cols>
  <sheetData>
    <row r="1" spans="1:1" ht="15.75" x14ac:dyDescent="0.25">
      <c r="A1" s="1"/>
    </row>
    <row r="2" spans="1:1" ht="15.75" x14ac:dyDescent="0.25">
      <c r="A2" s="1"/>
    </row>
    <row r="3" spans="1:1" ht="46.15" customHeight="1" x14ac:dyDescent="0.25">
      <c r="A3" s="9" t="s">
        <v>497</v>
      </c>
    </row>
    <row r="4" spans="1:1" ht="13.9" customHeight="1" x14ac:dyDescent="0.25">
      <c r="A4" s="9" t="s">
        <v>5</v>
      </c>
    </row>
    <row r="5" spans="1:1" ht="81" customHeight="1" x14ac:dyDescent="0.25">
      <c r="A5" s="9" t="s">
        <v>6</v>
      </c>
    </row>
    <row r="6" spans="1:1" ht="81" customHeight="1" x14ac:dyDescent="0.25">
      <c r="A6" s="7" t="s">
        <v>7</v>
      </c>
    </row>
    <row r="7" spans="1:1" ht="15.75" x14ac:dyDescent="0.25">
      <c r="A7" s="10" t="s">
        <v>8</v>
      </c>
    </row>
    <row r="8" spans="1:1" ht="15.75" x14ac:dyDescent="0.25">
      <c r="A8" s="10" t="s">
        <v>9</v>
      </c>
    </row>
    <row r="9" spans="1:1" ht="60" customHeight="1" x14ac:dyDescent="0.25">
      <c r="A9" s="11"/>
    </row>
    <row r="10" spans="1:1" ht="42" customHeight="1" x14ac:dyDescent="0.25">
      <c r="A10" s="11" t="s">
        <v>499</v>
      </c>
    </row>
    <row r="11" spans="1:1" ht="15.75" x14ac:dyDescent="0.25">
      <c r="A11" s="11" t="s">
        <v>500</v>
      </c>
    </row>
    <row r="12" spans="1:1" ht="15.75" x14ac:dyDescent="0.25">
      <c r="A12" s="8"/>
    </row>
    <row r="13" spans="1:1" ht="15.75" x14ac:dyDescent="0.25">
      <c r="A13" s="8"/>
    </row>
    <row r="14" spans="1:1" ht="15.75" x14ac:dyDescent="0.25">
      <c r="A14" s="8"/>
    </row>
    <row r="20" spans="1:1" ht="15.75" x14ac:dyDescent="0.25">
      <c r="A20" s="11"/>
    </row>
  </sheetData>
  <pageMargins left="0.45" right="0.45" top="0.75" bottom="0.75" header="0.3" footer="0.3"/>
  <pageSetup fitToHeight="0" orientation="portrait" horizontalDpi="1200" verticalDpi="1200" r:id="rId1"/>
  <headerFooter>
    <oddHeader>&amp;L&amp;"Times New Roman,Regular"Platform Checklist&amp;RRev. &amp;K00B050-&amp;K01+000
&amp;K00B050Date as dd Month YYYY</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00B050"/>
  </sheetPr>
  <dimension ref="A1:A14"/>
  <sheetViews>
    <sheetView view="pageLayout" zoomScaleNormal="100" workbookViewId="0"/>
  </sheetViews>
  <sheetFormatPr defaultColWidth="8.85546875" defaultRowHeight="12.75" x14ac:dyDescent="0.2"/>
  <cols>
    <col min="1" max="1" width="90.85546875" style="12" customWidth="1"/>
    <col min="2" max="16384" width="8.85546875" style="12"/>
  </cols>
  <sheetData>
    <row r="1" spans="1:1" x14ac:dyDescent="0.2">
      <c r="A1" s="14" t="s">
        <v>16</v>
      </c>
    </row>
    <row r="2" spans="1:1" ht="25.5" x14ac:dyDescent="0.2">
      <c r="A2" s="5" t="s">
        <v>10</v>
      </c>
    </row>
    <row r="3" spans="1:1" ht="25.5" x14ac:dyDescent="0.2">
      <c r="A3" s="5" t="s">
        <v>498</v>
      </c>
    </row>
    <row r="4" spans="1:1" ht="25.5" x14ac:dyDescent="0.2">
      <c r="A4" s="63" t="s">
        <v>501</v>
      </c>
    </row>
    <row r="14" spans="1:1" x14ac:dyDescent="0.2">
      <c r="A14" s="31"/>
    </row>
  </sheetData>
  <pageMargins left="0.45" right="0.45" top="0.75" bottom="0.75" header="0.3" footer="0.3"/>
  <pageSetup fitToHeight="0" orientation="portrait" horizontalDpi="1200" verticalDpi="1200" r:id="rId1"/>
  <headerFooter>
    <oddHeader>&amp;L&amp;"Times New Roman,Regular"Platform Checklist&amp;RRev. &amp;K00B050-&amp;K01+000
&amp;K00B050Date as dd Month YYYY</oddHeader>
    <oddFooter>&amp;C&amp;"Times New Roman,Regular"&amp;10See disclaimer and distribution A statements on cover page.</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00B050"/>
  </sheetPr>
  <dimension ref="A1:C15"/>
  <sheetViews>
    <sheetView view="pageLayout" zoomScaleNormal="100" workbookViewId="0"/>
  </sheetViews>
  <sheetFormatPr defaultColWidth="8.85546875" defaultRowHeight="12.75" x14ac:dyDescent="0.2"/>
  <cols>
    <col min="1" max="1" width="9.5703125" style="12" bestFit="1" customWidth="1"/>
    <col min="2" max="2" width="17.7109375" style="12" bestFit="1" customWidth="1"/>
    <col min="3" max="3" width="57.140625" style="12" customWidth="1"/>
    <col min="4" max="16384" width="8.85546875" style="12"/>
  </cols>
  <sheetData>
    <row r="1" spans="1:3" x14ac:dyDescent="0.2">
      <c r="A1" s="13"/>
      <c r="B1" s="13"/>
      <c r="C1" s="13"/>
    </row>
    <row r="2" spans="1:3" x14ac:dyDescent="0.2">
      <c r="A2" s="64" t="s">
        <v>11</v>
      </c>
      <c r="B2" s="64"/>
      <c r="C2" s="64"/>
    </row>
    <row r="3" spans="1:3" ht="13.5" thickBot="1" x14ac:dyDescent="0.25">
      <c r="A3" s="15"/>
      <c r="B3" s="15"/>
      <c r="C3" s="15"/>
    </row>
    <row r="4" spans="1:3" ht="13.5" thickBot="1" x14ac:dyDescent="0.25">
      <c r="A4" s="19" t="s">
        <v>17</v>
      </c>
      <c r="B4" s="20" t="s">
        <v>12</v>
      </c>
      <c r="C4" s="21" t="s">
        <v>13</v>
      </c>
    </row>
    <row r="5" spans="1:3" ht="13.5" thickBot="1" x14ac:dyDescent="0.25">
      <c r="A5" s="16" t="s">
        <v>14</v>
      </c>
      <c r="B5" s="24" t="s">
        <v>18</v>
      </c>
      <c r="C5" s="17" t="s">
        <v>15</v>
      </c>
    </row>
    <row r="6" spans="1:3" ht="13.5" thickBot="1" x14ac:dyDescent="0.25">
      <c r="A6" s="16"/>
      <c r="B6" s="25"/>
      <c r="C6" s="18"/>
    </row>
    <row r="7" spans="1:3" ht="13.5" thickBot="1" x14ac:dyDescent="0.25">
      <c r="A7" s="16"/>
      <c r="B7" s="26"/>
      <c r="C7" s="18"/>
    </row>
    <row r="8" spans="1:3" ht="13.5" thickBot="1" x14ac:dyDescent="0.25">
      <c r="A8" s="16"/>
      <c r="B8" s="26"/>
      <c r="C8" s="18"/>
    </row>
    <row r="9" spans="1:3" ht="13.5" thickBot="1" x14ac:dyDescent="0.25">
      <c r="A9" s="16"/>
      <c r="B9" s="26"/>
      <c r="C9" s="18"/>
    </row>
    <row r="10" spans="1:3" ht="13.5" thickBot="1" x14ac:dyDescent="0.25">
      <c r="A10" s="16"/>
      <c r="B10" s="26"/>
      <c r="C10" s="18"/>
    </row>
    <row r="11" spans="1:3" ht="13.5" thickBot="1" x14ac:dyDescent="0.25">
      <c r="A11" s="16"/>
      <c r="B11" s="26"/>
      <c r="C11" s="18"/>
    </row>
    <row r="12" spans="1:3" ht="13.5" thickBot="1" x14ac:dyDescent="0.25">
      <c r="A12" s="16"/>
      <c r="B12" s="26"/>
      <c r="C12" s="18"/>
    </row>
    <row r="13" spans="1:3" ht="13.5" thickBot="1" x14ac:dyDescent="0.25">
      <c r="A13" s="16"/>
      <c r="B13" s="26"/>
      <c r="C13" s="18"/>
    </row>
    <row r="14" spans="1:3" ht="13.5" thickBot="1" x14ac:dyDescent="0.25">
      <c r="A14" s="16"/>
      <c r="B14" s="26"/>
      <c r="C14" s="18"/>
    </row>
    <row r="15" spans="1:3" ht="13.5" thickBot="1" x14ac:dyDescent="0.25">
      <c r="A15" s="16"/>
      <c r="B15" s="26"/>
      <c r="C15" s="18"/>
    </row>
  </sheetData>
  <mergeCells count="1">
    <mergeCell ref="A2:C2"/>
  </mergeCells>
  <pageMargins left="0.45" right="0.45" top="0.75" bottom="0.75" header="0.3" footer="0.3"/>
  <pageSetup orientation="portrait" horizontalDpi="1200" verticalDpi="1200" r:id="rId1"/>
  <headerFooter>
    <oddHeader>&amp;L&amp;"Times New Roman,Regular"Platform Checklist&amp;RRev. &amp;K00B050-&amp;K01+000
&amp;K00B050Date as dd Month YYYY</oddHeader>
    <oddFooter>&amp;C&amp;"Times New Roman,Regular"&amp;10See disclaimer and distribution A statements on cover page.</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FFC000"/>
  </sheetPr>
  <dimension ref="A1:G54"/>
  <sheetViews>
    <sheetView zoomScale="85" zoomScaleNormal="85" workbookViewId="0"/>
  </sheetViews>
  <sheetFormatPr defaultColWidth="9.140625" defaultRowHeight="15" x14ac:dyDescent="0.25"/>
  <cols>
    <col min="1" max="1" width="30.7109375" style="28" customWidth="1"/>
    <col min="2" max="2" width="47" style="28" customWidth="1"/>
    <col min="3" max="3" width="24" style="28" customWidth="1"/>
    <col min="4" max="4" width="36.85546875" style="28" customWidth="1"/>
    <col min="5" max="5" width="26.140625" style="28" bestFit="1" customWidth="1"/>
    <col min="6" max="6" width="24" style="28" bestFit="1" customWidth="1"/>
    <col min="7" max="7" width="19" style="28" bestFit="1" customWidth="1"/>
    <col min="8" max="16384" width="9.140625" style="28"/>
  </cols>
  <sheetData>
    <row r="1" spans="1:7" ht="15.75" thickBot="1" x14ac:dyDescent="0.3">
      <c r="A1" s="37" t="s">
        <v>78</v>
      </c>
      <c r="B1" s="21" t="str">
        <f>IF(E54=TRUE,"Tier 3", IF(E47=TRUE,"Tier 2",IF(G31=TRUE,"Tier 1", "Not Tier Compliant")))</f>
        <v>Not Tier Compliant</v>
      </c>
      <c r="C1" s="15"/>
      <c r="D1" s="15"/>
      <c r="E1" s="15"/>
      <c r="F1" s="15"/>
      <c r="G1" s="15"/>
    </row>
    <row r="2" spans="1:7" ht="15.75" thickBot="1" x14ac:dyDescent="0.3">
      <c r="A2" s="15"/>
    </row>
    <row r="3" spans="1:7" ht="15.75" thickBot="1" x14ac:dyDescent="0.3">
      <c r="A3" s="38" t="s">
        <v>356</v>
      </c>
    </row>
    <row r="4" spans="1:7" ht="15.75" thickBot="1" x14ac:dyDescent="0.3">
      <c r="A4" s="39" t="s">
        <v>24</v>
      </c>
      <c r="B4" s="44" t="s">
        <v>79</v>
      </c>
      <c r="C4" s="44" t="s">
        <v>80</v>
      </c>
      <c r="D4" s="44" t="s">
        <v>81</v>
      </c>
      <c r="E4" s="44" t="s">
        <v>80</v>
      </c>
      <c r="F4" s="44" t="s">
        <v>81</v>
      </c>
      <c r="G4" s="46" t="s">
        <v>26</v>
      </c>
    </row>
    <row r="5" spans="1:7" ht="15.75" thickBot="1" x14ac:dyDescent="0.3">
      <c r="A5" s="65" t="s">
        <v>189</v>
      </c>
      <c r="B5" s="65" t="s">
        <v>372</v>
      </c>
      <c r="C5" s="43" t="s">
        <v>84</v>
      </c>
      <c r="D5" s="43" t="s">
        <v>84</v>
      </c>
      <c r="E5" s="43" t="s">
        <v>84</v>
      </c>
      <c r="F5" s="43" t="s">
        <v>84</v>
      </c>
      <c r="G5" s="61" t="b">
        <f>'Platform RQMT Checklist'!C28</f>
        <v>0</v>
      </c>
    </row>
    <row r="6" spans="1:7" ht="15.75" thickBot="1" x14ac:dyDescent="0.3">
      <c r="A6" s="65"/>
      <c r="B6" s="65"/>
      <c r="C6" s="43" t="s">
        <v>105</v>
      </c>
      <c r="D6" s="43" t="s">
        <v>357</v>
      </c>
      <c r="E6" s="43" t="s">
        <v>22</v>
      </c>
      <c r="F6" s="43" t="s">
        <v>22</v>
      </c>
      <c r="G6" s="61" t="b">
        <f>'Platform RQMT Checklist'!C2</f>
        <v>0</v>
      </c>
    </row>
    <row r="7" spans="1:7" ht="15.75" thickBot="1" x14ac:dyDescent="0.3">
      <c r="A7" s="65"/>
      <c r="B7" s="65"/>
      <c r="C7" s="65" t="s">
        <v>111</v>
      </c>
      <c r="D7" s="65" t="s">
        <v>358</v>
      </c>
      <c r="E7" s="43" t="s">
        <v>84</v>
      </c>
      <c r="F7" s="43" t="s">
        <v>84</v>
      </c>
      <c r="G7" s="61" t="b">
        <f>'Platform RQMT Checklist'!C3</f>
        <v>0</v>
      </c>
    </row>
    <row r="8" spans="1:7" ht="26.25" thickBot="1" x14ac:dyDescent="0.3">
      <c r="A8" s="65"/>
      <c r="B8" s="65"/>
      <c r="C8" s="65"/>
      <c r="D8" s="65"/>
      <c r="E8" s="43" t="s">
        <v>121</v>
      </c>
      <c r="F8" s="43" t="s">
        <v>359</v>
      </c>
      <c r="G8" s="61" t="b">
        <f>'Platform RQMT Checklist'!C5</f>
        <v>0</v>
      </c>
    </row>
    <row r="9" spans="1:7" ht="15.75" thickBot="1" x14ac:dyDescent="0.3">
      <c r="A9" s="65"/>
      <c r="B9" s="65"/>
      <c r="C9" s="43" t="s">
        <v>117</v>
      </c>
      <c r="D9" s="43" t="s">
        <v>360</v>
      </c>
      <c r="E9" s="43" t="s">
        <v>22</v>
      </c>
      <c r="F9" s="43" t="s">
        <v>22</v>
      </c>
      <c r="G9" s="61" t="b">
        <f>'Platform RQMT Checklist'!C4</f>
        <v>0</v>
      </c>
    </row>
    <row r="10" spans="1:7" ht="15.75" thickBot="1" x14ac:dyDescent="0.3">
      <c r="A10" s="65" t="s">
        <v>193</v>
      </c>
      <c r="B10" s="65" t="s">
        <v>373</v>
      </c>
      <c r="C10" s="43" t="s">
        <v>84</v>
      </c>
      <c r="D10" s="43" t="s">
        <v>84</v>
      </c>
      <c r="E10" s="43" t="s">
        <v>84</v>
      </c>
      <c r="F10" s="43" t="s">
        <v>84</v>
      </c>
      <c r="G10" s="61" t="b">
        <f>'Platform RQMT Checklist'!C29</f>
        <v>0</v>
      </c>
    </row>
    <row r="11" spans="1:7" ht="15.75" thickBot="1" x14ac:dyDescent="0.3">
      <c r="A11" s="65"/>
      <c r="B11" s="65"/>
      <c r="C11" s="43" t="s">
        <v>134</v>
      </c>
      <c r="D11" s="43" t="s">
        <v>361</v>
      </c>
      <c r="E11" s="43" t="s">
        <v>22</v>
      </c>
      <c r="F11" s="43" t="s">
        <v>22</v>
      </c>
      <c r="G11" s="61" t="b">
        <f>'Platform RQMT Checklist'!C12</f>
        <v>0</v>
      </c>
    </row>
    <row r="12" spans="1:7" ht="15.75" thickBot="1" x14ac:dyDescent="0.3">
      <c r="A12" s="65"/>
      <c r="B12" s="65"/>
      <c r="C12" s="43" t="s">
        <v>138</v>
      </c>
      <c r="D12" s="43" t="s">
        <v>362</v>
      </c>
      <c r="E12" s="43" t="s">
        <v>22</v>
      </c>
      <c r="F12" s="43" t="s">
        <v>22</v>
      </c>
      <c r="G12" s="61" t="b">
        <f>'Platform RQMT Checklist'!C13</f>
        <v>0</v>
      </c>
    </row>
    <row r="13" spans="1:7" ht="15.75" thickBot="1" x14ac:dyDescent="0.3">
      <c r="A13" s="65"/>
      <c r="B13" s="65"/>
      <c r="C13" s="43" t="s">
        <v>144</v>
      </c>
      <c r="D13" s="43" t="s">
        <v>363</v>
      </c>
      <c r="E13" s="43" t="s">
        <v>22</v>
      </c>
      <c r="F13" s="43" t="s">
        <v>22</v>
      </c>
      <c r="G13" s="61" t="b">
        <f>'Platform RQMT Checklist'!C15</f>
        <v>0</v>
      </c>
    </row>
    <row r="14" spans="1:7" ht="15.75" thickBot="1" x14ac:dyDescent="0.3">
      <c r="A14" s="65"/>
      <c r="B14" s="65"/>
      <c r="C14" s="43" t="s">
        <v>148</v>
      </c>
      <c r="D14" s="43" t="s">
        <v>364</v>
      </c>
      <c r="E14" s="43" t="s">
        <v>22</v>
      </c>
      <c r="F14" s="43" t="s">
        <v>22</v>
      </c>
      <c r="G14" s="61" t="b">
        <f>'Platform RQMT Checklist'!C16</f>
        <v>0</v>
      </c>
    </row>
    <row r="15" spans="1:7" ht="15.75" thickBot="1" x14ac:dyDescent="0.3">
      <c r="A15" s="65"/>
      <c r="B15" s="65"/>
      <c r="C15" s="43" t="s">
        <v>153</v>
      </c>
      <c r="D15" s="43" t="s">
        <v>365</v>
      </c>
      <c r="E15" s="43" t="s">
        <v>22</v>
      </c>
      <c r="F15" s="43" t="s">
        <v>22</v>
      </c>
      <c r="G15" s="61" t="b">
        <f>'Platform RQMT Checklist'!C17</f>
        <v>0</v>
      </c>
    </row>
    <row r="16" spans="1:7" ht="15.75" thickBot="1" x14ac:dyDescent="0.3">
      <c r="A16" s="65"/>
      <c r="B16" s="65"/>
      <c r="C16" s="43" t="s">
        <v>158</v>
      </c>
      <c r="D16" s="43" t="s">
        <v>366</v>
      </c>
      <c r="E16" s="43" t="s">
        <v>22</v>
      </c>
      <c r="F16" s="43" t="s">
        <v>22</v>
      </c>
      <c r="G16" s="61" t="b">
        <f>'Platform RQMT Checklist'!C18</f>
        <v>0</v>
      </c>
    </row>
    <row r="17" spans="1:7" ht="15.75" thickBot="1" x14ac:dyDescent="0.3">
      <c r="A17" s="65"/>
      <c r="B17" s="65"/>
      <c r="C17" s="43" t="s">
        <v>162</v>
      </c>
      <c r="D17" s="43" t="s">
        <v>367</v>
      </c>
      <c r="E17" s="43" t="s">
        <v>22</v>
      </c>
      <c r="F17" s="43" t="s">
        <v>22</v>
      </c>
      <c r="G17" s="61" t="b">
        <f>'Platform RQMT Checklist'!C19</f>
        <v>0</v>
      </c>
    </row>
    <row r="18" spans="1:7" ht="15.75" thickBot="1" x14ac:dyDescent="0.3">
      <c r="A18" s="65"/>
      <c r="B18" s="65"/>
      <c r="C18" s="65" t="s">
        <v>167</v>
      </c>
      <c r="D18" s="65" t="s">
        <v>368</v>
      </c>
      <c r="E18" s="43" t="s">
        <v>84</v>
      </c>
      <c r="F18" s="43" t="s">
        <v>84</v>
      </c>
      <c r="G18" s="61" t="b">
        <f>'Platform RQMT Checklist'!C21</f>
        <v>0</v>
      </c>
    </row>
    <row r="19" spans="1:7" ht="15.75" thickBot="1" x14ac:dyDescent="0.3">
      <c r="A19" s="65"/>
      <c r="B19" s="65"/>
      <c r="C19" s="65"/>
      <c r="D19" s="65"/>
      <c r="E19" s="43" t="s">
        <v>179</v>
      </c>
      <c r="F19" s="43" t="s">
        <v>369</v>
      </c>
      <c r="G19" s="61" t="b">
        <f>'Platform RQMT Checklist'!C24</f>
        <v>0</v>
      </c>
    </row>
    <row r="20" spans="1:7" ht="15.75" thickBot="1" x14ac:dyDescent="0.3">
      <c r="A20" s="65"/>
      <c r="B20" s="65"/>
      <c r="C20" s="65" t="s">
        <v>172</v>
      </c>
      <c r="D20" s="65" t="s">
        <v>370</v>
      </c>
      <c r="E20" s="43" t="s">
        <v>84</v>
      </c>
      <c r="F20" s="43" t="s">
        <v>84</v>
      </c>
      <c r="G20" s="61" t="b">
        <f>'Platform RQMT Checklist'!C22</f>
        <v>0</v>
      </c>
    </row>
    <row r="21" spans="1:7" ht="15.75" thickBot="1" x14ac:dyDescent="0.3">
      <c r="A21" s="65"/>
      <c r="B21" s="65"/>
      <c r="C21" s="65"/>
      <c r="D21" s="65"/>
      <c r="E21" s="43" t="s">
        <v>183</v>
      </c>
      <c r="F21" s="43" t="s">
        <v>371</v>
      </c>
      <c r="G21" s="61" t="b">
        <f>'Platform RQMT Checklist'!C25</f>
        <v>0</v>
      </c>
    </row>
    <row r="22" spans="1:7" ht="15.75" thickBot="1" x14ac:dyDescent="0.3">
      <c r="A22" s="43" t="s">
        <v>197</v>
      </c>
      <c r="B22" s="43" t="s">
        <v>374</v>
      </c>
      <c r="C22" s="43" t="s">
        <v>22</v>
      </c>
      <c r="D22" s="43" t="s">
        <v>22</v>
      </c>
      <c r="E22" s="43" t="s">
        <v>22</v>
      </c>
      <c r="F22" s="43" t="s">
        <v>22</v>
      </c>
      <c r="G22" s="61" t="b">
        <f>'Platform RQMT Checklist'!C30</f>
        <v>0</v>
      </c>
    </row>
    <row r="23" spans="1:7" ht="15.75" thickBot="1" x14ac:dyDescent="0.3">
      <c r="A23" s="43" t="s">
        <v>239</v>
      </c>
      <c r="B23" s="43" t="s">
        <v>375</v>
      </c>
      <c r="C23" s="43" t="s">
        <v>22</v>
      </c>
      <c r="D23" s="43" t="s">
        <v>22</v>
      </c>
      <c r="E23" s="43" t="s">
        <v>22</v>
      </c>
      <c r="F23" s="43" t="s">
        <v>22</v>
      </c>
      <c r="G23" s="61" t="b">
        <f>'Platform RQMT Checklist'!C50</f>
        <v>0</v>
      </c>
    </row>
    <row r="24" spans="1:7" ht="15.75" thickBot="1" x14ac:dyDescent="0.3">
      <c r="A24" s="43" t="s">
        <v>244</v>
      </c>
      <c r="B24" s="43" t="s">
        <v>376</v>
      </c>
      <c r="C24" s="43" t="s">
        <v>22</v>
      </c>
      <c r="D24" s="43" t="s">
        <v>22</v>
      </c>
      <c r="E24" s="43" t="s">
        <v>22</v>
      </c>
      <c r="F24" s="43" t="s">
        <v>22</v>
      </c>
      <c r="G24" s="61" t="b">
        <f>'Platform RQMT Checklist'!C52</f>
        <v>0</v>
      </c>
    </row>
    <row r="25" spans="1:7" ht="15.75" thickBot="1" x14ac:dyDescent="0.3">
      <c r="A25" s="43" t="s">
        <v>248</v>
      </c>
      <c r="B25" s="43" t="s">
        <v>377</v>
      </c>
      <c r="C25" s="43" t="s">
        <v>22</v>
      </c>
      <c r="D25" s="43" t="s">
        <v>22</v>
      </c>
      <c r="E25" s="43" t="s">
        <v>22</v>
      </c>
      <c r="F25" s="43" t="s">
        <v>22</v>
      </c>
      <c r="G25" s="61" t="b">
        <f>'Platform RQMT Checklist'!C53</f>
        <v>0</v>
      </c>
    </row>
    <row r="26" spans="1:7" ht="15.75" thickBot="1" x14ac:dyDescent="0.3">
      <c r="A26" s="43" t="s">
        <v>252</v>
      </c>
      <c r="B26" s="43" t="s">
        <v>378</v>
      </c>
      <c r="C26" s="43" t="s">
        <v>22</v>
      </c>
      <c r="D26" s="43" t="s">
        <v>22</v>
      </c>
      <c r="E26" s="43" t="s">
        <v>22</v>
      </c>
      <c r="F26" s="43" t="s">
        <v>22</v>
      </c>
      <c r="G26" s="61" t="b">
        <f>'Platform RQMT Checklist'!C54</f>
        <v>0</v>
      </c>
    </row>
    <row r="27" spans="1:7" ht="15.75" thickBot="1" x14ac:dyDescent="0.3">
      <c r="A27" s="43" t="s">
        <v>257</v>
      </c>
      <c r="B27" s="43" t="s">
        <v>379</v>
      </c>
      <c r="C27" s="43" t="s">
        <v>22</v>
      </c>
      <c r="D27" s="43" t="s">
        <v>22</v>
      </c>
      <c r="E27" s="43" t="s">
        <v>22</v>
      </c>
      <c r="F27" s="43" t="s">
        <v>22</v>
      </c>
      <c r="G27" s="61" t="b">
        <f>'Platform RQMT Checklist'!C55</f>
        <v>0</v>
      </c>
    </row>
    <row r="28" spans="1:7" ht="15.75" thickBot="1" x14ac:dyDescent="0.3">
      <c r="A28" s="43" t="s">
        <v>263</v>
      </c>
      <c r="B28" s="43" t="s">
        <v>380</v>
      </c>
      <c r="C28" s="43" t="s">
        <v>22</v>
      </c>
      <c r="D28" s="43" t="s">
        <v>22</v>
      </c>
      <c r="E28" s="43" t="s">
        <v>22</v>
      </c>
      <c r="F28" s="43" t="s">
        <v>22</v>
      </c>
      <c r="G28" s="61" t="b">
        <f>'Platform RQMT Checklist'!C57</f>
        <v>0</v>
      </c>
    </row>
    <row r="29" spans="1:7" ht="15.75" thickBot="1" x14ac:dyDescent="0.3">
      <c r="A29" s="43" t="s">
        <v>286</v>
      </c>
      <c r="B29" s="43" t="s">
        <v>381</v>
      </c>
      <c r="C29" s="43" t="s">
        <v>22</v>
      </c>
      <c r="D29" s="43" t="s">
        <v>22</v>
      </c>
      <c r="E29" s="43" t="s">
        <v>22</v>
      </c>
      <c r="F29" s="43" t="s">
        <v>22</v>
      </c>
      <c r="G29" s="61" t="b">
        <f>'Platform RQMT Checklist'!C69</f>
        <v>0</v>
      </c>
    </row>
    <row r="30" spans="1:7" ht="15.75" thickBot="1" x14ac:dyDescent="0.3">
      <c r="A30" s="43" t="s">
        <v>304</v>
      </c>
      <c r="B30" s="43" t="s">
        <v>82</v>
      </c>
      <c r="C30" s="43" t="s">
        <v>22</v>
      </c>
      <c r="D30" s="43" t="s">
        <v>22</v>
      </c>
      <c r="E30" s="43" t="s">
        <v>22</v>
      </c>
      <c r="F30" s="43" t="s">
        <v>22</v>
      </c>
      <c r="G30" s="61" t="b">
        <f>'Platform RQMT Checklist'!C81</f>
        <v>0</v>
      </c>
    </row>
    <row r="31" spans="1:7" ht="15.75" thickBot="1" x14ac:dyDescent="0.3">
      <c r="A31" s="15"/>
      <c r="B31" s="15"/>
      <c r="C31" s="15"/>
      <c r="D31" s="15"/>
      <c r="E31" s="15"/>
      <c r="F31" s="60" t="s">
        <v>83</v>
      </c>
      <c r="G31" s="61" t="b">
        <f>AND(G5:G30)</f>
        <v>0</v>
      </c>
    </row>
    <row r="32" spans="1:7" ht="15.75" thickBot="1" x14ac:dyDescent="0.3">
      <c r="A32" s="15"/>
      <c r="B32" s="15"/>
      <c r="C32" s="15"/>
      <c r="D32" s="15"/>
      <c r="E32" s="15"/>
      <c r="F32" s="15"/>
      <c r="G32" s="15"/>
    </row>
    <row r="33" spans="1:6" ht="15.75" thickBot="1" x14ac:dyDescent="0.3">
      <c r="A33" s="38" t="s">
        <v>382</v>
      </c>
      <c r="B33" s="15"/>
      <c r="C33" s="15"/>
      <c r="D33" s="15"/>
      <c r="E33" s="40"/>
      <c r="F33" s="15"/>
    </row>
    <row r="34" spans="1:6" ht="15.75" thickBot="1" x14ac:dyDescent="0.3">
      <c r="A34" s="39" t="s">
        <v>24</v>
      </c>
      <c r="B34" s="44" t="s">
        <v>79</v>
      </c>
      <c r="C34" s="44" t="s">
        <v>80</v>
      </c>
      <c r="D34" s="44" t="s">
        <v>81</v>
      </c>
      <c r="E34" s="44" t="s">
        <v>26</v>
      </c>
      <c r="F34" s="15"/>
    </row>
    <row r="35" spans="1:6" ht="15.75" thickBot="1" x14ac:dyDescent="0.3">
      <c r="A35" s="65" t="s">
        <v>309</v>
      </c>
      <c r="B35" s="65" t="s">
        <v>383</v>
      </c>
      <c r="C35" s="43" t="s">
        <v>84</v>
      </c>
      <c r="D35" s="43" t="s">
        <v>84</v>
      </c>
      <c r="E35" s="61" t="b">
        <f>'Platform RQMT Checklist'!C83</f>
        <v>0</v>
      </c>
      <c r="F35" s="15"/>
    </row>
    <row r="36" spans="1:6" ht="15.75" thickBot="1" x14ac:dyDescent="0.3">
      <c r="A36" s="65"/>
      <c r="B36" s="65"/>
      <c r="C36" s="43" t="s">
        <v>189</v>
      </c>
      <c r="D36" s="43" t="s">
        <v>372</v>
      </c>
      <c r="E36" s="61" t="b">
        <f>'Platform RQMT Checklist'!C28</f>
        <v>0</v>
      </c>
      <c r="F36" s="15"/>
    </row>
    <row r="37" spans="1:6" ht="15.75" thickBot="1" x14ac:dyDescent="0.3">
      <c r="A37" s="65"/>
      <c r="B37" s="65"/>
      <c r="C37" s="43" t="s">
        <v>193</v>
      </c>
      <c r="D37" s="43" t="s">
        <v>373</v>
      </c>
      <c r="E37" s="61" t="b">
        <f>'Platform RQMT Checklist'!C29</f>
        <v>0</v>
      </c>
      <c r="F37" s="15"/>
    </row>
    <row r="38" spans="1:6" ht="26.25" thickBot="1" x14ac:dyDescent="0.3">
      <c r="A38" s="65"/>
      <c r="B38" s="65"/>
      <c r="C38" s="43" t="s">
        <v>197</v>
      </c>
      <c r="D38" s="43" t="s">
        <v>374</v>
      </c>
      <c r="E38" s="61" t="b">
        <f>'Platform RQMT Checklist'!C30</f>
        <v>0</v>
      </c>
      <c r="F38" s="15"/>
    </row>
    <row r="39" spans="1:6" ht="15.75" thickBot="1" x14ac:dyDescent="0.3">
      <c r="A39" s="65"/>
      <c r="B39" s="65"/>
      <c r="C39" s="43" t="s">
        <v>239</v>
      </c>
      <c r="D39" s="43" t="s">
        <v>375</v>
      </c>
      <c r="E39" s="61" t="b">
        <f>'Platform RQMT Checklist'!C50</f>
        <v>0</v>
      </c>
      <c r="F39" s="15"/>
    </row>
    <row r="40" spans="1:6" ht="15.75" thickBot="1" x14ac:dyDescent="0.3">
      <c r="A40" s="65"/>
      <c r="B40" s="65"/>
      <c r="C40" s="43" t="s">
        <v>248</v>
      </c>
      <c r="D40" s="43" t="s">
        <v>377</v>
      </c>
      <c r="E40" s="61" t="b">
        <f>'Platform RQMT Checklist'!C53</f>
        <v>0</v>
      </c>
      <c r="F40" s="15"/>
    </row>
    <row r="41" spans="1:6" ht="15.75" thickBot="1" x14ac:dyDescent="0.3">
      <c r="A41" s="65"/>
      <c r="B41" s="65"/>
      <c r="C41" s="43" t="s">
        <v>252</v>
      </c>
      <c r="D41" s="43" t="s">
        <v>378</v>
      </c>
      <c r="E41" s="61" t="b">
        <f>'Platform RQMT Checklist'!C54</f>
        <v>0</v>
      </c>
      <c r="F41" s="15"/>
    </row>
    <row r="42" spans="1:6" ht="15.75" thickBot="1" x14ac:dyDescent="0.3">
      <c r="A42" s="65"/>
      <c r="B42" s="65"/>
      <c r="C42" s="43" t="s">
        <v>257</v>
      </c>
      <c r="D42" s="43" t="s">
        <v>379</v>
      </c>
      <c r="E42" s="61" t="b">
        <f>'Platform RQMT Checklist'!C55</f>
        <v>0</v>
      </c>
      <c r="F42" s="15"/>
    </row>
    <row r="43" spans="1:6" ht="15.75" thickBot="1" x14ac:dyDescent="0.3">
      <c r="A43" s="65"/>
      <c r="B43" s="65"/>
      <c r="C43" s="43" t="s">
        <v>263</v>
      </c>
      <c r="D43" s="43" t="s">
        <v>380</v>
      </c>
      <c r="E43" s="61" t="b">
        <f>'Platform RQMT Checklist'!C57</f>
        <v>0</v>
      </c>
      <c r="F43" s="15"/>
    </row>
    <row r="44" spans="1:6" ht="15.75" thickBot="1" x14ac:dyDescent="0.3">
      <c r="A44" s="65"/>
      <c r="B44" s="65"/>
      <c r="C44" s="43" t="s">
        <v>286</v>
      </c>
      <c r="D44" s="43" t="s">
        <v>381</v>
      </c>
      <c r="E44" s="61" t="b">
        <f>'Platform RQMT Checklist'!C69</f>
        <v>0</v>
      </c>
      <c r="F44" s="15"/>
    </row>
    <row r="45" spans="1:6" ht="15.75" thickBot="1" x14ac:dyDescent="0.3">
      <c r="A45" s="65"/>
      <c r="B45" s="65"/>
      <c r="C45" s="43" t="s">
        <v>244</v>
      </c>
      <c r="D45" s="43" t="s">
        <v>376</v>
      </c>
      <c r="E45" s="61" t="b">
        <f>'Platform RQMT Checklist'!C52</f>
        <v>0</v>
      </c>
      <c r="F45" s="15"/>
    </row>
    <row r="46" spans="1:6" ht="15.75" thickBot="1" x14ac:dyDescent="0.3">
      <c r="A46" s="65"/>
      <c r="B46" s="65"/>
      <c r="C46" s="43" t="s">
        <v>304</v>
      </c>
      <c r="D46" s="43" t="s">
        <v>82</v>
      </c>
      <c r="E46" s="61" t="b">
        <f>'Platform RQMT Checklist'!C81</f>
        <v>0</v>
      </c>
      <c r="F46" s="15"/>
    </row>
    <row r="47" spans="1:6" ht="15.75" thickBot="1" x14ac:dyDescent="0.3">
      <c r="A47" s="15"/>
      <c r="B47" s="15"/>
      <c r="C47" s="15"/>
      <c r="D47" s="47" t="s">
        <v>85</v>
      </c>
      <c r="E47" s="61" t="b">
        <f>AND(E35:E46)</f>
        <v>0</v>
      </c>
      <c r="F47" s="15"/>
    </row>
    <row r="48" spans="1:6" ht="15.75" thickBot="1" x14ac:dyDescent="0.3">
      <c r="A48" s="15"/>
      <c r="B48" s="15"/>
      <c r="C48" s="15"/>
      <c r="D48" s="15"/>
      <c r="E48" s="40"/>
      <c r="F48" s="15"/>
    </row>
    <row r="49" spans="1:6" ht="15.75" thickBot="1" x14ac:dyDescent="0.3">
      <c r="A49" s="38" t="s">
        <v>384</v>
      </c>
      <c r="B49" s="15"/>
      <c r="C49" s="15"/>
      <c r="D49" s="15"/>
      <c r="E49" s="40"/>
      <c r="F49" s="15"/>
    </row>
    <row r="50" spans="1:6" ht="15.75" thickBot="1" x14ac:dyDescent="0.3">
      <c r="A50" s="39" t="s">
        <v>24</v>
      </c>
      <c r="B50" s="44" t="s">
        <v>79</v>
      </c>
      <c r="C50" s="44" t="s">
        <v>80</v>
      </c>
      <c r="D50" s="44" t="s">
        <v>81</v>
      </c>
      <c r="E50" s="44" t="s">
        <v>26</v>
      </c>
      <c r="F50" s="15"/>
    </row>
    <row r="51" spans="1:6" ht="15.75" thickBot="1" x14ac:dyDescent="0.3">
      <c r="A51" s="65" t="s">
        <v>314</v>
      </c>
      <c r="B51" s="65" t="s">
        <v>86</v>
      </c>
      <c r="C51" s="43" t="s">
        <v>84</v>
      </c>
      <c r="D51" s="43" t="s">
        <v>84</v>
      </c>
      <c r="E51" s="61" t="b">
        <f>'Platform RQMT Checklist'!C84</f>
        <v>0</v>
      </c>
      <c r="F51" s="15"/>
    </row>
    <row r="52" spans="1:6" ht="15.75" thickBot="1" x14ac:dyDescent="0.3">
      <c r="A52" s="65"/>
      <c r="B52" s="65"/>
      <c r="C52" s="43" t="s">
        <v>309</v>
      </c>
      <c r="D52" s="43" t="s">
        <v>383</v>
      </c>
      <c r="E52" s="61" t="b">
        <f>'Platform RQMT Checklist'!C83</f>
        <v>0</v>
      </c>
      <c r="F52" s="15"/>
    </row>
    <row r="53" spans="1:6" ht="15.75" thickBot="1" x14ac:dyDescent="0.3">
      <c r="A53" s="43" t="s">
        <v>320</v>
      </c>
      <c r="B53" s="43" t="s">
        <v>385</v>
      </c>
      <c r="C53" s="43" t="s">
        <v>22</v>
      </c>
      <c r="D53" s="43" t="s">
        <v>22</v>
      </c>
      <c r="E53" s="61" t="b">
        <f>'Platform RQMT Checklist'!C85</f>
        <v>0</v>
      </c>
      <c r="F53" s="15"/>
    </row>
    <row r="54" spans="1:6" ht="15.75" thickBot="1" x14ac:dyDescent="0.3">
      <c r="A54" s="15"/>
      <c r="B54" s="15"/>
      <c r="C54" s="15"/>
      <c r="D54" s="47" t="s">
        <v>87</v>
      </c>
      <c r="E54" s="61" t="b">
        <f>AND(E51:E53)</f>
        <v>0</v>
      </c>
      <c r="F54" s="15"/>
    </row>
  </sheetData>
  <sheetProtection algorithmName="SHA-512" hashValue="KfRG29ISWOn9mN4ZzsxkQ9MN1jyaQwyKiypLMFJyVnzvjxrixEDUZCMhpz8lvTHpWpo5pMJe+kZ83cpSbGJyrA==" saltValue="8EzqWr8niqhYvRN6ZsHnJA==" spinCount="100000" sheet="1" objects="1" scenarios="1" sort="0" autoFilter="0"/>
  <mergeCells count="14">
    <mergeCell ref="D18:D19"/>
    <mergeCell ref="C18:C19"/>
    <mergeCell ref="C7:C8"/>
    <mergeCell ref="D7:D8"/>
    <mergeCell ref="A5:A9"/>
    <mergeCell ref="B5:B9"/>
    <mergeCell ref="B10:B21"/>
    <mergeCell ref="A10:A21"/>
    <mergeCell ref="C20:C21"/>
    <mergeCell ref="A35:A46"/>
    <mergeCell ref="B35:B46"/>
    <mergeCell ref="A51:A52"/>
    <mergeCell ref="B51:B52"/>
    <mergeCell ref="D20:D21"/>
  </mergeCells>
  <conditionalFormatting sqref="B1">
    <cfRule type="containsText" dxfId="44" priority="7" operator="containsText" text="Tier 3">
      <formula>NOT(ISERROR(SEARCH("Tier 3",B1)))</formula>
    </cfRule>
    <cfRule type="containsText" dxfId="43" priority="8" operator="containsText" text="Tier 2">
      <formula>NOT(ISERROR(SEARCH("Tier 2",B1)))</formula>
    </cfRule>
    <cfRule type="containsText" dxfId="42" priority="9" operator="containsText" text="Tier 1">
      <formula>NOT(ISERROR(SEARCH("Tier 1",B1)))</formula>
    </cfRule>
    <cfRule type="containsText" dxfId="41" priority="10" operator="containsText" text="Not Tier Compliant">
      <formula>NOT(ISERROR(SEARCH("Not Tier Compliant",B1)))</formula>
    </cfRule>
  </conditionalFormatting>
  <conditionalFormatting sqref="E35:E47">
    <cfRule type="containsText" dxfId="40" priority="3" operator="containsText" text="TRUE">
      <formula>NOT(ISERROR(SEARCH("TRUE",E35)))</formula>
    </cfRule>
    <cfRule type="containsText" dxfId="39" priority="4" operator="containsText" text="FALSE">
      <formula>NOT(ISERROR(SEARCH("FALSE",E35)))</formula>
    </cfRule>
  </conditionalFormatting>
  <conditionalFormatting sqref="E51:E54">
    <cfRule type="containsText" dxfId="38" priority="1" operator="containsText" text="TRUE">
      <formula>NOT(ISERROR(SEARCH("TRUE",E51)))</formula>
    </cfRule>
    <cfRule type="containsText" dxfId="37" priority="2" operator="containsText" text="FALSE">
      <formula>NOT(ISERROR(SEARCH("FALSE",E51)))</formula>
    </cfRule>
  </conditionalFormatting>
  <conditionalFormatting sqref="G5:G31">
    <cfRule type="containsText" dxfId="36" priority="5" operator="containsText" text="TRUE">
      <formula>NOT(ISERROR(SEARCH("TRUE",G5)))</formula>
    </cfRule>
    <cfRule type="containsText" dxfId="35" priority="6" operator="containsText" text="FALSE">
      <formula>NOT(ISERROR(SEARCH("FALSE",G5)))</formula>
    </cfRule>
  </conditionalFormatting>
  <pageMargins left="0.45" right="0.45" top="0.75" bottom="0.75" header="0.3" footer="0.3"/>
  <pageSetup fitToWidth="0" fitToHeight="0" orientation="portrait" horizontalDpi="1200" verticalDpi="1200" r:id="rId1"/>
  <headerFooter>
    <oddHeader>&amp;L&amp;"Times New Roman,Regular"Platform Checklist&amp;RRev. &amp;K00B050-&amp;K01+000
&amp;K00B050Date as dd Month YYYY</oddHeader>
    <oddFooter>&amp;C&amp;"Times New Roman,Regular"&amp;10See disclaimer and distribution A statements on cover page.</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21A30-80A5-4706-9135-FFEDDE72D46F}">
  <sheetPr codeName="Sheet7">
    <tabColor theme="4"/>
  </sheetPr>
  <dimension ref="A1:Q86"/>
  <sheetViews>
    <sheetView zoomScale="85" zoomScaleNormal="85" workbookViewId="0">
      <pane xSplit="10" ySplit="1" topLeftCell="K2" activePane="bottomRight" state="frozen"/>
      <selection activeCell="A11" sqref="A11"/>
      <selection pane="topRight" activeCell="A11" sqref="A11"/>
      <selection pane="bottomLeft" activeCell="A11" sqref="A11"/>
      <selection pane="bottomRight" activeCell="K2" sqref="K2"/>
    </sheetView>
  </sheetViews>
  <sheetFormatPr defaultColWidth="9.140625" defaultRowHeight="79.900000000000006" customHeight="1" x14ac:dyDescent="0.25"/>
  <cols>
    <col min="1" max="1" width="14.7109375" style="22" bestFit="1" customWidth="1"/>
    <col min="2" max="2" width="20.7109375" style="22" customWidth="1"/>
    <col min="3" max="3" width="12.28515625" style="23" bestFit="1" customWidth="1"/>
    <col min="4" max="4" width="20.7109375" style="22" customWidth="1"/>
    <col min="5" max="5" width="15.5703125" style="22" bestFit="1" customWidth="1"/>
    <col min="6" max="6" width="13.42578125" style="23" bestFit="1" customWidth="1"/>
    <col min="7" max="7" width="13.140625" style="23" bestFit="1" customWidth="1"/>
    <col min="8" max="8" width="13.28515625" style="23" bestFit="1" customWidth="1"/>
    <col min="9" max="9" width="25.42578125" style="22" customWidth="1"/>
    <col min="10" max="10" width="13.28515625" style="30" bestFit="1" customWidth="1"/>
    <col min="11" max="11" width="30.7109375" style="22" customWidth="1"/>
    <col min="12" max="12" width="13.28515625" style="23" bestFit="1" customWidth="1"/>
    <col min="13" max="13" width="14.140625" style="23" bestFit="1" customWidth="1"/>
    <col min="14" max="14" width="30.7109375" style="22" customWidth="1"/>
    <col min="15" max="15" width="12.7109375" style="22" customWidth="1"/>
    <col min="16" max="16" width="11.42578125" style="23" customWidth="1"/>
    <col min="17" max="17" width="20.7109375" style="22" customWidth="1"/>
    <col min="18" max="16384" width="9.140625" style="22"/>
  </cols>
  <sheetData>
    <row r="1" spans="1:17" ht="39.75" customHeight="1" thickBot="1" x14ac:dyDescent="0.3">
      <c r="A1" s="19" t="s">
        <v>24</v>
      </c>
      <c r="B1" s="20" t="s">
        <v>25</v>
      </c>
      <c r="C1" s="20" t="s">
        <v>26</v>
      </c>
      <c r="D1" s="20" t="s">
        <v>27</v>
      </c>
      <c r="E1" s="20" t="s">
        <v>28</v>
      </c>
      <c r="F1" s="20" t="s">
        <v>29</v>
      </c>
      <c r="G1" s="20" t="s">
        <v>30</v>
      </c>
      <c r="H1" s="20" t="s">
        <v>31</v>
      </c>
      <c r="I1" s="35" t="s">
        <v>32</v>
      </c>
      <c r="J1" s="35" t="s">
        <v>33</v>
      </c>
      <c r="K1" s="35" t="s">
        <v>34</v>
      </c>
      <c r="L1" s="35" t="s">
        <v>35</v>
      </c>
      <c r="M1" s="35" t="s">
        <v>36</v>
      </c>
      <c r="N1" s="35" t="s">
        <v>37</v>
      </c>
      <c r="O1" s="35" t="s">
        <v>38</v>
      </c>
      <c r="P1" s="20" t="s">
        <v>23</v>
      </c>
      <c r="Q1" s="20" t="s">
        <v>39</v>
      </c>
    </row>
    <row r="2" spans="1:17" ht="123.75" customHeight="1" thickBot="1" x14ac:dyDescent="0.3">
      <c r="A2" s="48" t="s">
        <v>105</v>
      </c>
      <c r="B2" s="49" t="s">
        <v>106</v>
      </c>
      <c r="C2" s="50" t="b">
        <f>AND((OR(IF(F2=TRUE,TRUE,FALSE),IF(F2="N/A",TRUE,FALSE))),H2=TRUE)</f>
        <v>0</v>
      </c>
      <c r="D2" s="49"/>
      <c r="E2" s="51"/>
      <c r="F2" s="50" t="s">
        <v>22</v>
      </c>
      <c r="G2" s="51" t="s">
        <v>57</v>
      </c>
      <c r="H2" s="52" t="b">
        <f>AND(M2)</f>
        <v>0</v>
      </c>
      <c r="I2" s="43" t="s">
        <v>107</v>
      </c>
      <c r="J2" s="53" t="s">
        <v>40</v>
      </c>
      <c r="K2" s="43" t="s">
        <v>108</v>
      </c>
      <c r="L2" s="53" t="s">
        <v>41</v>
      </c>
      <c r="M2" s="32" t="b">
        <f>AND(OR(IF(P2=TRUE,TRUE,FALSE),(IF(P2="N/A",NOT(ISBLANK(Q2))))))</f>
        <v>0</v>
      </c>
      <c r="N2" s="43" t="s">
        <v>109</v>
      </c>
      <c r="O2" s="45" t="s">
        <v>110</v>
      </c>
      <c r="P2" s="58" t="s">
        <v>63</v>
      </c>
      <c r="Q2" s="62"/>
    </row>
    <row r="3" spans="1:17" ht="203.25" customHeight="1" thickBot="1" x14ac:dyDescent="0.3">
      <c r="A3" s="48" t="s">
        <v>111</v>
      </c>
      <c r="B3" s="49" t="s">
        <v>112</v>
      </c>
      <c r="C3" s="50" t="b">
        <f>AND((OR(IF(F3=TRUE,TRUE,FALSE),IF(F3="N/A",TRUE,FALSE))),H3=TRUE)</f>
        <v>0</v>
      </c>
      <c r="D3" s="49"/>
      <c r="E3" s="51" t="s">
        <v>113</v>
      </c>
      <c r="F3" s="50" t="b">
        <f>AND(C5)</f>
        <v>0</v>
      </c>
      <c r="G3" s="51" t="s">
        <v>57</v>
      </c>
      <c r="H3" s="52" t="b">
        <f>AND(M3)</f>
        <v>0</v>
      </c>
      <c r="I3" s="43" t="s">
        <v>114</v>
      </c>
      <c r="J3" s="53" t="s">
        <v>40</v>
      </c>
      <c r="K3" s="43" t="s">
        <v>326</v>
      </c>
      <c r="L3" s="53" t="s">
        <v>41</v>
      </c>
      <c r="M3" s="32" t="b">
        <f>AND(OR(IF(P3=TRUE,TRUE,FALSE),(IF(P3="N/A",NOT(ISBLANK(Q3))))))</f>
        <v>0</v>
      </c>
      <c r="N3" s="43" t="s">
        <v>115</v>
      </c>
      <c r="O3" s="45" t="s">
        <v>116</v>
      </c>
      <c r="P3" s="80" t="b">
        <f>F3</f>
        <v>0</v>
      </c>
      <c r="Q3" s="81" t="s">
        <v>386</v>
      </c>
    </row>
    <row r="4" spans="1:17" ht="147" customHeight="1" thickBot="1" x14ac:dyDescent="0.3">
      <c r="A4" s="48" t="s">
        <v>117</v>
      </c>
      <c r="B4" s="49" t="s">
        <v>118</v>
      </c>
      <c r="C4" s="50" t="b">
        <f>AND((OR(IF(F4=TRUE,TRUE,FALSE),IF(F4="N/A",TRUE,FALSE))),H4=TRUE)</f>
        <v>0</v>
      </c>
      <c r="D4" s="49"/>
      <c r="E4" s="51"/>
      <c r="F4" s="50" t="s">
        <v>22</v>
      </c>
      <c r="G4" s="51" t="s">
        <v>57</v>
      </c>
      <c r="H4" s="52" t="b">
        <f>AND(M4)</f>
        <v>0</v>
      </c>
      <c r="I4" s="43" t="s">
        <v>119</v>
      </c>
      <c r="J4" s="53" t="s">
        <v>40</v>
      </c>
      <c r="K4" s="43" t="s">
        <v>327</v>
      </c>
      <c r="L4" s="53" t="s">
        <v>41</v>
      </c>
      <c r="M4" s="32" t="b">
        <f>AND(OR(IF(P4=TRUE,TRUE,FALSE),(IF(P4="N/A",NOT(ISBLANK(Q4))))))</f>
        <v>0</v>
      </c>
      <c r="N4" s="43" t="s">
        <v>120</v>
      </c>
      <c r="O4" s="45" t="s">
        <v>110</v>
      </c>
      <c r="P4" s="58" t="s">
        <v>63</v>
      </c>
      <c r="Q4" s="62"/>
    </row>
    <row r="5" spans="1:17" ht="176.25" customHeight="1" thickBot="1" x14ac:dyDescent="0.3">
      <c r="A5" s="70" t="s">
        <v>121</v>
      </c>
      <c r="B5" s="70" t="s">
        <v>122</v>
      </c>
      <c r="C5" s="72" t="b">
        <f>AND((OR(IF(F5=TRUE,TRUE,FALSE),IF(F5="N/A",TRUE,FALSE))),H5=TRUE)</f>
        <v>0</v>
      </c>
      <c r="D5" s="70"/>
      <c r="E5" s="74"/>
      <c r="F5" s="72" t="s">
        <v>22</v>
      </c>
      <c r="G5" s="74" t="s">
        <v>328</v>
      </c>
      <c r="H5" s="66" t="b">
        <f>AND(M5,M6,M8,M10)</f>
        <v>0</v>
      </c>
      <c r="I5" s="43" t="s">
        <v>123</v>
      </c>
      <c r="J5" s="53" t="s">
        <v>40</v>
      </c>
      <c r="K5" s="43" t="s">
        <v>329</v>
      </c>
      <c r="L5" s="53" t="s">
        <v>58</v>
      </c>
      <c r="M5" s="32" t="b">
        <f>AND(OR(IF(P5=TRUE,TRUE,FALSE),(IF(P5="N/A",NOT(ISBLANK(Q5))))))</f>
        <v>0</v>
      </c>
      <c r="N5" s="43" t="s">
        <v>124</v>
      </c>
      <c r="O5" s="45" t="s">
        <v>110</v>
      </c>
      <c r="P5" s="58" t="s">
        <v>63</v>
      </c>
      <c r="Q5" s="62"/>
    </row>
    <row r="6" spans="1:17" ht="137.25" customHeight="1" thickBot="1" x14ac:dyDescent="0.3">
      <c r="A6" s="77"/>
      <c r="B6" s="77"/>
      <c r="C6" s="76"/>
      <c r="D6" s="77"/>
      <c r="E6" s="78"/>
      <c r="F6" s="76"/>
      <c r="G6" s="78"/>
      <c r="H6" s="79"/>
      <c r="I6" s="65" t="s">
        <v>125</v>
      </c>
      <c r="J6" s="68" t="s">
        <v>40</v>
      </c>
      <c r="K6" s="65" t="s">
        <v>330</v>
      </c>
      <c r="L6" s="68" t="s">
        <v>64</v>
      </c>
      <c r="M6" s="69" t="b">
        <f>IF(P6=TRUE,TRUE,(AND((OR(IF(P7=TRUE,TRUE,FALSE),(IF(P7="N/A",NOT(ISBLANK(Q7)))))))))</f>
        <v>0</v>
      </c>
      <c r="N6" s="43" t="s">
        <v>126</v>
      </c>
      <c r="O6" s="45" t="s">
        <v>110</v>
      </c>
      <c r="P6" s="58" t="s">
        <v>43</v>
      </c>
      <c r="Q6" s="62"/>
    </row>
    <row r="7" spans="1:17" ht="146.25" customHeight="1" thickBot="1" x14ac:dyDescent="0.3">
      <c r="A7" s="77"/>
      <c r="B7" s="77"/>
      <c r="C7" s="76"/>
      <c r="D7" s="77"/>
      <c r="E7" s="78"/>
      <c r="F7" s="76"/>
      <c r="G7" s="78"/>
      <c r="H7" s="79"/>
      <c r="I7" s="65"/>
      <c r="J7" s="68"/>
      <c r="K7" s="65"/>
      <c r="L7" s="68"/>
      <c r="M7" s="69"/>
      <c r="N7" s="43" t="s">
        <v>127</v>
      </c>
      <c r="O7" s="45" t="s">
        <v>110</v>
      </c>
      <c r="P7" s="58" t="s">
        <v>65</v>
      </c>
      <c r="Q7" s="62"/>
    </row>
    <row r="8" spans="1:17" ht="99.75" customHeight="1" thickBot="1" x14ac:dyDescent="0.3">
      <c r="A8" s="77"/>
      <c r="B8" s="77"/>
      <c r="C8" s="76"/>
      <c r="D8" s="77"/>
      <c r="E8" s="78"/>
      <c r="F8" s="76"/>
      <c r="G8" s="78"/>
      <c r="H8" s="79"/>
      <c r="I8" s="65" t="s">
        <v>128</v>
      </c>
      <c r="J8" s="68" t="s">
        <v>40</v>
      </c>
      <c r="K8" s="65" t="s">
        <v>331</v>
      </c>
      <c r="L8" s="68" t="s">
        <v>44</v>
      </c>
      <c r="M8" s="69" t="b">
        <f>IF(P8=TRUE,TRUE,(AND((OR(IF(P9=TRUE,TRUE,FALSE),(IF(P9="N/A",NOT(ISBLANK(Q9)))))))))</f>
        <v>0</v>
      </c>
      <c r="N8" s="43" t="s">
        <v>129</v>
      </c>
      <c r="O8" s="45" t="s">
        <v>110</v>
      </c>
      <c r="P8" s="58" t="s">
        <v>66</v>
      </c>
      <c r="Q8" s="62"/>
    </row>
    <row r="9" spans="1:17" ht="99.75" customHeight="1" thickBot="1" x14ac:dyDescent="0.3">
      <c r="A9" s="77"/>
      <c r="B9" s="77"/>
      <c r="C9" s="76"/>
      <c r="D9" s="77"/>
      <c r="E9" s="78"/>
      <c r="F9" s="76"/>
      <c r="G9" s="78"/>
      <c r="H9" s="79"/>
      <c r="I9" s="65"/>
      <c r="J9" s="68"/>
      <c r="K9" s="65"/>
      <c r="L9" s="68"/>
      <c r="M9" s="69"/>
      <c r="N9" s="43" t="s">
        <v>130</v>
      </c>
      <c r="O9" s="45" t="s">
        <v>110</v>
      </c>
      <c r="P9" s="58" t="s">
        <v>67</v>
      </c>
      <c r="Q9" s="62"/>
    </row>
    <row r="10" spans="1:17" ht="99" customHeight="1" thickBot="1" x14ac:dyDescent="0.3">
      <c r="A10" s="77"/>
      <c r="B10" s="77"/>
      <c r="C10" s="76"/>
      <c r="D10" s="77"/>
      <c r="E10" s="78"/>
      <c r="F10" s="76"/>
      <c r="G10" s="78"/>
      <c r="H10" s="79"/>
      <c r="I10" s="65" t="s">
        <v>131</v>
      </c>
      <c r="J10" s="68" t="s">
        <v>40</v>
      </c>
      <c r="K10" s="65" t="s">
        <v>332</v>
      </c>
      <c r="L10" s="68" t="s">
        <v>45</v>
      </c>
      <c r="M10" s="69" t="b">
        <f>IF(P10=TRUE,TRUE,(AND((OR(IF(P11=TRUE,TRUE,FALSE),(IF(P11="N/A",NOT(ISBLANK(Q11)))))))))</f>
        <v>0</v>
      </c>
      <c r="N10" s="43" t="s">
        <v>132</v>
      </c>
      <c r="O10" s="45" t="s">
        <v>59</v>
      </c>
      <c r="P10" s="58" t="s">
        <v>68</v>
      </c>
      <c r="Q10" s="62"/>
    </row>
    <row r="11" spans="1:17" ht="147" customHeight="1" thickBot="1" x14ac:dyDescent="0.3">
      <c r="A11" s="71"/>
      <c r="B11" s="71"/>
      <c r="C11" s="73"/>
      <c r="D11" s="71"/>
      <c r="E11" s="75"/>
      <c r="F11" s="73"/>
      <c r="G11" s="75"/>
      <c r="H11" s="67"/>
      <c r="I11" s="65"/>
      <c r="J11" s="68"/>
      <c r="K11" s="65"/>
      <c r="L11" s="68"/>
      <c r="M11" s="69"/>
      <c r="N11" s="43" t="s">
        <v>133</v>
      </c>
      <c r="O11" s="45" t="s">
        <v>59</v>
      </c>
      <c r="P11" s="58" t="s">
        <v>69</v>
      </c>
      <c r="Q11" s="62"/>
    </row>
    <row r="12" spans="1:17" ht="157.5" customHeight="1" thickBot="1" x14ac:dyDescent="0.3">
      <c r="A12" s="48" t="s">
        <v>134</v>
      </c>
      <c r="B12" s="49" t="s">
        <v>135</v>
      </c>
      <c r="C12" s="50" t="b">
        <f>AND((OR(IF(F12=TRUE,TRUE,FALSE),IF(F12="N/A",TRUE,FALSE))),H12=TRUE)</f>
        <v>0</v>
      </c>
      <c r="D12" s="49"/>
      <c r="E12" s="51"/>
      <c r="F12" s="50" t="s">
        <v>22</v>
      </c>
      <c r="G12" s="51" t="s">
        <v>57</v>
      </c>
      <c r="H12" s="52" t="b">
        <f>AND(M12)</f>
        <v>0</v>
      </c>
      <c r="I12" s="43" t="s">
        <v>136</v>
      </c>
      <c r="J12" s="53" t="s">
        <v>40</v>
      </c>
      <c r="K12" s="43"/>
      <c r="L12" s="53" t="s">
        <v>41</v>
      </c>
      <c r="M12" s="32" t="b">
        <f>AND(OR(IF(P12=TRUE,TRUE,FALSE),(IF(P12="N/A",NOT(ISBLANK(Q12))))))</f>
        <v>0</v>
      </c>
      <c r="N12" s="43" t="s">
        <v>137</v>
      </c>
      <c r="O12" s="45" t="s">
        <v>59</v>
      </c>
      <c r="P12" s="58" t="s">
        <v>63</v>
      </c>
      <c r="Q12" s="62"/>
    </row>
    <row r="13" spans="1:17" ht="79.900000000000006" customHeight="1" thickBot="1" x14ac:dyDescent="0.3">
      <c r="A13" s="70" t="s">
        <v>138</v>
      </c>
      <c r="B13" s="70" t="s">
        <v>139</v>
      </c>
      <c r="C13" s="72" t="b">
        <f>AND((OR(IF(F13=TRUE,TRUE,FALSE),IF(F13="N/A",TRUE,FALSE))),H13=TRUE)</f>
        <v>0</v>
      </c>
      <c r="D13" s="70"/>
      <c r="E13" s="74"/>
      <c r="F13" s="72" t="s">
        <v>22</v>
      </c>
      <c r="G13" s="74" t="s">
        <v>57</v>
      </c>
      <c r="H13" s="66" t="b">
        <f>AND(M13)</f>
        <v>0</v>
      </c>
      <c r="I13" s="65" t="s">
        <v>140</v>
      </c>
      <c r="J13" s="68" t="s">
        <v>40</v>
      </c>
      <c r="K13" s="65" t="s">
        <v>141</v>
      </c>
      <c r="L13" s="68" t="s">
        <v>58</v>
      </c>
      <c r="M13" s="69" t="b">
        <f>IF(P13=TRUE,TRUE,(AND((OR(IF(P14=TRUE,TRUE,FALSE),(IF(P14="N/A",NOT(ISBLANK(Q14)))))))))</f>
        <v>0</v>
      </c>
      <c r="N13" s="43" t="s">
        <v>142</v>
      </c>
      <c r="O13" s="45" t="s">
        <v>110</v>
      </c>
      <c r="P13" s="58" t="s">
        <v>63</v>
      </c>
      <c r="Q13" s="62"/>
    </row>
    <row r="14" spans="1:17" ht="118.5" customHeight="1" thickBot="1" x14ac:dyDescent="0.3">
      <c r="A14" s="71"/>
      <c r="B14" s="71"/>
      <c r="C14" s="73"/>
      <c r="D14" s="71"/>
      <c r="E14" s="75"/>
      <c r="F14" s="73"/>
      <c r="G14" s="75"/>
      <c r="H14" s="67"/>
      <c r="I14" s="65"/>
      <c r="J14" s="68"/>
      <c r="K14" s="65"/>
      <c r="L14" s="68"/>
      <c r="M14" s="69"/>
      <c r="N14" s="43" t="s">
        <v>143</v>
      </c>
      <c r="O14" s="45" t="s">
        <v>59</v>
      </c>
      <c r="P14" s="58" t="s">
        <v>60</v>
      </c>
      <c r="Q14" s="62"/>
    </row>
    <row r="15" spans="1:17" ht="153.75" customHeight="1" thickBot="1" x14ac:dyDescent="0.3">
      <c r="A15" s="48" t="s">
        <v>144</v>
      </c>
      <c r="B15" s="49" t="s">
        <v>145</v>
      </c>
      <c r="C15" s="50" t="b">
        <f>AND((OR(IF(F15=TRUE,TRUE,FALSE),IF(F15="N/A",TRUE,FALSE))),H15=TRUE)</f>
        <v>0</v>
      </c>
      <c r="D15" s="49"/>
      <c r="E15" s="51"/>
      <c r="F15" s="50" t="s">
        <v>22</v>
      </c>
      <c r="G15" s="51" t="s">
        <v>57</v>
      </c>
      <c r="H15" s="52" t="b">
        <f>AND(M15)</f>
        <v>0</v>
      </c>
      <c r="I15" s="43" t="s">
        <v>146</v>
      </c>
      <c r="J15" s="53" t="s">
        <v>40</v>
      </c>
      <c r="K15" s="43"/>
      <c r="L15" s="53" t="s">
        <v>41</v>
      </c>
      <c r="M15" s="32" t="b">
        <f>AND(OR(IF(P15=TRUE,TRUE,FALSE),(IF(P15="N/A",NOT(ISBLANK(Q15))))))</f>
        <v>0</v>
      </c>
      <c r="N15" s="43" t="s">
        <v>147</v>
      </c>
      <c r="O15" s="45" t="s">
        <v>59</v>
      </c>
      <c r="P15" s="58" t="s">
        <v>63</v>
      </c>
      <c r="Q15" s="62"/>
    </row>
    <row r="16" spans="1:17" ht="133.5" customHeight="1" thickBot="1" x14ac:dyDescent="0.3">
      <c r="A16" s="48" t="s">
        <v>148</v>
      </c>
      <c r="B16" s="49" t="s">
        <v>149</v>
      </c>
      <c r="C16" s="50" t="b">
        <f>AND((OR(IF(F16=TRUE,TRUE,FALSE),IF(F16="N/A",TRUE,FALSE))),H16=TRUE)</f>
        <v>0</v>
      </c>
      <c r="D16" s="49"/>
      <c r="E16" s="51"/>
      <c r="F16" s="50" t="s">
        <v>22</v>
      </c>
      <c r="G16" s="51" t="s">
        <v>57</v>
      </c>
      <c r="H16" s="52" t="b">
        <f>AND(M16)</f>
        <v>0</v>
      </c>
      <c r="I16" s="43" t="s">
        <v>150</v>
      </c>
      <c r="J16" s="53" t="s">
        <v>40</v>
      </c>
      <c r="K16" s="43" t="s">
        <v>151</v>
      </c>
      <c r="L16" s="53" t="s">
        <v>41</v>
      </c>
      <c r="M16" s="32" t="b">
        <f>AND(OR(IF(P16=TRUE,TRUE,FALSE),(IF(P16="N/A",NOT(ISBLANK(Q16))))))</f>
        <v>0</v>
      </c>
      <c r="N16" s="43" t="s">
        <v>152</v>
      </c>
      <c r="O16" s="45" t="s">
        <v>110</v>
      </c>
      <c r="P16" s="58" t="s">
        <v>63</v>
      </c>
      <c r="Q16" s="62"/>
    </row>
    <row r="17" spans="1:17" ht="123.75" customHeight="1" thickBot="1" x14ac:dyDescent="0.3">
      <c r="A17" s="48" t="s">
        <v>153</v>
      </c>
      <c r="B17" s="49" t="s">
        <v>154</v>
      </c>
      <c r="C17" s="50" t="b">
        <f>AND((OR(IF(F17=TRUE,TRUE,FALSE),IF(F17="N/A",TRUE,FALSE))),H17=TRUE)</f>
        <v>0</v>
      </c>
      <c r="D17" s="49"/>
      <c r="E17" s="51"/>
      <c r="F17" s="50" t="s">
        <v>22</v>
      </c>
      <c r="G17" s="51" t="s">
        <v>57</v>
      </c>
      <c r="H17" s="52" t="b">
        <f>AND(M17)</f>
        <v>0</v>
      </c>
      <c r="I17" s="43" t="s">
        <v>155</v>
      </c>
      <c r="J17" s="53" t="s">
        <v>40</v>
      </c>
      <c r="K17" s="43" t="s">
        <v>156</v>
      </c>
      <c r="L17" s="53" t="s">
        <v>41</v>
      </c>
      <c r="M17" s="32" t="b">
        <f>AND(OR(IF(P17=TRUE,TRUE,FALSE),(IF(P17="N/A",NOT(ISBLANK(Q17))))))</f>
        <v>0</v>
      </c>
      <c r="N17" s="43" t="s">
        <v>157</v>
      </c>
      <c r="O17" s="45" t="s">
        <v>110</v>
      </c>
      <c r="P17" s="58" t="s">
        <v>63</v>
      </c>
      <c r="Q17" s="62"/>
    </row>
    <row r="18" spans="1:17" ht="224.25" customHeight="1" thickBot="1" x14ac:dyDescent="0.3">
      <c r="A18" s="48" t="s">
        <v>158</v>
      </c>
      <c r="B18" s="49" t="s">
        <v>159</v>
      </c>
      <c r="C18" s="50" t="b">
        <f>AND((OR(IF(F18=TRUE,TRUE,FALSE),IF(F18="N/A",TRUE,FALSE))),H18=TRUE)</f>
        <v>0</v>
      </c>
      <c r="D18" s="49"/>
      <c r="E18" s="51"/>
      <c r="F18" s="50" t="s">
        <v>22</v>
      </c>
      <c r="G18" s="51" t="s">
        <v>57</v>
      </c>
      <c r="H18" s="52" t="b">
        <f>AND(M18)</f>
        <v>0</v>
      </c>
      <c r="I18" s="43" t="s">
        <v>160</v>
      </c>
      <c r="J18" s="53" t="s">
        <v>40</v>
      </c>
      <c r="K18" s="43" t="s">
        <v>333</v>
      </c>
      <c r="L18" s="53" t="s">
        <v>41</v>
      </c>
      <c r="M18" s="32" t="b">
        <f>AND(OR(IF(P18=TRUE,TRUE,FALSE),(IF(P18="N/A",NOT(ISBLANK(Q18))))))</f>
        <v>0</v>
      </c>
      <c r="N18" s="43" t="s">
        <v>161</v>
      </c>
      <c r="O18" s="45" t="s">
        <v>110</v>
      </c>
      <c r="P18" s="58" t="s">
        <v>63</v>
      </c>
      <c r="Q18" s="62"/>
    </row>
    <row r="19" spans="1:17" ht="79.900000000000006" customHeight="1" thickBot="1" x14ac:dyDescent="0.3">
      <c r="A19" s="70" t="s">
        <v>162</v>
      </c>
      <c r="B19" s="70" t="s">
        <v>163</v>
      </c>
      <c r="C19" s="72" t="b">
        <f>AND((OR(IF(F19=TRUE,TRUE,FALSE),IF(F19="N/A",TRUE,FALSE))),H19=TRUE)</f>
        <v>0</v>
      </c>
      <c r="D19" s="70"/>
      <c r="E19" s="74"/>
      <c r="F19" s="72" t="s">
        <v>22</v>
      </c>
      <c r="G19" s="74" t="s">
        <v>57</v>
      </c>
      <c r="H19" s="66" t="b">
        <f>AND(M19)</f>
        <v>0</v>
      </c>
      <c r="I19" s="65" t="s">
        <v>164</v>
      </c>
      <c r="J19" s="68" t="s">
        <v>40</v>
      </c>
      <c r="K19" s="65" t="s">
        <v>334</v>
      </c>
      <c r="L19" s="68" t="s">
        <v>58</v>
      </c>
      <c r="M19" s="69" t="b">
        <f>IF(P19=TRUE,TRUE,(AND((OR(IF(P20=TRUE,TRUE,FALSE),(IF(P20="N/A",NOT(ISBLANK(Q20)))))))))</f>
        <v>0</v>
      </c>
      <c r="N19" s="43" t="s">
        <v>165</v>
      </c>
      <c r="O19" s="45" t="s">
        <v>110</v>
      </c>
      <c r="P19" s="58" t="s">
        <v>63</v>
      </c>
      <c r="Q19" s="62"/>
    </row>
    <row r="20" spans="1:17" ht="79.900000000000006" customHeight="1" thickBot="1" x14ac:dyDescent="0.3">
      <c r="A20" s="71"/>
      <c r="B20" s="71"/>
      <c r="C20" s="73"/>
      <c r="D20" s="71"/>
      <c r="E20" s="75"/>
      <c r="F20" s="73"/>
      <c r="G20" s="75"/>
      <c r="H20" s="67"/>
      <c r="I20" s="65"/>
      <c r="J20" s="68"/>
      <c r="K20" s="65"/>
      <c r="L20" s="68"/>
      <c r="M20" s="69"/>
      <c r="N20" s="43" t="s">
        <v>166</v>
      </c>
      <c r="O20" s="45" t="s">
        <v>110</v>
      </c>
      <c r="P20" s="58" t="s">
        <v>60</v>
      </c>
      <c r="Q20" s="62"/>
    </row>
    <row r="21" spans="1:17" ht="144.75" customHeight="1" thickBot="1" x14ac:dyDescent="0.3">
      <c r="A21" s="48" t="s">
        <v>167</v>
      </c>
      <c r="B21" s="49" t="s">
        <v>168</v>
      </c>
      <c r="C21" s="50" t="b">
        <f>AND((OR(IF(F21=TRUE,TRUE,FALSE),IF(F21="N/A",TRUE,FALSE))),H21=TRUE)</f>
        <v>0</v>
      </c>
      <c r="D21" s="49"/>
      <c r="E21" s="51" t="s">
        <v>169</v>
      </c>
      <c r="F21" s="50" t="b">
        <f>AND(C24)</f>
        <v>0</v>
      </c>
      <c r="G21" s="51" t="s">
        <v>57</v>
      </c>
      <c r="H21" s="52" t="b">
        <f>AND(M21)</f>
        <v>0</v>
      </c>
      <c r="I21" s="43" t="s">
        <v>170</v>
      </c>
      <c r="J21" s="53" t="s">
        <v>40</v>
      </c>
      <c r="K21" s="43"/>
      <c r="L21" s="53" t="s">
        <v>41</v>
      </c>
      <c r="M21" s="32" t="b">
        <f>AND(OR(IF(P21=TRUE,TRUE,FALSE),(IF(P21="N/A",NOT(ISBLANK(Q21))))))</f>
        <v>0</v>
      </c>
      <c r="N21" s="43" t="s">
        <v>171</v>
      </c>
      <c r="O21" s="45" t="s">
        <v>116</v>
      </c>
      <c r="P21" s="80" t="b">
        <f>F21</f>
        <v>0</v>
      </c>
      <c r="Q21" s="81" t="s">
        <v>386</v>
      </c>
    </row>
    <row r="22" spans="1:17" ht="79.900000000000006" customHeight="1" thickBot="1" x14ac:dyDescent="0.3">
      <c r="A22" s="70" t="s">
        <v>172</v>
      </c>
      <c r="B22" s="70" t="s">
        <v>173</v>
      </c>
      <c r="C22" s="72" t="b">
        <f>AND((OR(IF(F22=TRUE,TRUE,FALSE),IF(F22="N/A",TRUE,FALSE))),H22=TRUE)</f>
        <v>0</v>
      </c>
      <c r="D22" s="70"/>
      <c r="E22" s="74" t="s">
        <v>174</v>
      </c>
      <c r="F22" s="72" t="b">
        <f>AND(C25)</f>
        <v>0</v>
      </c>
      <c r="G22" s="74" t="s">
        <v>57</v>
      </c>
      <c r="H22" s="66" t="b">
        <f>AND(M22)</f>
        <v>0</v>
      </c>
      <c r="I22" s="65" t="s">
        <v>175</v>
      </c>
      <c r="J22" s="68" t="s">
        <v>40</v>
      </c>
      <c r="K22" s="65" t="s">
        <v>176</v>
      </c>
      <c r="L22" s="68" t="s">
        <v>58</v>
      </c>
      <c r="M22" s="69" t="b">
        <f>IF(P22=TRUE,TRUE,(AND((OR(IF(P23=TRUE,TRUE,FALSE),(IF(P23="N/A",NOT(ISBLANK(Q23)))))))))</f>
        <v>0</v>
      </c>
      <c r="N22" s="43" t="s">
        <v>177</v>
      </c>
      <c r="O22" s="45" t="s">
        <v>116</v>
      </c>
      <c r="P22" s="58" t="s">
        <v>63</v>
      </c>
      <c r="Q22" s="62"/>
    </row>
    <row r="23" spans="1:17" ht="129.75" customHeight="1" thickBot="1" x14ac:dyDescent="0.3">
      <c r="A23" s="71"/>
      <c r="B23" s="71"/>
      <c r="C23" s="73"/>
      <c r="D23" s="71"/>
      <c r="E23" s="75"/>
      <c r="F23" s="73"/>
      <c r="G23" s="75"/>
      <c r="H23" s="67"/>
      <c r="I23" s="65"/>
      <c r="J23" s="68"/>
      <c r="K23" s="65"/>
      <c r="L23" s="68"/>
      <c r="M23" s="69"/>
      <c r="N23" s="43" t="s">
        <v>178</v>
      </c>
      <c r="O23" s="45" t="s">
        <v>116</v>
      </c>
      <c r="P23" s="80" t="b">
        <f>F22</f>
        <v>0</v>
      </c>
      <c r="Q23" s="81" t="s">
        <v>386</v>
      </c>
    </row>
    <row r="24" spans="1:17" ht="153" customHeight="1" thickBot="1" x14ac:dyDescent="0.3">
      <c r="A24" s="48" t="s">
        <v>179</v>
      </c>
      <c r="B24" s="49" t="s">
        <v>180</v>
      </c>
      <c r="C24" s="50" t="b">
        <f>AND((OR(IF(F24=TRUE,TRUE,FALSE),IF(F24="N/A",TRUE,FALSE))),H24=TRUE)</f>
        <v>0</v>
      </c>
      <c r="D24" s="49"/>
      <c r="E24" s="51"/>
      <c r="F24" s="50" t="s">
        <v>22</v>
      </c>
      <c r="G24" s="51" t="s">
        <v>57</v>
      </c>
      <c r="H24" s="52" t="b">
        <f>AND(M24)</f>
        <v>0</v>
      </c>
      <c r="I24" s="43" t="s">
        <v>181</v>
      </c>
      <c r="J24" s="53" t="s">
        <v>40</v>
      </c>
      <c r="K24" s="43" t="s">
        <v>335</v>
      </c>
      <c r="L24" s="53" t="s">
        <v>41</v>
      </c>
      <c r="M24" s="32" t="b">
        <f>AND(OR(IF(P24=TRUE,TRUE,FALSE),(IF(P24="N/A",NOT(ISBLANK(Q24))))))</f>
        <v>0</v>
      </c>
      <c r="N24" s="43" t="s">
        <v>182</v>
      </c>
      <c r="O24" s="45" t="s">
        <v>110</v>
      </c>
      <c r="P24" s="58" t="s">
        <v>63</v>
      </c>
      <c r="Q24" s="62"/>
    </row>
    <row r="25" spans="1:17" ht="79.900000000000006" customHeight="1" thickBot="1" x14ac:dyDescent="0.3">
      <c r="A25" s="70" t="s">
        <v>183</v>
      </c>
      <c r="B25" s="70" t="s">
        <v>184</v>
      </c>
      <c r="C25" s="72" t="b">
        <f>AND((OR(IF(F25=TRUE,TRUE,FALSE),IF(F25="N/A",TRUE,FALSE))),H25=TRUE)</f>
        <v>0</v>
      </c>
      <c r="D25" s="70"/>
      <c r="E25" s="74"/>
      <c r="F25" s="72" t="s">
        <v>22</v>
      </c>
      <c r="G25" s="74" t="s">
        <v>57</v>
      </c>
      <c r="H25" s="66" t="b">
        <f>AND(M25)</f>
        <v>0</v>
      </c>
      <c r="I25" s="65" t="s">
        <v>185</v>
      </c>
      <c r="J25" s="68" t="s">
        <v>40</v>
      </c>
      <c r="K25" s="65" t="s">
        <v>336</v>
      </c>
      <c r="L25" s="68" t="s">
        <v>337</v>
      </c>
      <c r="M25" s="69" t="b">
        <f>IF(P25=TRUE,TRUE,(AND((OR(IF(P26=TRUE,TRUE,FALSE),(IF(P26="N/A",NOT(ISBLANK(Q26)))))),(OR(IF(P27=TRUE,TRUE,FALSE),(IF(P27="N/A",NOT(ISBLANK(Q27)))))))))</f>
        <v>0</v>
      </c>
      <c r="N25" s="43" t="s">
        <v>186</v>
      </c>
      <c r="O25" s="45" t="s">
        <v>110</v>
      </c>
      <c r="P25" s="58" t="s">
        <v>63</v>
      </c>
      <c r="Q25" s="62"/>
    </row>
    <row r="26" spans="1:17" ht="94.5" customHeight="1" thickBot="1" x14ac:dyDescent="0.3">
      <c r="A26" s="77"/>
      <c r="B26" s="77"/>
      <c r="C26" s="76"/>
      <c r="D26" s="77"/>
      <c r="E26" s="78"/>
      <c r="F26" s="76"/>
      <c r="G26" s="78"/>
      <c r="H26" s="79"/>
      <c r="I26" s="65"/>
      <c r="J26" s="68"/>
      <c r="K26" s="65"/>
      <c r="L26" s="68"/>
      <c r="M26" s="69"/>
      <c r="N26" s="43" t="s">
        <v>187</v>
      </c>
      <c r="O26" s="45" t="s">
        <v>110</v>
      </c>
      <c r="P26" s="58" t="s">
        <v>60</v>
      </c>
      <c r="Q26" s="62"/>
    </row>
    <row r="27" spans="1:17" ht="99" customHeight="1" thickBot="1" x14ac:dyDescent="0.3">
      <c r="A27" s="71"/>
      <c r="B27" s="71"/>
      <c r="C27" s="73"/>
      <c r="D27" s="71"/>
      <c r="E27" s="75"/>
      <c r="F27" s="73"/>
      <c r="G27" s="75"/>
      <c r="H27" s="67"/>
      <c r="I27" s="65"/>
      <c r="J27" s="68"/>
      <c r="K27" s="65"/>
      <c r="L27" s="68"/>
      <c r="M27" s="69"/>
      <c r="N27" s="43" t="s">
        <v>188</v>
      </c>
      <c r="O27" s="45" t="s">
        <v>110</v>
      </c>
      <c r="P27" s="58" t="s">
        <v>74</v>
      </c>
      <c r="Q27" s="62"/>
    </row>
    <row r="28" spans="1:17" ht="150" customHeight="1" thickBot="1" x14ac:dyDescent="0.3">
      <c r="A28" s="48" t="s">
        <v>189</v>
      </c>
      <c r="B28" s="49" t="s">
        <v>190</v>
      </c>
      <c r="C28" s="50" t="b">
        <f>AND((OR(IF(F28=TRUE,TRUE,FALSE),IF(F28="N/A",TRUE,FALSE))),H28=TRUE)</f>
        <v>0</v>
      </c>
      <c r="D28" s="49"/>
      <c r="E28" s="51" t="s">
        <v>338</v>
      </c>
      <c r="F28" s="50" t="b">
        <f>AND(C2,C3,C4)</f>
        <v>0</v>
      </c>
      <c r="G28" s="51" t="s">
        <v>57</v>
      </c>
      <c r="H28" s="52" t="b">
        <f>AND(M28)</f>
        <v>0</v>
      </c>
      <c r="I28" s="43" t="s">
        <v>191</v>
      </c>
      <c r="J28" s="53" t="s">
        <v>40</v>
      </c>
      <c r="K28" s="43"/>
      <c r="L28" s="53" t="s">
        <v>41</v>
      </c>
      <c r="M28" s="32" t="b">
        <f>AND(OR(IF(P28=TRUE,TRUE,FALSE),(IF(P28="N/A",NOT(ISBLANK(Q28))))))</f>
        <v>0</v>
      </c>
      <c r="N28" s="43" t="s">
        <v>192</v>
      </c>
      <c r="O28" s="45" t="s">
        <v>116</v>
      </c>
      <c r="P28" s="80" t="b">
        <f>F28</f>
        <v>0</v>
      </c>
      <c r="Q28" s="81" t="s">
        <v>386</v>
      </c>
    </row>
    <row r="29" spans="1:17" ht="144" customHeight="1" thickBot="1" x14ac:dyDescent="0.3">
      <c r="A29" s="48" t="s">
        <v>193</v>
      </c>
      <c r="B29" s="49" t="s">
        <v>194</v>
      </c>
      <c r="C29" s="50" t="b">
        <f>AND((OR(IF(F29=TRUE,TRUE,FALSE),IF(F29="N/A",TRUE,FALSE))),H29=TRUE)</f>
        <v>0</v>
      </c>
      <c r="D29" s="49"/>
      <c r="E29" s="51" t="s">
        <v>339</v>
      </c>
      <c r="F29" s="50" t="b">
        <f>AND(C12,C13,C15,C16,C17,C18,C19,C21,C22)</f>
        <v>0</v>
      </c>
      <c r="G29" s="51" t="s">
        <v>57</v>
      </c>
      <c r="H29" s="52" t="b">
        <f>AND(M29)</f>
        <v>0</v>
      </c>
      <c r="I29" s="43" t="s">
        <v>195</v>
      </c>
      <c r="J29" s="53" t="s">
        <v>40</v>
      </c>
      <c r="K29" s="43" t="s">
        <v>340</v>
      </c>
      <c r="L29" s="53" t="s">
        <v>41</v>
      </c>
      <c r="M29" s="32" t="b">
        <f>AND(OR(IF(P29=TRUE,TRUE,FALSE),(IF(P29="N/A",NOT(ISBLANK(Q29))))))</f>
        <v>0</v>
      </c>
      <c r="N29" s="43" t="s">
        <v>196</v>
      </c>
      <c r="O29" s="45" t="s">
        <v>116</v>
      </c>
      <c r="P29" s="80" t="b">
        <f>F29</f>
        <v>0</v>
      </c>
      <c r="Q29" s="81" t="s">
        <v>386</v>
      </c>
    </row>
    <row r="30" spans="1:17" ht="185.25" customHeight="1" thickBot="1" x14ac:dyDescent="0.3">
      <c r="A30" s="70" t="s">
        <v>197</v>
      </c>
      <c r="B30" s="70" t="s">
        <v>198</v>
      </c>
      <c r="C30" s="72" t="b">
        <f>AND((OR(IF(F30=TRUE,TRUE,FALSE),IF(F30="N/A",TRUE,FALSE))),H30=TRUE)</f>
        <v>0</v>
      </c>
      <c r="D30" s="70"/>
      <c r="E30" s="74"/>
      <c r="F30" s="72" t="s">
        <v>22</v>
      </c>
      <c r="G30" s="74" t="s">
        <v>341</v>
      </c>
      <c r="H30" s="66" t="b">
        <f>AND(M30,M31,M34,M36,M38,M40,M42,M44,M46,M48)</f>
        <v>0</v>
      </c>
      <c r="I30" s="43" t="s">
        <v>199</v>
      </c>
      <c r="J30" s="53" t="s">
        <v>40</v>
      </c>
      <c r="K30" s="43" t="s">
        <v>200</v>
      </c>
      <c r="L30" s="53" t="s">
        <v>41</v>
      </c>
      <c r="M30" s="32" t="b">
        <f>AND(OR(IF(P30=TRUE,TRUE,FALSE),(IF(P30="N/A",NOT(ISBLANK(Q30))))))</f>
        <v>0</v>
      </c>
      <c r="N30" s="43" t="s">
        <v>201</v>
      </c>
      <c r="O30" s="45" t="s">
        <v>116</v>
      </c>
      <c r="P30" s="80" t="b">
        <f>PDD!B2</f>
        <v>0</v>
      </c>
      <c r="Q30" s="81" t="s">
        <v>386</v>
      </c>
    </row>
    <row r="31" spans="1:17" ht="79.900000000000006" customHeight="1" thickBot="1" x14ac:dyDescent="0.3">
      <c r="A31" s="77"/>
      <c r="B31" s="77"/>
      <c r="C31" s="76"/>
      <c r="D31" s="77"/>
      <c r="E31" s="78"/>
      <c r="F31" s="76"/>
      <c r="G31" s="78"/>
      <c r="H31" s="79"/>
      <c r="I31" s="65" t="s">
        <v>202</v>
      </c>
      <c r="J31" s="68" t="s">
        <v>40</v>
      </c>
      <c r="K31" s="65" t="s">
        <v>342</v>
      </c>
      <c r="L31" s="68" t="s">
        <v>62</v>
      </c>
      <c r="M31" s="69" t="b">
        <f>AND(OR(IF(P31=TRUE,TRUE,FALSE),(IF(P31="N/A",NOT(ISBLANK(Q31))))),(OR(IF(P32=TRUE,TRUE,FALSE),(IF(P32="N/A",NOT(ISBLANK(Q32)))))),(OR(IF(P33=TRUE,TRUE,FALSE),(IF(P33="N/A",NOT(ISBLANK(Q33)))))))</f>
        <v>0</v>
      </c>
      <c r="N31" s="43" t="s">
        <v>203</v>
      </c>
      <c r="O31" s="45" t="s">
        <v>110</v>
      </c>
      <c r="P31" s="58" t="s">
        <v>43</v>
      </c>
      <c r="Q31" s="62"/>
    </row>
    <row r="32" spans="1:17" ht="124.5" customHeight="1" thickBot="1" x14ac:dyDescent="0.3">
      <c r="A32" s="77"/>
      <c r="B32" s="77"/>
      <c r="C32" s="76"/>
      <c r="D32" s="77"/>
      <c r="E32" s="78"/>
      <c r="F32" s="76"/>
      <c r="G32" s="78"/>
      <c r="H32" s="79"/>
      <c r="I32" s="65"/>
      <c r="J32" s="68"/>
      <c r="K32" s="65"/>
      <c r="L32" s="68"/>
      <c r="M32" s="69"/>
      <c r="N32" s="43" t="s">
        <v>204</v>
      </c>
      <c r="O32" s="45" t="s">
        <v>110</v>
      </c>
      <c r="P32" s="58" t="s">
        <v>65</v>
      </c>
      <c r="Q32" s="62"/>
    </row>
    <row r="33" spans="1:17" ht="91.5" customHeight="1" thickBot="1" x14ac:dyDescent="0.3">
      <c r="A33" s="77"/>
      <c r="B33" s="77"/>
      <c r="C33" s="76"/>
      <c r="D33" s="77"/>
      <c r="E33" s="78"/>
      <c r="F33" s="76"/>
      <c r="G33" s="78"/>
      <c r="H33" s="79"/>
      <c r="I33" s="65"/>
      <c r="J33" s="68"/>
      <c r="K33" s="65"/>
      <c r="L33" s="68"/>
      <c r="M33" s="69"/>
      <c r="N33" s="43" t="s">
        <v>205</v>
      </c>
      <c r="O33" s="45" t="s">
        <v>110</v>
      </c>
      <c r="P33" s="58" t="s">
        <v>76</v>
      </c>
      <c r="Q33" s="62"/>
    </row>
    <row r="34" spans="1:17" ht="79.900000000000006" customHeight="1" thickBot="1" x14ac:dyDescent="0.3">
      <c r="A34" s="77"/>
      <c r="B34" s="77"/>
      <c r="C34" s="76"/>
      <c r="D34" s="77"/>
      <c r="E34" s="78"/>
      <c r="F34" s="76"/>
      <c r="G34" s="78"/>
      <c r="H34" s="79"/>
      <c r="I34" s="65" t="s">
        <v>206</v>
      </c>
      <c r="J34" s="68" t="s">
        <v>40</v>
      </c>
      <c r="K34" s="65" t="s">
        <v>343</v>
      </c>
      <c r="L34" s="68" t="s">
        <v>44</v>
      </c>
      <c r="M34" s="69" t="b">
        <f>IF(P34=TRUE,TRUE,(AND((OR(IF(P35=TRUE,TRUE,FALSE),(IF(P35="N/A",NOT(ISBLANK(Q35)))))))))</f>
        <v>0</v>
      </c>
      <c r="N34" s="43" t="s">
        <v>207</v>
      </c>
      <c r="O34" s="45" t="s">
        <v>110</v>
      </c>
      <c r="P34" s="58" t="s">
        <v>66</v>
      </c>
      <c r="Q34" s="62"/>
    </row>
    <row r="35" spans="1:17" ht="79.900000000000006" customHeight="1" thickBot="1" x14ac:dyDescent="0.3">
      <c r="A35" s="77"/>
      <c r="B35" s="77"/>
      <c r="C35" s="76"/>
      <c r="D35" s="77"/>
      <c r="E35" s="78"/>
      <c r="F35" s="76"/>
      <c r="G35" s="78"/>
      <c r="H35" s="79"/>
      <c r="I35" s="65"/>
      <c r="J35" s="68"/>
      <c r="K35" s="65"/>
      <c r="L35" s="68"/>
      <c r="M35" s="69"/>
      <c r="N35" s="43" t="s">
        <v>208</v>
      </c>
      <c r="O35" s="45" t="s">
        <v>110</v>
      </c>
      <c r="P35" s="58" t="s">
        <v>67</v>
      </c>
      <c r="Q35" s="62"/>
    </row>
    <row r="36" spans="1:17" ht="79.900000000000006" customHeight="1" thickBot="1" x14ac:dyDescent="0.3">
      <c r="A36" s="77"/>
      <c r="B36" s="77"/>
      <c r="C36" s="76"/>
      <c r="D36" s="77"/>
      <c r="E36" s="78"/>
      <c r="F36" s="76"/>
      <c r="G36" s="78"/>
      <c r="H36" s="79"/>
      <c r="I36" s="65" t="s">
        <v>209</v>
      </c>
      <c r="J36" s="68" t="s">
        <v>40</v>
      </c>
      <c r="K36" s="65" t="s">
        <v>210</v>
      </c>
      <c r="L36" s="68" t="s">
        <v>45</v>
      </c>
      <c r="M36" s="69" t="b">
        <f>IF(P36=TRUE,TRUE,(AND((OR(IF(P37=TRUE,TRUE,FALSE),(IF(P37="N/A",NOT(ISBLANK(Q37)))))))))</f>
        <v>0</v>
      </c>
      <c r="N36" s="43" t="s">
        <v>211</v>
      </c>
      <c r="O36" s="45" t="s">
        <v>110</v>
      </c>
      <c r="P36" s="58" t="s">
        <v>68</v>
      </c>
      <c r="Q36" s="62"/>
    </row>
    <row r="37" spans="1:17" ht="79.900000000000006" customHeight="1" thickBot="1" x14ac:dyDescent="0.3">
      <c r="A37" s="77"/>
      <c r="B37" s="77"/>
      <c r="C37" s="76"/>
      <c r="D37" s="77"/>
      <c r="E37" s="78"/>
      <c r="F37" s="76"/>
      <c r="G37" s="78"/>
      <c r="H37" s="79"/>
      <c r="I37" s="65"/>
      <c r="J37" s="68"/>
      <c r="K37" s="65"/>
      <c r="L37" s="68"/>
      <c r="M37" s="69"/>
      <c r="N37" s="43" t="s">
        <v>212</v>
      </c>
      <c r="O37" s="45" t="s">
        <v>110</v>
      </c>
      <c r="P37" s="58" t="s">
        <v>69</v>
      </c>
      <c r="Q37" s="62"/>
    </row>
    <row r="38" spans="1:17" ht="79.900000000000006" customHeight="1" thickBot="1" x14ac:dyDescent="0.3">
      <c r="A38" s="77"/>
      <c r="B38" s="77"/>
      <c r="C38" s="76"/>
      <c r="D38" s="77"/>
      <c r="E38" s="78"/>
      <c r="F38" s="76"/>
      <c r="G38" s="78"/>
      <c r="H38" s="79"/>
      <c r="I38" s="65" t="s">
        <v>213</v>
      </c>
      <c r="J38" s="68" t="s">
        <v>40</v>
      </c>
      <c r="K38" s="65" t="s">
        <v>214</v>
      </c>
      <c r="L38" s="68" t="s">
        <v>46</v>
      </c>
      <c r="M38" s="69" t="b">
        <f>IF(P38=TRUE,TRUE,(AND((OR(IF(P39=TRUE,TRUE,FALSE),(IF(P39="N/A",NOT(ISBLANK(Q39)))))))))</f>
        <v>0</v>
      </c>
      <c r="N38" s="43" t="s">
        <v>215</v>
      </c>
      <c r="O38" s="45" t="s">
        <v>110</v>
      </c>
      <c r="P38" s="58" t="s">
        <v>70</v>
      </c>
      <c r="Q38" s="62"/>
    </row>
    <row r="39" spans="1:17" ht="79.900000000000006" customHeight="1" thickBot="1" x14ac:dyDescent="0.3">
      <c r="A39" s="77"/>
      <c r="B39" s="77"/>
      <c r="C39" s="76"/>
      <c r="D39" s="77"/>
      <c r="E39" s="78"/>
      <c r="F39" s="76"/>
      <c r="G39" s="78"/>
      <c r="H39" s="79"/>
      <c r="I39" s="65"/>
      <c r="J39" s="68"/>
      <c r="K39" s="65"/>
      <c r="L39" s="68"/>
      <c r="M39" s="69"/>
      <c r="N39" s="43" t="s">
        <v>216</v>
      </c>
      <c r="O39" s="45" t="s">
        <v>110</v>
      </c>
      <c r="P39" s="58" t="s">
        <v>71</v>
      </c>
      <c r="Q39" s="62"/>
    </row>
    <row r="40" spans="1:17" ht="79.900000000000006" customHeight="1" thickBot="1" x14ac:dyDescent="0.3">
      <c r="A40" s="77"/>
      <c r="B40" s="77"/>
      <c r="C40" s="76"/>
      <c r="D40" s="77"/>
      <c r="E40" s="78"/>
      <c r="F40" s="76"/>
      <c r="G40" s="78"/>
      <c r="H40" s="79"/>
      <c r="I40" s="65" t="s">
        <v>217</v>
      </c>
      <c r="J40" s="68" t="s">
        <v>40</v>
      </c>
      <c r="K40" s="65" t="s">
        <v>218</v>
      </c>
      <c r="L40" s="68" t="s">
        <v>47</v>
      </c>
      <c r="M40" s="69" t="b">
        <f>IF(P40=TRUE,TRUE,(AND((OR(IF(P41=TRUE,TRUE,FALSE),(IF(P41="N/A",NOT(ISBLANK(Q41)))))))))</f>
        <v>0</v>
      </c>
      <c r="N40" s="43" t="s">
        <v>219</v>
      </c>
      <c r="O40" s="45" t="s">
        <v>110</v>
      </c>
      <c r="P40" s="58" t="s">
        <v>72</v>
      </c>
      <c r="Q40" s="62"/>
    </row>
    <row r="41" spans="1:17" ht="79.900000000000006" customHeight="1" thickBot="1" x14ac:dyDescent="0.3">
      <c r="A41" s="77"/>
      <c r="B41" s="77"/>
      <c r="C41" s="76"/>
      <c r="D41" s="77"/>
      <c r="E41" s="78"/>
      <c r="F41" s="76"/>
      <c r="G41" s="78"/>
      <c r="H41" s="79"/>
      <c r="I41" s="65"/>
      <c r="J41" s="68"/>
      <c r="K41" s="65"/>
      <c r="L41" s="68"/>
      <c r="M41" s="69"/>
      <c r="N41" s="43" t="s">
        <v>220</v>
      </c>
      <c r="O41" s="45" t="s">
        <v>110</v>
      </c>
      <c r="P41" s="58" t="s">
        <v>73</v>
      </c>
      <c r="Q41" s="62"/>
    </row>
    <row r="42" spans="1:17" ht="79.900000000000006" customHeight="1" thickBot="1" x14ac:dyDescent="0.3">
      <c r="A42" s="77"/>
      <c r="B42" s="77"/>
      <c r="C42" s="76"/>
      <c r="D42" s="77"/>
      <c r="E42" s="78"/>
      <c r="F42" s="76"/>
      <c r="G42" s="78"/>
      <c r="H42" s="79"/>
      <c r="I42" s="65" t="s">
        <v>221</v>
      </c>
      <c r="J42" s="68" t="s">
        <v>40</v>
      </c>
      <c r="K42" s="65" t="s">
        <v>222</v>
      </c>
      <c r="L42" s="68" t="s">
        <v>48</v>
      </c>
      <c r="M42" s="69" t="b">
        <f>IF(P42=TRUE,TRUE,(AND((OR(IF(P43=TRUE,TRUE,FALSE),(IF(P43="N/A",NOT(ISBLANK(Q43)))))))))</f>
        <v>0</v>
      </c>
      <c r="N42" s="43" t="s">
        <v>223</v>
      </c>
      <c r="O42" s="45" t="s">
        <v>110</v>
      </c>
      <c r="P42" s="58" t="s">
        <v>49</v>
      </c>
      <c r="Q42" s="62"/>
    </row>
    <row r="43" spans="1:17" ht="79.900000000000006" customHeight="1" thickBot="1" x14ac:dyDescent="0.3">
      <c r="A43" s="77"/>
      <c r="B43" s="77"/>
      <c r="C43" s="76"/>
      <c r="D43" s="77"/>
      <c r="E43" s="78"/>
      <c r="F43" s="76"/>
      <c r="G43" s="78"/>
      <c r="H43" s="79"/>
      <c r="I43" s="65"/>
      <c r="J43" s="68"/>
      <c r="K43" s="65"/>
      <c r="L43" s="68"/>
      <c r="M43" s="69"/>
      <c r="N43" s="43" t="s">
        <v>224</v>
      </c>
      <c r="O43" s="45" t="s">
        <v>110</v>
      </c>
      <c r="P43" s="58" t="s">
        <v>50</v>
      </c>
      <c r="Q43" s="62"/>
    </row>
    <row r="44" spans="1:17" ht="79.900000000000006" customHeight="1" thickBot="1" x14ac:dyDescent="0.3">
      <c r="A44" s="77"/>
      <c r="B44" s="77"/>
      <c r="C44" s="76"/>
      <c r="D44" s="77"/>
      <c r="E44" s="78"/>
      <c r="F44" s="76"/>
      <c r="G44" s="78"/>
      <c r="H44" s="79"/>
      <c r="I44" s="65" t="s">
        <v>225</v>
      </c>
      <c r="J44" s="68" t="s">
        <v>40</v>
      </c>
      <c r="K44" s="65" t="s">
        <v>226</v>
      </c>
      <c r="L44" s="68" t="s">
        <v>51</v>
      </c>
      <c r="M44" s="69" t="b">
        <f>IF(P44=TRUE,TRUE,(AND((OR(IF(P45=TRUE,TRUE,FALSE),(IF(P45="N/A",NOT(ISBLANK(Q45)))))))))</f>
        <v>0</v>
      </c>
      <c r="N44" s="43" t="s">
        <v>227</v>
      </c>
      <c r="O44" s="45" t="s">
        <v>110</v>
      </c>
      <c r="P44" s="58" t="s">
        <v>52</v>
      </c>
      <c r="Q44" s="62"/>
    </row>
    <row r="45" spans="1:17" ht="79.900000000000006" customHeight="1" thickBot="1" x14ac:dyDescent="0.3">
      <c r="A45" s="77"/>
      <c r="B45" s="77"/>
      <c r="C45" s="76"/>
      <c r="D45" s="77"/>
      <c r="E45" s="78"/>
      <c r="F45" s="76"/>
      <c r="G45" s="78"/>
      <c r="H45" s="79"/>
      <c r="I45" s="65"/>
      <c r="J45" s="68"/>
      <c r="K45" s="65"/>
      <c r="L45" s="68"/>
      <c r="M45" s="69"/>
      <c r="N45" s="43" t="s">
        <v>228</v>
      </c>
      <c r="O45" s="45" t="s">
        <v>110</v>
      </c>
      <c r="P45" s="58" t="s">
        <v>53</v>
      </c>
      <c r="Q45" s="62"/>
    </row>
    <row r="46" spans="1:17" ht="79.900000000000006" customHeight="1" thickBot="1" x14ac:dyDescent="0.3">
      <c r="A46" s="77"/>
      <c r="B46" s="77"/>
      <c r="C46" s="76"/>
      <c r="D46" s="77"/>
      <c r="E46" s="78"/>
      <c r="F46" s="76"/>
      <c r="G46" s="78"/>
      <c r="H46" s="79"/>
      <c r="I46" s="65" t="s">
        <v>229</v>
      </c>
      <c r="J46" s="68" t="s">
        <v>40</v>
      </c>
      <c r="K46" s="65" t="s">
        <v>230</v>
      </c>
      <c r="L46" s="68" t="s">
        <v>54</v>
      </c>
      <c r="M46" s="69" t="b">
        <f>IF(P46=TRUE,TRUE,(AND((OR(IF(P47=TRUE,TRUE,FALSE),(IF(P47="N/A",NOT(ISBLANK(Q47)))))))))</f>
        <v>0</v>
      </c>
      <c r="N46" s="43" t="s">
        <v>231</v>
      </c>
      <c r="O46" s="45" t="s">
        <v>110</v>
      </c>
      <c r="P46" s="58" t="s">
        <v>55</v>
      </c>
      <c r="Q46" s="62"/>
    </row>
    <row r="47" spans="1:17" ht="79.900000000000006" customHeight="1" thickBot="1" x14ac:dyDescent="0.3">
      <c r="A47" s="77"/>
      <c r="B47" s="77"/>
      <c r="C47" s="76"/>
      <c r="D47" s="77"/>
      <c r="E47" s="78"/>
      <c r="F47" s="76"/>
      <c r="G47" s="78"/>
      <c r="H47" s="79"/>
      <c r="I47" s="65"/>
      <c r="J47" s="68"/>
      <c r="K47" s="65"/>
      <c r="L47" s="68"/>
      <c r="M47" s="69"/>
      <c r="N47" s="43" t="s">
        <v>232</v>
      </c>
      <c r="O47" s="45" t="s">
        <v>110</v>
      </c>
      <c r="P47" s="58" t="s">
        <v>56</v>
      </c>
      <c r="Q47" s="62"/>
    </row>
    <row r="48" spans="1:17" ht="79.900000000000006" customHeight="1" thickBot="1" x14ac:dyDescent="0.3">
      <c r="A48" s="77"/>
      <c r="B48" s="77"/>
      <c r="C48" s="76"/>
      <c r="D48" s="77"/>
      <c r="E48" s="78"/>
      <c r="F48" s="76"/>
      <c r="G48" s="78"/>
      <c r="H48" s="79"/>
      <c r="I48" s="65" t="s">
        <v>233</v>
      </c>
      <c r="J48" s="68" t="s">
        <v>40</v>
      </c>
      <c r="K48" s="65" t="s">
        <v>234</v>
      </c>
      <c r="L48" s="68" t="s">
        <v>344</v>
      </c>
      <c r="M48" s="69" t="b">
        <f>IF(P48=TRUE,TRUE,(AND((OR(IF(P49=TRUE,TRUE,FALSE),(IF(P49="N/A",NOT(ISBLANK(Q49)))))))))</f>
        <v>0</v>
      </c>
      <c r="N48" s="43" t="s">
        <v>235</v>
      </c>
      <c r="O48" s="45" t="s">
        <v>110</v>
      </c>
      <c r="P48" s="58" t="s">
        <v>236</v>
      </c>
      <c r="Q48" s="62"/>
    </row>
    <row r="49" spans="1:17" ht="79.900000000000006" customHeight="1" thickBot="1" x14ac:dyDescent="0.3">
      <c r="A49" s="71"/>
      <c r="B49" s="71"/>
      <c r="C49" s="73"/>
      <c r="D49" s="71"/>
      <c r="E49" s="75"/>
      <c r="F49" s="73"/>
      <c r="G49" s="75"/>
      <c r="H49" s="67"/>
      <c r="I49" s="65"/>
      <c r="J49" s="68"/>
      <c r="K49" s="65"/>
      <c r="L49" s="68"/>
      <c r="M49" s="69"/>
      <c r="N49" s="43" t="s">
        <v>237</v>
      </c>
      <c r="O49" s="45" t="s">
        <v>110</v>
      </c>
      <c r="P49" s="58" t="s">
        <v>238</v>
      </c>
      <c r="Q49" s="62"/>
    </row>
    <row r="50" spans="1:17" ht="99" customHeight="1" thickBot="1" x14ac:dyDescent="0.3">
      <c r="A50" s="70" t="s">
        <v>239</v>
      </c>
      <c r="B50" s="70" t="s">
        <v>240</v>
      </c>
      <c r="C50" s="72" t="b">
        <f>AND((OR(IF(F50=TRUE,TRUE,FALSE),IF(F50="N/A",TRUE,FALSE))),H50=TRUE)</f>
        <v>0</v>
      </c>
      <c r="D50" s="70" t="s">
        <v>345</v>
      </c>
      <c r="E50" s="74"/>
      <c r="F50" s="72" t="s">
        <v>22</v>
      </c>
      <c r="G50" s="74" t="s">
        <v>57</v>
      </c>
      <c r="H50" s="66" t="b">
        <f>AND(M50)</f>
        <v>0</v>
      </c>
      <c r="I50" s="65" t="s">
        <v>241</v>
      </c>
      <c r="J50" s="68" t="s">
        <v>40</v>
      </c>
      <c r="K50" s="65" t="s">
        <v>346</v>
      </c>
      <c r="L50" s="68" t="s">
        <v>58</v>
      </c>
      <c r="M50" s="69" t="b">
        <f>IF(P50=TRUE,TRUE,(AND((OR(IF(P51=TRUE,TRUE,FALSE),(IF(P51="N/A",NOT(ISBLANK(Q51)))))))))</f>
        <v>0</v>
      </c>
      <c r="N50" s="43" t="s">
        <v>242</v>
      </c>
      <c r="O50" s="45" t="s">
        <v>110</v>
      </c>
      <c r="P50" s="58" t="s">
        <v>63</v>
      </c>
      <c r="Q50" s="62"/>
    </row>
    <row r="51" spans="1:17" ht="140.25" customHeight="1" thickBot="1" x14ac:dyDescent="0.3">
      <c r="A51" s="71"/>
      <c r="B51" s="71"/>
      <c r="C51" s="73"/>
      <c r="D51" s="71"/>
      <c r="E51" s="75"/>
      <c r="F51" s="73"/>
      <c r="G51" s="75"/>
      <c r="H51" s="67"/>
      <c r="I51" s="65"/>
      <c r="J51" s="68"/>
      <c r="K51" s="65"/>
      <c r="L51" s="68"/>
      <c r="M51" s="69"/>
      <c r="N51" s="43" t="s">
        <v>243</v>
      </c>
      <c r="O51" s="45" t="s">
        <v>110</v>
      </c>
      <c r="P51" s="58" t="s">
        <v>60</v>
      </c>
      <c r="Q51" s="62"/>
    </row>
    <row r="52" spans="1:17" ht="171.75" customHeight="1" thickBot="1" x14ac:dyDescent="0.3">
      <c r="A52" s="48" t="s">
        <v>244</v>
      </c>
      <c r="B52" s="49" t="s">
        <v>245</v>
      </c>
      <c r="C52" s="50" t="b">
        <f>AND((OR(IF(F52=TRUE,TRUE,FALSE),IF(F52="N/A",TRUE,FALSE))),H52=TRUE)</f>
        <v>0</v>
      </c>
      <c r="D52" s="49"/>
      <c r="E52" s="51"/>
      <c r="F52" s="50" t="s">
        <v>22</v>
      </c>
      <c r="G52" s="51" t="s">
        <v>57</v>
      </c>
      <c r="H52" s="52" t="b">
        <f>AND(M52)</f>
        <v>0</v>
      </c>
      <c r="I52" s="43" t="s">
        <v>246</v>
      </c>
      <c r="J52" s="53" t="s">
        <v>40</v>
      </c>
      <c r="K52" s="43" t="s">
        <v>347</v>
      </c>
      <c r="L52" s="53" t="s">
        <v>41</v>
      </c>
      <c r="M52" s="32" t="b">
        <f>AND(OR(IF(P52=TRUE,TRUE,FALSE),(IF(P52="N/A",NOT(ISBLANK(Q52))))))</f>
        <v>0</v>
      </c>
      <c r="N52" s="43" t="s">
        <v>247</v>
      </c>
      <c r="O52" s="45" t="s">
        <v>110</v>
      </c>
      <c r="P52" s="58" t="s">
        <v>63</v>
      </c>
      <c r="Q52" s="62"/>
    </row>
    <row r="53" spans="1:17" ht="115.5" customHeight="1" thickBot="1" x14ac:dyDescent="0.3">
      <c r="A53" s="48" t="s">
        <v>248</v>
      </c>
      <c r="B53" s="49" t="s">
        <v>249</v>
      </c>
      <c r="C53" s="50" t="b">
        <f>AND((OR(IF(F53=TRUE,TRUE,FALSE),IF(F53="N/A",TRUE,FALSE))),H53=TRUE)</f>
        <v>0</v>
      </c>
      <c r="D53" s="49"/>
      <c r="E53" s="51"/>
      <c r="F53" s="50" t="s">
        <v>22</v>
      </c>
      <c r="G53" s="51" t="s">
        <v>57</v>
      </c>
      <c r="H53" s="52" t="b">
        <f>AND(M53)</f>
        <v>0</v>
      </c>
      <c r="I53" s="43" t="s">
        <v>250</v>
      </c>
      <c r="J53" s="53" t="s">
        <v>40</v>
      </c>
      <c r="K53" s="43" t="s">
        <v>348</v>
      </c>
      <c r="L53" s="53" t="s">
        <v>41</v>
      </c>
      <c r="M53" s="32" t="b">
        <f>AND(OR(IF(P53=TRUE,TRUE,FALSE),(IF(P53="N/A",NOT(ISBLANK(Q53))))))</f>
        <v>0</v>
      </c>
      <c r="N53" s="43" t="s">
        <v>251</v>
      </c>
      <c r="O53" s="45" t="s">
        <v>110</v>
      </c>
      <c r="P53" s="58" t="s">
        <v>63</v>
      </c>
      <c r="Q53" s="62"/>
    </row>
    <row r="54" spans="1:17" ht="180" customHeight="1" thickBot="1" x14ac:dyDescent="0.3">
      <c r="A54" s="48" t="s">
        <v>252</v>
      </c>
      <c r="B54" s="49" t="s">
        <v>253</v>
      </c>
      <c r="C54" s="50" t="b">
        <f>AND((OR(IF(F54=TRUE,TRUE,FALSE),IF(F54="N/A",TRUE,FALSE))),H54=TRUE)</f>
        <v>0</v>
      </c>
      <c r="D54" s="49"/>
      <c r="E54" s="51"/>
      <c r="F54" s="50" t="s">
        <v>22</v>
      </c>
      <c r="G54" s="51" t="s">
        <v>57</v>
      </c>
      <c r="H54" s="52" t="b">
        <f>AND(M54)</f>
        <v>0</v>
      </c>
      <c r="I54" s="43" t="s">
        <v>254</v>
      </c>
      <c r="J54" s="53" t="s">
        <v>40</v>
      </c>
      <c r="K54" s="43" t="s">
        <v>255</v>
      </c>
      <c r="L54" s="53" t="s">
        <v>41</v>
      </c>
      <c r="M54" s="32" t="b">
        <f>AND(OR(IF(P54=TRUE,TRUE,FALSE),(IF(P54="N/A",NOT(ISBLANK(Q54))))))</f>
        <v>0</v>
      </c>
      <c r="N54" s="43" t="s">
        <v>256</v>
      </c>
      <c r="O54" s="45" t="s">
        <v>110</v>
      </c>
      <c r="P54" s="58" t="s">
        <v>63</v>
      </c>
      <c r="Q54" s="62"/>
    </row>
    <row r="55" spans="1:17" ht="86.25" customHeight="1" thickBot="1" x14ac:dyDescent="0.3">
      <c r="A55" s="70" t="s">
        <v>257</v>
      </c>
      <c r="B55" s="70" t="s">
        <v>258</v>
      </c>
      <c r="C55" s="72" t="b">
        <f>AND((OR(IF(F55=TRUE,TRUE,FALSE),IF(F55="N/A",TRUE,FALSE))),H55=TRUE)</f>
        <v>0</v>
      </c>
      <c r="D55" s="70"/>
      <c r="E55" s="74"/>
      <c r="F55" s="72" t="s">
        <v>22</v>
      </c>
      <c r="G55" s="74" t="s">
        <v>57</v>
      </c>
      <c r="H55" s="66" t="b">
        <f>AND(M55)</f>
        <v>0</v>
      </c>
      <c r="I55" s="65" t="s">
        <v>259</v>
      </c>
      <c r="J55" s="68" t="s">
        <v>40</v>
      </c>
      <c r="K55" s="65" t="s">
        <v>260</v>
      </c>
      <c r="L55" s="68" t="s">
        <v>58</v>
      </c>
      <c r="M55" s="69" t="b">
        <f>IF(P55=TRUE,TRUE,(AND((OR(IF(P56=TRUE,TRUE,FALSE),(IF(P56="N/A",NOT(ISBLANK(Q56)))))))))</f>
        <v>0</v>
      </c>
      <c r="N55" s="43" t="s">
        <v>261</v>
      </c>
      <c r="O55" s="45" t="s">
        <v>110</v>
      </c>
      <c r="P55" s="58" t="s">
        <v>63</v>
      </c>
      <c r="Q55" s="62"/>
    </row>
    <row r="56" spans="1:17" ht="134.25" customHeight="1" thickBot="1" x14ac:dyDescent="0.3">
      <c r="A56" s="71"/>
      <c r="B56" s="71"/>
      <c r="C56" s="73"/>
      <c r="D56" s="71"/>
      <c r="E56" s="75"/>
      <c r="F56" s="73"/>
      <c r="G56" s="75"/>
      <c r="H56" s="67"/>
      <c r="I56" s="65"/>
      <c r="J56" s="68"/>
      <c r="K56" s="65"/>
      <c r="L56" s="68"/>
      <c r="M56" s="69"/>
      <c r="N56" s="43" t="s">
        <v>262</v>
      </c>
      <c r="O56" s="45" t="s">
        <v>110</v>
      </c>
      <c r="P56" s="58" t="s">
        <v>60</v>
      </c>
      <c r="Q56" s="62"/>
    </row>
    <row r="57" spans="1:17" ht="106.5" customHeight="1" thickBot="1" x14ac:dyDescent="0.3">
      <c r="A57" s="70" t="s">
        <v>263</v>
      </c>
      <c r="B57" s="70" t="s">
        <v>264</v>
      </c>
      <c r="C57" s="72" t="b">
        <f>AND((OR(IF(F57=TRUE,TRUE,FALSE),IF(F57="N/A",TRUE,FALSE))),H57=TRUE)</f>
        <v>0</v>
      </c>
      <c r="D57" s="70"/>
      <c r="E57" s="74"/>
      <c r="F57" s="72" t="s">
        <v>22</v>
      </c>
      <c r="G57" s="74" t="s">
        <v>328</v>
      </c>
      <c r="H57" s="66" t="b">
        <f>AND(M57,M60,M63,M66)</f>
        <v>0</v>
      </c>
      <c r="I57" s="65" t="s">
        <v>265</v>
      </c>
      <c r="J57" s="68" t="s">
        <v>40</v>
      </c>
      <c r="K57" s="65" t="s">
        <v>266</v>
      </c>
      <c r="L57" s="68" t="s">
        <v>337</v>
      </c>
      <c r="M57" s="69" t="b">
        <f>IF(OR(P57=TRUE, P58=TRUE), TRUE, (OR(IF(P59=TRUE,TRUE,FALSE),(IF(P59="N/A",NOT(ISBLANK(Q59)))))))</f>
        <v>0</v>
      </c>
      <c r="N57" s="43" t="s">
        <v>267</v>
      </c>
      <c r="O57" s="45" t="s">
        <v>110</v>
      </c>
      <c r="P57" s="58" t="s">
        <v>63</v>
      </c>
      <c r="Q57" s="62"/>
    </row>
    <row r="58" spans="1:17" ht="95.25" customHeight="1" thickBot="1" x14ac:dyDescent="0.3">
      <c r="A58" s="77"/>
      <c r="B58" s="77"/>
      <c r="C58" s="76"/>
      <c r="D58" s="77"/>
      <c r="E58" s="78"/>
      <c r="F58" s="76"/>
      <c r="G58" s="78"/>
      <c r="H58" s="79"/>
      <c r="I58" s="65"/>
      <c r="J58" s="68"/>
      <c r="K58" s="65"/>
      <c r="L58" s="68"/>
      <c r="M58" s="69"/>
      <c r="N58" s="43" t="s">
        <v>268</v>
      </c>
      <c r="O58" s="45" t="s">
        <v>110</v>
      </c>
      <c r="P58" s="58" t="s">
        <v>60</v>
      </c>
      <c r="Q58" s="62"/>
    </row>
    <row r="59" spans="1:17" ht="94.5" customHeight="1" thickBot="1" x14ac:dyDescent="0.3">
      <c r="A59" s="77"/>
      <c r="B59" s="77"/>
      <c r="C59" s="76"/>
      <c r="D59" s="77"/>
      <c r="E59" s="78"/>
      <c r="F59" s="76"/>
      <c r="G59" s="78"/>
      <c r="H59" s="79"/>
      <c r="I59" s="65"/>
      <c r="J59" s="68"/>
      <c r="K59" s="65"/>
      <c r="L59" s="68"/>
      <c r="M59" s="69"/>
      <c r="N59" s="43" t="s">
        <v>269</v>
      </c>
      <c r="O59" s="45" t="s">
        <v>110</v>
      </c>
      <c r="P59" s="58" t="s">
        <v>74</v>
      </c>
      <c r="Q59" s="62"/>
    </row>
    <row r="60" spans="1:17" ht="79.900000000000006" customHeight="1" thickBot="1" x14ac:dyDescent="0.3">
      <c r="A60" s="77"/>
      <c r="B60" s="77"/>
      <c r="C60" s="76"/>
      <c r="D60" s="77"/>
      <c r="E60" s="78"/>
      <c r="F60" s="76"/>
      <c r="G60" s="78"/>
      <c r="H60" s="79"/>
      <c r="I60" s="65" t="s">
        <v>270</v>
      </c>
      <c r="J60" s="68" t="s">
        <v>40</v>
      </c>
      <c r="K60" s="65" t="s">
        <v>271</v>
      </c>
      <c r="L60" s="68" t="s">
        <v>62</v>
      </c>
      <c r="M60" s="69" t="b">
        <f>IF(OR(P60=TRUE, P61=TRUE), TRUE, (OR(IF(P62=TRUE,TRUE,FALSE),(IF(P62="N/A",NOT(ISBLANK(Q62)))))))</f>
        <v>0</v>
      </c>
      <c r="N60" s="43" t="s">
        <v>272</v>
      </c>
      <c r="O60" s="45" t="s">
        <v>42</v>
      </c>
      <c r="P60" s="58" t="s">
        <v>43</v>
      </c>
      <c r="Q60" s="62"/>
    </row>
    <row r="61" spans="1:17" ht="95.25" customHeight="1" thickBot="1" x14ac:dyDescent="0.3">
      <c r="A61" s="77"/>
      <c r="B61" s="77"/>
      <c r="C61" s="76"/>
      <c r="D61" s="77"/>
      <c r="E61" s="78"/>
      <c r="F61" s="76"/>
      <c r="G61" s="78"/>
      <c r="H61" s="79"/>
      <c r="I61" s="65"/>
      <c r="J61" s="68"/>
      <c r="K61" s="65"/>
      <c r="L61" s="68"/>
      <c r="M61" s="69"/>
      <c r="N61" s="43" t="s">
        <v>273</v>
      </c>
      <c r="O61" s="45" t="s">
        <v>42</v>
      </c>
      <c r="P61" s="58" t="s">
        <v>65</v>
      </c>
      <c r="Q61" s="62"/>
    </row>
    <row r="62" spans="1:17" ht="97.5" customHeight="1" thickBot="1" x14ac:dyDescent="0.3">
      <c r="A62" s="77"/>
      <c r="B62" s="77"/>
      <c r="C62" s="76"/>
      <c r="D62" s="77"/>
      <c r="E62" s="78"/>
      <c r="F62" s="76"/>
      <c r="G62" s="78"/>
      <c r="H62" s="79"/>
      <c r="I62" s="65"/>
      <c r="J62" s="68"/>
      <c r="K62" s="65"/>
      <c r="L62" s="68"/>
      <c r="M62" s="69"/>
      <c r="N62" s="43" t="s">
        <v>274</v>
      </c>
      <c r="O62" s="45" t="s">
        <v>42</v>
      </c>
      <c r="P62" s="58" t="s">
        <v>76</v>
      </c>
      <c r="Q62" s="62"/>
    </row>
    <row r="63" spans="1:17" ht="79.900000000000006" customHeight="1" thickBot="1" x14ac:dyDescent="0.3">
      <c r="A63" s="77"/>
      <c r="B63" s="77"/>
      <c r="C63" s="76"/>
      <c r="D63" s="77"/>
      <c r="E63" s="78"/>
      <c r="F63" s="76"/>
      <c r="G63" s="78"/>
      <c r="H63" s="79"/>
      <c r="I63" s="65" t="s">
        <v>275</v>
      </c>
      <c r="J63" s="68" t="s">
        <v>40</v>
      </c>
      <c r="K63" s="65" t="s">
        <v>276</v>
      </c>
      <c r="L63" s="68" t="s">
        <v>61</v>
      </c>
      <c r="M63" s="69" t="b">
        <f>IF(OR(P63=TRUE, P64=TRUE), TRUE, (OR(IF(P65=TRUE,TRUE,FALSE),(IF(P65="N/A",NOT(ISBLANK(Q65)))))))</f>
        <v>0</v>
      </c>
      <c r="N63" s="43" t="s">
        <v>277</v>
      </c>
      <c r="O63" s="45" t="s">
        <v>110</v>
      </c>
      <c r="P63" s="58" t="s">
        <v>66</v>
      </c>
      <c r="Q63" s="62"/>
    </row>
    <row r="64" spans="1:17" ht="79.900000000000006" customHeight="1" thickBot="1" x14ac:dyDescent="0.3">
      <c r="A64" s="77"/>
      <c r="B64" s="77"/>
      <c r="C64" s="76"/>
      <c r="D64" s="77"/>
      <c r="E64" s="78"/>
      <c r="F64" s="76"/>
      <c r="G64" s="78"/>
      <c r="H64" s="79"/>
      <c r="I64" s="65"/>
      <c r="J64" s="68"/>
      <c r="K64" s="65"/>
      <c r="L64" s="68"/>
      <c r="M64" s="69"/>
      <c r="N64" s="43" t="s">
        <v>278</v>
      </c>
      <c r="O64" s="45" t="s">
        <v>110</v>
      </c>
      <c r="P64" s="58" t="s">
        <v>67</v>
      </c>
      <c r="Q64" s="62"/>
    </row>
    <row r="65" spans="1:17" ht="100.5" customHeight="1" thickBot="1" x14ac:dyDescent="0.3">
      <c r="A65" s="77"/>
      <c r="B65" s="77"/>
      <c r="C65" s="76"/>
      <c r="D65" s="77"/>
      <c r="E65" s="78"/>
      <c r="F65" s="76"/>
      <c r="G65" s="78"/>
      <c r="H65" s="79"/>
      <c r="I65" s="65"/>
      <c r="J65" s="68"/>
      <c r="K65" s="65"/>
      <c r="L65" s="68"/>
      <c r="M65" s="69"/>
      <c r="N65" s="43" t="s">
        <v>279</v>
      </c>
      <c r="O65" s="45" t="s">
        <v>110</v>
      </c>
      <c r="P65" s="58" t="s">
        <v>75</v>
      </c>
      <c r="Q65" s="62"/>
    </row>
    <row r="66" spans="1:17" ht="79.900000000000006" customHeight="1" thickBot="1" x14ac:dyDescent="0.3">
      <c r="A66" s="77"/>
      <c r="B66" s="77"/>
      <c r="C66" s="76"/>
      <c r="D66" s="77"/>
      <c r="E66" s="78"/>
      <c r="F66" s="76"/>
      <c r="G66" s="78"/>
      <c r="H66" s="79"/>
      <c r="I66" s="65" t="s">
        <v>280</v>
      </c>
      <c r="J66" s="68" t="s">
        <v>40</v>
      </c>
      <c r="K66" s="65" t="s">
        <v>281</v>
      </c>
      <c r="L66" s="68" t="s">
        <v>349</v>
      </c>
      <c r="M66" s="69" t="b">
        <f>IF(OR(P66=TRUE, P67=TRUE), TRUE, (OR(IF(P68=TRUE,TRUE,FALSE),(IF(P68="N/A",NOT(ISBLANK(Q68)))))))</f>
        <v>0</v>
      </c>
      <c r="N66" s="43" t="s">
        <v>282</v>
      </c>
      <c r="O66" s="45" t="s">
        <v>110</v>
      </c>
      <c r="P66" s="58" t="s">
        <v>68</v>
      </c>
      <c r="Q66" s="62"/>
    </row>
    <row r="67" spans="1:17" ht="79.900000000000006" customHeight="1" thickBot="1" x14ac:dyDescent="0.3">
      <c r="A67" s="77"/>
      <c r="B67" s="77"/>
      <c r="C67" s="76"/>
      <c r="D67" s="77"/>
      <c r="E67" s="78"/>
      <c r="F67" s="76"/>
      <c r="G67" s="78"/>
      <c r="H67" s="79"/>
      <c r="I67" s="65"/>
      <c r="J67" s="68"/>
      <c r="K67" s="65"/>
      <c r="L67" s="68"/>
      <c r="M67" s="69"/>
      <c r="N67" s="43" t="s">
        <v>283</v>
      </c>
      <c r="O67" s="45" t="s">
        <v>110</v>
      </c>
      <c r="P67" s="58" t="s">
        <v>69</v>
      </c>
      <c r="Q67" s="62"/>
    </row>
    <row r="68" spans="1:17" ht="118.5" customHeight="1" thickBot="1" x14ac:dyDescent="0.3">
      <c r="A68" s="71"/>
      <c r="B68" s="71"/>
      <c r="C68" s="73"/>
      <c r="D68" s="71"/>
      <c r="E68" s="75"/>
      <c r="F68" s="73"/>
      <c r="G68" s="75"/>
      <c r="H68" s="67"/>
      <c r="I68" s="65"/>
      <c r="J68" s="68"/>
      <c r="K68" s="65"/>
      <c r="L68" s="68"/>
      <c r="M68" s="69"/>
      <c r="N68" s="43" t="s">
        <v>284</v>
      </c>
      <c r="O68" s="45"/>
      <c r="P68" s="58" t="s">
        <v>285</v>
      </c>
      <c r="Q68" s="62"/>
    </row>
    <row r="69" spans="1:17" ht="79.900000000000006" customHeight="1" thickBot="1" x14ac:dyDescent="0.3">
      <c r="A69" s="70" t="s">
        <v>286</v>
      </c>
      <c r="B69" s="70" t="s">
        <v>287</v>
      </c>
      <c r="C69" s="72" t="b">
        <f>AND((OR(IF(F69=TRUE,TRUE,FALSE),IF(F69="N/A",TRUE,FALSE))),H69=TRUE)</f>
        <v>0</v>
      </c>
      <c r="D69" s="70"/>
      <c r="E69" s="74"/>
      <c r="F69" s="72" t="s">
        <v>22</v>
      </c>
      <c r="G69" s="74" t="s">
        <v>328</v>
      </c>
      <c r="H69" s="66" t="b">
        <f>AND(M69,M72,M75,M78)</f>
        <v>0</v>
      </c>
      <c r="I69" s="65" t="s">
        <v>288</v>
      </c>
      <c r="J69" s="68" t="s">
        <v>40</v>
      </c>
      <c r="K69" s="65" t="s">
        <v>350</v>
      </c>
      <c r="L69" s="68" t="s">
        <v>337</v>
      </c>
      <c r="M69" s="69" t="b">
        <f>IF(OR(P69=TRUE, P70=TRUE), TRUE, (OR(IF(P71=TRUE,TRUE,FALSE),(IF(P71="N/A",NOT(ISBLANK(Q71)))))))</f>
        <v>0</v>
      </c>
      <c r="N69" s="43" t="s">
        <v>289</v>
      </c>
      <c r="O69" s="45" t="s">
        <v>110</v>
      </c>
      <c r="P69" s="58" t="s">
        <v>63</v>
      </c>
      <c r="Q69" s="62"/>
    </row>
    <row r="70" spans="1:17" ht="93.75" customHeight="1" thickBot="1" x14ac:dyDescent="0.3">
      <c r="A70" s="77"/>
      <c r="B70" s="77"/>
      <c r="C70" s="76"/>
      <c r="D70" s="77"/>
      <c r="E70" s="78"/>
      <c r="F70" s="76"/>
      <c r="G70" s="78"/>
      <c r="H70" s="79"/>
      <c r="I70" s="65"/>
      <c r="J70" s="68"/>
      <c r="K70" s="65"/>
      <c r="L70" s="68"/>
      <c r="M70" s="69"/>
      <c r="N70" s="43" t="s">
        <v>290</v>
      </c>
      <c r="O70" s="45" t="s">
        <v>110</v>
      </c>
      <c r="P70" s="58" t="s">
        <v>60</v>
      </c>
      <c r="Q70" s="62"/>
    </row>
    <row r="71" spans="1:17" ht="99.75" customHeight="1" thickBot="1" x14ac:dyDescent="0.3">
      <c r="A71" s="77"/>
      <c r="B71" s="77"/>
      <c r="C71" s="76"/>
      <c r="D71" s="77"/>
      <c r="E71" s="78"/>
      <c r="F71" s="76"/>
      <c r="G71" s="78"/>
      <c r="H71" s="79"/>
      <c r="I71" s="65"/>
      <c r="J71" s="68"/>
      <c r="K71" s="65"/>
      <c r="L71" s="68"/>
      <c r="M71" s="69"/>
      <c r="N71" s="43" t="s">
        <v>291</v>
      </c>
      <c r="O71" s="45" t="s">
        <v>110</v>
      </c>
      <c r="P71" s="58" t="s">
        <v>74</v>
      </c>
      <c r="Q71" s="62"/>
    </row>
    <row r="72" spans="1:17" ht="79.900000000000006" customHeight="1" thickBot="1" x14ac:dyDescent="0.3">
      <c r="A72" s="77"/>
      <c r="B72" s="77"/>
      <c r="C72" s="76"/>
      <c r="D72" s="77"/>
      <c r="E72" s="78"/>
      <c r="F72" s="76"/>
      <c r="G72" s="78"/>
      <c r="H72" s="79"/>
      <c r="I72" s="65" t="s">
        <v>292</v>
      </c>
      <c r="J72" s="68" t="s">
        <v>40</v>
      </c>
      <c r="K72" s="65" t="s">
        <v>351</v>
      </c>
      <c r="L72" s="68" t="s">
        <v>62</v>
      </c>
      <c r="M72" s="69" t="b">
        <f>IF(OR(P72=TRUE, P73=TRUE), TRUE, (OR(IF(P74=TRUE,TRUE,FALSE),(IF(P74="N/A",NOT(ISBLANK(Q74)))))))</f>
        <v>0</v>
      </c>
      <c r="N72" s="43" t="s">
        <v>293</v>
      </c>
      <c r="O72" s="45" t="s">
        <v>110</v>
      </c>
      <c r="P72" s="58" t="s">
        <v>43</v>
      </c>
      <c r="Q72" s="62"/>
    </row>
    <row r="73" spans="1:17" ht="79.900000000000006" customHeight="1" thickBot="1" x14ac:dyDescent="0.3">
      <c r="A73" s="77"/>
      <c r="B73" s="77"/>
      <c r="C73" s="76"/>
      <c r="D73" s="77"/>
      <c r="E73" s="78"/>
      <c r="F73" s="76"/>
      <c r="G73" s="78"/>
      <c r="H73" s="79"/>
      <c r="I73" s="65"/>
      <c r="J73" s="68"/>
      <c r="K73" s="65"/>
      <c r="L73" s="68"/>
      <c r="M73" s="69"/>
      <c r="N73" s="43" t="s">
        <v>294</v>
      </c>
      <c r="O73" s="45" t="s">
        <v>110</v>
      </c>
      <c r="P73" s="58" t="s">
        <v>65</v>
      </c>
      <c r="Q73" s="62"/>
    </row>
    <row r="74" spans="1:17" ht="120.75" customHeight="1" thickBot="1" x14ac:dyDescent="0.3">
      <c r="A74" s="77"/>
      <c r="B74" s="77"/>
      <c r="C74" s="76"/>
      <c r="D74" s="77"/>
      <c r="E74" s="78"/>
      <c r="F74" s="76"/>
      <c r="G74" s="78"/>
      <c r="H74" s="79"/>
      <c r="I74" s="65"/>
      <c r="J74" s="68"/>
      <c r="K74" s="65"/>
      <c r="L74" s="68"/>
      <c r="M74" s="69"/>
      <c r="N74" s="43" t="s">
        <v>295</v>
      </c>
      <c r="O74" s="45" t="s">
        <v>110</v>
      </c>
      <c r="P74" s="58" t="s">
        <v>76</v>
      </c>
      <c r="Q74" s="62"/>
    </row>
    <row r="75" spans="1:17" ht="79.900000000000006" customHeight="1" thickBot="1" x14ac:dyDescent="0.3">
      <c r="A75" s="77"/>
      <c r="B75" s="77"/>
      <c r="C75" s="76"/>
      <c r="D75" s="77"/>
      <c r="E75" s="78"/>
      <c r="F75" s="76"/>
      <c r="G75" s="78"/>
      <c r="H75" s="79"/>
      <c r="I75" s="65" t="s">
        <v>296</v>
      </c>
      <c r="J75" s="68" t="s">
        <v>40</v>
      </c>
      <c r="K75" s="65" t="s">
        <v>352</v>
      </c>
      <c r="L75" s="68" t="s">
        <v>61</v>
      </c>
      <c r="M75" s="69" t="b">
        <f>IF(OR(P75=TRUE, P76=TRUE), TRUE, (OR(IF(P77=TRUE,TRUE,FALSE),(IF(P77="N/A",NOT(ISBLANK(Q77)))))))</f>
        <v>0</v>
      </c>
      <c r="N75" s="43" t="s">
        <v>297</v>
      </c>
      <c r="O75" s="45" t="s">
        <v>110</v>
      </c>
      <c r="P75" s="58" t="s">
        <v>66</v>
      </c>
      <c r="Q75" s="62"/>
    </row>
    <row r="76" spans="1:17" ht="79.900000000000006" customHeight="1" thickBot="1" x14ac:dyDescent="0.3">
      <c r="A76" s="77"/>
      <c r="B76" s="77"/>
      <c r="C76" s="76"/>
      <c r="D76" s="77"/>
      <c r="E76" s="78"/>
      <c r="F76" s="76"/>
      <c r="G76" s="78"/>
      <c r="H76" s="79"/>
      <c r="I76" s="65"/>
      <c r="J76" s="68"/>
      <c r="K76" s="65"/>
      <c r="L76" s="68"/>
      <c r="M76" s="69"/>
      <c r="N76" s="43" t="s">
        <v>298</v>
      </c>
      <c r="O76" s="45" t="s">
        <v>110</v>
      </c>
      <c r="P76" s="58" t="s">
        <v>67</v>
      </c>
      <c r="Q76" s="62"/>
    </row>
    <row r="77" spans="1:17" ht="79.900000000000006" customHeight="1" thickBot="1" x14ac:dyDescent="0.3">
      <c r="A77" s="77"/>
      <c r="B77" s="77"/>
      <c r="C77" s="76"/>
      <c r="D77" s="77"/>
      <c r="E77" s="78"/>
      <c r="F77" s="76"/>
      <c r="G77" s="78"/>
      <c r="H77" s="79"/>
      <c r="I77" s="65"/>
      <c r="J77" s="68"/>
      <c r="K77" s="65"/>
      <c r="L77" s="68"/>
      <c r="M77" s="69"/>
      <c r="N77" s="43" t="s">
        <v>299</v>
      </c>
      <c r="O77" s="45" t="s">
        <v>110</v>
      </c>
      <c r="P77" s="58" t="s">
        <v>75</v>
      </c>
      <c r="Q77" s="62"/>
    </row>
    <row r="78" spans="1:17" ht="79.900000000000006" customHeight="1" thickBot="1" x14ac:dyDescent="0.3">
      <c r="A78" s="77"/>
      <c r="B78" s="77"/>
      <c r="C78" s="76"/>
      <c r="D78" s="77"/>
      <c r="E78" s="78"/>
      <c r="F78" s="76"/>
      <c r="G78" s="78"/>
      <c r="H78" s="79"/>
      <c r="I78" s="65" t="s">
        <v>300</v>
      </c>
      <c r="J78" s="68" t="s">
        <v>40</v>
      </c>
      <c r="K78" s="65" t="s">
        <v>353</v>
      </c>
      <c r="L78" s="68" t="s">
        <v>349</v>
      </c>
      <c r="M78" s="69" t="b">
        <f>IF(OR(P78=TRUE, P79=TRUE), TRUE, (OR(IF(P80=TRUE,TRUE,FALSE),(IF(P80="N/A",NOT(ISBLANK(Q80)))))))</f>
        <v>0</v>
      </c>
      <c r="N78" s="43" t="s">
        <v>301</v>
      </c>
      <c r="O78" s="45" t="s">
        <v>110</v>
      </c>
      <c r="P78" s="58" t="s">
        <v>68</v>
      </c>
      <c r="Q78" s="62"/>
    </row>
    <row r="79" spans="1:17" ht="79.900000000000006" customHeight="1" thickBot="1" x14ac:dyDescent="0.3">
      <c r="A79" s="77"/>
      <c r="B79" s="77"/>
      <c r="C79" s="76"/>
      <c r="D79" s="77"/>
      <c r="E79" s="78"/>
      <c r="F79" s="76"/>
      <c r="G79" s="78"/>
      <c r="H79" s="79"/>
      <c r="I79" s="65"/>
      <c r="J79" s="68"/>
      <c r="K79" s="65"/>
      <c r="L79" s="68"/>
      <c r="M79" s="69"/>
      <c r="N79" s="43" t="s">
        <v>302</v>
      </c>
      <c r="O79" s="45" t="s">
        <v>110</v>
      </c>
      <c r="P79" s="58" t="s">
        <v>69</v>
      </c>
      <c r="Q79" s="62"/>
    </row>
    <row r="80" spans="1:17" ht="116.25" customHeight="1" thickBot="1" x14ac:dyDescent="0.3">
      <c r="A80" s="71"/>
      <c r="B80" s="71"/>
      <c r="C80" s="73"/>
      <c r="D80" s="71"/>
      <c r="E80" s="75"/>
      <c r="F80" s="73"/>
      <c r="G80" s="75"/>
      <c r="H80" s="67"/>
      <c r="I80" s="65"/>
      <c r="J80" s="68"/>
      <c r="K80" s="65"/>
      <c r="L80" s="68"/>
      <c r="M80" s="69"/>
      <c r="N80" s="43" t="s">
        <v>303</v>
      </c>
      <c r="O80" s="45"/>
      <c r="P80" s="58" t="s">
        <v>285</v>
      </c>
      <c r="Q80" s="62"/>
    </row>
    <row r="81" spans="1:17" ht="150" customHeight="1" thickBot="1" x14ac:dyDescent="0.3">
      <c r="A81" s="70" t="s">
        <v>304</v>
      </c>
      <c r="B81" s="70" t="s">
        <v>305</v>
      </c>
      <c r="C81" s="72" t="b">
        <f>AND((OR(IF(F81=TRUE,TRUE,FALSE),IF(F81="N/A",TRUE,FALSE))),H81=TRUE)</f>
        <v>0</v>
      </c>
      <c r="D81" s="70"/>
      <c r="E81" s="74"/>
      <c r="F81" s="72" t="s">
        <v>22</v>
      </c>
      <c r="G81" s="74" t="s">
        <v>57</v>
      </c>
      <c r="H81" s="66" t="b">
        <f>AND(M81)</f>
        <v>0</v>
      </c>
      <c r="I81" s="65" t="s">
        <v>306</v>
      </c>
      <c r="J81" s="68" t="s">
        <v>40</v>
      </c>
      <c r="K81" s="65" t="s">
        <v>354</v>
      </c>
      <c r="L81" s="68" t="s">
        <v>58</v>
      </c>
      <c r="M81" s="69" t="b">
        <f>IF(P81=TRUE,TRUE,(AND((OR(IF(P82=TRUE,TRUE,FALSE),(IF(P82="N/A",NOT(ISBLANK(Q82)))))))))</f>
        <v>0</v>
      </c>
      <c r="N81" s="43" t="s">
        <v>307</v>
      </c>
      <c r="O81" s="45" t="s">
        <v>110</v>
      </c>
      <c r="P81" s="58" t="s">
        <v>63</v>
      </c>
      <c r="Q81" s="62"/>
    </row>
    <row r="82" spans="1:17" ht="120" customHeight="1" thickBot="1" x14ac:dyDescent="0.3">
      <c r="A82" s="71"/>
      <c r="B82" s="71"/>
      <c r="C82" s="73"/>
      <c r="D82" s="71"/>
      <c r="E82" s="75"/>
      <c r="F82" s="73"/>
      <c r="G82" s="75"/>
      <c r="H82" s="67"/>
      <c r="I82" s="65"/>
      <c r="J82" s="68"/>
      <c r="K82" s="65"/>
      <c r="L82" s="68"/>
      <c r="M82" s="69"/>
      <c r="N82" s="43" t="s">
        <v>308</v>
      </c>
      <c r="O82" s="45" t="s">
        <v>110</v>
      </c>
      <c r="P82" s="58" t="s">
        <v>60</v>
      </c>
      <c r="Q82" s="62"/>
    </row>
    <row r="83" spans="1:17" ht="164.25" customHeight="1" thickBot="1" x14ac:dyDescent="0.3">
      <c r="A83" s="48" t="s">
        <v>309</v>
      </c>
      <c r="B83" s="49" t="s">
        <v>310</v>
      </c>
      <c r="C83" s="50" t="b">
        <f>AND((OR(IF(F83=TRUE,TRUE,FALSE),IF(F83="N/A",TRUE,FALSE))),H83=TRUE)</f>
        <v>0</v>
      </c>
      <c r="D83" s="49"/>
      <c r="E83" s="51" t="s">
        <v>355</v>
      </c>
      <c r="F83" s="50" t="b">
        <f>AND(C28,C29,C30,C50,C53,C54,C55,C57,C69,C52,C81)</f>
        <v>0</v>
      </c>
      <c r="G83" s="51" t="s">
        <v>57</v>
      </c>
      <c r="H83" s="52" t="b">
        <f>AND(M83)</f>
        <v>0</v>
      </c>
      <c r="I83" s="43" t="s">
        <v>311</v>
      </c>
      <c r="J83" s="53" t="s">
        <v>77</v>
      </c>
      <c r="K83" s="43" t="s">
        <v>312</v>
      </c>
      <c r="L83" s="53" t="s">
        <v>41</v>
      </c>
      <c r="M83" s="32" t="b">
        <f>AND(OR(IF(P83=TRUE,TRUE,FALSE),(IF(P83="N/A",NOT(ISBLANK(Q83))))))</f>
        <v>0</v>
      </c>
      <c r="N83" s="43" t="s">
        <v>313</v>
      </c>
      <c r="O83" s="45" t="s">
        <v>116</v>
      </c>
      <c r="P83" s="80" t="b">
        <f>F83</f>
        <v>0</v>
      </c>
      <c r="Q83" s="81" t="s">
        <v>386</v>
      </c>
    </row>
    <row r="84" spans="1:17" ht="149.25" customHeight="1" thickBot="1" x14ac:dyDescent="0.3">
      <c r="A84" s="48" t="s">
        <v>314</v>
      </c>
      <c r="B84" s="49" t="s">
        <v>315</v>
      </c>
      <c r="C84" s="50" t="b">
        <f>AND((OR(IF(F84=TRUE,TRUE,FALSE),IF(F84="N/A",TRUE,FALSE))),H84=TRUE)</f>
        <v>0</v>
      </c>
      <c r="D84" s="49"/>
      <c r="E84" s="51" t="s">
        <v>316</v>
      </c>
      <c r="F84" s="50" t="b">
        <f>AND(C83)</f>
        <v>0</v>
      </c>
      <c r="G84" s="51" t="s">
        <v>57</v>
      </c>
      <c r="H84" s="52" t="b">
        <f>AND(M84)</f>
        <v>0</v>
      </c>
      <c r="I84" s="43" t="s">
        <v>317</v>
      </c>
      <c r="J84" s="53">
        <v>3</v>
      </c>
      <c r="K84" s="43" t="s">
        <v>318</v>
      </c>
      <c r="L84" s="53" t="s">
        <v>41</v>
      </c>
      <c r="M84" s="32" t="b">
        <f>AND(OR(IF(P84=TRUE,TRUE,FALSE),(IF(P84="N/A",NOT(ISBLANK(Q84))))))</f>
        <v>0</v>
      </c>
      <c r="N84" s="43" t="s">
        <v>319</v>
      </c>
      <c r="O84" s="45" t="s">
        <v>116</v>
      </c>
      <c r="P84" s="80" t="b">
        <f>F84</f>
        <v>0</v>
      </c>
      <c r="Q84" s="81" t="s">
        <v>386</v>
      </c>
    </row>
    <row r="85" spans="1:17" ht="99" customHeight="1" thickBot="1" x14ac:dyDescent="0.3">
      <c r="A85" s="70" t="s">
        <v>320</v>
      </c>
      <c r="B85" s="70" t="s">
        <v>321</v>
      </c>
      <c r="C85" s="72" t="b">
        <f>AND((OR(IF(F85=TRUE,TRUE,FALSE),IF(F85="N/A",TRUE,FALSE))),H85=TRUE)</f>
        <v>0</v>
      </c>
      <c r="D85" s="70" t="s">
        <v>322</v>
      </c>
      <c r="E85" s="74"/>
      <c r="F85" s="72" t="s">
        <v>22</v>
      </c>
      <c r="G85" s="74" t="s">
        <v>57</v>
      </c>
      <c r="H85" s="66" t="b">
        <f>AND(M85)</f>
        <v>0</v>
      </c>
      <c r="I85" s="65" t="s">
        <v>323</v>
      </c>
      <c r="J85" s="68">
        <v>3</v>
      </c>
      <c r="K85" s="65" t="s">
        <v>346</v>
      </c>
      <c r="L85" s="68" t="s">
        <v>58</v>
      </c>
      <c r="M85" s="69" t="b">
        <f>IF(P85=TRUE,TRUE,(AND((OR(IF(P86=TRUE,TRUE,FALSE),(IF(P86="N/A",NOT(ISBLANK(Q86)))))))))</f>
        <v>0</v>
      </c>
      <c r="N85" s="43" t="s">
        <v>324</v>
      </c>
      <c r="O85" s="45" t="s">
        <v>110</v>
      </c>
      <c r="P85" s="58" t="s">
        <v>63</v>
      </c>
      <c r="Q85" s="62"/>
    </row>
    <row r="86" spans="1:17" ht="140.25" customHeight="1" thickBot="1" x14ac:dyDescent="0.3">
      <c r="A86" s="71"/>
      <c r="B86" s="71"/>
      <c r="C86" s="73"/>
      <c r="D86" s="71"/>
      <c r="E86" s="75"/>
      <c r="F86" s="73"/>
      <c r="G86" s="75"/>
      <c r="H86" s="67"/>
      <c r="I86" s="65"/>
      <c r="J86" s="68"/>
      <c r="K86" s="65"/>
      <c r="L86" s="68"/>
      <c r="M86" s="69"/>
      <c r="N86" s="43" t="s">
        <v>325</v>
      </c>
      <c r="O86" s="45" t="s">
        <v>110</v>
      </c>
      <c r="P86" s="58" t="s">
        <v>60</v>
      </c>
      <c r="Q86" s="62"/>
    </row>
  </sheetData>
  <sheetProtection algorithmName="SHA-512" hashValue="tLyXz0vQpTAuPy4c8dOmHFJ0wwYTUXGgoUnKH5dIsnA7nmo9nndVLtWAI7YUNrTaC6VYye/CSvXuvA56oCmbNQ==" saltValue="bBmkOi3INu6mzjlo0KPO4w==" spinCount="100000" sheet="1" objects="1" scenarios="1" sort="0" autoFilter="0"/>
  <autoFilter ref="A1:Q86" xr:uid="{9BC21A30-80A5-4706-9135-FFEDDE72D46F}"/>
  <mergeCells count="236">
    <mergeCell ref="I6:I7"/>
    <mergeCell ref="J6:J7"/>
    <mergeCell ref="K6:K7"/>
    <mergeCell ref="L6:L7"/>
    <mergeCell ref="M6:M7"/>
    <mergeCell ref="I8:I9"/>
    <mergeCell ref="J8:J9"/>
    <mergeCell ref="K8:K9"/>
    <mergeCell ref="L8:L9"/>
    <mergeCell ref="M8:M9"/>
    <mergeCell ref="I10:I11"/>
    <mergeCell ref="J10:J11"/>
    <mergeCell ref="K10:K11"/>
    <mergeCell ref="L10:L11"/>
    <mergeCell ref="M10:M11"/>
    <mergeCell ref="I13:I14"/>
    <mergeCell ref="J19:J20"/>
    <mergeCell ref="K19:K20"/>
    <mergeCell ref="L19:L20"/>
    <mergeCell ref="M19:M20"/>
    <mergeCell ref="K25:K27"/>
    <mergeCell ref="L25:L27"/>
    <mergeCell ref="M25:M27"/>
    <mergeCell ref="A30:A49"/>
    <mergeCell ref="B30:B49"/>
    <mergeCell ref="H19:H20"/>
    <mergeCell ref="I19:I20"/>
    <mergeCell ref="J13:J14"/>
    <mergeCell ref="K13:K14"/>
    <mergeCell ref="L13:L14"/>
    <mergeCell ref="M13:M14"/>
    <mergeCell ref="A25:A27"/>
    <mergeCell ref="B25:B27"/>
    <mergeCell ref="C25:C27"/>
    <mergeCell ref="D25:D27"/>
    <mergeCell ref="E25:E27"/>
    <mergeCell ref="F25:F27"/>
    <mergeCell ref="G25:G27"/>
    <mergeCell ref="H25:H27"/>
    <mergeCell ref="J36:J37"/>
    <mergeCell ref="I25:I27"/>
    <mergeCell ref="J25:J27"/>
    <mergeCell ref="J22:J23"/>
    <mergeCell ref="K22:K23"/>
    <mergeCell ref="A55:A56"/>
    <mergeCell ref="B55:B56"/>
    <mergeCell ref="C55:C56"/>
    <mergeCell ref="D55:D56"/>
    <mergeCell ref="E55:E56"/>
    <mergeCell ref="F55:F56"/>
    <mergeCell ref="G55:G56"/>
    <mergeCell ref="H55:H56"/>
    <mergeCell ref="I55:I56"/>
    <mergeCell ref="F81:F82"/>
    <mergeCell ref="G81:G82"/>
    <mergeCell ref="H57:H68"/>
    <mergeCell ref="I57:I59"/>
    <mergeCell ref="I60:I62"/>
    <mergeCell ref="J60:J62"/>
    <mergeCell ref="K60:K62"/>
    <mergeCell ref="L60:L62"/>
    <mergeCell ref="M60:M62"/>
    <mergeCell ref="I63:I65"/>
    <mergeCell ref="J63:J65"/>
    <mergeCell ref="K63:K65"/>
    <mergeCell ref="L63:L65"/>
    <mergeCell ref="M63:M65"/>
    <mergeCell ref="J57:J59"/>
    <mergeCell ref="K57:K59"/>
    <mergeCell ref="L57:L59"/>
    <mergeCell ref="M57:M59"/>
    <mergeCell ref="I66:I68"/>
    <mergeCell ref="J66:J68"/>
    <mergeCell ref="K66:K68"/>
    <mergeCell ref="L66:L68"/>
    <mergeCell ref="M66:M68"/>
    <mergeCell ref="H69:H80"/>
    <mergeCell ref="A57:A68"/>
    <mergeCell ref="B57:B68"/>
    <mergeCell ref="C57:C68"/>
    <mergeCell ref="D57:D68"/>
    <mergeCell ref="E57:E68"/>
    <mergeCell ref="F57:F68"/>
    <mergeCell ref="G57:G68"/>
    <mergeCell ref="A69:A80"/>
    <mergeCell ref="B69:B80"/>
    <mergeCell ref="C69:C80"/>
    <mergeCell ref="D69:D80"/>
    <mergeCell ref="E69:E80"/>
    <mergeCell ref="F69:F80"/>
    <mergeCell ref="G69:G80"/>
    <mergeCell ref="J55:J56"/>
    <mergeCell ref="K55:K56"/>
    <mergeCell ref="L55:L56"/>
    <mergeCell ref="M55:M56"/>
    <mergeCell ref="I44:I45"/>
    <mergeCell ref="J44:J45"/>
    <mergeCell ref="K44:K45"/>
    <mergeCell ref="L44:L45"/>
    <mergeCell ref="M44:M45"/>
    <mergeCell ref="I46:I47"/>
    <mergeCell ref="J46:J47"/>
    <mergeCell ref="K46:K47"/>
    <mergeCell ref="L46:L47"/>
    <mergeCell ref="A5:A11"/>
    <mergeCell ref="B5:B11"/>
    <mergeCell ref="C5:C11"/>
    <mergeCell ref="D5:D11"/>
    <mergeCell ref="E5:E11"/>
    <mergeCell ref="F5:F11"/>
    <mergeCell ref="G5:G11"/>
    <mergeCell ref="H5:H11"/>
    <mergeCell ref="A13:A14"/>
    <mergeCell ref="B13:B14"/>
    <mergeCell ref="C13:C14"/>
    <mergeCell ref="D13:D14"/>
    <mergeCell ref="E13:E14"/>
    <mergeCell ref="F13:F14"/>
    <mergeCell ref="G13:G14"/>
    <mergeCell ref="H13:H14"/>
    <mergeCell ref="L22:L23"/>
    <mergeCell ref="M22:M23"/>
    <mergeCell ref="A19:A20"/>
    <mergeCell ref="B19:B20"/>
    <mergeCell ref="C19:C20"/>
    <mergeCell ref="D19:D20"/>
    <mergeCell ref="E19:E20"/>
    <mergeCell ref="F19:F20"/>
    <mergeCell ref="G19:G20"/>
    <mergeCell ref="A22:A23"/>
    <mergeCell ref="B22:B23"/>
    <mergeCell ref="C22:C23"/>
    <mergeCell ref="D22:D23"/>
    <mergeCell ref="E22:E23"/>
    <mergeCell ref="F22:F23"/>
    <mergeCell ref="G22:G23"/>
    <mergeCell ref="H22:H23"/>
    <mergeCell ref="I22:I23"/>
    <mergeCell ref="F30:F49"/>
    <mergeCell ref="G30:G49"/>
    <mergeCell ref="H30:H49"/>
    <mergeCell ref="I31:I33"/>
    <mergeCell ref="J31:J33"/>
    <mergeCell ref="K31:K33"/>
    <mergeCell ref="I42:I43"/>
    <mergeCell ref="J42:J43"/>
    <mergeCell ref="K42:K43"/>
    <mergeCell ref="K36:K37"/>
    <mergeCell ref="I38:I39"/>
    <mergeCell ref="J38:J39"/>
    <mergeCell ref="K38:K39"/>
    <mergeCell ref="L31:L33"/>
    <mergeCell ref="M31:M33"/>
    <mergeCell ref="I34:I35"/>
    <mergeCell ref="J34:J35"/>
    <mergeCell ref="K34:K35"/>
    <mergeCell ref="L34:L35"/>
    <mergeCell ref="M34:M35"/>
    <mergeCell ref="I36:I37"/>
    <mergeCell ref="I40:I41"/>
    <mergeCell ref="J40:J41"/>
    <mergeCell ref="K40:K41"/>
    <mergeCell ref="L40:L41"/>
    <mergeCell ref="M40:M41"/>
    <mergeCell ref="L36:L37"/>
    <mergeCell ref="M36:M37"/>
    <mergeCell ref="L38:L39"/>
    <mergeCell ref="M38:M39"/>
    <mergeCell ref="L42:L43"/>
    <mergeCell ref="M42:M43"/>
    <mergeCell ref="M46:M47"/>
    <mergeCell ref="I48:I49"/>
    <mergeCell ref="J48:J49"/>
    <mergeCell ref="K48:K49"/>
    <mergeCell ref="L48:L49"/>
    <mergeCell ref="M48:M49"/>
    <mergeCell ref="A50:A51"/>
    <mergeCell ref="B50:B51"/>
    <mergeCell ref="C50:C51"/>
    <mergeCell ref="D50:D51"/>
    <mergeCell ref="E50:E51"/>
    <mergeCell ref="F50:F51"/>
    <mergeCell ref="G50:G51"/>
    <mergeCell ref="H50:H51"/>
    <mergeCell ref="I50:I51"/>
    <mergeCell ref="J50:J51"/>
    <mergeCell ref="K50:K51"/>
    <mergeCell ref="L50:L51"/>
    <mergeCell ref="M50:M51"/>
    <mergeCell ref="C30:C49"/>
    <mergeCell ref="D30:D49"/>
    <mergeCell ref="E30:E49"/>
    <mergeCell ref="I69:I71"/>
    <mergeCell ref="J69:J71"/>
    <mergeCell ref="K69:K71"/>
    <mergeCell ref="L69:L71"/>
    <mergeCell ref="M69:M71"/>
    <mergeCell ref="I72:I74"/>
    <mergeCell ref="J72:J74"/>
    <mergeCell ref="K72:K74"/>
    <mergeCell ref="L72:L74"/>
    <mergeCell ref="M72:M74"/>
    <mergeCell ref="I75:I77"/>
    <mergeCell ref="J75:J77"/>
    <mergeCell ref="K75:K77"/>
    <mergeCell ref="L75:L77"/>
    <mergeCell ref="M75:M77"/>
    <mergeCell ref="I78:I80"/>
    <mergeCell ref="J78:J80"/>
    <mergeCell ref="K78:K80"/>
    <mergeCell ref="L78:L80"/>
    <mergeCell ref="M78:M80"/>
    <mergeCell ref="H81:H82"/>
    <mergeCell ref="I81:I82"/>
    <mergeCell ref="J81:J82"/>
    <mergeCell ref="K81:K82"/>
    <mergeCell ref="L81:L82"/>
    <mergeCell ref="M81:M82"/>
    <mergeCell ref="A85:A86"/>
    <mergeCell ref="B85:B86"/>
    <mergeCell ref="C85:C86"/>
    <mergeCell ref="D85:D86"/>
    <mergeCell ref="E85:E86"/>
    <mergeCell ref="F85:F86"/>
    <mergeCell ref="G85:G86"/>
    <mergeCell ref="H85:H86"/>
    <mergeCell ref="I85:I86"/>
    <mergeCell ref="J85:J86"/>
    <mergeCell ref="K85:K86"/>
    <mergeCell ref="L85:L86"/>
    <mergeCell ref="M85:M86"/>
    <mergeCell ref="A81:A82"/>
    <mergeCell ref="B81:B82"/>
    <mergeCell ref="C81:C82"/>
    <mergeCell ref="D81:D82"/>
    <mergeCell ref="E81:E82"/>
  </mergeCells>
  <conditionalFormatting sqref="C87:C1048576 F87:F1048576 H87:H1048576 M87:M1048576">
    <cfRule type="containsText" dxfId="34" priority="39" operator="containsText" text="N/A">
      <formula>NOT(ISERROR(SEARCH("N/A",C87)))</formula>
    </cfRule>
  </conditionalFormatting>
  <conditionalFormatting sqref="M2:M5 C2:C1048576 F2:F1048576 H2:H1048576 M12 M15:M18 M21 M24 M28:M33 M52:M54 M83:M84">
    <cfRule type="containsText" dxfId="33" priority="27" operator="containsText" text="TRUE">
      <formula>NOT(ISERROR(SEARCH("TRUE",C2)))</formula>
    </cfRule>
    <cfRule type="containsText" dxfId="32" priority="28" operator="containsText" text="FALSE">
      <formula>NOT(ISERROR(SEARCH("FALSE",C2)))</formula>
    </cfRule>
  </conditionalFormatting>
  <conditionalFormatting sqref="M6:M11">
    <cfRule type="containsText" dxfId="31" priority="21" operator="containsText" text="TRUE">
      <formula>NOT(ISERROR(SEARCH("TRUE",M6)))</formula>
    </cfRule>
    <cfRule type="containsText" dxfId="30" priority="22" operator="containsText" text="FALSE">
      <formula>NOT(ISERROR(SEARCH("FALSE",M6)))</formula>
    </cfRule>
  </conditionalFormatting>
  <conditionalFormatting sqref="M13:M14">
    <cfRule type="containsText" dxfId="29" priority="19" operator="containsText" text="TRUE">
      <formula>NOT(ISERROR(SEARCH("TRUE",M13)))</formula>
    </cfRule>
    <cfRule type="containsText" dxfId="28" priority="20" operator="containsText" text="FALSE">
      <formula>NOT(ISERROR(SEARCH("FALSE",M13)))</formula>
    </cfRule>
  </conditionalFormatting>
  <conditionalFormatting sqref="M19:M20">
    <cfRule type="containsText" dxfId="27" priority="17" operator="containsText" text="TRUE">
      <formula>NOT(ISERROR(SEARCH("TRUE",M19)))</formula>
    </cfRule>
    <cfRule type="containsText" dxfId="26" priority="18" operator="containsText" text="FALSE">
      <formula>NOT(ISERROR(SEARCH("FALSE",M19)))</formula>
    </cfRule>
  </conditionalFormatting>
  <conditionalFormatting sqref="M22:M23">
    <cfRule type="containsText" dxfId="25" priority="15" operator="containsText" text="TRUE">
      <formula>NOT(ISERROR(SEARCH("TRUE",M22)))</formula>
    </cfRule>
    <cfRule type="containsText" dxfId="24" priority="16" operator="containsText" text="FALSE">
      <formula>NOT(ISERROR(SEARCH("FALSE",M22)))</formula>
    </cfRule>
  </conditionalFormatting>
  <conditionalFormatting sqref="M25:M27">
    <cfRule type="containsText" dxfId="23" priority="13" operator="containsText" text="TRUE">
      <formula>NOT(ISERROR(SEARCH("TRUE",M25)))</formula>
    </cfRule>
    <cfRule type="containsText" dxfId="22" priority="14" operator="containsText" text="FALSE">
      <formula>NOT(ISERROR(SEARCH("FALSE",M25)))</formula>
    </cfRule>
  </conditionalFormatting>
  <conditionalFormatting sqref="M34:M51">
    <cfRule type="containsText" dxfId="21" priority="11" operator="containsText" text="TRUE">
      <formula>NOT(ISERROR(SEARCH("TRUE",M34)))</formula>
    </cfRule>
    <cfRule type="containsText" dxfId="20" priority="12" operator="containsText" text="FALSE">
      <formula>NOT(ISERROR(SEARCH("FALSE",M34)))</formula>
    </cfRule>
  </conditionalFormatting>
  <conditionalFormatting sqref="M55:M82">
    <cfRule type="containsText" dxfId="19" priority="3" operator="containsText" text="TRUE">
      <formula>NOT(ISERROR(SEARCH("TRUE",M55)))</formula>
    </cfRule>
    <cfRule type="containsText" dxfId="18" priority="4" operator="containsText" text="FALSE">
      <formula>NOT(ISERROR(SEARCH("FALSE",M55)))</formula>
    </cfRule>
  </conditionalFormatting>
  <conditionalFormatting sqref="M85:M86">
    <cfRule type="containsText" dxfId="17" priority="1" operator="containsText" text="TRUE">
      <formula>NOT(ISERROR(SEARCH("TRUE",M85)))</formula>
    </cfRule>
    <cfRule type="containsText" dxfId="16" priority="2" operator="containsText" text="FALSE">
      <formula>NOT(ISERROR(SEARCH("FALSE",M85)))</formula>
    </cfRule>
  </conditionalFormatting>
  <conditionalFormatting sqref="M87:M1048576">
    <cfRule type="containsText" dxfId="15" priority="40" operator="containsText" text="TRUE">
      <formula>NOT(ISERROR(SEARCH("TRUE",M87)))</formula>
    </cfRule>
    <cfRule type="containsText" dxfId="14" priority="41" operator="containsText" text="FALSE">
      <formula>NOT(ISERROR(SEARCH("FALSE",M87)))</formula>
    </cfRule>
  </conditionalFormatting>
  <conditionalFormatting sqref="P2:P86">
    <cfRule type="containsText" dxfId="13" priority="23" operator="containsText" text="N/A">
      <formula>NOT(ISERROR(SEARCH("N/A",P2)))</formula>
    </cfRule>
    <cfRule type="containsText" dxfId="12" priority="24" operator="containsText" text="TRUE">
      <formula>NOT(ISERROR(SEARCH("TRUE",P2)))</formula>
    </cfRule>
    <cfRule type="containsText" dxfId="11" priority="25" operator="containsText" text="FALSE">
      <formula>NOT(ISERROR(SEARCH("FALSE",P2)))</formula>
    </cfRule>
  </conditionalFormatting>
  <conditionalFormatting sqref="Q2:Q86">
    <cfRule type="notContainsBlanks" dxfId="10" priority="26">
      <formula>LEN(TRIM(Q2))&gt;0</formula>
    </cfRule>
  </conditionalFormatting>
  <dataValidations count="30">
    <dataValidation type="list" allowBlank="1" showInputMessage="1" showErrorMessage="1" sqref="P2 P4:P5 P12 P15:P18 P24 P52:P54" xr:uid="{28C9E838-509D-42F6-A675-2FF5882A60D8}">
      <formula1>"AC 1-1 Met?, TRUE, FALSE, N/A"</formula1>
    </dataValidation>
    <dataValidation type="list" allowBlank="1" showInputMessage="1" showErrorMessage="1" sqref="P6 P60 P72" xr:uid="{9200CDC3-2858-4C1C-8F21-5A310BE496EC}">
      <formula1>"AC 2-1 Met?, TRUE, N/A"</formula1>
    </dataValidation>
    <dataValidation type="list" allowBlank="1" showInputMessage="1" showErrorMessage="1" sqref="P7 P32" xr:uid="{147D458C-EA2A-4250-8B69-F80BE1B440A6}">
      <formula1>"AC 2-2 Met?, TRUE, FALSE, N/A"</formula1>
    </dataValidation>
    <dataValidation type="list" allowBlank="1" showInputMessage="1" showErrorMessage="1" sqref="P8 P34 P63 P75" xr:uid="{15C22FA8-FD2C-4FC8-8305-D06346B521A0}">
      <formula1>"AC 3-1 Met?, TRUE, N/A"</formula1>
    </dataValidation>
    <dataValidation type="list" allowBlank="1" showInputMessage="1" showErrorMessage="1" sqref="P9 P35" xr:uid="{51ABABA4-C57D-41C7-9832-145FE53CAA30}">
      <formula1>"AC 3-2 Met?, TRUE, FALSE, N/A"</formula1>
    </dataValidation>
    <dataValidation type="list" allowBlank="1" showInputMessage="1" showErrorMessage="1" sqref="P10 P36 P66 P78" xr:uid="{B10F13F9-381F-4CF9-B3DC-27BB15001A2B}">
      <formula1>"AC 4-1 Met?, TRUE, N/A"</formula1>
    </dataValidation>
    <dataValidation type="list" allowBlank="1" showInputMessage="1" showErrorMessage="1" sqref="P11 P37" xr:uid="{94433285-EB45-46A5-A12C-C2743C6B8ED6}">
      <formula1>"AC 4-2 Met?, TRUE, FALSE, N/A"</formula1>
    </dataValidation>
    <dataValidation type="list" allowBlank="1" showInputMessage="1" showErrorMessage="1" sqref="P13 P19 P25 P50 P55 P57 P69 P81 P85 P22" xr:uid="{9AB38733-4638-4A8D-805D-B2BF84BA57A8}">
      <formula1>"AC 1-1 Met?, TRUE, N/A"</formula1>
    </dataValidation>
    <dataValidation type="list" allowBlank="1" showInputMessage="1" showErrorMessage="1" sqref="P14 P20 P26 P51 P56 P82 P86" xr:uid="{89829754-DB7B-4798-BBED-7DDA534FB7A7}">
      <formula1>"AC 1-2 Met?, TRUE, FALSE, N/A"</formula1>
    </dataValidation>
    <dataValidation type="list" allowBlank="1" showInputMessage="1" showErrorMessage="1" sqref="P27 P59 P71" xr:uid="{3BEBF370-EADD-4B93-AB0B-9C68ECAA172B}">
      <formula1>"AC 1-3 Met?, TRUE, FALSE, N/A"</formula1>
    </dataValidation>
    <dataValidation type="list" allowBlank="1" showInputMessage="1" showErrorMessage="1" sqref="P31" xr:uid="{882E4DCF-C8A2-4EFC-9211-902F0E3E3E22}">
      <formula1>"AC 2-1 Met?, TRUE, FALSE, N/A"</formula1>
    </dataValidation>
    <dataValidation type="list" allowBlank="1" showInputMessage="1" showErrorMessage="1" sqref="P33 P62 P74" xr:uid="{7E63B81C-66D3-43C5-B2B4-B0E9C1B08091}">
      <formula1>"AC 2-3 Met?, TRUE, FALSE, N/A"</formula1>
    </dataValidation>
    <dataValidation type="list" allowBlank="1" showInputMessage="1" showErrorMessage="1" sqref="P38" xr:uid="{1C39EA7C-C2B4-46DF-B8CF-D13EBE1DE3C5}">
      <formula1>"AC 5-1 Met?, TRUE, N/A"</formula1>
    </dataValidation>
    <dataValidation type="list" allowBlank="1" showInputMessage="1" showErrorMessage="1" sqref="P39" xr:uid="{BB3F6D72-6535-4F27-8252-4F0B340E2E95}">
      <formula1>"AC 5-2 Met?, TRUE, FALSE, N/A"</formula1>
    </dataValidation>
    <dataValidation type="list" allowBlank="1" showInputMessage="1" showErrorMessage="1" sqref="P40" xr:uid="{A767D5E0-871A-4FB8-8C13-D1D0CD0EBA1D}">
      <formula1>"AC 6-1 Met?, TRUE, N/A"</formula1>
    </dataValidation>
    <dataValidation type="list" allowBlank="1" showInputMessage="1" showErrorMessage="1" sqref="P41" xr:uid="{3DC276EE-497D-4787-A5DA-D973CA60D34E}">
      <formula1>"AC 6-2 Met?, TRUE, FALSE, N/A"</formula1>
    </dataValidation>
    <dataValidation type="list" allowBlank="1" showInputMessage="1" showErrorMessage="1" sqref="P42" xr:uid="{95454E19-4E9B-44BD-A47E-A231A372999D}">
      <formula1>"AC 7-1 Met?, TRUE, N/A"</formula1>
    </dataValidation>
    <dataValidation type="list" allowBlank="1" showInputMessage="1" showErrorMessage="1" sqref="P43" xr:uid="{041C733F-BAB9-465C-B453-3CA220639792}">
      <formula1>"AC 7-2 Met?, TRUE, FALSE, N/A"</formula1>
    </dataValidation>
    <dataValidation type="list" allowBlank="1" showInputMessage="1" showErrorMessage="1" sqref="P44" xr:uid="{86366ECA-D44E-4BA1-98FC-7A282C4A06B4}">
      <formula1>"AC 8-1 Met?, TRUE, N/A"</formula1>
    </dataValidation>
    <dataValidation type="list" allowBlank="1" showInputMessage="1" showErrorMessage="1" sqref="P45" xr:uid="{E7B460B6-78CD-4694-8E78-F307C0CD4045}">
      <formula1>"AC 8-2 Met?, TRUE, FALSE, N/A"</formula1>
    </dataValidation>
    <dataValidation type="list" allowBlank="1" showInputMessage="1" showErrorMessage="1" sqref="P46" xr:uid="{D92F21D9-BA98-4417-98B4-8F1CB773B563}">
      <formula1>"AC 9-1 Met?, TRUE, N/A"</formula1>
    </dataValidation>
    <dataValidation type="list" allowBlank="1" showInputMessage="1" showErrorMessage="1" sqref="P47" xr:uid="{89C48602-575A-441F-BDCD-E6E43AB7184C}">
      <formula1>"AC 9-2 Met?, TRUE, FALSE, N/A"</formula1>
    </dataValidation>
    <dataValidation type="list" allowBlank="1" showInputMessage="1" showErrorMessage="1" sqref="P48" xr:uid="{B2C5ECB8-2F35-4732-9023-7B1567CF74DF}">
      <formula1>"AC 10-1 Met?, TRUE, N/A"</formula1>
    </dataValidation>
    <dataValidation type="list" allowBlank="1" showInputMessage="1" showErrorMessage="1" sqref="P49" xr:uid="{64923C00-2DBC-481D-89DF-C9D05F9517B5}">
      <formula1>"AC 10-2 Met?, TRUE, FALSE, N/A"</formula1>
    </dataValidation>
    <dataValidation type="list" allowBlank="1" showInputMessage="1" showErrorMessage="1" sqref="P58 P70" xr:uid="{4FACF22C-4533-4E79-ACAD-215553A79A46}">
      <formula1>"AC 1-2 Met?, TRUE, N/A"</formula1>
    </dataValidation>
    <dataValidation type="list" allowBlank="1" showInputMessage="1" showErrorMessage="1" sqref="P61 P73" xr:uid="{A0FFB891-4E69-4C5C-AC7D-F6175B273D00}">
      <formula1>"AC 2-2 Met?, TRUE, N/A"</formula1>
    </dataValidation>
    <dataValidation type="list" allowBlank="1" showInputMessage="1" showErrorMessage="1" sqref="P64 P76" xr:uid="{5B1C896D-E662-41D8-9AE9-EF3CCB902AF6}">
      <formula1>"AC 3-2 Met?, TRUE, N/A"</formula1>
    </dataValidation>
    <dataValidation type="list" allowBlank="1" showInputMessage="1" showErrorMessage="1" sqref="P65 P77" xr:uid="{C3994220-B7EE-4492-9205-7E3477A1ACD9}">
      <formula1>"AC 3-3 Met?, TRUE, FALSE, N/A"</formula1>
    </dataValidation>
    <dataValidation type="list" allowBlank="1" showInputMessage="1" showErrorMessage="1" sqref="P67 P79" xr:uid="{62E0352C-5B8D-43B1-9610-7BAD1488F6E4}">
      <formula1>"AC 4-2 Met?, TRUE, N/A"</formula1>
    </dataValidation>
    <dataValidation type="list" allowBlank="1" showInputMessage="1" showErrorMessage="1" sqref="P68 P80" xr:uid="{1702CC43-48CA-474C-88C5-A19F659D3203}">
      <formula1>"AC 4-3 Met?, TRUE, FALSE, N/A"</formula1>
    </dataValidation>
  </dataValidations>
  <pageMargins left="0.45" right="0.45" top="0.75" bottom="0.75" header="0.3" footer="0.3"/>
  <pageSetup fitToHeight="0" orientation="portrait" horizontalDpi="1200" verticalDpi="1200" r:id="rId1"/>
  <headerFooter>
    <oddHeader>&amp;L&amp;"Times New Roman,Regular"Platform Checklist&amp;RRev. &amp;K00B050-&amp;K01+000
&amp;K00B050Date as dd Month YYYY</oddHeader>
    <oddFooter>&amp;C&amp;"Times New Roman,Regular"&amp;10See disclaimer and distribution A statements on cover page.</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tabColor theme="4"/>
  </sheetPr>
  <dimension ref="A1:H139"/>
  <sheetViews>
    <sheetView zoomScale="85" zoomScaleNormal="85" workbookViewId="0">
      <pane xSplit="2" ySplit="4" topLeftCell="C5" activePane="bottomRight" state="frozen"/>
      <selection activeCell="D20" sqref="D20"/>
      <selection pane="topRight" activeCell="D20" sqref="D20"/>
      <selection pane="bottomLeft" activeCell="D20" sqref="D20"/>
      <selection pane="bottomRight" activeCell="C5" sqref="C5"/>
    </sheetView>
  </sheetViews>
  <sheetFormatPr defaultColWidth="9.140625" defaultRowHeight="12.75" x14ac:dyDescent="0.25"/>
  <cols>
    <col min="1" max="1" width="82.42578125" style="27" customWidth="1"/>
    <col min="2" max="2" width="25.7109375" style="29" customWidth="1"/>
    <col min="3" max="3" width="19.28515625" style="29" bestFit="1" customWidth="1"/>
    <col min="4" max="4" width="42" style="27" customWidth="1"/>
    <col min="5" max="5" width="21" style="29" customWidth="1"/>
    <col min="6" max="6" width="17" style="27" hidden="1" customWidth="1"/>
    <col min="7" max="7" width="13.28515625" style="27" hidden="1" customWidth="1"/>
    <col min="8" max="8" width="0" style="27" hidden="1" customWidth="1"/>
    <col min="9" max="16384" width="9.140625" style="27"/>
  </cols>
  <sheetData>
    <row r="1" spans="1:8" ht="13.5" thickBot="1" x14ac:dyDescent="0.3">
      <c r="A1" s="15"/>
      <c r="B1" s="15"/>
      <c r="C1" s="15"/>
      <c r="D1" s="15"/>
      <c r="E1" s="15"/>
      <c r="F1" s="15"/>
      <c r="G1" s="15"/>
      <c r="H1" s="15"/>
    </row>
    <row r="2" spans="1:8" ht="34.5" customHeight="1" thickBot="1" x14ac:dyDescent="0.3">
      <c r="A2" s="41" t="s">
        <v>503</v>
      </c>
      <c r="B2" s="34" t="b">
        <f>AND(TRUE,F5,F6,F7,F8,F9,F13,F14,F19,F26,F39,F56,F75,F86,F105,F114,F117,F123,F131,F133,F135,F137)</f>
        <v>0</v>
      </c>
      <c r="C2" s="15"/>
      <c r="D2" s="15"/>
      <c r="E2" s="15"/>
      <c r="F2" s="15"/>
    </row>
    <row r="3" spans="1:8" ht="13.5" thickBot="1" x14ac:dyDescent="0.3">
      <c r="A3" s="15"/>
      <c r="B3" s="15"/>
      <c r="C3" s="15"/>
      <c r="D3" s="15"/>
      <c r="E3" s="15"/>
      <c r="F3" s="15"/>
      <c r="G3" s="15"/>
      <c r="H3" s="15"/>
    </row>
    <row r="4" spans="1:8" ht="13.5" thickBot="1" x14ac:dyDescent="0.3">
      <c r="A4" s="36" t="s">
        <v>387</v>
      </c>
      <c r="B4" s="20" t="s">
        <v>88</v>
      </c>
      <c r="C4" s="35" t="s">
        <v>89</v>
      </c>
      <c r="D4" s="20" t="s">
        <v>39</v>
      </c>
      <c r="E4" s="20" t="s">
        <v>90</v>
      </c>
      <c r="F4" s="20" t="s">
        <v>91</v>
      </c>
      <c r="G4" s="20" t="s">
        <v>20</v>
      </c>
      <c r="H4" s="20" t="s">
        <v>21</v>
      </c>
    </row>
    <row r="5" spans="1:8" ht="13.5" thickBot="1" x14ac:dyDescent="0.3">
      <c r="A5" s="55" t="s">
        <v>388</v>
      </c>
      <c r="B5" s="57" t="s">
        <v>92</v>
      </c>
      <c r="C5" s="58" t="s">
        <v>19</v>
      </c>
      <c r="D5" s="59"/>
      <c r="E5" s="58" t="b">
        <f t="shared" ref="E5:E36" si="0">IF($B5="Required",OR($C5=TRUE,AND($C5="N/A",NOT(ISBLANK($D5)))),IF($B5="Optional",TRUE,IF($B5="Required if applicable",OR($C5=TRUE,AND($C5="N/A",NOT(ISBLANK($D5)))),OR($C5=TRUE,AND($C5="N/A",NOT(ISBLANK($D5)))))))</f>
        <v>0</v>
      </c>
      <c r="F5" s="58" t="b">
        <f>AND(E5)</f>
        <v>0</v>
      </c>
      <c r="G5" s="54">
        <v>1</v>
      </c>
      <c r="H5" s="54">
        <v>5</v>
      </c>
    </row>
    <row r="6" spans="1:8" ht="13.5" thickBot="1" x14ac:dyDescent="0.3">
      <c r="A6" s="55" t="s">
        <v>93</v>
      </c>
      <c r="B6" s="54" t="s">
        <v>92</v>
      </c>
      <c r="C6" s="58" t="s">
        <v>19</v>
      </c>
      <c r="D6" s="59"/>
      <c r="E6" s="58" t="b">
        <f t="shared" si="0"/>
        <v>0</v>
      </c>
      <c r="F6" s="58" t="b">
        <f>AND(E6)</f>
        <v>0</v>
      </c>
      <c r="G6" s="54">
        <v>1</v>
      </c>
      <c r="H6" s="54">
        <v>6</v>
      </c>
    </row>
    <row r="7" spans="1:8" ht="13.5" thickBot="1" x14ac:dyDescent="0.3">
      <c r="A7" s="55" t="s">
        <v>8</v>
      </c>
      <c r="B7" s="54" t="s">
        <v>92</v>
      </c>
      <c r="C7" s="58" t="s">
        <v>19</v>
      </c>
      <c r="D7" s="59"/>
      <c r="E7" s="58" t="b">
        <f t="shared" si="0"/>
        <v>0</v>
      </c>
      <c r="F7" s="58" t="b">
        <f>AND(E7)</f>
        <v>0</v>
      </c>
      <c r="G7" s="54">
        <v>1</v>
      </c>
      <c r="H7" s="54">
        <v>7</v>
      </c>
    </row>
    <row r="8" spans="1:8" ht="64.5" thickBot="1" x14ac:dyDescent="0.3">
      <c r="A8" s="55" t="s">
        <v>502</v>
      </c>
      <c r="B8" s="57" t="s">
        <v>92</v>
      </c>
      <c r="C8" s="58" t="s">
        <v>19</v>
      </c>
      <c r="D8" s="59"/>
      <c r="E8" s="58" t="b">
        <f t="shared" si="0"/>
        <v>0</v>
      </c>
      <c r="F8" s="58" t="b">
        <f>AND(E8)</f>
        <v>0</v>
      </c>
      <c r="G8" s="54">
        <v>1</v>
      </c>
      <c r="H8" s="54">
        <v>8</v>
      </c>
    </row>
    <row r="9" spans="1:8" ht="13.5" thickBot="1" x14ac:dyDescent="0.3">
      <c r="A9" s="55" t="s">
        <v>94</v>
      </c>
      <c r="B9" s="54" t="s">
        <v>92</v>
      </c>
      <c r="C9" s="58" t="s">
        <v>19</v>
      </c>
      <c r="D9" s="59"/>
      <c r="E9" s="58" t="b">
        <f t="shared" si="0"/>
        <v>0</v>
      </c>
      <c r="F9" s="58" t="b">
        <f>AND(E9,F10,F11,F12)</f>
        <v>0</v>
      </c>
      <c r="G9" s="54">
        <v>1</v>
      </c>
      <c r="H9" s="54">
        <v>9</v>
      </c>
    </row>
    <row r="10" spans="1:8" ht="26.25" thickBot="1" x14ac:dyDescent="0.3">
      <c r="A10" s="55" t="s">
        <v>95</v>
      </c>
      <c r="B10" s="54" t="s">
        <v>92</v>
      </c>
      <c r="C10" s="58" t="s">
        <v>19</v>
      </c>
      <c r="D10" s="59"/>
      <c r="E10" s="58" t="b">
        <f t="shared" si="0"/>
        <v>0</v>
      </c>
      <c r="F10" s="58" t="b">
        <f>AND(E10)</f>
        <v>0</v>
      </c>
      <c r="G10" s="54">
        <v>2</v>
      </c>
      <c r="H10" s="54">
        <v>10</v>
      </c>
    </row>
    <row r="11" spans="1:8" ht="26.25" thickBot="1" x14ac:dyDescent="0.3">
      <c r="A11" s="55" t="s">
        <v>504</v>
      </c>
      <c r="B11" s="54" t="s">
        <v>92</v>
      </c>
      <c r="C11" s="58" t="s">
        <v>19</v>
      </c>
      <c r="D11" s="59"/>
      <c r="E11" s="58" t="b">
        <f t="shared" si="0"/>
        <v>0</v>
      </c>
      <c r="F11" s="58" t="b">
        <f>AND(E11)</f>
        <v>0</v>
      </c>
      <c r="G11" s="54">
        <v>2</v>
      </c>
      <c r="H11" s="54">
        <v>11</v>
      </c>
    </row>
    <row r="12" spans="1:8" ht="26.25" thickBot="1" x14ac:dyDescent="0.3">
      <c r="A12" s="55" t="s">
        <v>505</v>
      </c>
      <c r="B12" s="54" t="s">
        <v>92</v>
      </c>
      <c r="C12" s="58" t="s">
        <v>19</v>
      </c>
      <c r="D12" s="59"/>
      <c r="E12" s="58" t="b">
        <f t="shared" si="0"/>
        <v>0</v>
      </c>
      <c r="F12" s="58" t="b">
        <f>AND(E12)</f>
        <v>0</v>
      </c>
      <c r="G12" s="54">
        <v>2</v>
      </c>
      <c r="H12" s="54">
        <v>12</v>
      </c>
    </row>
    <row r="13" spans="1:8" ht="26.25" thickBot="1" x14ac:dyDescent="0.3">
      <c r="A13" s="55" t="s">
        <v>104</v>
      </c>
      <c r="B13" s="54" t="s">
        <v>92</v>
      </c>
      <c r="C13" s="58" t="s">
        <v>19</v>
      </c>
      <c r="D13" s="59"/>
      <c r="E13" s="58" t="b">
        <f t="shared" si="0"/>
        <v>0</v>
      </c>
      <c r="F13" s="58" t="b">
        <f>AND(E13)</f>
        <v>0</v>
      </c>
      <c r="G13" s="54">
        <v>1</v>
      </c>
      <c r="H13" s="54">
        <v>13</v>
      </c>
    </row>
    <row r="14" spans="1:8" ht="13.5" thickBot="1" x14ac:dyDescent="0.3">
      <c r="A14" s="33" t="s">
        <v>102</v>
      </c>
      <c r="B14" s="54" t="s">
        <v>92</v>
      </c>
      <c r="C14" s="58" t="s">
        <v>19</v>
      </c>
      <c r="D14" s="59"/>
      <c r="E14" s="58" t="b">
        <f t="shared" si="0"/>
        <v>0</v>
      </c>
      <c r="F14" s="58" t="b">
        <f>AND(E14,F15,F16)</f>
        <v>0</v>
      </c>
      <c r="G14" s="54">
        <v>1</v>
      </c>
      <c r="H14" s="54">
        <v>14</v>
      </c>
    </row>
    <row r="15" spans="1:8" ht="26.25" thickBot="1" x14ac:dyDescent="0.3">
      <c r="A15" s="55" t="s">
        <v>389</v>
      </c>
      <c r="B15" s="54" t="s">
        <v>92</v>
      </c>
      <c r="C15" s="58" t="s">
        <v>19</v>
      </c>
      <c r="D15" s="59"/>
      <c r="E15" s="58" t="b">
        <f t="shared" si="0"/>
        <v>0</v>
      </c>
      <c r="F15" s="58" t="b">
        <f>AND(E15)</f>
        <v>0</v>
      </c>
      <c r="G15" s="54">
        <v>2</v>
      </c>
      <c r="H15" s="54">
        <v>15</v>
      </c>
    </row>
    <row r="16" spans="1:8" ht="13.5" thickBot="1" x14ac:dyDescent="0.3">
      <c r="A16" s="33" t="s">
        <v>103</v>
      </c>
      <c r="B16" s="54" t="s">
        <v>92</v>
      </c>
      <c r="C16" s="58" t="s">
        <v>19</v>
      </c>
      <c r="D16" s="59"/>
      <c r="E16" s="58" t="b">
        <f t="shared" si="0"/>
        <v>0</v>
      </c>
      <c r="F16" s="58" t="b">
        <f>AND(E16,F17,F18)</f>
        <v>0</v>
      </c>
      <c r="G16" s="54">
        <v>2</v>
      </c>
      <c r="H16" s="54">
        <v>16</v>
      </c>
    </row>
    <row r="17" spans="1:8" ht="26.25" thickBot="1" x14ac:dyDescent="0.3">
      <c r="A17" s="55" t="s">
        <v>96</v>
      </c>
      <c r="B17" s="54" t="s">
        <v>92</v>
      </c>
      <c r="C17" s="58" t="s">
        <v>19</v>
      </c>
      <c r="D17" s="59"/>
      <c r="E17" s="58" t="b">
        <f t="shared" si="0"/>
        <v>0</v>
      </c>
      <c r="F17" s="58" t="b">
        <f>AND(E17)</f>
        <v>0</v>
      </c>
      <c r="G17" s="54">
        <v>3</v>
      </c>
      <c r="H17" s="54">
        <v>17</v>
      </c>
    </row>
    <row r="18" spans="1:8" ht="13.5" thickBot="1" x14ac:dyDescent="0.3">
      <c r="A18" s="55" t="s">
        <v>97</v>
      </c>
      <c r="B18" s="54" t="s">
        <v>92</v>
      </c>
      <c r="C18" s="58" t="s">
        <v>19</v>
      </c>
      <c r="D18" s="59"/>
      <c r="E18" s="58" t="b">
        <f t="shared" si="0"/>
        <v>0</v>
      </c>
      <c r="F18" s="58" t="b">
        <f>AND(E18)</f>
        <v>0</v>
      </c>
      <c r="G18" s="54">
        <v>3</v>
      </c>
      <c r="H18" s="54">
        <v>18</v>
      </c>
    </row>
    <row r="19" spans="1:8" ht="13.5" thickBot="1" x14ac:dyDescent="0.3">
      <c r="A19" s="33" t="s">
        <v>422</v>
      </c>
      <c r="B19" s="54" t="s">
        <v>92</v>
      </c>
      <c r="C19" s="58" t="s">
        <v>19</v>
      </c>
      <c r="D19" s="59"/>
      <c r="E19" s="58" t="b">
        <f t="shared" si="0"/>
        <v>0</v>
      </c>
      <c r="F19" s="58" t="b">
        <f>AND(E19,F20,F23)</f>
        <v>0</v>
      </c>
      <c r="G19" s="54">
        <v>1</v>
      </c>
      <c r="H19" s="54">
        <v>19</v>
      </c>
    </row>
    <row r="20" spans="1:8" ht="13.5" thickBot="1" x14ac:dyDescent="0.3">
      <c r="A20" s="33" t="s">
        <v>423</v>
      </c>
      <c r="B20" s="54" t="s">
        <v>92</v>
      </c>
      <c r="C20" s="58" t="s">
        <v>19</v>
      </c>
      <c r="D20" s="59"/>
      <c r="E20" s="58" t="b">
        <f t="shared" si="0"/>
        <v>0</v>
      </c>
      <c r="F20" s="58" t="b">
        <f>AND(E20,F21,F22)</f>
        <v>0</v>
      </c>
      <c r="G20" s="54">
        <v>2</v>
      </c>
      <c r="H20" s="54">
        <v>20</v>
      </c>
    </row>
    <row r="21" spans="1:8" ht="26.25" thickBot="1" x14ac:dyDescent="0.3">
      <c r="A21" s="55" t="s">
        <v>98</v>
      </c>
      <c r="B21" s="54" t="s">
        <v>92</v>
      </c>
      <c r="C21" s="58" t="s">
        <v>19</v>
      </c>
      <c r="D21" s="59"/>
      <c r="E21" s="58" t="b">
        <f t="shared" si="0"/>
        <v>0</v>
      </c>
      <c r="F21" s="58" t="b">
        <f>AND(E21)</f>
        <v>0</v>
      </c>
      <c r="G21" s="54">
        <v>3</v>
      </c>
      <c r="H21" s="54">
        <v>21</v>
      </c>
    </row>
    <row r="22" spans="1:8" ht="13.5" thickBot="1" x14ac:dyDescent="0.3">
      <c r="A22" s="55" t="s">
        <v>390</v>
      </c>
      <c r="B22" s="54" t="s">
        <v>92</v>
      </c>
      <c r="C22" s="58" t="s">
        <v>19</v>
      </c>
      <c r="D22" s="59"/>
      <c r="E22" s="58" t="b">
        <f t="shared" si="0"/>
        <v>0</v>
      </c>
      <c r="F22" s="58" t="b">
        <f>AND(E22)</f>
        <v>0</v>
      </c>
      <c r="G22" s="54">
        <v>3</v>
      </c>
      <c r="H22" s="54">
        <v>22</v>
      </c>
    </row>
    <row r="23" spans="1:8" ht="13.5" thickBot="1" x14ac:dyDescent="0.3">
      <c r="A23" s="33" t="s">
        <v>424</v>
      </c>
      <c r="B23" s="54" t="s">
        <v>92</v>
      </c>
      <c r="C23" s="58" t="s">
        <v>19</v>
      </c>
      <c r="D23" s="59"/>
      <c r="E23" s="58" t="b">
        <f t="shared" si="0"/>
        <v>0</v>
      </c>
      <c r="F23" s="58" t="b">
        <f>AND(E23,F24,F25)</f>
        <v>0</v>
      </c>
      <c r="G23" s="54">
        <v>2</v>
      </c>
      <c r="H23" s="54">
        <v>23</v>
      </c>
    </row>
    <row r="24" spans="1:8" ht="26.25" thickBot="1" x14ac:dyDescent="0.3">
      <c r="A24" s="55" t="s">
        <v>96</v>
      </c>
      <c r="B24" s="54" t="s">
        <v>92</v>
      </c>
      <c r="C24" s="58" t="s">
        <v>19</v>
      </c>
      <c r="D24" s="59"/>
      <c r="E24" s="58" t="b">
        <f t="shared" si="0"/>
        <v>0</v>
      </c>
      <c r="F24" s="58" t="b">
        <f>AND(E24)</f>
        <v>0</v>
      </c>
      <c r="G24" s="54">
        <v>3</v>
      </c>
      <c r="H24" s="54">
        <v>24</v>
      </c>
    </row>
    <row r="25" spans="1:8" ht="13.5" thickBot="1" x14ac:dyDescent="0.3">
      <c r="A25" s="55" t="s">
        <v>391</v>
      </c>
      <c r="B25" s="54" t="s">
        <v>92</v>
      </c>
      <c r="C25" s="58" t="s">
        <v>19</v>
      </c>
      <c r="D25" s="59"/>
      <c r="E25" s="58" t="b">
        <f t="shared" si="0"/>
        <v>0</v>
      </c>
      <c r="F25" s="58" t="b">
        <f>AND(E25)</f>
        <v>0</v>
      </c>
      <c r="G25" s="54">
        <v>3</v>
      </c>
      <c r="H25" s="54">
        <v>25</v>
      </c>
    </row>
    <row r="26" spans="1:8" ht="13.5" thickBot="1" x14ac:dyDescent="0.3">
      <c r="A26" s="33" t="s">
        <v>425</v>
      </c>
      <c r="B26" s="54" t="s">
        <v>92</v>
      </c>
      <c r="C26" s="58" t="s">
        <v>19</v>
      </c>
      <c r="D26" s="59"/>
      <c r="E26" s="58" t="b">
        <f t="shared" si="0"/>
        <v>0</v>
      </c>
      <c r="F26" s="58" t="b">
        <f>AND(E26,F27,F28,F30)</f>
        <v>0</v>
      </c>
      <c r="G26" s="54">
        <v>1</v>
      </c>
      <c r="H26" s="54">
        <v>26</v>
      </c>
    </row>
    <row r="27" spans="1:8" ht="26.25" thickBot="1" x14ac:dyDescent="0.3">
      <c r="A27" s="55" t="s">
        <v>98</v>
      </c>
      <c r="B27" s="54" t="s">
        <v>92</v>
      </c>
      <c r="C27" s="58" t="s">
        <v>19</v>
      </c>
      <c r="D27" s="59"/>
      <c r="E27" s="58" t="b">
        <f t="shared" si="0"/>
        <v>0</v>
      </c>
      <c r="F27" s="58" t="b">
        <f>AND(E27)</f>
        <v>0</v>
      </c>
      <c r="G27" s="54">
        <v>2</v>
      </c>
      <c r="H27" s="54">
        <v>27</v>
      </c>
    </row>
    <row r="28" spans="1:8" ht="13.5" thickBot="1" x14ac:dyDescent="0.3">
      <c r="A28" s="33" t="s">
        <v>426</v>
      </c>
      <c r="B28" s="54" t="s">
        <v>92</v>
      </c>
      <c r="C28" s="58" t="s">
        <v>19</v>
      </c>
      <c r="D28" s="59"/>
      <c r="E28" s="58" t="b">
        <f t="shared" si="0"/>
        <v>0</v>
      </c>
      <c r="F28" s="58" t="b">
        <f>AND(E28,F29)</f>
        <v>0</v>
      </c>
      <c r="G28" s="54">
        <v>2</v>
      </c>
      <c r="H28" s="54">
        <v>28</v>
      </c>
    </row>
    <row r="29" spans="1:8" ht="13.5" thickBot="1" x14ac:dyDescent="0.3">
      <c r="A29" s="55" t="s">
        <v>392</v>
      </c>
      <c r="B29" s="54" t="s">
        <v>92</v>
      </c>
      <c r="C29" s="58" t="s">
        <v>19</v>
      </c>
      <c r="D29" s="59"/>
      <c r="E29" s="58" t="b">
        <f t="shared" si="0"/>
        <v>0</v>
      </c>
      <c r="F29" s="58" t="b">
        <f>AND(E29)</f>
        <v>0</v>
      </c>
      <c r="G29" s="54">
        <v>3</v>
      </c>
      <c r="H29" s="54">
        <v>29</v>
      </c>
    </row>
    <row r="30" spans="1:8" ht="13.5" thickBot="1" x14ac:dyDescent="0.3">
      <c r="A30" s="33" t="s">
        <v>427</v>
      </c>
      <c r="B30" s="54" t="s">
        <v>92</v>
      </c>
      <c r="C30" s="58" t="s">
        <v>19</v>
      </c>
      <c r="D30" s="59"/>
      <c r="E30" s="58" t="b">
        <f t="shared" si="0"/>
        <v>0</v>
      </c>
      <c r="F30" s="58" t="b">
        <f>AND(E30,F31,F34,F37)</f>
        <v>0</v>
      </c>
      <c r="G30" s="54">
        <v>2</v>
      </c>
      <c r="H30" s="54">
        <v>30</v>
      </c>
    </row>
    <row r="31" spans="1:8" ht="13.5" thickBot="1" x14ac:dyDescent="0.3">
      <c r="A31" s="33" t="s">
        <v>428</v>
      </c>
      <c r="B31" s="54" t="s">
        <v>92</v>
      </c>
      <c r="C31" s="58" t="s">
        <v>19</v>
      </c>
      <c r="D31" s="59"/>
      <c r="E31" s="58" t="b">
        <f t="shared" si="0"/>
        <v>0</v>
      </c>
      <c r="F31" s="58" t="b">
        <f>AND(E31,F32,F33)</f>
        <v>0</v>
      </c>
      <c r="G31" s="54">
        <v>3</v>
      </c>
      <c r="H31" s="54">
        <v>31</v>
      </c>
    </row>
    <row r="32" spans="1:8" ht="13.5" thickBot="1" x14ac:dyDescent="0.3">
      <c r="A32" s="55" t="s">
        <v>393</v>
      </c>
      <c r="B32" s="54" t="s">
        <v>92</v>
      </c>
      <c r="C32" s="58" t="s">
        <v>19</v>
      </c>
      <c r="D32" s="59"/>
      <c r="E32" s="58" t="b">
        <f t="shared" si="0"/>
        <v>0</v>
      </c>
      <c r="F32" s="58" t="b">
        <f>AND(E32)</f>
        <v>0</v>
      </c>
      <c r="G32" s="54">
        <v>4</v>
      </c>
      <c r="H32" s="54">
        <v>32</v>
      </c>
    </row>
    <row r="33" spans="1:8" ht="13.5" thickBot="1" x14ac:dyDescent="0.3">
      <c r="A33" s="55" t="s">
        <v>394</v>
      </c>
      <c r="B33" s="54" t="s">
        <v>92</v>
      </c>
      <c r="C33" s="58" t="s">
        <v>19</v>
      </c>
      <c r="D33" s="59"/>
      <c r="E33" s="58" t="b">
        <f t="shared" si="0"/>
        <v>0</v>
      </c>
      <c r="F33" s="58" t="b">
        <f>AND(E33)</f>
        <v>0</v>
      </c>
      <c r="G33" s="54">
        <v>4</v>
      </c>
      <c r="H33" s="54">
        <v>33</v>
      </c>
    </row>
    <row r="34" spans="1:8" ht="13.5" thickBot="1" x14ac:dyDescent="0.3">
      <c r="A34" s="33" t="s">
        <v>429</v>
      </c>
      <c r="B34" s="54" t="s">
        <v>92</v>
      </c>
      <c r="C34" s="58" t="s">
        <v>19</v>
      </c>
      <c r="D34" s="59"/>
      <c r="E34" s="58" t="b">
        <f t="shared" si="0"/>
        <v>0</v>
      </c>
      <c r="F34" s="58" t="b">
        <f>AND(E34,F35,F36)</f>
        <v>0</v>
      </c>
      <c r="G34" s="54">
        <v>3</v>
      </c>
      <c r="H34" s="54">
        <v>34</v>
      </c>
    </row>
    <row r="35" spans="1:8" ht="13.5" thickBot="1" x14ac:dyDescent="0.3">
      <c r="A35" s="55" t="s">
        <v>395</v>
      </c>
      <c r="B35" s="54" t="s">
        <v>92</v>
      </c>
      <c r="C35" s="58" t="s">
        <v>19</v>
      </c>
      <c r="D35" s="59"/>
      <c r="E35" s="58" t="b">
        <f t="shared" si="0"/>
        <v>0</v>
      </c>
      <c r="F35" s="58" t="b">
        <f>AND(E35)</f>
        <v>0</v>
      </c>
      <c r="G35" s="54">
        <v>4</v>
      </c>
      <c r="H35" s="54">
        <v>35</v>
      </c>
    </row>
    <row r="36" spans="1:8" ht="13.5" thickBot="1" x14ac:dyDescent="0.3">
      <c r="A36" s="55" t="s">
        <v>396</v>
      </c>
      <c r="B36" s="54" t="s">
        <v>92</v>
      </c>
      <c r="C36" s="58" t="s">
        <v>19</v>
      </c>
      <c r="D36" s="59"/>
      <c r="E36" s="58" t="b">
        <f t="shared" si="0"/>
        <v>0</v>
      </c>
      <c r="F36" s="58" t="b">
        <f>AND(E36)</f>
        <v>0</v>
      </c>
      <c r="G36" s="54">
        <v>4</v>
      </c>
      <c r="H36" s="54">
        <v>36</v>
      </c>
    </row>
    <row r="37" spans="1:8" ht="13.5" thickBot="1" x14ac:dyDescent="0.3">
      <c r="A37" s="33" t="s">
        <v>430</v>
      </c>
      <c r="B37" s="54" t="s">
        <v>92</v>
      </c>
      <c r="C37" s="58" t="s">
        <v>19</v>
      </c>
      <c r="D37" s="59"/>
      <c r="E37" s="58" t="b">
        <f t="shared" ref="E37:E68" si="1">IF($B37="Required",OR($C37=TRUE,AND($C37="N/A",NOT(ISBLANK($D37)))),IF($B37="Optional",TRUE,IF($B37="Required if applicable",OR($C37=TRUE,AND($C37="N/A",NOT(ISBLANK($D37)))),OR($C37=TRUE,AND($C37="N/A",NOT(ISBLANK($D37)))))))</f>
        <v>0</v>
      </c>
      <c r="F37" s="58" t="b">
        <f>AND(E37,F38)</f>
        <v>0</v>
      </c>
      <c r="G37" s="54">
        <v>3</v>
      </c>
      <c r="H37" s="54">
        <v>37</v>
      </c>
    </row>
    <row r="38" spans="1:8" ht="13.5" thickBot="1" x14ac:dyDescent="0.3">
      <c r="A38" s="55" t="s">
        <v>397</v>
      </c>
      <c r="B38" s="54" t="s">
        <v>92</v>
      </c>
      <c r="C38" s="58" t="s">
        <v>19</v>
      </c>
      <c r="D38" s="59"/>
      <c r="E38" s="58" t="b">
        <f t="shared" si="1"/>
        <v>0</v>
      </c>
      <c r="F38" s="58" t="b">
        <f>AND(E38)</f>
        <v>0</v>
      </c>
      <c r="G38" s="54">
        <v>4</v>
      </c>
      <c r="H38" s="54">
        <v>38</v>
      </c>
    </row>
    <row r="39" spans="1:8" ht="13.5" thickBot="1" x14ac:dyDescent="0.3">
      <c r="A39" s="33" t="s">
        <v>431</v>
      </c>
      <c r="B39" s="54" t="s">
        <v>92</v>
      </c>
      <c r="C39" s="58" t="s">
        <v>19</v>
      </c>
      <c r="D39" s="59"/>
      <c r="E39" s="58" t="b">
        <f t="shared" si="1"/>
        <v>0</v>
      </c>
      <c r="F39" s="58" t="b">
        <f>AND(E39,F40,F41,F49,F51,F53)</f>
        <v>0</v>
      </c>
      <c r="G39" s="54">
        <v>1</v>
      </c>
      <c r="H39" s="54">
        <v>39</v>
      </c>
    </row>
    <row r="40" spans="1:8" ht="26.25" thickBot="1" x14ac:dyDescent="0.3">
      <c r="A40" s="55" t="s">
        <v>98</v>
      </c>
      <c r="B40" s="54" t="s">
        <v>92</v>
      </c>
      <c r="C40" s="58" t="s">
        <v>19</v>
      </c>
      <c r="D40" s="59"/>
      <c r="E40" s="58" t="b">
        <f t="shared" si="1"/>
        <v>0</v>
      </c>
      <c r="F40" s="58" t="b">
        <f>AND(E40)</f>
        <v>0</v>
      </c>
      <c r="G40" s="54">
        <v>2</v>
      </c>
      <c r="H40" s="54">
        <v>40</v>
      </c>
    </row>
    <row r="41" spans="1:8" ht="13.5" thickBot="1" x14ac:dyDescent="0.3">
      <c r="A41" s="33" t="s">
        <v>432</v>
      </c>
      <c r="B41" s="54" t="s">
        <v>92</v>
      </c>
      <c r="C41" s="58" t="s">
        <v>19</v>
      </c>
      <c r="D41" s="59"/>
      <c r="E41" s="58" t="b">
        <f t="shared" si="1"/>
        <v>0</v>
      </c>
      <c r="F41" s="58" t="b">
        <f>AND(E41,F42,F43,F45,F47)</f>
        <v>0</v>
      </c>
      <c r="G41" s="54">
        <v>2</v>
      </c>
      <c r="H41" s="54">
        <v>41</v>
      </c>
    </row>
    <row r="42" spans="1:8" ht="13.5" thickBot="1" x14ac:dyDescent="0.3">
      <c r="A42" s="55" t="s">
        <v>398</v>
      </c>
      <c r="B42" s="54" t="s">
        <v>92</v>
      </c>
      <c r="C42" s="58" t="s">
        <v>19</v>
      </c>
      <c r="D42" s="59"/>
      <c r="E42" s="58" t="b">
        <f t="shared" si="1"/>
        <v>0</v>
      </c>
      <c r="F42" s="58" t="b">
        <f>AND(E42)</f>
        <v>0</v>
      </c>
      <c r="G42" s="54">
        <v>3</v>
      </c>
      <c r="H42" s="54">
        <v>42</v>
      </c>
    </row>
    <row r="43" spans="1:8" ht="13.5" thickBot="1" x14ac:dyDescent="0.3">
      <c r="A43" s="33" t="s">
        <v>433</v>
      </c>
      <c r="B43" s="54" t="s">
        <v>92</v>
      </c>
      <c r="C43" s="58" t="s">
        <v>19</v>
      </c>
      <c r="D43" s="59"/>
      <c r="E43" s="58" t="b">
        <f t="shared" si="1"/>
        <v>0</v>
      </c>
      <c r="F43" s="58" t="b">
        <f>AND(E43,F44)</f>
        <v>0</v>
      </c>
      <c r="G43" s="54">
        <v>3</v>
      </c>
      <c r="H43" s="54">
        <v>43</v>
      </c>
    </row>
    <row r="44" spans="1:8" ht="13.5" thickBot="1" x14ac:dyDescent="0.3">
      <c r="A44" s="55" t="s">
        <v>399</v>
      </c>
      <c r="B44" s="54" t="s">
        <v>92</v>
      </c>
      <c r="C44" s="58" t="s">
        <v>19</v>
      </c>
      <c r="D44" s="59"/>
      <c r="E44" s="58" t="b">
        <f t="shared" si="1"/>
        <v>0</v>
      </c>
      <c r="F44" s="58" t="b">
        <f>AND(E44)</f>
        <v>0</v>
      </c>
      <c r="G44" s="54">
        <v>4</v>
      </c>
      <c r="H44" s="54">
        <v>44</v>
      </c>
    </row>
    <row r="45" spans="1:8" ht="13.5" thickBot="1" x14ac:dyDescent="0.3">
      <c r="A45" s="33" t="s">
        <v>434</v>
      </c>
      <c r="B45" s="54" t="s">
        <v>92</v>
      </c>
      <c r="C45" s="58" t="s">
        <v>19</v>
      </c>
      <c r="D45" s="59"/>
      <c r="E45" s="58" t="b">
        <f t="shared" si="1"/>
        <v>0</v>
      </c>
      <c r="F45" s="58" t="b">
        <f>AND(E45,F46)</f>
        <v>0</v>
      </c>
      <c r="G45" s="54">
        <v>3</v>
      </c>
      <c r="H45" s="54">
        <v>45</v>
      </c>
    </row>
    <row r="46" spans="1:8" ht="13.5" thickBot="1" x14ac:dyDescent="0.3">
      <c r="A46" s="55" t="s">
        <v>400</v>
      </c>
      <c r="B46" s="54" t="s">
        <v>92</v>
      </c>
      <c r="C46" s="58" t="s">
        <v>19</v>
      </c>
      <c r="D46" s="59"/>
      <c r="E46" s="58" t="b">
        <f t="shared" si="1"/>
        <v>0</v>
      </c>
      <c r="F46" s="58" t="b">
        <f>AND(E46)</f>
        <v>0</v>
      </c>
      <c r="G46" s="54">
        <v>4</v>
      </c>
      <c r="H46" s="54">
        <v>46</v>
      </c>
    </row>
    <row r="47" spans="1:8" ht="13.5" thickBot="1" x14ac:dyDescent="0.3">
      <c r="A47" s="33" t="s">
        <v>435</v>
      </c>
      <c r="B47" s="54" t="s">
        <v>92</v>
      </c>
      <c r="C47" s="58" t="s">
        <v>19</v>
      </c>
      <c r="D47" s="59"/>
      <c r="E47" s="58" t="b">
        <f t="shared" si="1"/>
        <v>0</v>
      </c>
      <c r="F47" s="58" t="b">
        <f>AND(E47,F48)</f>
        <v>0</v>
      </c>
      <c r="G47" s="54">
        <v>3</v>
      </c>
      <c r="H47" s="54">
        <v>47</v>
      </c>
    </row>
    <row r="48" spans="1:8" ht="13.5" thickBot="1" x14ac:dyDescent="0.3">
      <c r="A48" s="55" t="s">
        <v>401</v>
      </c>
      <c r="B48" s="54" t="s">
        <v>92</v>
      </c>
      <c r="C48" s="58" t="s">
        <v>19</v>
      </c>
      <c r="D48" s="59"/>
      <c r="E48" s="58" t="b">
        <f t="shared" si="1"/>
        <v>0</v>
      </c>
      <c r="F48" s="58" t="b">
        <f>AND(E48)</f>
        <v>0</v>
      </c>
      <c r="G48" s="54">
        <v>4</v>
      </c>
      <c r="H48" s="54">
        <v>48</v>
      </c>
    </row>
    <row r="49" spans="1:8" ht="13.5" thickBot="1" x14ac:dyDescent="0.3">
      <c r="A49" s="33" t="s">
        <v>436</v>
      </c>
      <c r="B49" s="54" t="s">
        <v>92</v>
      </c>
      <c r="C49" s="58" t="s">
        <v>19</v>
      </c>
      <c r="D49" s="59"/>
      <c r="E49" s="58" t="b">
        <f t="shared" si="1"/>
        <v>0</v>
      </c>
      <c r="F49" s="58" t="b">
        <f>AND(E49,F50)</f>
        <v>0</v>
      </c>
      <c r="G49" s="54">
        <v>2</v>
      </c>
      <c r="H49" s="54">
        <v>49</v>
      </c>
    </row>
    <row r="50" spans="1:8" ht="13.5" thickBot="1" x14ac:dyDescent="0.3">
      <c r="A50" s="55" t="s">
        <v>402</v>
      </c>
      <c r="B50" s="54" t="s">
        <v>92</v>
      </c>
      <c r="C50" s="58" t="s">
        <v>19</v>
      </c>
      <c r="D50" s="59"/>
      <c r="E50" s="58" t="b">
        <f t="shared" si="1"/>
        <v>0</v>
      </c>
      <c r="F50" s="58" t="b">
        <f>AND(E50)</f>
        <v>0</v>
      </c>
      <c r="G50" s="54">
        <v>3</v>
      </c>
      <c r="H50" s="54">
        <v>50</v>
      </c>
    </row>
    <row r="51" spans="1:8" ht="13.5" thickBot="1" x14ac:dyDescent="0.3">
      <c r="A51" s="33" t="s">
        <v>437</v>
      </c>
      <c r="B51" s="54" t="s">
        <v>92</v>
      </c>
      <c r="C51" s="58" t="s">
        <v>19</v>
      </c>
      <c r="D51" s="59"/>
      <c r="E51" s="58" t="b">
        <f t="shared" si="1"/>
        <v>0</v>
      </c>
      <c r="F51" s="58" t="b">
        <f>AND(E51,F52)</f>
        <v>0</v>
      </c>
      <c r="G51" s="54">
        <v>2</v>
      </c>
      <c r="H51" s="54">
        <v>51</v>
      </c>
    </row>
    <row r="52" spans="1:8" ht="13.5" thickBot="1" x14ac:dyDescent="0.3">
      <c r="A52" s="55" t="s">
        <v>403</v>
      </c>
      <c r="B52" s="54" t="s">
        <v>92</v>
      </c>
      <c r="C52" s="58" t="s">
        <v>19</v>
      </c>
      <c r="D52" s="59"/>
      <c r="E52" s="58" t="b">
        <f t="shared" si="1"/>
        <v>0</v>
      </c>
      <c r="F52" s="58" t="b">
        <f>AND(E52)</f>
        <v>0</v>
      </c>
      <c r="G52" s="54">
        <v>3</v>
      </c>
      <c r="H52" s="54">
        <v>52</v>
      </c>
    </row>
    <row r="53" spans="1:8" ht="13.5" thickBot="1" x14ac:dyDescent="0.3">
      <c r="A53" s="33" t="s">
        <v>438</v>
      </c>
      <c r="B53" s="54" t="s">
        <v>92</v>
      </c>
      <c r="C53" s="58" t="s">
        <v>19</v>
      </c>
      <c r="D53" s="59"/>
      <c r="E53" s="58" t="b">
        <f t="shared" si="1"/>
        <v>0</v>
      </c>
      <c r="F53" s="58" t="b">
        <f>AND(E53,F54)</f>
        <v>0</v>
      </c>
      <c r="G53" s="54">
        <v>2</v>
      </c>
      <c r="H53" s="54">
        <v>53</v>
      </c>
    </row>
    <row r="54" spans="1:8" ht="13.5" thickBot="1" x14ac:dyDescent="0.3">
      <c r="A54" s="33" t="s">
        <v>439</v>
      </c>
      <c r="B54" s="54" t="s">
        <v>92</v>
      </c>
      <c r="C54" s="58" t="s">
        <v>19</v>
      </c>
      <c r="D54" s="59"/>
      <c r="E54" s="58" t="b">
        <f t="shared" si="1"/>
        <v>0</v>
      </c>
      <c r="F54" s="58" t="b">
        <f>AND(E54,F55)</f>
        <v>0</v>
      </c>
      <c r="G54" s="54">
        <v>3</v>
      </c>
      <c r="H54" s="54">
        <v>54</v>
      </c>
    </row>
    <row r="55" spans="1:8" ht="13.5" thickBot="1" x14ac:dyDescent="0.3">
      <c r="A55" s="55" t="s">
        <v>404</v>
      </c>
      <c r="B55" s="54" t="s">
        <v>92</v>
      </c>
      <c r="C55" s="58" t="s">
        <v>19</v>
      </c>
      <c r="D55" s="59"/>
      <c r="E55" s="58" t="b">
        <f t="shared" si="1"/>
        <v>0</v>
      </c>
      <c r="F55" s="58" t="b">
        <f>AND(E55)</f>
        <v>0</v>
      </c>
      <c r="G55" s="54">
        <v>4</v>
      </c>
      <c r="H55" s="54">
        <v>55</v>
      </c>
    </row>
    <row r="56" spans="1:8" ht="13.5" thickBot="1" x14ac:dyDescent="0.3">
      <c r="A56" s="33" t="s">
        <v>440</v>
      </c>
      <c r="B56" s="54" t="s">
        <v>92</v>
      </c>
      <c r="C56" s="58" t="s">
        <v>19</v>
      </c>
      <c r="D56" s="59"/>
      <c r="E56" s="58" t="b">
        <f t="shared" si="1"/>
        <v>0</v>
      </c>
      <c r="F56" s="58" t="b">
        <f>AND(E56,F57,F69)</f>
        <v>0</v>
      </c>
      <c r="G56" s="54">
        <v>1</v>
      </c>
      <c r="H56" s="54">
        <v>56</v>
      </c>
    </row>
    <row r="57" spans="1:8" ht="13.5" thickBot="1" x14ac:dyDescent="0.3">
      <c r="A57" s="33" t="s">
        <v>441</v>
      </c>
      <c r="B57" s="54" t="s">
        <v>92</v>
      </c>
      <c r="C57" s="58" t="s">
        <v>19</v>
      </c>
      <c r="D57" s="59"/>
      <c r="E57" s="58" t="b">
        <f t="shared" si="1"/>
        <v>0</v>
      </c>
      <c r="F57" s="58" t="b">
        <f>AND(E57,F58,F59,F60,F64,F68)</f>
        <v>0</v>
      </c>
      <c r="G57" s="54">
        <v>2</v>
      </c>
      <c r="H57" s="54">
        <v>57</v>
      </c>
    </row>
    <row r="58" spans="1:8" ht="26.25" thickBot="1" x14ac:dyDescent="0.3">
      <c r="A58" s="55" t="s">
        <v>98</v>
      </c>
      <c r="B58" s="54" t="s">
        <v>92</v>
      </c>
      <c r="C58" s="58" t="s">
        <v>19</v>
      </c>
      <c r="D58" s="59"/>
      <c r="E58" s="58" t="b">
        <f t="shared" si="1"/>
        <v>0</v>
      </c>
      <c r="F58" s="58" t="b">
        <f>AND(E58)</f>
        <v>0</v>
      </c>
      <c r="G58" s="54">
        <v>3</v>
      </c>
      <c r="H58" s="54">
        <v>58</v>
      </c>
    </row>
    <row r="59" spans="1:8" ht="13.5" thickBot="1" x14ac:dyDescent="0.3">
      <c r="A59" s="33" t="s">
        <v>442</v>
      </c>
      <c r="B59" s="54" t="s">
        <v>92</v>
      </c>
      <c r="C59" s="58" t="s">
        <v>19</v>
      </c>
      <c r="D59" s="59"/>
      <c r="E59" s="58" t="b">
        <f t="shared" si="1"/>
        <v>0</v>
      </c>
      <c r="F59" s="58" t="b">
        <f>AND(E59)</f>
        <v>0</v>
      </c>
      <c r="G59" s="54">
        <v>3</v>
      </c>
      <c r="H59" s="54">
        <v>59</v>
      </c>
    </row>
    <row r="60" spans="1:8" ht="13.5" thickBot="1" x14ac:dyDescent="0.3">
      <c r="A60" s="33" t="s">
        <v>443</v>
      </c>
      <c r="B60" s="54" t="s">
        <v>92</v>
      </c>
      <c r="C60" s="58" t="s">
        <v>19</v>
      </c>
      <c r="D60" s="59"/>
      <c r="E60" s="58" t="b">
        <f t="shared" si="1"/>
        <v>0</v>
      </c>
      <c r="F60" s="58" t="b">
        <f>AND(E60,F61,F62,F63)</f>
        <v>0</v>
      </c>
      <c r="G60" s="54">
        <v>3</v>
      </c>
      <c r="H60" s="54">
        <v>60</v>
      </c>
    </row>
    <row r="61" spans="1:8" ht="13.5" thickBot="1" x14ac:dyDescent="0.3">
      <c r="A61" s="33" t="s">
        <v>444</v>
      </c>
      <c r="B61" s="54" t="s">
        <v>92</v>
      </c>
      <c r="C61" s="58" t="s">
        <v>19</v>
      </c>
      <c r="D61" s="59"/>
      <c r="E61" s="58" t="b">
        <f t="shared" si="1"/>
        <v>0</v>
      </c>
      <c r="F61" s="58" t="b">
        <f>AND(E61)</f>
        <v>0</v>
      </c>
      <c r="G61" s="54">
        <v>4</v>
      </c>
      <c r="H61" s="54">
        <v>61</v>
      </c>
    </row>
    <row r="62" spans="1:8" ht="13.5" thickBot="1" x14ac:dyDescent="0.3">
      <c r="A62" s="33" t="s">
        <v>445</v>
      </c>
      <c r="B62" s="54" t="s">
        <v>92</v>
      </c>
      <c r="C62" s="58" t="s">
        <v>19</v>
      </c>
      <c r="D62" s="59"/>
      <c r="E62" s="58" t="b">
        <f t="shared" si="1"/>
        <v>0</v>
      </c>
      <c r="F62" s="58" t="b">
        <f>AND(E62)</f>
        <v>0</v>
      </c>
      <c r="G62" s="54">
        <v>4</v>
      </c>
      <c r="H62" s="54">
        <v>62</v>
      </c>
    </row>
    <row r="63" spans="1:8" ht="13.5" thickBot="1" x14ac:dyDescent="0.3">
      <c r="A63" s="33" t="s">
        <v>446</v>
      </c>
      <c r="B63" s="54" t="s">
        <v>92</v>
      </c>
      <c r="C63" s="58" t="s">
        <v>19</v>
      </c>
      <c r="D63" s="59"/>
      <c r="E63" s="58" t="b">
        <f t="shared" si="1"/>
        <v>0</v>
      </c>
      <c r="F63" s="58" t="b">
        <f>AND(E63)</f>
        <v>0</v>
      </c>
      <c r="G63" s="54">
        <v>4</v>
      </c>
      <c r="H63" s="54">
        <v>63</v>
      </c>
    </row>
    <row r="64" spans="1:8" ht="13.5" thickBot="1" x14ac:dyDescent="0.3">
      <c r="A64" s="33" t="s">
        <v>447</v>
      </c>
      <c r="B64" s="54" t="s">
        <v>92</v>
      </c>
      <c r="C64" s="58" t="s">
        <v>19</v>
      </c>
      <c r="D64" s="59"/>
      <c r="E64" s="58" t="b">
        <f t="shared" si="1"/>
        <v>0</v>
      </c>
      <c r="F64" s="58" t="b">
        <f>AND(E64,F65,F66,F67)</f>
        <v>0</v>
      </c>
      <c r="G64" s="54">
        <v>3</v>
      </c>
      <c r="H64" s="54">
        <v>64</v>
      </c>
    </row>
    <row r="65" spans="1:8" ht="13.5" thickBot="1" x14ac:dyDescent="0.3">
      <c r="A65" s="33" t="s">
        <v>448</v>
      </c>
      <c r="B65" s="54" t="s">
        <v>92</v>
      </c>
      <c r="C65" s="58" t="s">
        <v>19</v>
      </c>
      <c r="D65" s="59"/>
      <c r="E65" s="58" t="b">
        <f t="shared" si="1"/>
        <v>0</v>
      </c>
      <c r="F65" s="58" t="b">
        <f>AND(E65)</f>
        <v>0</v>
      </c>
      <c r="G65" s="54">
        <v>4</v>
      </c>
      <c r="H65" s="54">
        <v>65</v>
      </c>
    </row>
    <row r="66" spans="1:8" ht="13.5" thickBot="1" x14ac:dyDescent="0.3">
      <c r="A66" s="33" t="s">
        <v>449</v>
      </c>
      <c r="B66" s="54" t="s">
        <v>92</v>
      </c>
      <c r="C66" s="58" t="s">
        <v>19</v>
      </c>
      <c r="D66" s="59"/>
      <c r="E66" s="58" t="b">
        <f t="shared" si="1"/>
        <v>0</v>
      </c>
      <c r="F66" s="58" t="b">
        <f>AND(E66)</f>
        <v>0</v>
      </c>
      <c r="G66" s="54">
        <v>4</v>
      </c>
      <c r="H66" s="54">
        <v>66</v>
      </c>
    </row>
    <row r="67" spans="1:8" ht="13.5" thickBot="1" x14ac:dyDescent="0.3">
      <c r="A67" s="33" t="s">
        <v>450</v>
      </c>
      <c r="B67" s="54" t="s">
        <v>92</v>
      </c>
      <c r="C67" s="58" t="s">
        <v>19</v>
      </c>
      <c r="D67" s="59"/>
      <c r="E67" s="58" t="b">
        <f t="shared" si="1"/>
        <v>0</v>
      </c>
      <c r="F67" s="58" t="b">
        <f>AND(E67)</f>
        <v>0</v>
      </c>
      <c r="G67" s="54">
        <v>4</v>
      </c>
      <c r="H67" s="54">
        <v>67</v>
      </c>
    </row>
    <row r="68" spans="1:8" ht="13.5" thickBot="1" x14ac:dyDescent="0.3">
      <c r="A68" s="33" t="s">
        <v>451</v>
      </c>
      <c r="B68" s="54" t="s">
        <v>92</v>
      </c>
      <c r="C68" s="58" t="s">
        <v>19</v>
      </c>
      <c r="D68" s="59"/>
      <c r="E68" s="58" t="b">
        <f t="shared" si="1"/>
        <v>0</v>
      </c>
      <c r="F68" s="58" t="b">
        <f>AND(E68)</f>
        <v>0</v>
      </c>
      <c r="G68" s="54">
        <v>3</v>
      </c>
      <c r="H68" s="54">
        <v>68</v>
      </c>
    </row>
    <row r="69" spans="1:8" ht="13.5" thickBot="1" x14ac:dyDescent="0.3">
      <c r="A69" s="33" t="s">
        <v>452</v>
      </c>
      <c r="B69" s="54" t="s">
        <v>92</v>
      </c>
      <c r="C69" s="58" t="s">
        <v>19</v>
      </c>
      <c r="D69" s="59"/>
      <c r="E69" s="58" t="b">
        <f t="shared" ref="E69:E100" si="2">IF($B69="Required",OR($C69=TRUE,AND($C69="N/A",NOT(ISBLANK($D69)))),IF($B69="Optional",TRUE,IF($B69="Required if applicable",OR($C69=TRUE,AND($C69="N/A",NOT(ISBLANK($D69)))),OR($C69=TRUE,AND($C69="N/A",NOT(ISBLANK($D69)))))))</f>
        <v>0</v>
      </c>
      <c r="F69" s="58" t="b">
        <f>AND(E69,F70,F71,F72,F73,F74)</f>
        <v>0</v>
      </c>
      <c r="G69" s="54">
        <v>2</v>
      </c>
      <c r="H69" s="54">
        <v>69</v>
      </c>
    </row>
    <row r="70" spans="1:8" ht="26.25" thickBot="1" x14ac:dyDescent="0.3">
      <c r="A70" s="55" t="s">
        <v>98</v>
      </c>
      <c r="B70" s="54" t="s">
        <v>92</v>
      </c>
      <c r="C70" s="58" t="s">
        <v>19</v>
      </c>
      <c r="D70" s="59"/>
      <c r="E70" s="58" t="b">
        <f t="shared" si="2"/>
        <v>0</v>
      </c>
      <c r="F70" s="58" t="b">
        <f>AND(E70)</f>
        <v>0</v>
      </c>
      <c r="G70" s="54">
        <v>3</v>
      </c>
      <c r="H70" s="54">
        <v>70</v>
      </c>
    </row>
    <row r="71" spans="1:8" ht="13.5" thickBot="1" x14ac:dyDescent="0.3">
      <c r="A71" s="33" t="s">
        <v>453</v>
      </c>
      <c r="B71" s="54" t="s">
        <v>92</v>
      </c>
      <c r="C71" s="58" t="s">
        <v>19</v>
      </c>
      <c r="D71" s="59"/>
      <c r="E71" s="58" t="b">
        <f t="shared" si="2"/>
        <v>0</v>
      </c>
      <c r="F71" s="58" t="b">
        <f>AND(E71)</f>
        <v>0</v>
      </c>
      <c r="G71" s="54">
        <v>3</v>
      </c>
      <c r="H71" s="54">
        <v>71</v>
      </c>
    </row>
    <row r="72" spans="1:8" ht="13.5" thickBot="1" x14ac:dyDescent="0.3">
      <c r="A72" s="33" t="s">
        <v>454</v>
      </c>
      <c r="B72" s="54" t="s">
        <v>92</v>
      </c>
      <c r="C72" s="58" t="s">
        <v>19</v>
      </c>
      <c r="D72" s="59"/>
      <c r="E72" s="58" t="b">
        <f t="shared" si="2"/>
        <v>0</v>
      </c>
      <c r="F72" s="58" t="b">
        <f>AND(E72)</f>
        <v>0</v>
      </c>
      <c r="G72" s="54">
        <v>3</v>
      </c>
      <c r="H72" s="54">
        <v>72</v>
      </c>
    </row>
    <row r="73" spans="1:8" ht="13.5" thickBot="1" x14ac:dyDescent="0.3">
      <c r="A73" s="33" t="s">
        <v>455</v>
      </c>
      <c r="B73" s="54" t="s">
        <v>92</v>
      </c>
      <c r="C73" s="58" t="s">
        <v>19</v>
      </c>
      <c r="D73" s="59"/>
      <c r="E73" s="58" t="b">
        <f t="shared" si="2"/>
        <v>0</v>
      </c>
      <c r="F73" s="58" t="b">
        <f>AND(E73)</f>
        <v>0</v>
      </c>
      <c r="G73" s="54">
        <v>3</v>
      </c>
      <c r="H73" s="54">
        <v>73</v>
      </c>
    </row>
    <row r="74" spans="1:8" ht="13.5" thickBot="1" x14ac:dyDescent="0.3">
      <c r="A74" s="33" t="s">
        <v>456</v>
      </c>
      <c r="B74" s="54" t="s">
        <v>92</v>
      </c>
      <c r="C74" s="58" t="s">
        <v>19</v>
      </c>
      <c r="D74" s="59"/>
      <c r="E74" s="58" t="b">
        <f t="shared" si="2"/>
        <v>0</v>
      </c>
      <c r="F74" s="58" t="b">
        <f>AND(E74)</f>
        <v>0</v>
      </c>
      <c r="G74" s="54">
        <v>3</v>
      </c>
      <c r="H74" s="54">
        <v>74</v>
      </c>
    </row>
    <row r="75" spans="1:8" ht="13.5" thickBot="1" x14ac:dyDescent="0.3">
      <c r="A75" s="33" t="s">
        <v>457</v>
      </c>
      <c r="B75" s="54" t="s">
        <v>92</v>
      </c>
      <c r="C75" s="58" t="s">
        <v>19</v>
      </c>
      <c r="D75" s="59"/>
      <c r="E75" s="58" t="b">
        <f t="shared" si="2"/>
        <v>0</v>
      </c>
      <c r="F75" s="58" t="b">
        <f>AND(E75,F76,F77,F81)</f>
        <v>0</v>
      </c>
      <c r="G75" s="54">
        <v>1</v>
      </c>
      <c r="H75" s="54">
        <v>75</v>
      </c>
    </row>
    <row r="76" spans="1:8" ht="26.25" thickBot="1" x14ac:dyDescent="0.3">
      <c r="A76" s="55" t="s">
        <v>98</v>
      </c>
      <c r="B76" s="54" t="s">
        <v>92</v>
      </c>
      <c r="C76" s="58" t="s">
        <v>19</v>
      </c>
      <c r="D76" s="59"/>
      <c r="E76" s="58" t="b">
        <f t="shared" si="2"/>
        <v>0</v>
      </c>
      <c r="F76" s="58" t="b">
        <f>AND(E76)</f>
        <v>0</v>
      </c>
      <c r="G76" s="54">
        <v>2</v>
      </c>
      <c r="H76" s="54">
        <v>76</v>
      </c>
    </row>
    <row r="77" spans="1:8" ht="13.5" thickBot="1" x14ac:dyDescent="0.3">
      <c r="A77" s="33" t="s">
        <v>458</v>
      </c>
      <c r="B77" s="54" t="s">
        <v>92</v>
      </c>
      <c r="C77" s="58" t="s">
        <v>19</v>
      </c>
      <c r="D77" s="59"/>
      <c r="E77" s="58" t="b">
        <f t="shared" si="2"/>
        <v>0</v>
      </c>
      <c r="F77" s="58" t="b">
        <f>AND(E77,F78,F79,F80)</f>
        <v>0</v>
      </c>
      <c r="G77" s="54">
        <v>2</v>
      </c>
      <c r="H77" s="54">
        <v>77</v>
      </c>
    </row>
    <row r="78" spans="1:8" ht="13.5" thickBot="1" x14ac:dyDescent="0.3">
      <c r="A78" s="55" t="s">
        <v>405</v>
      </c>
      <c r="B78" s="54" t="s">
        <v>92</v>
      </c>
      <c r="C78" s="58" t="s">
        <v>19</v>
      </c>
      <c r="D78" s="59"/>
      <c r="E78" s="58" t="b">
        <f t="shared" si="2"/>
        <v>0</v>
      </c>
      <c r="F78" s="58" t="b">
        <f>AND(E78)</f>
        <v>0</v>
      </c>
      <c r="G78" s="54">
        <v>3</v>
      </c>
      <c r="H78" s="54">
        <v>78</v>
      </c>
    </row>
    <row r="79" spans="1:8" ht="13.5" thickBot="1" x14ac:dyDescent="0.3">
      <c r="A79" s="55" t="s">
        <v>406</v>
      </c>
      <c r="B79" s="54" t="s">
        <v>92</v>
      </c>
      <c r="C79" s="58" t="s">
        <v>19</v>
      </c>
      <c r="D79" s="59"/>
      <c r="E79" s="58" t="b">
        <f t="shared" si="2"/>
        <v>0</v>
      </c>
      <c r="F79" s="58" t="b">
        <f>AND(E79)</f>
        <v>0</v>
      </c>
      <c r="G79" s="54">
        <v>3</v>
      </c>
      <c r="H79" s="54">
        <v>79</v>
      </c>
    </row>
    <row r="80" spans="1:8" ht="13.5" thickBot="1" x14ac:dyDescent="0.3">
      <c r="A80" s="55" t="s">
        <v>407</v>
      </c>
      <c r="B80" s="54" t="s">
        <v>92</v>
      </c>
      <c r="C80" s="58" t="s">
        <v>19</v>
      </c>
      <c r="D80" s="59"/>
      <c r="E80" s="58" t="b">
        <f t="shared" si="2"/>
        <v>0</v>
      </c>
      <c r="F80" s="58" t="b">
        <f>AND(E80)</f>
        <v>0</v>
      </c>
      <c r="G80" s="54">
        <v>3</v>
      </c>
      <c r="H80" s="54">
        <v>80</v>
      </c>
    </row>
    <row r="81" spans="1:8" ht="13.5" thickBot="1" x14ac:dyDescent="0.3">
      <c r="A81" s="33" t="s">
        <v>459</v>
      </c>
      <c r="B81" s="54" t="s">
        <v>92</v>
      </c>
      <c r="C81" s="58" t="s">
        <v>19</v>
      </c>
      <c r="D81" s="59"/>
      <c r="E81" s="58" t="b">
        <f t="shared" si="2"/>
        <v>0</v>
      </c>
      <c r="F81" s="58" t="b">
        <f>AND(E81,F82,F84)</f>
        <v>0</v>
      </c>
      <c r="G81" s="54">
        <v>2</v>
      </c>
      <c r="H81" s="54">
        <v>81</v>
      </c>
    </row>
    <row r="82" spans="1:8" ht="13.5" thickBot="1" x14ac:dyDescent="0.3">
      <c r="A82" s="33" t="s">
        <v>460</v>
      </c>
      <c r="B82" s="54" t="s">
        <v>92</v>
      </c>
      <c r="C82" s="58" t="s">
        <v>19</v>
      </c>
      <c r="D82" s="59"/>
      <c r="E82" s="58" t="b">
        <f t="shared" si="2"/>
        <v>0</v>
      </c>
      <c r="F82" s="58" t="b">
        <f>AND(E82,F83)</f>
        <v>0</v>
      </c>
      <c r="G82" s="54">
        <v>3</v>
      </c>
      <c r="H82" s="54">
        <v>82</v>
      </c>
    </row>
    <row r="83" spans="1:8" ht="13.5" thickBot="1" x14ac:dyDescent="0.3">
      <c r="A83" s="55" t="s">
        <v>408</v>
      </c>
      <c r="B83" s="54" t="s">
        <v>92</v>
      </c>
      <c r="C83" s="58" t="s">
        <v>19</v>
      </c>
      <c r="D83" s="59"/>
      <c r="E83" s="58" t="b">
        <f t="shared" si="2"/>
        <v>0</v>
      </c>
      <c r="F83" s="58" t="b">
        <f>AND(E83)</f>
        <v>0</v>
      </c>
      <c r="G83" s="54">
        <v>4</v>
      </c>
      <c r="H83" s="54">
        <v>83</v>
      </c>
    </row>
    <row r="84" spans="1:8" ht="13.5" thickBot="1" x14ac:dyDescent="0.3">
      <c r="A84" s="33" t="s">
        <v>461</v>
      </c>
      <c r="B84" s="54" t="s">
        <v>92</v>
      </c>
      <c r="C84" s="58" t="s">
        <v>19</v>
      </c>
      <c r="D84" s="59"/>
      <c r="E84" s="58" t="b">
        <f t="shared" si="2"/>
        <v>0</v>
      </c>
      <c r="F84" s="58" t="b">
        <f>AND(E84,F85)</f>
        <v>0</v>
      </c>
      <c r="G84" s="54">
        <v>3</v>
      </c>
      <c r="H84" s="54">
        <v>84</v>
      </c>
    </row>
    <row r="85" spans="1:8" ht="13.5" thickBot="1" x14ac:dyDescent="0.3">
      <c r="A85" s="55" t="s">
        <v>409</v>
      </c>
      <c r="B85" s="54" t="s">
        <v>92</v>
      </c>
      <c r="C85" s="58" t="s">
        <v>19</v>
      </c>
      <c r="D85" s="59"/>
      <c r="E85" s="58" t="b">
        <f t="shared" si="2"/>
        <v>0</v>
      </c>
      <c r="F85" s="58" t="b">
        <f>AND(E85)</f>
        <v>0</v>
      </c>
      <c r="G85" s="54">
        <v>4</v>
      </c>
      <c r="H85" s="54">
        <v>85</v>
      </c>
    </row>
    <row r="86" spans="1:8" ht="13.5" thickBot="1" x14ac:dyDescent="0.3">
      <c r="A86" s="33" t="s">
        <v>462</v>
      </c>
      <c r="B86" s="54" t="s">
        <v>92</v>
      </c>
      <c r="C86" s="58" t="s">
        <v>19</v>
      </c>
      <c r="D86" s="59"/>
      <c r="E86" s="58" t="b">
        <f t="shared" si="2"/>
        <v>0</v>
      </c>
      <c r="F86" s="58" t="b">
        <f>AND(E86,F87,F88,F91,F93)</f>
        <v>0</v>
      </c>
      <c r="G86" s="54">
        <v>1</v>
      </c>
      <c r="H86" s="54">
        <v>86</v>
      </c>
    </row>
    <row r="87" spans="1:8" ht="26.25" thickBot="1" x14ac:dyDescent="0.3">
      <c r="A87" s="55" t="s">
        <v>96</v>
      </c>
      <c r="B87" s="54" t="s">
        <v>92</v>
      </c>
      <c r="C87" s="58" t="s">
        <v>19</v>
      </c>
      <c r="D87" s="59"/>
      <c r="E87" s="58" t="b">
        <f t="shared" si="2"/>
        <v>0</v>
      </c>
      <c r="F87" s="58" t="b">
        <f>AND(E87)</f>
        <v>0</v>
      </c>
      <c r="G87" s="54">
        <v>2</v>
      </c>
      <c r="H87" s="54">
        <v>87</v>
      </c>
    </row>
    <row r="88" spans="1:8" ht="13.5" thickBot="1" x14ac:dyDescent="0.3">
      <c r="A88" s="33" t="s">
        <v>463</v>
      </c>
      <c r="B88" s="54" t="s">
        <v>92</v>
      </c>
      <c r="C88" s="58" t="s">
        <v>19</v>
      </c>
      <c r="D88" s="59"/>
      <c r="E88" s="58" t="b">
        <f t="shared" si="2"/>
        <v>0</v>
      </c>
      <c r="F88" s="58" t="b">
        <f>AND(E88,F89,F90)</f>
        <v>0</v>
      </c>
      <c r="G88" s="54">
        <v>2</v>
      </c>
      <c r="H88" s="54">
        <v>88</v>
      </c>
    </row>
    <row r="89" spans="1:8" ht="13.5" thickBot="1" x14ac:dyDescent="0.3">
      <c r="A89" s="55" t="s">
        <v>410</v>
      </c>
      <c r="B89" s="54" t="s">
        <v>92</v>
      </c>
      <c r="C89" s="58" t="s">
        <v>19</v>
      </c>
      <c r="D89" s="59"/>
      <c r="E89" s="58" t="b">
        <f t="shared" si="2"/>
        <v>0</v>
      </c>
      <c r="F89" s="58" t="b">
        <f>AND(E89)</f>
        <v>0</v>
      </c>
      <c r="G89" s="54">
        <v>3</v>
      </c>
      <c r="H89" s="54">
        <v>89</v>
      </c>
    </row>
    <row r="90" spans="1:8" ht="13.5" thickBot="1" x14ac:dyDescent="0.3">
      <c r="A90" s="55" t="s">
        <v>411</v>
      </c>
      <c r="B90" s="54" t="s">
        <v>92</v>
      </c>
      <c r="C90" s="58" t="s">
        <v>19</v>
      </c>
      <c r="D90" s="59"/>
      <c r="E90" s="58" t="b">
        <f t="shared" si="2"/>
        <v>0</v>
      </c>
      <c r="F90" s="58" t="b">
        <f>AND(E90)</f>
        <v>0</v>
      </c>
      <c r="G90" s="54">
        <v>3</v>
      </c>
      <c r="H90" s="54">
        <v>90</v>
      </c>
    </row>
    <row r="91" spans="1:8" ht="13.5" thickBot="1" x14ac:dyDescent="0.3">
      <c r="A91" s="33" t="s">
        <v>464</v>
      </c>
      <c r="B91" s="54" t="s">
        <v>92</v>
      </c>
      <c r="C91" s="58" t="s">
        <v>19</v>
      </c>
      <c r="D91" s="59"/>
      <c r="E91" s="58" t="b">
        <f t="shared" si="2"/>
        <v>0</v>
      </c>
      <c r="F91" s="58" t="b">
        <f>AND(E91,F92)</f>
        <v>0</v>
      </c>
      <c r="G91" s="54">
        <v>2</v>
      </c>
      <c r="H91" s="54">
        <v>91</v>
      </c>
    </row>
    <row r="92" spans="1:8" ht="13.5" thickBot="1" x14ac:dyDescent="0.3">
      <c r="A92" s="55" t="s">
        <v>412</v>
      </c>
      <c r="B92" s="54" t="s">
        <v>92</v>
      </c>
      <c r="C92" s="58" t="s">
        <v>19</v>
      </c>
      <c r="D92" s="59"/>
      <c r="E92" s="58" t="b">
        <f t="shared" si="2"/>
        <v>0</v>
      </c>
      <c r="F92" s="58" t="b">
        <f>AND(E92)</f>
        <v>0</v>
      </c>
      <c r="G92" s="54">
        <v>3</v>
      </c>
      <c r="H92" s="54">
        <v>92</v>
      </c>
    </row>
    <row r="93" spans="1:8" ht="13.5" thickBot="1" x14ac:dyDescent="0.3">
      <c r="A93" s="33" t="s">
        <v>465</v>
      </c>
      <c r="B93" s="54" t="s">
        <v>92</v>
      </c>
      <c r="C93" s="58" t="s">
        <v>19</v>
      </c>
      <c r="D93" s="59"/>
      <c r="E93" s="58" t="b">
        <f t="shared" si="2"/>
        <v>0</v>
      </c>
      <c r="F93" s="58" t="b">
        <f>AND(E93,F94,F101)</f>
        <v>0</v>
      </c>
      <c r="G93" s="54">
        <v>2</v>
      </c>
      <c r="H93" s="54">
        <v>93</v>
      </c>
    </row>
    <row r="94" spans="1:8" ht="13.5" thickBot="1" x14ac:dyDescent="0.3">
      <c r="A94" s="33" t="s">
        <v>466</v>
      </c>
      <c r="B94" s="54" t="s">
        <v>92</v>
      </c>
      <c r="C94" s="58" t="s">
        <v>19</v>
      </c>
      <c r="D94" s="59"/>
      <c r="E94" s="58" t="b">
        <f t="shared" si="2"/>
        <v>0</v>
      </c>
      <c r="F94" s="58" t="b">
        <f>AND(E94,F95)</f>
        <v>0</v>
      </c>
      <c r="G94" s="54">
        <v>3</v>
      </c>
      <c r="H94" s="54">
        <v>94</v>
      </c>
    </row>
    <row r="95" spans="1:8" ht="13.5" thickBot="1" x14ac:dyDescent="0.3">
      <c r="A95" s="33" t="s">
        <v>467</v>
      </c>
      <c r="B95" s="54" t="s">
        <v>92</v>
      </c>
      <c r="C95" s="58" t="s">
        <v>19</v>
      </c>
      <c r="D95" s="59"/>
      <c r="E95" s="58" t="b">
        <f t="shared" si="2"/>
        <v>0</v>
      </c>
      <c r="F95" s="58" t="b">
        <f>AND(E95,F96,F97,F99)</f>
        <v>0</v>
      </c>
      <c r="G95" s="54">
        <v>4</v>
      </c>
      <c r="H95" s="54">
        <v>95</v>
      </c>
    </row>
    <row r="96" spans="1:8" ht="14.25" thickBot="1" x14ac:dyDescent="0.3">
      <c r="A96" s="56" t="s">
        <v>468</v>
      </c>
      <c r="B96" s="54" t="s">
        <v>92</v>
      </c>
      <c r="C96" s="58" t="s">
        <v>19</v>
      </c>
      <c r="D96" s="59"/>
      <c r="E96" s="58" t="b">
        <f t="shared" si="2"/>
        <v>0</v>
      </c>
      <c r="F96" s="58" t="b">
        <f>AND(E96)</f>
        <v>0</v>
      </c>
      <c r="G96" s="54">
        <v>5</v>
      </c>
      <c r="H96" s="54">
        <v>96</v>
      </c>
    </row>
    <row r="97" spans="1:8" ht="14.25" thickBot="1" x14ac:dyDescent="0.3">
      <c r="A97" s="56" t="s">
        <v>469</v>
      </c>
      <c r="B97" s="54" t="s">
        <v>92</v>
      </c>
      <c r="C97" s="58" t="s">
        <v>19</v>
      </c>
      <c r="D97" s="59"/>
      <c r="E97" s="58" t="b">
        <f t="shared" si="2"/>
        <v>0</v>
      </c>
      <c r="F97" s="58" t="b">
        <f>AND(E97,F98)</f>
        <v>0</v>
      </c>
      <c r="G97" s="54">
        <v>5</v>
      </c>
      <c r="H97" s="54">
        <v>97</v>
      </c>
    </row>
    <row r="98" spans="1:8" ht="13.5" thickBot="1" x14ac:dyDescent="0.3">
      <c r="A98" s="55" t="s">
        <v>413</v>
      </c>
      <c r="B98" s="54" t="s">
        <v>92</v>
      </c>
      <c r="C98" s="58" t="s">
        <v>19</v>
      </c>
      <c r="D98" s="59"/>
      <c r="E98" s="58" t="b">
        <f t="shared" si="2"/>
        <v>0</v>
      </c>
      <c r="F98" s="58" t="b">
        <f>AND(E98)</f>
        <v>0</v>
      </c>
      <c r="G98" s="54">
        <v>6</v>
      </c>
      <c r="H98" s="54">
        <v>98</v>
      </c>
    </row>
    <row r="99" spans="1:8" ht="14.25" thickBot="1" x14ac:dyDescent="0.3">
      <c r="A99" s="56" t="s">
        <v>470</v>
      </c>
      <c r="B99" s="54" t="s">
        <v>92</v>
      </c>
      <c r="C99" s="58" t="s">
        <v>19</v>
      </c>
      <c r="D99" s="59"/>
      <c r="E99" s="58" t="b">
        <f t="shared" si="2"/>
        <v>0</v>
      </c>
      <c r="F99" s="58" t="b">
        <f>AND(E99,F100)</f>
        <v>0</v>
      </c>
      <c r="G99" s="54">
        <v>5</v>
      </c>
      <c r="H99" s="54">
        <v>99</v>
      </c>
    </row>
    <row r="100" spans="1:8" ht="13.5" thickBot="1" x14ac:dyDescent="0.3">
      <c r="A100" s="55" t="s">
        <v>414</v>
      </c>
      <c r="B100" s="54" t="s">
        <v>92</v>
      </c>
      <c r="C100" s="58" t="s">
        <v>19</v>
      </c>
      <c r="D100" s="59"/>
      <c r="E100" s="58" t="b">
        <f t="shared" si="2"/>
        <v>0</v>
      </c>
      <c r="F100" s="58" t="b">
        <f>AND(E100)</f>
        <v>0</v>
      </c>
      <c r="G100" s="54">
        <v>6</v>
      </c>
      <c r="H100" s="54">
        <v>100</v>
      </c>
    </row>
    <row r="101" spans="1:8" ht="13.5" thickBot="1" x14ac:dyDescent="0.3">
      <c r="A101" s="33" t="s">
        <v>471</v>
      </c>
      <c r="B101" s="54" t="s">
        <v>92</v>
      </c>
      <c r="C101" s="58" t="s">
        <v>19</v>
      </c>
      <c r="D101" s="59"/>
      <c r="E101" s="58" t="b">
        <f t="shared" ref="E101:E137" si="3">IF($B101="Required",OR($C101=TRUE,AND($C101="N/A",NOT(ISBLANK($D101)))),IF($B101="Optional",TRUE,IF($B101="Required if applicable",OR($C101=TRUE,AND($C101="N/A",NOT(ISBLANK($D101)))),OR($C101=TRUE,AND($C101="N/A",NOT(ISBLANK($D101)))))))</f>
        <v>0</v>
      </c>
      <c r="F101" s="58" t="b">
        <f>AND(E101,F102)</f>
        <v>0</v>
      </c>
      <c r="G101" s="54">
        <v>3</v>
      </c>
      <c r="H101" s="54">
        <v>101</v>
      </c>
    </row>
    <row r="102" spans="1:8" ht="13.5" thickBot="1" x14ac:dyDescent="0.3">
      <c r="A102" s="33" t="s">
        <v>472</v>
      </c>
      <c r="B102" s="54" t="s">
        <v>92</v>
      </c>
      <c r="C102" s="58" t="s">
        <v>19</v>
      </c>
      <c r="D102" s="59"/>
      <c r="E102" s="58" t="b">
        <f t="shared" si="3"/>
        <v>0</v>
      </c>
      <c r="F102" s="58" t="b">
        <f>AND(E102,F103,F104)</f>
        <v>0</v>
      </c>
      <c r="G102" s="54">
        <v>4</v>
      </c>
      <c r="H102" s="54">
        <v>102</v>
      </c>
    </row>
    <row r="103" spans="1:8" ht="13.5" thickBot="1" x14ac:dyDescent="0.3">
      <c r="A103" s="55" t="s">
        <v>415</v>
      </c>
      <c r="B103" s="54" t="s">
        <v>92</v>
      </c>
      <c r="C103" s="58" t="s">
        <v>19</v>
      </c>
      <c r="D103" s="59"/>
      <c r="E103" s="58" t="b">
        <f t="shared" si="3"/>
        <v>0</v>
      </c>
      <c r="F103" s="58" t="b">
        <f>AND(E103)</f>
        <v>0</v>
      </c>
      <c r="G103" s="54">
        <v>5</v>
      </c>
      <c r="H103" s="54">
        <v>103</v>
      </c>
    </row>
    <row r="104" spans="1:8" ht="14.25" thickBot="1" x14ac:dyDescent="0.3">
      <c r="A104" s="56" t="s">
        <v>473</v>
      </c>
      <c r="B104" s="54" t="s">
        <v>92</v>
      </c>
      <c r="C104" s="58" t="s">
        <v>19</v>
      </c>
      <c r="D104" s="59"/>
      <c r="E104" s="58" t="b">
        <f t="shared" si="3"/>
        <v>0</v>
      </c>
      <c r="F104" s="58" t="b">
        <f>AND(E104)</f>
        <v>0</v>
      </c>
      <c r="G104" s="54">
        <v>5</v>
      </c>
      <c r="H104" s="54">
        <v>104</v>
      </c>
    </row>
    <row r="105" spans="1:8" ht="13.5" thickBot="1" x14ac:dyDescent="0.3">
      <c r="A105" s="33" t="s">
        <v>474</v>
      </c>
      <c r="B105" s="54" t="s">
        <v>92</v>
      </c>
      <c r="C105" s="58" t="s">
        <v>19</v>
      </c>
      <c r="D105" s="59"/>
      <c r="E105" s="58" t="b">
        <f t="shared" si="3"/>
        <v>0</v>
      </c>
      <c r="F105" s="58" t="b">
        <f>AND(E105,F106)</f>
        <v>0</v>
      </c>
      <c r="G105" s="54">
        <v>1</v>
      </c>
      <c r="H105" s="54">
        <v>105</v>
      </c>
    </row>
    <row r="106" spans="1:8" ht="13.5" thickBot="1" x14ac:dyDescent="0.3">
      <c r="A106" s="33" t="s">
        <v>475</v>
      </c>
      <c r="B106" s="54" t="s">
        <v>92</v>
      </c>
      <c r="C106" s="58" t="s">
        <v>19</v>
      </c>
      <c r="D106" s="59"/>
      <c r="E106" s="58" t="b">
        <f t="shared" si="3"/>
        <v>0</v>
      </c>
      <c r="F106" s="58" t="b">
        <f>AND(E106,F107,F108,F109,F110,F111,F112,F113)</f>
        <v>0</v>
      </c>
      <c r="G106" s="54">
        <v>2</v>
      </c>
      <c r="H106" s="54">
        <v>106</v>
      </c>
    </row>
    <row r="107" spans="1:8" ht="13.5" thickBot="1" x14ac:dyDescent="0.3">
      <c r="A107" s="33" t="s">
        <v>476</v>
      </c>
      <c r="B107" s="54" t="s">
        <v>92</v>
      </c>
      <c r="C107" s="58" t="s">
        <v>19</v>
      </c>
      <c r="D107" s="59"/>
      <c r="E107" s="58" t="b">
        <f t="shared" si="3"/>
        <v>0</v>
      </c>
      <c r="F107" s="58" t="b">
        <f t="shared" ref="F107:F113" si="4">AND(E107)</f>
        <v>0</v>
      </c>
      <c r="G107" s="54">
        <v>3</v>
      </c>
      <c r="H107" s="54">
        <v>107</v>
      </c>
    </row>
    <row r="108" spans="1:8" ht="13.5" thickBot="1" x14ac:dyDescent="0.3">
      <c r="A108" s="33" t="s">
        <v>477</v>
      </c>
      <c r="B108" s="54" t="s">
        <v>92</v>
      </c>
      <c r="C108" s="58" t="s">
        <v>19</v>
      </c>
      <c r="D108" s="59"/>
      <c r="E108" s="58" t="b">
        <f t="shared" si="3"/>
        <v>0</v>
      </c>
      <c r="F108" s="58" t="b">
        <f t="shared" si="4"/>
        <v>0</v>
      </c>
      <c r="G108" s="54">
        <v>3</v>
      </c>
      <c r="H108" s="54">
        <v>108</v>
      </c>
    </row>
    <row r="109" spans="1:8" ht="13.5" thickBot="1" x14ac:dyDescent="0.3">
      <c r="A109" s="33" t="s">
        <v>478</v>
      </c>
      <c r="B109" s="54" t="s">
        <v>92</v>
      </c>
      <c r="C109" s="58" t="s">
        <v>19</v>
      </c>
      <c r="D109" s="59"/>
      <c r="E109" s="58" t="b">
        <f t="shared" si="3"/>
        <v>0</v>
      </c>
      <c r="F109" s="58" t="b">
        <f t="shared" si="4"/>
        <v>0</v>
      </c>
      <c r="G109" s="54">
        <v>3</v>
      </c>
      <c r="H109" s="54">
        <v>109</v>
      </c>
    </row>
    <row r="110" spans="1:8" ht="13.5" thickBot="1" x14ac:dyDescent="0.3">
      <c r="A110" s="33" t="s">
        <v>479</v>
      </c>
      <c r="B110" s="54" t="s">
        <v>92</v>
      </c>
      <c r="C110" s="58" t="s">
        <v>19</v>
      </c>
      <c r="D110" s="59"/>
      <c r="E110" s="58" t="b">
        <f t="shared" si="3"/>
        <v>0</v>
      </c>
      <c r="F110" s="58" t="b">
        <f t="shared" si="4"/>
        <v>0</v>
      </c>
      <c r="G110" s="54">
        <v>3</v>
      </c>
      <c r="H110" s="54">
        <v>110</v>
      </c>
    </row>
    <row r="111" spans="1:8" ht="13.5" thickBot="1" x14ac:dyDescent="0.3">
      <c r="A111" s="33" t="s">
        <v>480</v>
      </c>
      <c r="B111" s="54" t="s">
        <v>92</v>
      </c>
      <c r="C111" s="58" t="s">
        <v>19</v>
      </c>
      <c r="D111" s="59"/>
      <c r="E111" s="58" t="b">
        <f t="shared" si="3"/>
        <v>0</v>
      </c>
      <c r="F111" s="58" t="b">
        <f t="shared" si="4"/>
        <v>0</v>
      </c>
      <c r="G111" s="54">
        <v>3</v>
      </c>
      <c r="H111" s="54">
        <v>111</v>
      </c>
    </row>
    <row r="112" spans="1:8" ht="13.5" thickBot="1" x14ac:dyDescent="0.3">
      <c r="A112" s="33" t="s">
        <v>481</v>
      </c>
      <c r="B112" s="54" t="s">
        <v>92</v>
      </c>
      <c r="C112" s="58" t="s">
        <v>19</v>
      </c>
      <c r="D112" s="59"/>
      <c r="E112" s="58" t="b">
        <f t="shared" si="3"/>
        <v>0</v>
      </c>
      <c r="F112" s="58" t="b">
        <f t="shared" si="4"/>
        <v>0</v>
      </c>
      <c r="G112" s="54">
        <v>3</v>
      </c>
      <c r="H112" s="54">
        <v>112</v>
      </c>
    </row>
    <row r="113" spans="1:8" ht="13.5" thickBot="1" x14ac:dyDescent="0.3">
      <c r="A113" s="33" t="s">
        <v>482</v>
      </c>
      <c r="B113" s="54" t="s">
        <v>92</v>
      </c>
      <c r="C113" s="58" t="s">
        <v>19</v>
      </c>
      <c r="D113" s="59"/>
      <c r="E113" s="58" t="b">
        <f t="shared" si="3"/>
        <v>0</v>
      </c>
      <c r="F113" s="58" t="b">
        <f t="shared" si="4"/>
        <v>0</v>
      </c>
      <c r="G113" s="54">
        <v>3</v>
      </c>
      <c r="H113" s="54">
        <v>113</v>
      </c>
    </row>
    <row r="114" spans="1:8" ht="13.5" thickBot="1" x14ac:dyDescent="0.3">
      <c r="A114" s="33" t="s">
        <v>483</v>
      </c>
      <c r="B114" s="54" t="s">
        <v>92</v>
      </c>
      <c r="C114" s="58" t="s">
        <v>19</v>
      </c>
      <c r="D114" s="59"/>
      <c r="E114" s="58" t="b">
        <f t="shared" si="3"/>
        <v>0</v>
      </c>
      <c r="F114" s="58" t="b">
        <f>AND(E114,F115,F116)</f>
        <v>0</v>
      </c>
      <c r="G114" s="54">
        <v>1</v>
      </c>
      <c r="H114" s="54">
        <v>114</v>
      </c>
    </row>
    <row r="115" spans="1:8" ht="26.25" thickBot="1" x14ac:dyDescent="0.3">
      <c r="A115" s="55" t="s">
        <v>96</v>
      </c>
      <c r="B115" s="54" t="s">
        <v>92</v>
      </c>
      <c r="C115" s="58" t="s">
        <v>19</v>
      </c>
      <c r="D115" s="59"/>
      <c r="E115" s="58" t="b">
        <f t="shared" si="3"/>
        <v>0</v>
      </c>
      <c r="F115" s="58" t="b">
        <f>AND(E115)</f>
        <v>0</v>
      </c>
      <c r="G115" s="54">
        <v>2</v>
      </c>
      <c r="H115" s="54">
        <v>115</v>
      </c>
    </row>
    <row r="116" spans="1:8" ht="13.5" thickBot="1" x14ac:dyDescent="0.3">
      <c r="A116" s="55" t="s">
        <v>416</v>
      </c>
      <c r="B116" s="54" t="s">
        <v>92</v>
      </c>
      <c r="C116" s="58" t="s">
        <v>19</v>
      </c>
      <c r="D116" s="59"/>
      <c r="E116" s="58" t="b">
        <f t="shared" si="3"/>
        <v>0</v>
      </c>
      <c r="F116" s="58" t="b">
        <f>AND(E116)</f>
        <v>0</v>
      </c>
      <c r="G116" s="54">
        <v>2</v>
      </c>
      <c r="H116" s="54">
        <v>116</v>
      </c>
    </row>
    <row r="117" spans="1:8" ht="13.5" thickBot="1" x14ac:dyDescent="0.3">
      <c r="A117" s="33" t="s">
        <v>484</v>
      </c>
      <c r="B117" s="54" t="s">
        <v>92</v>
      </c>
      <c r="C117" s="58" t="s">
        <v>19</v>
      </c>
      <c r="D117" s="59"/>
      <c r="E117" s="58" t="b">
        <f t="shared" si="3"/>
        <v>0</v>
      </c>
      <c r="F117" s="58" t="b">
        <f>AND(E117,F118,F119,F121)</f>
        <v>0</v>
      </c>
      <c r="G117" s="54">
        <v>1</v>
      </c>
      <c r="H117" s="54">
        <v>117</v>
      </c>
    </row>
    <row r="118" spans="1:8" ht="26.25" thickBot="1" x14ac:dyDescent="0.3">
      <c r="A118" s="55" t="s">
        <v>98</v>
      </c>
      <c r="B118" s="54" t="s">
        <v>92</v>
      </c>
      <c r="C118" s="58" t="s">
        <v>19</v>
      </c>
      <c r="D118" s="59"/>
      <c r="E118" s="58" t="b">
        <f t="shared" si="3"/>
        <v>0</v>
      </c>
      <c r="F118" s="58" t="b">
        <f>AND(E118)</f>
        <v>0</v>
      </c>
      <c r="G118" s="54">
        <v>2</v>
      </c>
      <c r="H118" s="54">
        <v>118</v>
      </c>
    </row>
    <row r="119" spans="1:8" ht="13.5" thickBot="1" x14ac:dyDescent="0.3">
      <c r="A119" s="33" t="s">
        <v>485</v>
      </c>
      <c r="B119" s="54" t="s">
        <v>92</v>
      </c>
      <c r="C119" s="58" t="s">
        <v>19</v>
      </c>
      <c r="D119" s="59"/>
      <c r="E119" s="58" t="b">
        <f t="shared" si="3"/>
        <v>0</v>
      </c>
      <c r="F119" s="58" t="b">
        <f>AND(E119,F120)</f>
        <v>0</v>
      </c>
      <c r="G119" s="54">
        <v>2</v>
      </c>
      <c r="H119" s="54">
        <v>119</v>
      </c>
    </row>
    <row r="120" spans="1:8" ht="13.5" thickBot="1" x14ac:dyDescent="0.3">
      <c r="A120" s="55" t="s">
        <v>417</v>
      </c>
      <c r="B120" s="54" t="s">
        <v>92</v>
      </c>
      <c r="C120" s="58" t="s">
        <v>19</v>
      </c>
      <c r="D120" s="59"/>
      <c r="E120" s="58" t="b">
        <f t="shared" si="3"/>
        <v>0</v>
      </c>
      <c r="F120" s="58" t="b">
        <f>AND(E120)</f>
        <v>0</v>
      </c>
      <c r="G120" s="54">
        <v>3</v>
      </c>
      <c r="H120" s="54">
        <v>120</v>
      </c>
    </row>
    <row r="121" spans="1:8" ht="13.5" thickBot="1" x14ac:dyDescent="0.3">
      <c r="A121" s="33" t="s">
        <v>486</v>
      </c>
      <c r="B121" s="54" t="s">
        <v>92</v>
      </c>
      <c r="C121" s="58" t="s">
        <v>19</v>
      </c>
      <c r="D121" s="59"/>
      <c r="E121" s="58" t="b">
        <f t="shared" si="3"/>
        <v>0</v>
      </c>
      <c r="F121" s="58" t="b">
        <f>AND(E121,F122)</f>
        <v>0</v>
      </c>
      <c r="G121" s="54">
        <v>2</v>
      </c>
      <c r="H121" s="54">
        <v>121</v>
      </c>
    </row>
    <row r="122" spans="1:8" ht="13.5" thickBot="1" x14ac:dyDescent="0.3">
      <c r="A122" s="55" t="s">
        <v>418</v>
      </c>
      <c r="B122" s="54" t="s">
        <v>92</v>
      </c>
      <c r="C122" s="58" t="s">
        <v>19</v>
      </c>
      <c r="D122" s="59"/>
      <c r="E122" s="58" t="b">
        <f t="shared" si="3"/>
        <v>0</v>
      </c>
      <c r="F122" s="58" t="b">
        <f>AND(E122)</f>
        <v>0</v>
      </c>
      <c r="G122" s="54">
        <v>3</v>
      </c>
      <c r="H122" s="54">
        <v>122</v>
      </c>
    </row>
    <row r="123" spans="1:8" ht="13.5" thickBot="1" x14ac:dyDescent="0.3">
      <c r="A123" s="33" t="s">
        <v>487</v>
      </c>
      <c r="B123" s="54" t="s">
        <v>92</v>
      </c>
      <c r="C123" s="58" t="s">
        <v>19</v>
      </c>
      <c r="D123" s="59"/>
      <c r="E123" s="58" t="b">
        <f t="shared" si="3"/>
        <v>0</v>
      </c>
      <c r="F123" s="58" t="b">
        <f>AND(E123,F124)</f>
        <v>0</v>
      </c>
      <c r="G123" s="54">
        <v>1</v>
      </c>
      <c r="H123" s="54">
        <v>123</v>
      </c>
    </row>
    <row r="124" spans="1:8" ht="13.5" thickBot="1" x14ac:dyDescent="0.3">
      <c r="A124" s="33" t="s">
        <v>488</v>
      </c>
      <c r="B124" s="54" t="s">
        <v>92</v>
      </c>
      <c r="C124" s="58" t="s">
        <v>19</v>
      </c>
      <c r="D124" s="59"/>
      <c r="E124" s="58" t="b">
        <f t="shared" si="3"/>
        <v>0</v>
      </c>
      <c r="F124" s="58" t="b">
        <f>AND(E124,F125,F127,F129,F130)</f>
        <v>0</v>
      </c>
      <c r="G124" s="54">
        <v>2</v>
      </c>
      <c r="H124" s="54">
        <v>124</v>
      </c>
    </row>
    <row r="125" spans="1:8" ht="13.5" thickBot="1" x14ac:dyDescent="0.3">
      <c r="A125" s="33" t="s">
        <v>489</v>
      </c>
      <c r="B125" s="54" t="s">
        <v>92</v>
      </c>
      <c r="C125" s="58" t="s">
        <v>19</v>
      </c>
      <c r="D125" s="59"/>
      <c r="E125" s="58" t="b">
        <f t="shared" si="3"/>
        <v>0</v>
      </c>
      <c r="F125" s="58" t="b">
        <f>AND(E125,F126)</f>
        <v>0</v>
      </c>
      <c r="G125" s="54">
        <v>3</v>
      </c>
      <c r="H125" s="54">
        <v>125</v>
      </c>
    </row>
    <row r="126" spans="1:8" ht="13.5" thickBot="1" x14ac:dyDescent="0.3">
      <c r="A126" s="55" t="s">
        <v>419</v>
      </c>
      <c r="B126" s="54" t="s">
        <v>92</v>
      </c>
      <c r="C126" s="58" t="s">
        <v>19</v>
      </c>
      <c r="D126" s="59"/>
      <c r="E126" s="58" t="b">
        <f t="shared" si="3"/>
        <v>0</v>
      </c>
      <c r="F126" s="58" t="b">
        <f>AND(E126)</f>
        <v>0</v>
      </c>
      <c r="G126" s="54">
        <v>4</v>
      </c>
      <c r="H126" s="54">
        <v>126</v>
      </c>
    </row>
    <row r="127" spans="1:8" ht="13.5" thickBot="1" x14ac:dyDescent="0.3">
      <c r="A127" s="33" t="s">
        <v>490</v>
      </c>
      <c r="B127" s="54" t="s">
        <v>92</v>
      </c>
      <c r="C127" s="58" t="s">
        <v>19</v>
      </c>
      <c r="D127" s="59"/>
      <c r="E127" s="58" t="b">
        <f t="shared" si="3"/>
        <v>0</v>
      </c>
      <c r="F127" s="58" t="b">
        <f>AND(E127,F128)</f>
        <v>0</v>
      </c>
      <c r="G127" s="54">
        <v>3</v>
      </c>
      <c r="H127" s="54">
        <v>127</v>
      </c>
    </row>
    <row r="128" spans="1:8" ht="13.5" thickBot="1" x14ac:dyDescent="0.3">
      <c r="A128" s="55" t="s">
        <v>420</v>
      </c>
      <c r="B128" s="54" t="s">
        <v>92</v>
      </c>
      <c r="C128" s="58" t="s">
        <v>19</v>
      </c>
      <c r="D128" s="59"/>
      <c r="E128" s="58" t="b">
        <f t="shared" si="3"/>
        <v>0</v>
      </c>
      <c r="F128" s="58" t="b">
        <f>AND(E128)</f>
        <v>0</v>
      </c>
      <c r="G128" s="54">
        <v>4</v>
      </c>
      <c r="H128" s="54">
        <v>128</v>
      </c>
    </row>
    <row r="129" spans="1:8" ht="13.5" thickBot="1" x14ac:dyDescent="0.3">
      <c r="A129" s="33" t="s">
        <v>491</v>
      </c>
      <c r="B129" s="54" t="s">
        <v>92</v>
      </c>
      <c r="C129" s="58" t="s">
        <v>19</v>
      </c>
      <c r="D129" s="59"/>
      <c r="E129" s="58" t="b">
        <f t="shared" si="3"/>
        <v>0</v>
      </c>
      <c r="F129" s="58" t="b">
        <f>AND(E129)</f>
        <v>0</v>
      </c>
      <c r="G129" s="54">
        <v>3</v>
      </c>
      <c r="H129" s="54">
        <v>129</v>
      </c>
    </row>
    <row r="130" spans="1:8" ht="13.5" thickBot="1" x14ac:dyDescent="0.3">
      <c r="A130" s="33" t="s">
        <v>492</v>
      </c>
      <c r="B130" s="54" t="s">
        <v>92</v>
      </c>
      <c r="C130" s="58" t="s">
        <v>19</v>
      </c>
      <c r="D130" s="59"/>
      <c r="E130" s="58" t="b">
        <f t="shared" si="3"/>
        <v>0</v>
      </c>
      <c r="F130" s="58" t="b">
        <f>AND(E130)</f>
        <v>0</v>
      </c>
      <c r="G130" s="54">
        <v>3</v>
      </c>
      <c r="H130" s="54">
        <v>130</v>
      </c>
    </row>
    <row r="131" spans="1:8" ht="13.5" thickBot="1" x14ac:dyDescent="0.3">
      <c r="A131" s="33" t="s">
        <v>493</v>
      </c>
      <c r="B131" s="54" t="s">
        <v>92</v>
      </c>
      <c r="C131" s="58" t="s">
        <v>19</v>
      </c>
      <c r="D131" s="59"/>
      <c r="E131" s="58" t="b">
        <f t="shared" si="3"/>
        <v>0</v>
      </c>
      <c r="F131" s="58" t="b">
        <f>AND(E131,F132)</f>
        <v>0</v>
      </c>
      <c r="G131" s="54">
        <v>1</v>
      </c>
      <c r="H131" s="54">
        <v>131</v>
      </c>
    </row>
    <row r="132" spans="1:8" ht="26.25" thickBot="1" x14ac:dyDescent="0.3">
      <c r="A132" s="55" t="s">
        <v>99</v>
      </c>
      <c r="B132" s="54" t="s">
        <v>92</v>
      </c>
      <c r="C132" s="58" t="s">
        <v>19</v>
      </c>
      <c r="D132" s="59"/>
      <c r="E132" s="58" t="b">
        <f t="shared" si="3"/>
        <v>0</v>
      </c>
      <c r="F132" s="58" t="b">
        <f>AND(E132)</f>
        <v>0</v>
      </c>
      <c r="G132" s="54">
        <v>2</v>
      </c>
      <c r="H132" s="54">
        <v>132</v>
      </c>
    </row>
    <row r="133" spans="1:8" ht="13.5" thickBot="1" x14ac:dyDescent="0.3">
      <c r="A133" s="33" t="s">
        <v>494</v>
      </c>
      <c r="B133" s="54" t="s">
        <v>92</v>
      </c>
      <c r="C133" s="58" t="s">
        <v>19</v>
      </c>
      <c r="D133" s="59"/>
      <c r="E133" s="58" t="b">
        <f t="shared" si="3"/>
        <v>0</v>
      </c>
      <c r="F133" s="58" t="b">
        <f>AND(E133,F134)</f>
        <v>0</v>
      </c>
      <c r="G133" s="54">
        <v>1</v>
      </c>
      <c r="H133" s="54">
        <v>133</v>
      </c>
    </row>
    <row r="134" spans="1:8" ht="13.5" thickBot="1" x14ac:dyDescent="0.3">
      <c r="A134" s="55" t="s">
        <v>421</v>
      </c>
      <c r="B134" s="54" t="s">
        <v>92</v>
      </c>
      <c r="C134" s="58" t="s">
        <v>19</v>
      </c>
      <c r="D134" s="59"/>
      <c r="E134" s="58" t="b">
        <f t="shared" si="3"/>
        <v>0</v>
      </c>
      <c r="F134" s="58" t="b">
        <f>AND(E134)</f>
        <v>0</v>
      </c>
      <c r="G134" s="54">
        <v>2</v>
      </c>
      <c r="H134" s="54">
        <v>134</v>
      </c>
    </row>
    <row r="135" spans="1:8" ht="13.5" thickBot="1" x14ac:dyDescent="0.3">
      <c r="A135" s="33" t="s">
        <v>495</v>
      </c>
      <c r="B135" s="54" t="s">
        <v>92</v>
      </c>
      <c r="C135" s="58" t="s">
        <v>19</v>
      </c>
      <c r="D135" s="59"/>
      <c r="E135" s="58" t="b">
        <f t="shared" si="3"/>
        <v>0</v>
      </c>
      <c r="F135" s="58" t="b">
        <f>AND(E135,F136)</f>
        <v>0</v>
      </c>
      <c r="G135" s="54">
        <v>1</v>
      </c>
      <c r="H135" s="54">
        <v>135</v>
      </c>
    </row>
    <row r="136" spans="1:8" ht="13.5" thickBot="1" x14ac:dyDescent="0.3">
      <c r="A136" s="55" t="s">
        <v>100</v>
      </c>
      <c r="B136" s="54" t="s">
        <v>92</v>
      </c>
      <c r="C136" s="58" t="s">
        <v>19</v>
      </c>
      <c r="D136" s="59"/>
      <c r="E136" s="58" t="b">
        <f t="shared" si="3"/>
        <v>0</v>
      </c>
      <c r="F136" s="58" t="b">
        <f>AND(E136)</f>
        <v>0</v>
      </c>
      <c r="G136" s="54">
        <v>2</v>
      </c>
      <c r="H136" s="54">
        <v>136</v>
      </c>
    </row>
    <row r="137" spans="1:8" ht="13.5" thickBot="1" x14ac:dyDescent="0.3">
      <c r="A137" s="33" t="s">
        <v>496</v>
      </c>
      <c r="B137" s="54" t="s">
        <v>92</v>
      </c>
      <c r="C137" s="58" t="s">
        <v>19</v>
      </c>
      <c r="D137" s="59"/>
      <c r="E137" s="58" t="b">
        <f t="shared" si="3"/>
        <v>0</v>
      </c>
      <c r="F137" s="58" t="b">
        <f>AND(E137)</f>
        <v>0</v>
      </c>
      <c r="G137" s="54">
        <v>1</v>
      </c>
      <c r="H137" s="54">
        <v>137</v>
      </c>
    </row>
    <row r="138" spans="1:8" ht="13.5" thickBot="1" x14ac:dyDescent="0.3">
      <c r="A138" s="15"/>
      <c r="B138" s="15"/>
      <c r="C138" s="15"/>
      <c r="D138" s="15"/>
      <c r="E138" s="15"/>
      <c r="F138" s="15"/>
      <c r="G138" s="15"/>
    </row>
    <row r="139" spans="1:8" ht="26.25" thickBot="1" x14ac:dyDescent="0.3">
      <c r="A139" s="42" t="s">
        <v>101</v>
      </c>
      <c r="B139" s="15"/>
      <c r="C139" s="15"/>
      <c r="D139" s="15"/>
      <c r="E139" s="15"/>
      <c r="F139" s="15"/>
      <c r="G139" s="15"/>
    </row>
  </sheetData>
  <sheetProtection algorithmName="SHA-512" hashValue="R3NuGg0R/RfIrgrRsbSSrRcu7gP9wLdZ13YxuKJ6EYB6EUAGE1+3AVdmt9ctvYkUf0MsJl/Mhqmz1x50UPP//Q==" saltValue="ofnLo01Ldn7hqAMo2ev4jA==" spinCount="100000" sheet="1" objects="1" scenarios="1" sort="0" autoFilter="0"/>
  <autoFilter ref="A4:H137" xr:uid="{00000000-0001-0000-0700-000000000000}"/>
  <conditionalFormatting sqref="B2">
    <cfRule type="containsText" dxfId="9" priority="8" operator="containsText" text="N/A">
      <formula>NOT(ISERROR(SEARCH("N/A",B2)))</formula>
    </cfRule>
    <cfRule type="containsText" dxfId="8" priority="9" operator="containsText" text="FALSE">
      <formula>NOT(ISERROR(SEARCH("FALSE",B2)))</formula>
    </cfRule>
    <cfRule type="containsText" dxfId="7" priority="10" operator="containsText" text="TRUE">
      <formula>NOT(ISERROR(SEARCH("TRUE",B2)))</formula>
    </cfRule>
  </conditionalFormatting>
  <conditionalFormatting sqref="C5:C137">
    <cfRule type="containsText" dxfId="6" priority="4" operator="containsText" text="N/A">
      <formula>NOT(ISERROR(SEARCH("N/A",C5)))</formula>
    </cfRule>
    <cfRule type="containsText" dxfId="5" priority="5" operator="containsText" text="FALSE">
      <formula>NOT(ISERROR(SEARCH("FALSE",C5)))</formula>
    </cfRule>
    <cfRule type="containsText" dxfId="4" priority="6" operator="containsText" text="TRUE">
      <formula>NOT(ISERROR(SEARCH("TRUE",C5)))</formula>
    </cfRule>
  </conditionalFormatting>
  <conditionalFormatting sqref="D5:D137">
    <cfRule type="notContainsBlanks" dxfId="3" priority="7">
      <formula>LEN(TRIM(D5))&gt;0</formula>
    </cfRule>
  </conditionalFormatting>
  <conditionalFormatting sqref="E5:F137">
    <cfRule type="containsText" dxfId="2" priority="1" operator="containsText" text="N/A">
      <formula>NOT(ISERROR(SEARCH("N/A",E5)))</formula>
    </cfRule>
    <cfRule type="containsText" dxfId="1" priority="2" operator="containsText" text="FALSE">
      <formula>NOT(ISERROR(SEARCH("FALSE",E5)))</formula>
    </cfRule>
    <cfRule type="containsText" dxfId="0" priority="3" operator="containsText" text="TRUE">
      <formula>NOT(ISERROR(SEARCH("TRUE",E5)))</formula>
    </cfRule>
  </conditionalFormatting>
  <dataValidations count="1">
    <dataValidation type="list" allowBlank="1" showInputMessage="1" showErrorMessage="1" sqref="C5:C137" xr:uid="{4814489A-61F4-4A6D-AE2C-743B4ED12274}">
      <formula1>"&lt;Select&gt;, TRUE, FALSE, N/A"</formula1>
    </dataValidation>
  </dataValidations>
  <pageMargins left="0.45" right="0.45" top="0.75" bottom="0.75" header="0.3" footer="0.3"/>
  <pageSetup fitToHeight="0" orientation="portrait" horizontalDpi="1200" verticalDpi="1200" r:id="rId1"/>
  <headerFooter>
    <oddHeader>&amp;L&amp;"Times New Roman,Regular"Platform Checklist&amp;RRev. &amp;K00B050-&amp;K01+000
&amp;K00B050Date as dd Month YYYY</oddHeader>
    <oddFooter>&amp;C&amp;"Times New Roman,Regular"&amp;10See disclaimer and distribution A statements on cover page.</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AAE34791A036B4191F6F169651A7DC6" ma:contentTypeVersion="5" ma:contentTypeDescription="Create a new document." ma:contentTypeScope="" ma:versionID="a8e59d671d21aca5eac579d1b535823d">
  <xsd:schema xmlns:xsd="http://www.w3.org/2001/XMLSchema" xmlns:xs="http://www.w3.org/2001/XMLSchema" xmlns:p="http://schemas.microsoft.com/office/2006/metadata/properties" xmlns:ns2="7199bb06-0dc7-4e48-aeb9-d7eb32f38a71" xmlns:ns3="http://schemas.microsoft.com/sharepoint/v4" targetNamespace="http://schemas.microsoft.com/office/2006/metadata/properties" ma:root="true" ma:fieldsID="cbe3e0aff2b594749f02717ff22328ad" ns2:_="" ns3:_="">
    <xsd:import namespace="7199bb06-0dc7-4e48-aeb9-d7eb32f38a71"/>
    <xsd:import namespace="http://schemas.microsoft.com/sharepoint/v4"/>
    <xsd:element name="properties">
      <xsd:complexType>
        <xsd:sequence>
          <xsd:element name="documentManagement">
            <xsd:complexType>
              <xsd:all>
                <xsd:element ref="ns2:TccDocLibTracker" minOccurs="0"/>
                <xsd:element ref="ns3:IconOverla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199bb06-0dc7-4e48-aeb9-d7eb32f38a71" elementFormDefault="qualified">
    <xsd:import namespace="http://schemas.microsoft.com/office/2006/documentManagement/types"/>
    <xsd:import namespace="http://schemas.microsoft.com/office/infopath/2007/PartnerControls"/>
    <xsd:element name="TccDocLibTracker" ma:index="8" nillable="true" ma:displayName="TccDocLibTracker" ma:hidden="true" ma:internalName="TccDocLibTracker"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IconOverlay xmlns="http://schemas.microsoft.com/sharepoint/v4" xsi:nil="true"/>
  </documentManagement>
</p:properties>
</file>

<file path=customXml/itemProps1.xml><?xml version="1.0" encoding="utf-8"?>
<ds:datastoreItem xmlns:ds="http://schemas.openxmlformats.org/officeDocument/2006/customXml" ds:itemID="{483874EC-DC98-4C34-A12F-7B0B501E9836}">
  <ds:schemaRefs>
    <ds:schemaRef ds:uri="http://schemas.microsoft.com/sharepoint/v3/contenttype/forms"/>
  </ds:schemaRefs>
</ds:datastoreItem>
</file>

<file path=customXml/itemProps2.xml><?xml version="1.0" encoding="utf-8"?>
<ds:datastoreItem xmlns:ds="http://schemas.openxmlformats.org/officeDocument/2006/customXml" ds:itemID="{C34EB858-80FA-4923-B6EC-C3619A24576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199bb06-0dc7-4e48-aeb9-d7eb32f38a71"/>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C569EEE-272C-4706-8E40-44E1A669B003}">
  <ds:schemaRef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schemas.microsoft.com/sharepoint/v4"/>
    <ds:schemaRef ds:uri="http://purl.org/dc/terms/"/>
    <ds:schemaRef ds:uri="7199bb06-0dc7-4e48-aeb9-d7eb32f38a71"/>
    <ds:schemaRef ds:uri="http://www.w3.org/XML/1998/namespace"/>
    <ds:schemaRef ds:uri="http://purl.org/dc/dcmitype/"/>
  </ds:schemaRefs>
</ds:datastoreItem>
</file>

<file path=docMetadata/LabelInfo.xml><?xml version="1.0" encoding="utf-8"?>
<clbl:labelList xmlns:clbl="http://schemas.microsoft.com/office/2020/mipLabelMetadata">
  <clbl:label id="{37adc8ff-f4a3-4a14-9c0d-84b4985de0d2}" enabled="1" method="Privileged" siteId="{8331b18d-2d87-48ef-a35f-ac8818ebf9b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WARNING NOTE</vt:lpstr>
      <vt:lpstr>Cover</vt:lpstr>
      <vt:lpstr>Abstract</vt:lpstr>
      <vt:lpstr>Rev</vt:lpstr>
      <vt:lpstr>Tier Compliance</vt:lpstr>
      <vt:lpstr>Platform RQMT Checklist</vt:lpstr>
      <vt:lpstr>PDD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2017-12-07T20:24:57Z</dcterms:created>
  <dcterms:modified xsi:type="dcterms:W3CDTF">2026-01-15T14:33:25Z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0x010100EAAE34791A036B4191F6F169651A7DC6</vt:lpwstr>
  </property>
  <property fmtid="{D5CDD505-2E9C-101B-9397-08002B2CF9AE}" pid="3" name="_dlc_DocIdItemGuid">
    <vt:lpwstr>fc800af7-a19d-4c4b-90a7-f9766b100d70</vt:lpwstr>
  </property>
</Properties>
</file>